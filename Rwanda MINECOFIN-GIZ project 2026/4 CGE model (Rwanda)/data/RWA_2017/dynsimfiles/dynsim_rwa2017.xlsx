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THURLOW\OneDrive - CGIAR\Desktop\Advanced CGE Course (NPL 2025)\4 CGE model\data\BGD_2023\"/>
    </mc:Choice>
  </mc:AlternateContent>
  <xr:revisionPtr revIDLastSave="0" documentId="13_ncr:1_{3A3BC0C8-60DA-42B9-83A4-336C15C11E76}" xr6:coauthVersionLast="47" xr6:coauthVersionMax="47" xr10:uidLastSave="{00000000-0000-0000-0000-000000000000}"/>
  <bookViews>
    <workbookView xWindow="-132" yWindow="-132" windowWidth="23304" windowHeight="13944" activeTab="2" xr2:uid="{00000000-000D-0000-FFFF-FFFF00000000}"/>
  </bookViews>
  <sheets>
    <sheet name="Notes" sheetId="1" r:id="rId1"/>
    <sheet name="Main" sheetId="14" r:id="rId2"/>
    <sheet name="Base" sheetId="77" r:id="rId3"/>
    <sheet name="S1" sheetId="5" r:id="rId4"/>
    <sheet name="S2" sheetId="63" r:id="rId5"/>
    <sheet name="S3" sheetId="64" r:id="rId6"/>
    <sheet name="S4" sheetId="66" r:id="rId7"/>
    <sheet name="S5" sheetId="67" r:id="rId8"/>
    <sheet name="S6" sheetId="68" r:id="rId9"/>
    <sheet name="S7" sheetId="69" r:id="rId10"/>
    <sheet name="S8" sheetId="65" r:id="rId11"/>
    <sheet name="S9" sheetId="70" r:id="rId12"/>
    <sheet name="S10" sheetId="71" r:id="rId13"/>
    <sheet name="S11" sheetId="72" r:id="rId14"/>
    <sheet name="S12" sheetId="73" r:id="rId15"/>
    <sheet name="S13" sheetId="74" r:id="rId16"/>
    <sheet name="S14" sheetId="75" r:id="rId17"/>
    <sheet name="S15" sheetId="76" r:id="rId18"/>
    <sheet name="Index" sheetId="26"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 l="1"/>
  <c r="AD1" i="77"/>
  <c r="AC1" i="77"/>
  <c r="L5" i="1" l="1"/>
  <c r="AZ8" i="5" s="1"/>
  <c r="AD1" i="76"/>
  <c r="AC1" i="76"/>
  <c r="A1" i="76" s="1"/>
  <c r="AD1" i="75"/>
  <c r="AC1" i="75"/>
  <c r="AD1" i="74"/>
  <c r="AC1" i="74"/>
  <c r="AD1" i="73"/>
  <c r="AC1" i="73"/>
  <c r="AD1" i="72"/>
  <c r="AC1" i="72"/>
  <c r="A1" i="72" s="1"/>
  <c r="AD1" i="71"/>
  <c r="AC1" i="71"/>
  <c r="AD1" i="70"/>
  <c r="AC1" i="70"/>
  <c r="AD1" i="65"/>
  <c r="AC1" i="65"/>
  <c r="AD1" i="69"/>
  <c r="AC1" i="69"/>
  <c r="AD1" i="68"/>
  <c r="AC1" i="68"/>
  <c r="AD1" i="67"/>
  <c r="AC1" i="67"/>
  <c r="AD1" i="66"/>
  <c r="AC1" i="66"/>
  <c r="AD1" i="64"/>
  <c r="AC1" i="64"/>
  <c r="AD1" i="63"/>
  <c r="AC1" i="63"/>
  <c r="L4" i="1"/>
  <c r="AY24" i="5" l="1"/>
  <c r="AY22" i="63"/>
  <c r="AY20" i="64"/>
  <c r="AY18" i="66"/>
  <c r="AY16" i="67"/>
  <c r="AY14" i="68"/>
  <c r="AY12" i="69"/>
  <c r="AY10" i="65"/>
  <c r="AY8" i="70"/>
  <c r="AY24" i="72"/>
  <c r="AY22" i="73"/>
  <c r="AY20" i="74"/>
  <c r="AY18" i="75"/>
  <c r="AY16" i="76"/>
  <c r="AQ8" i="72"/>
  <c r="AY23" i="5"/>
  <c r="AY21" i="63"/>
  <c r="AY19" i="64"/>
  <c r="AY17" i="66"/>
  <c r="AY15" i="67"/>
  <c r="AY13" i="68"/>
  <c r="AY11" i="69"/>
  <c r="AY9" i="65"/>
  <c r="AY7" i="70"/>
  <c r="AY23" i="72"/>
  <c r="AY21" i="73"/>
  <c r="AY19" i="74"/>
  <c r="AY17" i="75"/>
  <c r="AY15" i="76"/>
  <c r="AQ8" i="73"/>
  <c r="AY22" i="5"/>
  <c r="AY20" i="63"/>
  <c r="AY18" i="64"/>
  <c r="AY16" i="66"/>
  <c r="AY14" i="67"/>
  <c r="AY12" i="68"/>
  <c r="AY10" i="69"/>
  <c r="AY8" i="65"/>
  <c r="AY24" i="71"/>
  <c r="AY22" i="72"/>
  <c r="AY20" i="73"/>
  <c r="AY18" i="74"/>
  <c r="AY16" i="75"/>
  <c r="AY14" i="76"/>
  <c r="AQ8" i="74"/>
  <c r="AY21" i="5"/>
  <c r="AY19" i="63"/>
  <c r="AY17" i="64"/>
  <c r="AY15" i="66"/>
  <c r="AY13" i="67"/>
  <c r="AY11" i="68"/>
  <c r="AY9" i="69"/>
  <c r="AY7" i="65"/>
  <c r="AY23" i="71"/>
  <c r="AY21" i="72"/>
  <c r="AY19" i="73"/>
  <c r="AY17" i="74"/>
  <c r="AY15" i="75"/>
  <c r="AY13" i="76"/>
  <c r="AQ8" i="75"/>
  <c r="AY20" i="5"/>
  <c r="AY18" i="63"/>
  <c r="AY16" i="64"/>
  <c r="AY14" i="66"/>
  <c r="AY12" i="67"/>
  <c r="AY10" i="68"/>
  <c r="AY8" i="69"/>
  <c r="AY24" i="70"/>
  <c r="AY22" i="71"/>
  <c r="AY20" i="72"/>
  <c r="AY18" i="73"/>
  <c r="AY16" i="74"/>
  <c r="AY14" i="75"/>
  <c r="AY12" i="76"/>
  <c r="AQ8" i="76"/>
  <c r="AY19" i="5"/>
  <c r="AY17" i="63"/>
  <c r="AY15" i="64"/>
  <c r="AY13" i="66"/>
  <c r="AY11" i="67"/>
  <c r="AY9" i="68"/>
  <c r="AY7" i="69"/>
  <c r="AY23" i="70"/>
  <c r="AY21" i="71"/>
  <c r="AY19" i="72"/>
  <c r="AY18" i="5"/>
  <c r="AY10" i="63"/>
  <c r="AY20" i="66"/>
  <c r="AY24" i="68"/>
  <c r="AY16" i="69"/>
  <c r="AY20" i="70"/>
  <c r="AY12" i="71"/>
  <c r="AY17" i="73"/>
  <c r="AY10" i="74"/>
  <c r="AY21" i="76"/>
  <c r="AY9" i="63"/>
  <c r="AY19" i="66"/>
  <c r="AY23" i="68"/>
  <c r="AY15" i="69"/>
  <c r="AY19" i="70"/>
  <c r="AY11" i="71"/>
  <c r="AY16" i="73"/>
  <c r="AY20" i="76"/>
  <c r="AY8" i="63"/>
  <c r="AY12" i="66"/>
  <c r="AY22" i="68"/>
  <c r="AY14" i="69"/>
  <c r="AY15" i="73"/>
  <c r="AY19" i="76"/>
  <c r="AY15" i="5"/>
  <c r="AY13" i="69"/>
  <c r="AY9" i="71"/>
  <c r="AY7" i="74"/>
  <c r="AY14" i="5"/>
  <c r="AY10" i="66"/>
  <c r="AY24" i="65"/>
  <c r="AY13" i="73"/>
  <c r="AY24" i="75"/>
  <c r="AY13" i="5"/>
  <c r="AY9" i="66"/>
  <c r="AY15" i="70"/>
  <c r="AY23" i="75"/>
  <c r="AY22" i="64"/>
  <c r="AY14" i="70"/>
  <c r="AY22" i="75"/>
  <c r="AY11" i="5"/>
  <c r="AY17" i="68"/>
  <c r="AY17" i="72"/>
  <c r="AY21" i="75"/>
  <c r="AY10" i="5"/>
  <c r="AY16" i="68"/>
  <c r="AY20" i="65"/>
  <c r="AY12" i="70"/>
  <c r="AY9" i="73"/>
  <c r="AY8" i="76"/>
  <c r="AY9" i="5"/>
  <c r="AY15" i="68"/>
  <c r="AY11" i="70"/>
  <c r="AY15" i="72"/>
  <c r="AY8" i="5"/>
  <c r="AY8" i="68"/>
  <c r="AY10" i="70"/>
  <c r="AY14" i="72"/>
  <c r="AY13" i="75"/>
  <c r="AQ8" i="5"/>
  <c r="AY11" i="64"/>
  <c r="AY9" i="70"/>
  <c r="AY12" i="75"/>
  <c r="AY17" i="5"/>
  <c r="AY9" i="74"/>
  <c r="AY10" i="71"/>
  <c r="AY8" i="74"/>
  <c r="AY11" i="66"/>
  <c r="AY14" i="73"/>
  <c r="AY18" i="76"/>
  <c r="AY24" i="64"/>
  <c r="AY19" i="68"/>
  <c r="AY7" i="71"/>
  <c r="AY11" i="76"/>
  <c r="AY8" i="66"/>
  <c r="AY18" i="72"/>
  <c r="AY7" i="66"/>
  <c r="AY13" i="70"/>
  <c r="AY14" i="64"/>
  <c r="AY16" i="72"/>
  <c r="AY13" i="64"/>
  <c r="AY19" i="75"/>
  <c r="AY22" i="67"/>
  <c r="AY18" i="65"/>
  <c r="AY7" i="5"/>
  <c r="AY7" i="68"/>
  <c r="AQ8" i="64"/>
  <c r="AY11" i="72"/>
  <c r="AY18" i="71"/>
  <c r="AY17" i="71"/>
  <c r="AY15" i="74"/>
  <c r="AY24" i="66"/>
  <c r="AY8" i="72"/>
  <c r="AY7" i="75"/>
  <c r="AY8" i="67"/>
  <c r="AY22" i="70"/>
  <c r="AY14" i="71"/>
  <c r="AY23" i="76"/>
  <c r="AY21" i="66"/>
  <c r="AY13" i="71"/>
  <c r="AY16" i="5"/>
  <c r="AY18" i="70"/>
  <c r="AY7" i="63"/>
  <c r="AY21" i="68"/>
  <c r="AY17" i="70"/>
  <c r="AY20" i="68"/>
  <c r="AY16" i="70"/>
  <c r="AY8" i="71"/>
  <c r="AY17" i="76"/>
  <c r="AY23" i="64"/>
  <c r="AY23" i="65"/>
  <c r="AY12" i="73"/>
  <c r="AY12" i="5"/>
  <c r="AY18" i="68"/>
  <c r="AY22" i="65"/>
  <c r="AY11" i="73"/>
  <c r="AY10" i="76"/>
  <c r="AY21" i="64"/>
  <c r="AY21" i="65"/>
  <c r="AY10" i="73"/>
  <c r="AY9" i="76"/>
  <c r="AY24" i="67"/>
  <c r="AY20" i="75"/>
  <c r="AY23" i="67"/>
  <c r="AY8" i="73"/>
  <c r="AY7" i="76"/>
  <c r="AY12" i="64"/>
  <c r="AY7" i="73"/>
  <c r="AY13" i="72"/>
  <c r="AY15" i="65"/>
  <c r="AY22" i="69"/>
  <c r="AY17" i="67"/>
  <c r="AY13" i="65"/>
  <c r="AY9" i="72"/>
  <c r="AQ8" i="68"/>
  <c r="AY14" i="63"/>
  <c r="AY14" i="74"/>
  <c r="AQ8" i="65"/>
  <c r="AY12" i="63"/>
  <c r="AY21" i="70"/>
  <c r="AY11" i="74"/>
  <c r="AY19" i="65"/>
  <c r="AY21" i="67"/>
  <c r="AY17" i="65"/>
  <c r="AY24" i="74"/>
  <c r="AQ8" i="63"/>
  <c r="AY24" i="63"/>
  <c r="AY20" i="67"/>
  <c r="AY24" i="69"/>
  <c r="AY16" i="65"/>
  <c r="AY20" i="71"/>
  <c r="AY12" i="72"/>
  <c r="AY11" i="75"/>
  <c r="AY23" i="63"/>
  <c r="AY19" i="67"/>
  <c r="AY23" i="69"/>
  <c r="AY19" i="71"/>
  <c r="AY10" i="75"/>
  <c r="AQ8" i="66"/>
  <c r="AY16" i="63"/>
  <c r="AY8" i="64"/>
  <c r="AY18" i="67"/>
  <c r="AY14" i="65"/>
  <c r="AY21" i="74"/>
  <c r="AY9" i="75"/>
  <c r="AY15" i="63"/>
  <c r="AY21" i="69"/>
  <c r="AY10" i="67"/>
  <c r="AY16" i="71"/>
  <c r="AY11" i="63"/>
  <c r="AY23" i="73"/>
  <c r="AY10" i="64"/>
  <c r="AY23" i="74"/>
  <c r="AY9" i="64"/>
  <c r="AY22" i="74"/>
  <c r="AY10" i="72"/>
  <c r="AQ8" i="67"/>
  <c r="AY7" i="64"/>
  <c r="AY8" i="75"/>
  <c r="AY20" i="69"/>
  <c r="AQ8" i="69"/>
  <c r="AY13" i="74"/>
  <c r="AY24" i="76"/>
  <c r="AY22" i="66"/>
  <c r="AY18" i="69"/>
  <c r="AY24" i="73"/>
  <c r="AQ8" i="70"/>
  <c r="AY7" i="67"/>
  <c r="AY22" i="76"/>
  <c r="AY12" i="65"/>
  <c r="AY17" i="69"/>
  <c r="AQ8" i="71"/>
  <c r="AY13" i="63"/>
  <c r="AY23" i="66"/>
  <c r="AY9" i="67"/>
  <c r="AY19" i="69"/>
  <c r="AY11" i="65"/>
  <c r="AY15" i="71"/>
  <c r="AY7" i="72"/>
  <c r="AY12" i="74"/>
  <c r="AM8" i="66"/>
  <c r="AO8" i="69"/>
  <c r="AM8" i="75"/>
  <c r="AE8" i="63"/>
  <c r="AA8" i="64"/>
  <c r="AE8" i="69"/>
  <c r="AA8" i="65"/>
  <c r="AE8" i="73"/>
  <c r="AA8" i="74"/>
  <c r="F8" i="66"/>
  <c r="H8" i="69"/>
  <c r="J8" i="71"/>
  <c r="F8" i="75"/>
  <c r="AL8" i="66"/>
  <c r="Z8" i="65"/>
  <c r="Z8" i="74"/>
  <c r="K8" i="64"/>
  <c r="I8" i="71"/>
  <c r="K8" i="74"/>
  <c r="F8" i="69"/>
  <c r="H8" i="71"/>
  <c r="AR8" i="64"/>
  <c r="AN8" i="69"/>
  <c r="AP8" i="71"/>
  <c r="AR8" i="74"/>
  <c r="AL8" i="75"/>
  <c r="AD8" i="63"/>
  <c r="Z8" i="64"/>
  <c r="AD8" i="69"/>
  <c r="AD8" i="73"/>
  <c r="E8" i="66"/>
  <c r="G8" i="69"/>
  <c r="E8" i="75"/>
  <c r="J8" i="64"/>
  <c r="AM8" i="69"/>
  <c r="AO8" i="71"/>
  <c r="AC8" i="63"/>
  <c r="AG8" i="68"/>
  <c r="AC8" i="69"/>
  <c r="AG8" i="72"/>
  <c r="AC8" i="73"/>
  <c r="AG8" i="5"/>
  <c r="J8" i="74"/>
  <c r="AR8" i="63"/>
  <c r="AL8" i="64"/>
  <c r="AN8" i="68"/>
  <c r="AP8" i="70"/>
  <c r="AR8" i="73"/>
  <c r="AL8" i="74"/>
  <c r="AN8" i="5"/>
  <c r="AF8" i="67"/>
  <c r="AB8" i="68"/>
  <c r="AF8" i="71"/>
  <c r="AB8" i="72"/>
  <c r="AF8" i="76"/>
  <c r="AB8" i="5"/>
  <c r="R8" i="64"/>
  <c r="R8" i="67"/>
  <c r="R8" i="69"/>
  <c r="R8" i="70"/>
  <c r="R8" i="72"/>
  <c r="R8" i="74"/>
  <c r="R8" i="76"/>
  <c r="K8" i="63"/>
  <c r="E8" i="64"/>
  <c r="G8" i="68"/>
  <c r="I8" i="70"/>
  <c r="K8" i="73"/>
  <c r="E8" i="74"/>
  <c r="G8" i="5"/>
  <c r="AP8" i="64"/>
  <c r="AR8" i="67"/>
  <c r="AL8" i="65"/>
  <c r="AM8" i="71"/>
  <c r="AP8" i="73"/>
  <c r="AA8" i="63"/>
  <c r="Z8" i="67"/>
  <c r="AD8" i="71"/>
  <c r="AD8" i="74"/>
  <c r="Z8" i="5"/>
  <c r="R8" i="68"/>
  <c r="P8" i="72"/>
  <c r="R8" i="5"/>
  <c r="H8" i="64"/>
  <c r="K8" i="67"/>
  <c r="E8" i="65"/>
  <c r="F8" i="71"/>
  <c r="I8" i="73"/>
  <c r="AO8" i="64"/>
  <c r="AL8" i="71"/>
  <c r="AO8" i="73"/>
  <c r="Z8" i="63"/>
  <c r="AG8" i="66"/>
  <c r="AG8" i="69"/>
  <c r="AC8" i="71"/>
  <c r="AC8" i="74"/>
  <c r="Q8" i="68"/>
  <c r="T8" i="70"/>
  <c r="Q8" i="5"/>
  <c r="G8" i="64"/>
  <c r="J8" i="67"/>
  <c r="E8" i="71"/>
  <c r="H8" i="73"/>
  <c r="AN8" i="64"/>
  <c r="AP8" i="67"/>
  <c r="AN8" i="73"/>
  <c r="AR8" i="75"/>
  <c r="AF8" i="66"/>
  <c r="AF8" i="69"/>
  <c r="AB8" i="71"/>
  <c r="AB8" i="74"/>
  <c r="AG8" i="76"/>
  <c r="T8" i="66"/>
  <c r="P8" i="68"/>
  <c r="S8" i="70"/>
  <c r="T8" i="75"/>
  <c r="P8" i="5"/>
  <c r="F8" i="64"/>
  <c r="I8" i="67"/>
  <c r="G8" i="73"/>
  <c r="K8" i="75"/>
  <c r="AO8" i="67"/>
  <c r="AM8" i="73"/>
  <c r="AR8" i="5"/>
  <c r="AE8" i="66"/>
  <c r="AB8" i="69"/>
  <c r="AA8" i="71"/>
  <c r="AL8" i="69"/>
  <c r="AO8" i="70"/>
  <c r="AM8" i="5"/>
  <c r="AA8" i="66"/>
  <c r="AF8" i="68"/>
  <c r="AE8" i="70"/>
  <c r="AB8" i="73"/>
  <c r="AA8" i="76"/>
  <c r="S8" i="63"/>
  <c r="Q8" i="69"/>
  <c r="S8" i="73"/>
  <c r="AD8" i="68"/>
  <c r="AF8" i="65"/>
  <c r="AE8" i="71"/>
  <c r="AA8" i="73"/>
  <c r="AD8" i="75"/>
  <c r="AE8" i="5"/>
  <c r="S8" i="66"/>
  <c r="P8" i="69"/>
  <c r="R8" i="71"/>
  <c r="P8" i="74"/>
  <c r="S8" i="5"/>
  <c r="J8" i="75"/>
  <c r="I8" i="5"/>
  <c r="AN8" i="67"/>
  <c r="AL8" i="73"/>
  <c r="AD8" i="66"/>
  <c r="AC8" i="68"/>
  <c r="AE8" i="65"/>
  <c r="Z8" i="71"/>
  <c r="Z8" i="73"/>
  <c r="AC8" i="75"/>
  <c r="AD8" i="5"/>
  <c r="R8" i="66"/>
  <c r="Q8" i="71"/>
  <c r="I8" i="75"/>
  <c r="H8" i="5"/>
  <c r="AM8" i="67"/>
  <c r="AC8" i="66"/>
  <c r="AA8" i="68"/>
  <c r="AD8" i="65"/>
  <c r="AB8" i="75"/>
  <c r="AC8" i="5"/>
  <c r="Q8" i="66"/>
  <c r="P8" i="71"/>
  <c r="J8" i="73"/>
  <c r="H8" i="75"/>
  <c r="F8" i="5"/>
  <c r="AL8" i="67"/>
  <c r="AR8" i="76"/>
  <c r="AG8" i="63"/>
  <c r="Z8" i="68"/>
  <c r="AC8" i="65"/>
  <c r="AA8" i="75"/>
  <c r="AA8" i="5"/>
  <c r="P8" i="66"/>
  <c r="K8" i="68"/>
  <c r="K8" i="65"/>
  <c r="F8" i="73"/>
  <c r="G8" i="75"/>
  <c r="E8" i="5"/>
  <c r="Z8" i="75"/>
  <c r="J8" i="68"/>
  <c r="K8" i="71"/>
  <c r="AN8" i="71"/>
  <c r="T8" i="67"/>
  <c r="R8" i="75"/>
  <c r="K8" i="66"/>
  <c r="G8" i="71"/>
  <c r="S8" i="72"/>
  <c r="AF8" i="63"/>
  <c r="S8" i="75"/>
  <c r="J8" i="65"/>
  <c r="AM8" i="64"/>
  <c r="AR8" i="65"/>
  <c r="AB8" i="63"/>
  <c r="J8" i="63"/>
  <c r="T8" i="65"/>
  <c r="I8" i="63"/>
  <c r="E8" i="73"/>
  <c r="AP8" i="76"/>
  <c r="I8" i="65"/>
  <c r="AB8" i="66"/>
  <c r="AR8" i="71"/>
  <c r="Z8" i="66"/>
  <c r="AB8" i="65"/>
  <c r="T8" i="72"/>
  <c r="I8" i="68"/>
  <c r="AO8" i="76"/>
  <c r="S8" i="67"/>
  <c r="Q8" i="75"/>
  <c r="J8" i="66"/>
  <c r="AR8" i="68"/>
  <c r="AP8" i="65"/>
  <c r="AP8" i="74"/>
  <c r="AN8" i="76"/>
  <c r="AG8" i="70"/>
  <c r="AF8" i="72"/>
  <c r="T8" i="63"/>
  <c r="Q8" i="67"/>
  <c r="S8" i="65"/>
  <c r="Q8" i="72"/>
  <c r="P8" i="75"/>
  <c r="H8" i="63"/>
  <c r="I8" i="66"/>
  <c r="F8" i="68"/>
  <c r="G8" i="65"/>
  <c r="AO8" i="65"/>
  <c r="AO8" i="74"/>
  <c r="AM8" i="76"/>
  <c r="AF8" i="70"/>
  <c r="AE8" i="72"/>
  <c r="AE8" i="76"/>
  <c r="R8" i="63"/>
  <c r="P8" i="67"/>
  <c r="R8" i="65"/>
  <c r="G8" i="63"/>
  <c r="H8" i="66"/>
  <c r="E8" i="68"/>
  <c r="F8" i="65"/>
  <c r="AD8" i="64"/>
  <c r="AA8" i="69"/>
  <c r="AD8" i="72"/>
  <c r="AF8" i="75"/>
  <c r="P8" i="64"/>
  <c r="Q8" i="76"/>
  <c r="H8" i="72"/>
  <c r="J8" i="76"/>
  <c r="AP8" i="68"/>
  <c r="AP8" i="75"/>
  <c r="AC8" i="64"/>
  <c r="Z8" i="69"/>
  <c r="AC8" i="72"/>
  <c r="AE8" i="75"/>
  <c r="P8" i="76"/>
  <c r="G8" i="72"/>
  <c r="I8" i="76"/>
  <c r="AO8" i="68"/>
  <c r="AO8" i="75"/>
  <c r="AB8" i="64"/>
  <c r="AA8" i="72"/>
  <c r="AD8" i="76"/>
  <c r="H8" i="65"/>
  <c r="F8" i="72"/>
  <c r="H8" i="76"/>
  <c r="AM8" i="68"/>
  <c r="AR8" i="72"/>
  <c r="AN8" i="75"/>
  <c r="Z8" i="72"/>
  <c r="AC8" i="76"/>
  <c r="E8" i="72"/>
  <c r="G8" i="76"/>
  <c r="AP8" i="63"/>
  <c r="AL8" i="68"/>
  <c r="AB8" i="76"/>
  <c r="T8" i="71"/>
  <c r="F8" i="76"/>
  <c r="AO8" i="63"/>
  <c r="AP8" i="72"/>
  <c r="AL8" i="76"/>
  <c r="Z8" i="76"/>
  <c r="S8" i="71"/>
  <c r="H8" i="67"/>
  <c r="K8" i="70"/>
  <c r="E8" i="76"/>
  <c r="AN8" i="63"/>
  <c r="AO8" i="72"/>
  <c r="G8" i="67"/>
  <c r="J8" i="70"/>
  <c r="AL8" i="63"/>
  <c r="AM8" i="72"/>
  <c r="AP8" i="5"/>
  <c r="AG8" i="67"/>
  <c r="AG8" i="65"/>
  <c r="T8" i="73"/>
  <c r="F8" i="63"/>
  <c r="G8" i="70"/>
  <c r="K8" i="5"/>
  <c r="AL8" i="72"/>
  <c r="AE8" i="67"/>
  <c r="AD8" i="70"/>
  <c r="T8" i="68"/>
  <c r="R8" i="73"/>
  <c r="I8" i="74"/>
  <c r="J8" i="5"/>
  <c r="AP8" i="69"/>
  <c r="AL8" i="5"/>
  <c r="AC8" i="70"/>
  <c r="Q8" i="73"/>
  <c r="H8" i="68"/>
  <c r="E8" i="70"/>
  <c r="H8" i="74"/>
  <c r="AB8" i="70"/>
  <c r="AG8" i="74"/>
  <c r="G8" i="74"/>
  <c r="AR8" i="66"/>
  <c r="F8" i="74"/>
  <c r="AA8" i="67"/>
  <c r="AE8" i="74"/>
  <c r="AN8" i="74"/>
  <c r="K8" i="69"/>
  <c r="P8" i="65"/>
  <c r="J8" i="69"/>
  <c r="AN8" i="70"/>
  <c r="AG8" i="64"/>
  <c r="I8" i="69"/>
  <c r="T8" i="76"/>
  <c r="J8" i="72"/>
  <c r="AG8" i="75"/>
  <c r="Q8" i="64"/>
  <c r="S8" i="76"/>
  <c r="G8" i="66"/>
  <c r="AB8" i="67"/>
  <c r="AM8" i="65"/>
  <c r="Q8" i="63"/>
  <c r="AO8" i="66"/>
  <c r="AR8" i="70"/>
  <c r="S8" i="74"/>
  <c r="AM8" i="70"/>
  <c r="AE8" i="64"/>
  <c r="AA8" i="70"/>
  <c r="AM8" i="74"/>
  <c r="Q8" i="65"/>
  <c r="AN8" i="66"/>
  <c r="AF8" i="64"/>
  <c r="E8" i="69"/>
  <c r="AL8" i="70"/>
  <c r="K8" i="76"/>
  <c r="AR8" i="69"/>
  <c r="E8" i="63"/>
  <c r="AF8" i="5"/>
  <c r="Z8" i="70"/>
  <c r="AP8" i="66"/>
  <c r="Q8" i="74"/>
  <c r="AE8" i="68"/>
  <c r="P8" i="70"/>
  <c r="I8" i="72"/>
  <c r="AM8" i="63"/>
  <c r="AN8" i="72"/>
  <c r="T8" i="5"/>
  <c r="F8" i="67"/>
  <c r="H8" i="70"/>
  <c r="E8" i="67"/>
  <c r="AO8" i="5"/>
  <c r="AG8" i="73"/>
  <c r="F8" i="70"/>
  <c r="AD8" i="67"/>
  <c r="AF8" i="73"/>
  <c r="S8" i="68"/>
  <c r="AC8" i="67"/>
  <c r="P8" i="73"/>
  <c r="AN8" i="65"/>
  <c r="AF8" i="74"/>
  <c r="T8" i="69"/>
  <c r="P8" i="63"/>
  <c r="S8" i="69"/>
  <c r="T8" i="74"/>
  <c r="I8" i="64"/>
  <c r="T8" i="64"/>
  <c r="K8" i="72"/>
  <c r="S8" i="64"/>
  <c r="Q8" i="70"/>
  <c r="AG8" i="71"/>
  <c r="AZ16" i="74"/>
  <c r="AZ16" i="64"/>
  <c r="AZ16" i="75"/>
  <c r="AZ15" i="71"/>
  <c r="AZ16" i="66"/>
  <c r="AZ16" i="76"/>
  <c r="AZ15" i="72"/>
  <c r="AZ15" i="67"/>
  <c r="AZ16" i="72"/>
  <c r="AZ16" i="73"/>
  <c r="AZ16" i="63"/>
  <c r="AZ16" i="67"/>
  <c r="AZ15" i="5"/>
  <c r="AZ15" i="73"/>
  <c r="AZ16" i="68"/>
  <c r="AZ15" i="63"/>
  <c r="AZ15" i="74"/>
  <c r="AZ16" i="69"/>
  <c r="AZ15" i="64"/>
  <c r="AZ15" i="75"/>
  <c r="AZ16" i="65"/>
  <c r="AZ15" i="66"/>
  <c r="AZ15" i="76"/>
  <c r="AZ16" i="71"/>
  <c r="AZ15" i="68"/>
  <c r="AZ15" i="69"/>
  <c r="AZ16" i="5"/>
  <c r="AZ15" i="65"/>
  <c r="AR9" i="63"/>
  <c r="AL9" i="64"/>
  <c r="AN9" i="68"/>
  <c r="AP9" i="70"/>
  <c r="AR9" i="73"/>
  <c r="AL9" i="74"/>
  <c r="AN9" i="5"/>
  <c r="AE9" i="67"/>
  <c r="AA9" i="68"/>
  <c r="AE9" i="71"/>
  <c r="AA9" i="72"/>
  <c r="AE9" i="76"/>
  <c r="AA9" i="5"/>
  <c r="T9" i="64"/>
  <c r="T9" i="67"/>
  <c r="T9" i="69"/>
  <c r="T9" i="70"/>
  <c r="T9" i="72"/>
  <c r="T9" i="74"/>
  <c r="T9" i="76"/>
  <c r="K9" i="63"/>
  <c r="E9" i="64"/>
  <c r="G9" i="68"/>
  <c r="I9" i="70"/>
  <c r="K9" i="73"/>
  <c r="E9" i="74"/>
  <c r="G9" i="5"/>
  <c r="AZ7" i="74"/>
  <c r="AD9" i="67"/>
  <c r="AD9" i="71"/>
  <c r="Z9" i="72"/>
  <c r="S9" i="64"/>
  <c r="S9" i="67"/>
  <c r="S9" i="72"/>
  <c r="S9" i="74"/>
  <c r="J9" i="63"/>
  <c r="F9" i="68"/>
  <c r="H9" i="70"/>
  <c r="F9" i="5"/>
  <c r="I9" i="63"/>
  <c r="I9" i="73"/>
  <c r="K9" i="76"/>
  <c r="AZ21" i="63"/>
  <c r="AZ9" i="63"/>
  <c r="AZ14" i="64"/>
  <c r="AZ21" i="66"/>
  <c r="AZ9" i="66"/>
  <c r="AZ14" i="67"/>
  <c r="AZ21" i="68"/>
  <c r="AZ9" i="68"/>
  <c r="AZ14" i="69"/>
  <c r="AZ21" i="65"/>
  <c r="AZ9" i="65"/>
  <c r="AZ14" i="71"/>
  <c r="AZ21" i="72"/>
  <c r="AZ9" i="72"/>
  <c r="AZ14" i="73"/>
  <c r="AZ21" i="74"/>
  <c r="AZ9" i="74"/>
  <c r="AZ14" i="75"/>
  <c r="AZ21" i="76"/>
  <c r="AZ9" i="76"/>
  <c r="AQ9" i="63"/>
  <c r="AM9" i="68"/>
  <c r="AO9" i="70"/>
  <c r="AQ9" i="73"/>
  <c r="AM9" i="5"/>
  <c r="Z9" i="68"/>
  <c r="AD9" i="76"/>
  <c r="Z9" i="5"/>
  <c r="S9" i="69"/>
  <c r="S9" i="70"/>
  <c r="S9" i="76"/>
  <c r="J9" i="73"/>
  <c r="AZ7" i="75"/>
  <c r="R9" i="72"/>
  <c r="R9" i="76"/>
  <c r="K9" i="67"/>
  <c r="G9" i="70"/>
  <c r="AP9" i="63"/>
  <c r="AR9" i="67"/>
  <c r="AL9" i="68"/>
  <c r="AN9" i="70"/>
  <c r="AP9" i="73"/>
  <c r="AR9" i="76"/>
  <c r="AL9" i="5"/>
  <c r="AG9" i="66"/>
  <c r="AC9" i="67"/>
  <c r="AG9" i="70"/>
  <c r="AC9" i="71"/>
  <c r="AG9" i="75"/>
  <c r="AC9" i="76"/>
  <c r="R9" i="64"/>
  <c r="R9" i="67"/>
  <c r="R9" i="69"/>
  <c r="R9" i="70"/>
  <c r="R9" i="74"/>
  <c r="E9" i="68"/>
  <c r="AZ20" i="63"/>
  <c r="AZ8" i="63"/>
  <c r="AZ13" i="64"/>
  <c r="AZ20" i="66"/>
  <c r="AZ8" i="66"/>
  <c r="AZ13" i="67"/>
  <c r="AZ20" i="68"/>
  <c r="AZ8" i="68"/>
  <c r="AZ13" i="69"/>
  <c r="AZ20" i="65"/>
  <c r="AZ8" i="65"/>
  <c r="AZ13" i="71"/>
  <c r="AZ20" i="72"/>
  <c r="AZ8" i="72"/>
  <c r="AZ13" i="73"/>
  <c r="AZ20" i="74"/>
  <c r="AZ18" i="63"/>
  <c r="AZ23" i="64"/>
  <c r="AZ11" i="64"/>
  <c r="AZ18" i="66"/>
  <c r="AZ23" i="67"/>
  <c r="AZ11" i="67"/>
  <c r="AZ18" i="68"/>
  <c r="AZ23" i="69"/>
  <c r="AZ11" i="69"/>
  <c r="AZ18" i="65"/>
  <c r="AZ23" i="71"/>
  <c r="AZ11" i="71"/>
  <c r="AZ18" i="72"/>
  <c r="AZ23" i="73"/>
  <c r="AZ11" i="73"/>
  <c r="AZ18" i="74"/>
  <c r="AZ23" i="75"/>
  <c r="AZ11" i="75"/>
  <c r="AZ18" i="76"/>
  <c r="AZ22" i="5"/>
  <c r="AM9" i="67"/>
  <c r="AO9" i="65"/>
  <c r="AQ9" i="72"/>
  <c r="AM9" i="76"/>
  <c r="AF9" i="64"/>
  <c r="AB9" i="66"/>
  <c r="AF9" i="65"/>
  <c r="AB9" i="70"/>
  <c r="AF9" i="74"/>
  <c r="AB9" i="75"/>
  <c r="F9" i="67"/>
  <c r="H9" i="65"/>
  <c r="J9" i="72"/>
  <c r="F9" i="76"/>
  <c r="AZ21" i="5"/>
  <c r="AR9" i="66"/>
  <c r="AZ23" i="63"/>
  <c r="AZ11" i="63"/>
  <c r="AZ18" i="64"/>
  <c r="AZ23" i="66"/>
  <c r="AZ11" i="66"/>
  <c r="AZ18" i="67"/>
  <c r="AZ23" i="68"/>
  <c r="AZ11" i="68"/>
  <c r="AZ18" i="69"/>
  <c r="AZ23" i="65"/>
  <c r="AZ11" i="65"/>
  <c r="AZ18" i="71"/>
  <c r="AZ23" i="72"/>
  <c r="AZ13" i="63"/>
  <c r="AZ12" i="64"/>
  <c r="AZ12" i="68"/>
  <c r="AZ10" i="69"/>
  <c r="AZ11" i="72"/>
  <c r="AZ10" i="73"/>
  <c r="AZ12" i="74"/>
  <c r="AZ13" i="75"/>
  <c r="AZ12" i="5"/>
  <c r="AO9" i="69"/>
  <c r="AM9" i="75"/>
  <c r="AQ9" i="5"/>
  <c r="Z9" i="66"/>
  <c r="Z9" i="69"/>
  <c r="AE9" i="70"/>
  <c r="AD9" i="73"/>
  <c r="AA9" i="76"/>
  <c r="Q9" i="66"/>
  <c r="P9" i="70"/>
  <c r="Q9" i="75"/>
  <c r="H9" i="69"/>
  <c r="F9" i="75"/>
  <c r="J9" i="5"/>
  <c r="AZ7" i="76"/>
  <c r="AZ12" i="66"/>
  <c r="AZ10" i="67"/>
  <c r="AZ9" i="71"/>
  <c r="AZ14" i="76"/>
  <c r="AZ11" i="5"/>
  <c r="AN9" i="69"/>
  <c r="AR9" i="70"/>
  <c r="AL9" i="75"/>
  <c r="AP9" i="5"/>
  <c r="AG9" i="68"/>
  <c r="AD9" i="70"/>
  <c r="AC9" i="73"/>
  <c r="Z9" i="76"/>
  <c r="T9" i="63"/>
  <c r="P9" i="66"/>
  <c r="T9" i="73"/>
  <c r="P9" i="75"/>
  <c r="G9" i="69"/>
  <c r="K9" i="70"/>
  <c r="E9" i="75"/>
  <c r="I9" i="5"/>
  <c r="AZ7" i="5"/>
  <c r="AZ12" i="63"/>
  <c r="AZ10" i="64"/>
  <c r="AZ9" i="69"/>
  <c r="AZ10" i="65"/>
  <c r="AZ10" i="72"/>
  <c r="AZ9" i="73"/>
  <c r="AZ11" i="74"/>
  <c r="AZ12" i="75"/>
  <c r="AZ10" i="5"/>
  <c r="AM9" i="69"/>
  <c r="AQ9" i="70"/>
  <c r="AR9" i="72"/>
  <c r="AO9" i="5"/>
  <c r="AG9" i="64"/>
  <c r="AF9" i="68"/>
  <c r="AC9" i="70"/>
  <c r="AB9" i="73"/>
  <c r="S9" i="63"/>
  <c r="S9" i="73"/>
  <c r="F9" i="69"/>
  <c r="J9" i="70"/>
  <c r="K9" i="72"/>
  <c r="H9" i="5"/>
  <c r="AZ9" i="67"/>
  <c r="AZ10" i="68"/>
  <c r="AZ8" i="71"/>
  <c r="AZ13" i="76"/>
  <c r="AZ9" i="5"/>
  <c r="AL9" i="69"/>
  <c r="AM9" i="70"/>
  <c r="AP9" i="72"/>
  <c r="AE9" i="64"/>
  <c r="AA9" i="70"/>
  <c r="AE9" i="68"/>
  <c r="AZ24" i="64"/>
  <c r="AZ24" i="68"/>
  <c r="AZ22" i="69"/>
  <c r="AZ24" i="75"/>
  <c r="AZ11" i="76"/>
  <c r="AM9" i="63"/>
  <c r="AN9" i="66"/>
  <c r="AR9" i="68"/>
  <c r="AL9" i="72"/>
  <c r="AP9" i="74"/>
  <c r="AQ9" i="76"/>
  <c r="AA9" i="64"/>
  <c r="AE9" i="65"/>
  <c r="AE9" i="72"/>
  <c r="AA9" i="75"/>
  <c r="Q9" i="67"/>
  <c r="R9" i="71"/>
  <c r="AZ17" i="66"/>
  <c r="AZ14" i="65"/>
  <c r="AZ20" i="73"/>
  <c r="AZ10" i="75"/>
  <c r="AZ8" i="76"/>
  <c r="AQ9" i="64"/>
  <c r="AL9" i="67"/>
  <c r="AQ9" i="65"/>
  <c r="AO9" i="71"/>
  <c r="AO9" i="76"/>
  <c r="AB9" i="63"/>
  <c r="AA9" i="66"/>
  <c r="I9" i="66"/>
  <c r="J9" i="68"/>
  <c r="G9" i="65"/>
  <c r="H9" i="71"/>
  <c r="F9" i="73"/>
  <c r="AZ21" i="64"/>
  <c r="AZ8" i="67"/>
  <c r="AZ20" i="69"/>
  <c r="AZ24" i="72"/>
  <c r="AZ14" i="74"/>
  <c r="AP9" i="64"/>
  <c r="AP9" i="65"/>
  <c r="AN9" i="71"/>
  <c r="AN9" i="76"/>
  <c r="AA9" i="63"/>
  <c r="T9" i="65"/>
  <c r="T9" i="75"/>
  <c r="H9" i="63"/>
  <c r="H9" i="66"/>
  <c r="I9" i="68"/>
  <c r="F9" i="65"/>
  <c r="G9" i="71"/>
  <c r="E9" i="73"/>
  <c r="AZ14" i="66"/>
  <c r="AZ13" i="65"/>
  <c r="AZ19" i="73"/>
  <c r="AZ9" i="75"/>
  <c r="AZ24" i="5"/>
  <c r="AO9" i="64"/>
  <c r="AN9" i="65"/>
  <c r="AM9" i="71"/>
  <c r="AR9" i="74"/>
  <c r="AL9" i="76"/>
  <c r="Z9" i="63"/>
  <c r="AG9" i="72"/>
  <c r="AG9" i="74"/>
  <c r="S9" i="65"/>
  <c r="S9" i="75"/>
  <c r="G9" i="63"/>
  <c r="G9" i="66"/>
  <c r="H9" i="68"/>
  <c r="E9" i="65"/>
  <c r="F9" i="71"/>
  <c r="AL9" i="71"/>
  <c r="AE9" i="74"/>
  <c r="Q9" i="72"/>
  <c r="R9" i="75"/>
  <c r="F9" i="66"/>
  <c r="E9" i="71"/>
  <c r="AZ24" i="63"/>
  <c r="AM9" i="64"/>
  <c r="AL9" i="65"/>
  <c r="AO9" i="74"/>
  <c r="AG9" i="69"/>
  <c r="AD9" i="72"/>
  <c r="P9" i="67"/>
  <c r="AZ19" i="72"/>
  <c r="AZ24" i="76"/>
  <c r="AF9" i="69"/>
  <c r="AZ7" i="64"/>
  <c r="AZ17" i="73"/>
  <c r="AO9" i="68"/>
  <c r="AM9" i="74"/>
  <c r="Z9" i="70"/>
  <c r="AB9" i="72"/>
  <c r="AF9" i="76"/>
  <c r="J9" i="76"/>
  <c r="AZ19" i="64"/>
  <c r="AF9" i="70"/>
  <c r="AC9" i="72"/>
  <c r="AC9" i="74"/>
  <c r="P9" i="65"/>
  <c r="AZ8" i="74"/>
  <c r="AQ9" i="66"/>
  <c r="AO9" i="72"/>
  <c r="AF9" i="67"/>
  <c r="R9" i="63"/>
  <c r="P9" i="72"/>
  <c r="E9" i="63"/>
  <c r="AZ10" i="66"/>
  <c r="AZ10" i="74"/>
  <c r="AN9" i="74"/>
  <c r="Q9" i="63"/>
  <c r="K9" i="74"/>
  <c r="AZ17" i="69"/>
  <c r="AZ20" i="64"/>
  <c r="AZ19" i="69"/>
  <c r="AZ22" i="72"/>
  <c r="AZ13" i="74"/>
  <c r="AZ8" i="75"/>
  <c r="AZ23" i="5"/>
  <c r="AN9" i="64"/>
  <c r="AM9" i="65"/>
  <c r="AQ9" i="74"/>
  <c r="AF9" i="72"/>
  <c r="R9" i="65"/>
  <c r="F9" i="63"/>
  <c r="AZ13" i="66"/>
  <c r="AZ12" i="65"/>
  <c r="AZ18" i="73"/>
  <c r="AZ20" i="5"/>
  <c r="AQ9" i="68"/>
  <c r="AD9" i="74"/>
  <c r="Q9" i="65"/>
  <c r="E9" i="66"/>
  <c r="AZ7" i="63"/>
  <c r="AZ22" i="68"/>
  <c r="AZ24" i="71"/>
  <c r="AZ19" i="5"/>
  <c r="AP9" i="68"/>
  <c r="AG9" i="67"/>
  <c r="AG9" i="76"/>
  <c r="I9" i="76"/>
  <c r="AZ18" i="5"/>
  <c r="AD9" i="64"/>
  <c r="AE9" i="69"/>
  <c r="AB9" i="74"/>
  <c r="P9" i="63"/>
  <c r="AZ22" i="63"/>
  <c r="AZ24" i="67"/>
  <c r="AZ19" i="68"/>
  <c r="AZ22" i="71"/>
  <c r="AZ17" i="72"/>
  <c r="AZ23" i="76"/>
  <c r="AZ17" i="5"/>
  <c r="AP9" i="66"/>
  <c r="AN9" i="72"/>
  <c r="AC9" i="64"/>
  <c r="AB9" i="67"/>
  <c r="AD9" i="69"/>
  <c r="AA9" i="74"/>
  <c r="AB9" i="76"/>
  <c r="H9" i="72"/>
  <c r="I9" i="74"/>
  <c r="G9" i="76"/>
  <c r="AZ7" i="67"/>
  <c r="AZ17" i="64"/>
  <c r="AZ22" i="67"/>
  <c r="AZ12" i="69"/>
  <c r="AZ21" i="71"/>
  <c r="AZ12" i="73"/>
  <c r="AZ14" i="5"/>
  <c r="AO9" i="66"/>
  <c r="AM9" i="72"/>
  <c r="AB9" i="64"/>
  <c r="AA9" i="67"/>
  <c r="AC9" i="69"/>
  <c r="Z9" i="74"/>
  <c r="R9" i="73"/>
  <c r="Q9" i="76"/>
  <c r="G9" i="72"/>
  <c r="H9" i="74"/>
  <c r="E9" i="76"/>
  <c r="AZ7" i="68"/>
  <c r="AZ19" i="63"/>
  <c r="AZ17" i="68"/>
  <c r="AZ14" i="72"/>
  <c r="AZ22" i="75"/>
  <c r="AZ22" i="76"/>
  <c r="AZ13" i="5"/>
  <c r="AZ21" i="67"/>
  <c r="AZ8" i="69"/>
  <c r="AN9" i="67"/>
  <c r="AR9" i="71"/>
  <c r="AN9" i="75"/>
  <c r="T9" i="71"/>
  <c r="J9" i="67"/>
  <c r="J9" i="65"/>
  <c r="AZ17" i="63"/>
  <c r="AZ13" i="72"/>
  <c r="AZ21" i="75"/>
  <c r="AO9" i="63"/>
  <c r="AQ9" i="71"/>
  <c r="T9" i="66"/>
  <c r="S9" i="71"/>
  <c r="I9" i="67"/>
  <c r="I9" i="65"/>
  <c r="AZ20" i="67"/>
  <c r="AZ24" i="65"/>
  <c r="AN9" i="63"/>
  <c r="AP9" i="71"/>
  <c r="AG9" i="65"/>
  <c r="S9" i="66"/>
  <c r="Q9" i="71"/>
  <c r="T9" i="5"/>
  <c r="H9" i="67"/>
  <c r="AZ14" i="63"/>
  <c r="AZ12" i="72"/>
  <c r="AZ20" i="75"/>
  <c r="AL9" i="63"/>
  <c r="AF9" i="66"/>
  <c r="AD9" i="65"/>
  <c r="R9" i="66"/>
  <c r="P9" i="71"/>
  <c r="G9" i="67"/>
  <c r="F9" i="70"/>
  <c r="AZ19" i="67"/>
  <c r="AZ22" i="65"/>
  <c r="AP9" i="76"/>
  <c r="AE9" i="66"/>
  <c r="AC9" i="65"/>
  <c r="AG9" i="73"/>
  <c r="T9" i="68"/>
  <c r="R9" i="5"/>
  <c r="E9" i="67"/>
  <c r="E9" i="70"/>
  <c r="H9" i="73"/>
  <c r="AZ24" i="73"/>
  <c r="AZ19" i="75"/>
  <c r="AR9" i="69"/>
  <c r="AD9" i="66"/>
  <c r="AB9" i="65"/>
  <c r="AF9" i="73"/>
  <c r="S9" i="68"/>
  <c r="Q9" i="5"/>
  <c r="G9" i="73"/>
  <c r="AZ10" i="63"/>
  <c r="AZ19" i="65"/>
  <c r="AQ9" i="69"/>
  <c r="AR9" i="5"/>
  <c r="AC9" i="66"/>
  <c r="AA9" i="65"/>
  <c r="AE9" i="73"/>
  <c r="AG9" i="5"/>
  <c r="R9" i="68"/>
  <c r="Q9" i="73"/>
  <c r="P9" i="5"/>
  <c r="K9" i="5"/>
  <c r="AZ17" i="65"/>
  <c r="AZ21" i="73"/>
  <c r="Z9" i="73"/>
  <c r="AE9" i="5"/>
  <c r="F9" i="74"/>
  <c r="AZ22" i="64"/>
  <c r="AR9" i="64"/>
  <c r="AD9" i="5"/>
  <c r="K9" i="68"/>
  <c r="AC9" i="5"/>
  <c r="AL9" i="66"/>
  <c r="AR9" i="65"/>
  <c r="AN9" i="73"/>
  <c r="AG9" i="63"/>
  <c r="AB9" i="5"/>
  <c r="Q9" i="69"/>
  <c r="K9" i="69"/>
  <c r="K9" i="71"/>
  <c r="AZ7" i="69"/>
  <c r="AZ8" i="64"/>
  <c r="AZ19" i="71"/>
  <c r="AZ19" i="76"/>
  <c r="AM9" i="73"/>
  <c r="AF9" i="63"/>
  <c r="P9" i="69"/>
  <c r="I9" i="64"/>
  <c r="AZ24" i="66"/>
  <c r="AZ23" i="74"/>
  <c r="AL9" i="73"/>
  <c r="P9" i="74"/>
  <c r="H9" i="64"/>
  <c r="I9" i="69"/>
  <c r="I9" i="71"/>
  <c r="AZ7" i="71"/>
  <c r="AZ17" i="76"/>
  <c r="F9" i="64"/>
  <c r="AZ7" i="73"/>
  <c r="Z9" i="64"/>
  <c r="P9" i="64"/>
  <c r="AQ9" i="67"/>
  <c r="G9" i="75"/>
  <c r="AP9" i="75"/>
  <c r="AO9" i="75"/>
  <c r="K9" i="65"/>
  <c r="K9" i="75"/>
  <c r="AD9" i="63"/>
  <c r="I9" i="72"/>
  <c r="AZ7" i="72"/>
  <c r="AC9" i="63"/>
  <c r="AE9" i="75"/>
  <c r="AZ12" i="76"/>
  <c r="AR9" i="75"/>
  <c r="AB9" i="68"/>
  <c r="H9" i="75"/>
  <c r="AZ19" i="74"/>
  <c r="AC9" i="75"/>
  <c r="Q9" i="70"/>
  <c r="J9" i="66"/>
  <c r="AZ21" i="69"/>
  <c r="AZ17" i="74"/>
  <c r="AL9" i="70"/>
  <c r="AD9" i="68"/>
  <c r="AF9" i="75"/>
  <c r="AZ22" i="74"/>
  <c r="AC9" i="68"/>
  <c r="I9" i="75"/>
  <c r="AZ24" i="69"/>
  <c r="E9" i="72"/>
  <c r="AZ19" i="66"/>
  <c r="Z9" i="71"/>
  <c r="H9" i="76"/>
  <c r="AZ10" i="71"/>
  <c r="S9" i="5"/>
  <c r="J9" i="74"/>
  <c r="AZ20" i="76"/>
  <c r="J9" i="64"/>
  <c r="AZ24" i="74"/>
  <c r="AZ7" i="65"/>
  <c r="AZ13" i="68"/>
  <c r="AG9" i="71"/>
  <c r="G9" i="64"/>
  <c r="AF9" i="71"/>
  <c r="F9" i="72"/>
  <c r="AB9" i="71"/>
  <c r="K9" i="66"/>
  <c r="AB9" i="69"/>
  <c r="AO9" i="67"/>
  <c r="AA9" i="69"/>
  <c r="AZ17" i="67"/>
  <c r="AZ22" i="73"/>
  <c r="AZ18" i="75"/>
  <c r="AP9" i="69"/>
  <c r="Z9" i="67"/>
  <c r="Z9" i="65"/>
  <c r="AA9" i="73"/>
  <c r="AF9" i="5"/>
  <c r="Q9" i="68"/>
  <c r="P9" i="73"/>
  <c r="G9" i="74"/>
  <c r="E9" i="5"/>
  <c r="P9" i="68"/>
  <c r="AZ12" i="67"/>
  <c r="AZ17" i="75"/>
  <c r="AZ9" i="64"/>
  <c r="AZ20" i="71"/>
  <c r="AZ8" i="73"/>
  <c r="AM9" i="66"/>
  <c r="AO9" i="73"/>
  <c r="K9" i="64"/>
  <c r="AZ7" i="66"/>
  <c r="AZ14" i="68"/>
  <c r="Q9" i="74"/>
  <c r="J9" i="69"/>
  <c r="J9" i="71"/>
  <c r="AE9" i="63"/>
  <c r="E9" i="69"/>
  <c r="J9" i="75"/>
  <c r="AZ17" i="71"/>
  <c r="Q9" i="64"/>
  <c r="AZ22" i="66"/>
  <c r="AD9" i="75"/>
  <c r="AQ9" i="75"/>
  <c r="AA9" i="71"/>
  <c r="AZ12" i="71"/>
  <c r="P9" i="76"/>
  <c r="AP9" i="67"/>
  <c r="Z9" i="75"/>
  <c r="AZ10" i="76"/>
  <c r="A1" i="69"/>
  <c r="A1" i="66"/>
  <c r="A1" i="68"/>
  <c r="D9" i="63"/>
  <c r="D9" i="5"/>
  <c r="A1" i="67"/>
  <c r="A1" i="63"/>
  <c r="A1" i="75"/>
  <c r="A1" i="74"/>
  <c r="A1" i="65"/>
  <c r="A1" i="70"/>
  <c r="A1" i="73"/>
  <c r="D8" i="5"/>
  <c r="D8" i="66"/>
  <c r="D8" i="63"/>
  <c r="D8" i="64"/>
  <c r="A1" i="64"/>
  <c r="A1" i="71"/>
  <c r="D8" i="67"/>
  <c r="D9" i="68"/>
  <c r="D8" i="75"/>
  <c r="D8" i="68"/>
  <c r="D9" i="70"/>
  <c r="D8" i="70"/>
  <c r="D9" i="72"/>
  <c r="D9" i="74"/>
  <c r="D8" i="72"/>
  <c r="D9" i="65"/>
  <c r="D9" i="67"/>
  <c r="D8" i="74"/>
  <c r="D9" i="76"/>
  <c r="D8" i="65"/>
  <c r="D9" i="69"/>
  <c r="D8" i="76"/>
  <c r="D9" i="71"/>
  <c r="D8" i="69"/>
  <c r="D9" i="73"/>
  <c r="D8" i="71"/>
  <c r="D9" i="64"/>
  <c r="D8" i="73"/>
  <c r="D9" i="75"/>
  <c r="D9" i="66"/>
  <c r="AD1" i="5"/>
  <c r="AC1" i="5"/>
  <c r="N12" i="14" a="1"/>
  <c r="N12" i="14" s="1"/>
  <c r="N4" i="14" a="1"/>
  <c r="O4" i="14" s="1"/>
  <c r="A1" i="5" l="1"/>
  <c r="Y12" i="14"/>
  <c r="O12" i="14"/>
  <c r="AB12" i="14"/>
  <c r="AA12" i="14"/>
  <c r="Z12" i="14"/>
  <c r="X12" i="14"/>
  <c r="W12" i="14"/>
  <c r="V12" i="14"/>
  <c r="U12" i="14"/>
  <c r="T12" i="14"/>
  <c r="S12" i="14"/>
  <c r="R12" i="14"/>
  <c r="Q12" i="14"/>
  <c r="P12" i="14"/>
  <c r="AB4" i="14"/>
  <c r="Z4" i="14"/>
  <c r="X4" i="14"/>
  <c r="V4" i="14"/>
  <c r="T4" i="14"/>
  <c r="R4" i="14"/>
  <c r="Q4" i="14"/>
  <c r="P4" i="14"/>
  <c r="N4" i="14"/>
  <c r="AA4" i="14"/>
  <c r="Y4" i="14"/>
  <c r="W4" i="14"/>
  <c r="U4" i="14"/>
  <c r="S4"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James Thurlow</author>
  </authors>
  <commentList>
    <comment ref="L4" authorId="0" shapeId="0" xr:uid="{F9C1AB84-BF76-47DB-8CFB-89154383468D}">
      <text>
        <r>
          <rPr>
            <b/>
            <sz val="9"/>
            <color indexed="81"/>
            <rFont val="Tahoma"/>
            <family val="2"/>
          </rPr>
          <t xml:space="preserve">Numeraire:
  </t>
        </r>
        <r>
          <rPr>
            <sz val="9"/>
            <color indexed="81"/>
            <rFont val="Tahoma"/>
            <family val="2"/>
          </rPr>
          <t>1 = CPI is fixed numeraire  (DPI is flexible)
  2 = DPI is fixed numeraire  (CPI is flexible)</t>
        </r>
        <r>
          <rPr>
            <b/>
            <sz val="9"/>
            <color indexed="81"/>
            <rFont val="Tahoma"/>
            <family val="2"/>
          </rPr>
          <t xml:space="preserve">
Savings-investment closures: </t>
        </r>
        <r>
          <rPr>
            <sz val="9"/>
            <color indexed="81"/>
            <rFont val="Tahoma"/>
            <family val="2"/>
          </rPr>
          <t xml:space="preserve">
  1 = Investment-driven savings - uniform MPS adjustment  (identical point change in marginal propensities to save across selected institutions)
  2 = Investment-driven savings - scaled MPS adjustment  (proportional change in marginal propensities to save across selected institutions)
  3 = Investment is savings-driven
  4 = Balanced: Investment is fixed share  of absorption - uniform MPS adjustment  (identical point change in marginal propensity to save)
  5 = Balanced: Investment is fixed share  of absorption - scaled MPS adjustment  (proportional change in marginal propensity to save)
</t>
        </r>
        <r>
          <rPr>
            <b/>
            <sz val="9"/>
            <color indexed="81"/>
            <rFont val="Tahoma"/>
            <family val="2"/>
          </rPr>
          <t xml:space="preserve">Current account closures: </t>
        </r>
        <r>
          <rPr>
            <sz val="9"/>
            <color indexed="81"/>
            <rFont val="Tahoma"/>
            <family val="2"/>
          </rPr>
          <t xml:space="preserve">
  1 = Exchange rate EXR is flexible  (foreign savings are fixed) 
  2 = Foreign savings FSAV are flexible  (exchange rate is fixed)
  3 = Foreign exchange rationing with PR flexible (exchange rate and foreign savings are both fixed)
</t>
        </r>
        <r>
          <rPr>
            <b/>
            <sz val="9"/>
            <color indexed="81"/>
            <rFont val="Tahoma"/>
            <family val="2"/>
          </rPr>
          <t xml:space="preserve">Government account closures: </t>
        </r>
        <r>
          <rPr>
            <sz val="9"/>
            <color indexed="81"/>
            <rFont val="Tahoma"/>
            <family val="2"/>
          </rPr>
          <t xml:space="preserve">
  1 = Government savings GSAV are flexible  (all direct and indirect tax rates is fixed)
  2 = Government savings are fixed - uniform TINS adjustment  (identical point change in direct tax rate for selected institutions)
  3 = Government savings are fixed - scaled TINS adjustment  (proportional change in direct tax rate for selected institutions)
  4 = Government savings are fixed - uniform TQ adjustment  (identical point change in sales tax rate)
  5 = Government savings are fixed - scaled TQ adjustment  (proportional change in sales tax rate)
  6 = Government savings are fixed - uniform TA adjustment  (identical point change in activity tax rate)
  7 = Government savings are fixed - scaled TA adjustment  (proportional change in activity tax rate)
  8 = Government savings are fixed - uniform TM adjustment  (identical point change in import tariff rate)
  9 = Government savings are fixed - scaled TM adjustment  (proportional change in import tariff rate)
10 = Government savings are fixed - uniform TE adjustment  (identical point change in export tax rate)
11 = Government savings are fixed - scaled TE adjustment  (proportional change in export tax rate)
12 = Government savings are fixed - uniform TVA adjustment  (identical point change in activity value-added tax rate)
13 = Government savings are fixed - scaled TVA adjustment  (proportional change in activity value-added tax rate)
14 = Government savings are fixed - uniform TF adjustment  (identical point change in factor tax rate for selected factors)
15 = Government savings are fixed - scaled TF adjustment  (proportional change in factor tax rate for selected factors)
</t>
        </r>
      </text>
    </comment>
    <comment ref="L12" authorId="0" shapeId="0" xr:uid="{BCC6C75F-D96D-4DAE-AD21-6717EC368239}">
      <text>
        <r>
          <rPr>
            <b/>
            <sz val="9"/>
            <color indexed="81"/>
            <rFont val="Tahoma"/>
            <family val="2"/>
          </rPr>
          <t>Factor closures:</t>
        </r>
        <r>
          <rPr>
            <sz val="9"/>
            <color indexed="81"/>
            <rFont val="Tahoma"/>
            <family val="2"/>
          </rPr>
          <t xml:space="preserve">
1 = Fully employed and mobile
2 = Fully employed and activity-specific
3 = Unemployed and mobile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06D94464-B206-43FB-A258-619DC6BDA4E1}">
      <text>
        <r>
          <rPr>
            <b/>
            <sz val="9"/>
            <color indexed="81"/>
            <rFont val="Tahoma"/>
            <family val="2"/>
          </rPr>
          <t>alphava</t>
        </r>
        <r>
          <rPr>
            <sz val="9"/>
            <color indexed="81"/>
            <rFont val="Tahoma"/>
            <family val="2"/>
          </rPr>
          <t xml:space="preserve">
Total factor productivity.
</t>
        </r>
      </text>
    </comment>
    <comment ref="D5" authorId="0" shapeId="0" xr:uid="{CB6D9215-AAD6-466D-860A-273E6BB4FEB3}">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73A47783-B212-417A-9B3C-38C5F34B0666}">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F2372541-40F8-4878-9CA4-CE9CB7E7DFB3}">
      <text>
        <r>
          <rPr>
            <b/>
            <sz val="9"/>
            <color indexed="81"/>
            <rFont val="Tahoma"/>
            <family val="2"/>
          </rPr>
          <t>TE</t>
        </r>
        <r>
          <rPr>
            <sz val="9"/>
            <color indexed="81"/>
            <rFont val="Tahoma"/>
            <family val="2"/>
          </rPr>
          <t xml:space="preserve">
Export tax rates</t>
        </r>
      </text>
    </comment>
    <comment ref="G5" authorId="0" shapeId="0" xr:uid="{2047DA78-08D4-48D5-AF4B-4F71F2908EF0}">
      <text>
        <r>
          <rPr>
            <b/>
            <sz val="9"/>
            <color indexed="81"/>
            <rFont val="Tahoma"/>
            <family val="2"/>
          </rPr>
          <t>TM</t>
        </r>
        <r>
          <rPr>
            <sz val="9"/>
            <color indexed="81"/>
            <rFont val="Tahoma"/>
            <family val="2"/>
          </rPr>
          <t xml:space="preserve">
Import tariff rates</t>
        </r>
      </text>
    </comment>
    <comment ref="H5" authorId="0" shapeId="0" xr:uid="{5290600C-5A6C-4E5D-9DA8-6E8860C5C201}">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D2BDC4F1-36F5-4BE8-9F75-CD68C34CBE2A}">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CAA14377-288D-4567-8CCE-DD96C0CB1988}">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89C51764-7018-4C2D-ABF8-7CCD8627951E}">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BBFD7731-9906-48F1-B6CF-CDD4DE88A7BC}">
      <text>
        <r>
          <rPr>
            <b/>
            <sz val="9"/>
            <color indexed="81"/>
            <rFont val="Tahoma"/>
            <family val="2"/>
          </rPr>
          <t xml:space="preserve">Commodity tax adjustment:
  </t>
        </r>
        <r>
          <rPr>
            <sz val="9"/>
            <color indexed="81"/>
            <rFont val="Tahoma"/>
            <family val="2"/>
          </rPr>
          <t xml:space="preserve">1 = Allow commodity tax to adjust.
  0 = Do not allow commodity tax to adjust.
  Note: Same rule applied to TE, TM, and TQ.
</t>
        </r>
      </text>
    </comment>
    <comment ref="Q5" authorId="0" shapeId="0" xr:uid="{15538E59-CCF4-453A-9BA3-B5F8E7CE307C}">
      <text>
        <r>
          <rPr>
            <b/>
            <sz val="9"/>
            <color indexed="81"/>
            <rFont val="Tahoma"/>
            <family val="2"/>
          </rPr>
          <t>TA</t>
        </r>
        <r>
          <rPr>
            <sz val="9"/>
            <color indexed="81"/>
            <rFont val="Tahoma"/>
            <family val="2"/>
          </rPr>
          <t xml:space="preserve">
Indirect taxes on total activity production value.</t>
        </r>
      </text>
    </comment>
    <comment ref="R5" authorId="0" shapeId="0" xr:uid="{3D34F6FB-C878-4FE6-B840-BDFCA2C02972}">
      <text>
        <r>
          <rPr>
            <b/>
            <sz val="9"/>
            <color indexed="81"/>
            <rFont val="Tahoma"/>
            <family val="2"/>
          </rPr>
          <t xml:space="preserve">TVA </t>
        </r>
        <r>
          <rPr>
            <sz val="9"/>
            <color indexed="81"/>
            <rFont val="Tahoma"/>
            <family val="2"/>
          </rPr>
          <t xml:space="preserve">
Indirect taxes on activity value-added.</t>
        </r>
      </text>
    </comment>
    <comment ref="S5" authorId="0" shapeId="0" xr:uid="{64DD9A36-1F7D-41FF-A185-6A02DE3EE98C}">
      <text>
        <r>
          <rPr>
            <b/>
            <sz val="9"/>
            <color indexed="81"/>
            <rFont val="Tahoma"/>
            <family val="2"/>
          </rPr>
          <t xml:space="preserve">Capital mobility assumption: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D23DE6DE-F1E2-4D82-B0EF-96C91DCE291B}">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EF6D87F5-B972-4F02-B73A-8C4510ED110F}">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057CF383-F087-45AE-A619-B92FA1B3B3FE}">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63070549-7C23-4B63-B914-1E84BA645013}">
      <text>
        <r>
          <rPr>
            <b/>
            <sz val="9"/>
            <color indexed="81"/>
            <rFont val="Tahoma"/>
            <family val="2"/>
          </rPr>
          <t>WF</t>
        </r>
        <r>
          <rPr>
            <sz val="9"/>
            <color indexed="81"/>
            <rFont val="Tahoma"/>
            <family val="2"/>
          </rPr>
          <t xml:space="preserve">
Economywide wage rate.</t>
        </r>
      </text>
    </comment>
    <comment ref="AA5" authorId="0" shapeId="0" xr:uid="{600237E2-AEE4-4C7E-BC72-9BD5BB133B77}">
      <text>
        <r>
          <rPr>
            <b/>
            <sz val="9"/>
            <color indexed="81"/>
            <rFont val="Tahoma"/>
            <family val="2"/>
          </rPr>
          <t xml:space="preserve">QFS
</t>
        </r>
        <r>
          <rPr>
            <sz val="9"/>
            <color indexed="81"/>
            <rFont val="Tahoma"/>
            <family val="2"/>
          </rPr>
          <t>Total factor supply quantity.</t>
        </r>
      </text>
    </comment>
    <comment ref="AB5" authorId="0" shapeId="0" xr:uid="{9A1B9354-574E-4F08-9A2F-44EB00778AEA}">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4AD5DD81-D263-49DB-9717-082C454AD28D}">
      <text>
        <r>
          <rPr>
            <b/>
            <sz val="9"/>
            <color indexed="81"/>
            <rFont val="Tahoma"/>
            <family val="2"/>
          </rPr>
          <t>TF</t>
        </r>
        <r>
          <rPr>
            <sz val="9"/>
            <color indexed="81"/>
            <rFont val="Tahoma"/>
            <family val="2"/>
          </rPr>
          <t xml:space="preserve">
Direct tax on total factor earnings.</t>
        </r>
      </text>
    </comment>
    <comment ref="AD5" authorId="0" shapeId="0" xr:uid="{5D5BD6A7-E787-4616-9CC3-D6FEEE51D9FF}">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4BF28B28-4B71-4C0A-BDF4-A6F2A64E4F36}">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B105A4B7-3541-425F-AEEB-2074A55F61A7}">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EC79446A-52E5-4C94-83CE-48B83F14741B}">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37B6B715-874F-4A4E-AA49-32C7CC3C23F6}">
      <text>
        <r>
          <rPr>
            <b/>
            <sz val="9"/>
            <color indexed="81"/>
            <rFont val="Tahoma"/>
            <family val="2"/>
          </rPr>
          <t xml:space="preserve">Factor tax adjustment:
  </t>
        </r>
        <r>
          <rPr>
            <sz val="9"/>
            <color indexed="81"/>
            <rFont val="Tahoma"/>
            <family val="2"/>
          </rPr>
          <t>1 = Allow factor tax to adjust.
  2 = Do not allow factor tax to adjust.</t>
        </r>
      </text>
    </comment>
    <comment ref="AL5" authorId="0" shapeId="0" xr:uid="{F912CEB4-56E3-48D9-98E0-D4858A2F96A2}">
      <text>
        <r>
          <rPr>
            <b/>
            <sz val="9"/>
            <color indexed="81"/>
            <rFont val="Tahoma"/>
            <family val="2"/>
          </rPr>
          <t xml:space="preserve">HPOP
</t>
        </r>
        <r>
          <rPr>
            <sz val="9"/>
            <color indexed="81"/>
            <rFont val="Tahoma"/>
            <family val="2"/>
          </rPr>
          <t>Household population.</t>
        </r>
      </text>
    </comment>
    <comment ref="AM5" authorId="0" shapeId="0" xr:uid="{348BE2B1-DE6A-4FF5-A8F2-E180D43B1194}">
      <text>
        <r>
          <rPr>
            <b/>
            <sz val="9"/>
            <color indexed="81"/>
            <rFont val="Tahoma"/>
            <family val="2"/>
          </rPr>
          <t xml:space="preserve">MPS
</t>
        </r>
        <r>
          <rPr>
            <sz val="9"/>
            <color indexed="81"/>
            <rFont val="Tahoma"/>
            <family val="2"/>
          </rPr>
          <t>Marginal propensity to save (households and enterprises).</t>
        </r>
      </text>
    </comment>
    <comment ref="AN5" authorId="0" shapeId="0" xr:uid="{B77C2939-994B-49BF-94CC-17403B028928}">
      <text>
        <r>
          <rPr>
            <b/>
            <sz val="9"/>
            <color indexed="81"/>
            <rFont val="Tahoma"/>
            <family val="2"/>
          </rPr>
          <t xml:space="preserve">TINS
</t>
        </r>
        <r>
          <rPr>
            <sz val="9"/>
            <color indexed="81"/>
            <rFont val="Tahoma"/>
            <family val="2"/>
          </rPr>
          <t>Institution direct tax rate (households and enterprises).</t>
        </r>
      </text>
    </comment>
    <comment ref="AO5" authorId="0" shapeId="0" xr:uid="{DAF782D5-07AE-4948-90F5-FC4B6B131003}">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D9AF1D82-E065-4B98-AC85-185062B8A8D8}">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44C8573F-3CBC-4ED4-A0B5-332F07FDF646}">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39FDA1F6-CBE1-4718-8236-35BC350988A6}">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A03DBA0D-AEE5-4861-B868-B8539CFD8D44}">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D252441F-C754-4C5A-8DB5-FE75B128246E}">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6" authorId="0" shapeId="0" xr:uid="{4CD31067-E70B-4583-B1BA-6A6504D9CEA5}">
      <text>
        <r>
          <rPr>
            <b/>
            <sz val="9"/>
            <color indexed="81"/>
            <rFont val="Tahoma"/>
            <family val="2"/>
          </rPr>
          <t xml:space="preserve">EXR
</t>
        </r>
        <r>
          <rPr>
            <sz val="9"/>
            <color indexed="81"/>
            <rFont val="Tahoma"/>
            <family val="2"/>
          </rPr>
          <t>Exchange rate.</t>
        </r>
      </text>
    </comment>
    <comment ref="AW7" authorId="0" shapeId="0" xr:uid="{2EB194F2-8D82-413A-8EB7-BA1000775DDC}">
      <text>
        <r>
          <rPr>
            <b/>
            <sz val="9"/>
            <color indexed="81"/>
            <rFont val="Tahoma"/>
            <family val="2"/>
          </rPr>
          <t xml:space="preserve">FSAV
</t>
        </r>
        <r>
          <rPr>
            <sz val="9"/>
            <color indexed="81"/>
            <rFont val="Tahoma"/>
            <family val="2"/>
          </rPr>
          <t>Foreign savings.</t>
        </r>
      </text>
    </comment>
    <comment ref="AW8" authorId="0" shapeId="0" xr:uid="{B7EB5A1E-B52D-4782-8CCA-E041C171D898}">
      <text>
        <r>
          <rPr>
            <b/>
            <sz val="9"/>
            <color indexed="81"/>
            <rFont val="Tahoma"/>
            <family val="2"/>
          </rPr>
          <t xml:space="preserve">IADJ
</t>
        </r>
        <r>
          <rPr>
            <sz val="9"/>
            <color indexed="81"/>
            <rFont val="Tahoma"/>
            <family val="2"/>
          </rPr>
          <t xml:space="preserve">Gross fixed capital formation.
</t>
        </r>
      </text>
    </comment>
    <comment ref="AW9" authorId="0" shapeId="0" xr:uid="{7DA10448-76BF-40B1-BACD-2F7AFE43DC09}">
      <text>
        <r>
          <rPr>
            <b/>
            <sz val="9"/>
            <color indexed="81"/>
            <rFont val="Tahoma"/>
            <family val="2"/>
          </rPr>
          <t xml:space="preserve">INVSHR
</t>
        </r>
        <r>
          <rPr>
            <sz val="9"/>
            <color indexed="81"/>
            <rFont val="Tahoma"/>
            <family val="2"/>
          </rPr>
          <t xml:space="preserve">Investment demand as a share of nominal absorption.
</t>
        </r>
      </text>
    </comment>
    <comment ref="AW10" authorId="0" shapeId="0" xr:uid="{C9A6EA9A-3646-479D-B20B-8D5A5272032B}">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1" authorId="0" shapeId="0" xr:uid="{AEE2D083-3C2C-4ED9-9E46-DEDFB48A840A}">
      <text>
        <r>
          <rPr>
            <b/>
            <sz val="9"/>
            <color indexed="81"/>
            <rFont val="Tahoma"/>
            <family val="2"/>
          </rPr>
          <t xml:space="preserve">GSAV
</t>
        </r>
        <r>
          <rPr>
            <sz val="9"/>
            <color indexed="81"/>
            <rFont val="Tahoma"/>
            <family val="2"/>
          </rPr>
          <t xml:space="preserve">Government savings (recurrent surplus or deficit).
</t>
        </r>
      </text>
    </comment>
    <comment ref="AW12" authorId="0" shapeId="0" xr:uid="{0AC2BA00-B808-41A4-837F-97634458A41C}">
      <text>
        <r>
          <rPr>
            <b/>
            <sz val="9"/>
            <color indexed="81"/>
            <rFont val="Tahoma"/>
            <family val="2"/>
          </rPr>
          <t xml:space="preserve">GADJ
</t>
        </r>
        <r>
          <rPr>
            <sz val="9"/>
            <color indexed="81"/>
            <rFont val="Tahoma"/>
            <family val="2"/>
          </rPr>
          <t>Government consumption spending.</t>
        </r>
      </text>
    </comment>
    <comment ref="AW13" authorId="0" shapeId="0" xr:uid="{6A6C71B5-03E1-49BB-AD5B-FDDAF529DCC6}">
      <text>
        <r>
          <rPr>
            <b/>
            <sz val="9"/>
            <color indexed="81"/>
            <rFont val="Tahoma"/>
            <family val="2"/>
          </rPr>
          <t xml:space="preserve">GOVSHR
</t>
        </r>
        <r>
          <rPr>
            <sz val="9"/>
            <color indexed="81"/>
            <rFont val="Tahoma"/>
            <family val="2"/>
          </rPr>
          <t xml:space="preserve">Government consumption as a share of nominal absorption.
</t>
        </r>
      </text>
    </comment>
    <comment ref="AW14" authorId="1" shapeId="0" xr:uid="{92C8A643-F74C-4C60-A942-F1ECC88EF0C7}">
      <text>
        <r>
          <rPr>
            <b/>
            <sz val="9"/>
            <color indexed="81"/>
            <rFont val="Tahoma"/>
            <family val="2"/>
          </rPr>
          <t xml:space="preserve">trnsi
</t>
        </r>
        <r>
          <rPr>
            <sz val="9"/>
            <color indexed="81"/>
            <rFont val="Tahoma"/>
            <family val="2"/>
          </rPr>
          <t xml:space="preserve">Government transfers to the rest of the world </t>
        </r>
      </text>
    </comment>
    <comment ref="AW15" authorId="1" shapeId="0" xr:uid="{DF452A02-D02A-438D-A8EB-18AF0F85C44D}">
      <text>
        <r>
          <rPr>
            <b/>
            <sz val="9"/>
            <color indexed="81"/>
            <rFont val="Tahoma"/>
            <family val="2"/>
          </rPr>
          <t xml:space="preserve">trnsi
</t>
        </r>
        <r>
          <rPr>
            <sz val="9"/>
            <color indexed="81"/>
            <rFont val="Tahoma"/>
            <family val="2"/>
          </rPr>
          <t>Rest of the world transfers to government</t>
        </r>
      </text>
    </comment>
    <comment ref="AW16" authorId="0" shapeId="0" xr:uid="{77BCB964-7759-4A7B-9040-DAEDF876627E}">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7" authorId="0" shapeId="0" xr:uid="{30CCF615-CE61-4018-A4BE-0D2632890D00}">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8" authorId="0" shapeId="0" xr:uid="{5EFDD378-027F-40A3-9F99-FAADADD7E989}">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19" authorId="0" shapeId="0" xr:uid="{870122D5-B7F2-432F-9689-03F4ADF67E5E}">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0" authorId="0" shapeId="0" xr:uid="{4A60562E-D36B-44A8-8956-5C26E737653A}">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1" authorId="0" shapeId="0" xr:uid="{1EE1FA01-584B-4025-9652-A6251686932E}">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2" authorId="0" shapeId="0" xr:uid="{CAAF8F32-99B4-4AA9-818A-0CAB8F698449}">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 ref="AW23" authorId="0" shapeId="0" xr:uid="{5C5BAFD8-FBCB-426C-AF45-4A9686DC0C45}">
      <text>
        <r>
          <rPr>
            <b/>
            <sz val="9"/>
            <color indexed="81"/>
            <rFont val="Tahoma"/>
            <family val="2"/>
          </rPr>
          <t xml:space="preserve">DRATE
</t>
        </r>
        <r>
          <rPr>
            <sz val="9"/>
            <color indexed="81"/>
            <rFont val="Tahoma"/>
            <family val="2"/>
          </rPr>
          <t>Annual depreciation rate for capital stocks across all sectors.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F2A5242B-7207-4C47-99E1-2ACB1620A11B}">
      <text>
        <r>
          <rPr>
            <b/>
            <sz val="9"/>
            <color indexed="81"/>
            <rFont val="Tahoma"/>
            <family val="2"/>
          </rPr>
          <t>alphava</t>
        </r>
        <r>
          <rPr>
            <sz val="9"/>
            <color indexed="81"/>
            <rFont val="Tahoma"/>
            <family val="2"/>
          </rPr>
          <t xml:space="preserve">
Total factor productivity.
</t>
        </r>
      </text>
    </comment>
    <comment ref="AY4" authorId="0" shapeId="0" xr:uid="{C7E5DC4D-47B1-41C4-99B3-BBDA835614B6}">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Z4" authorId="0" shapeId="0" xr:uid="{BEFE9813-B3DA-4E94-B073-DF02C6F8BED0}">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BA4" authorId="0" shapeId="0" xr:uid="{0612B024-E369-4209-9D31-A1DBC7345322}">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BB4" authorId="0" shapeId="0" xr:uid="{34AB6516-8DA4-445B-8DB1-C570AB1ED434}">
      <text>
        <r>
          <rPr>
            <b/>
            <sz val="9"/>
            <color indexed="81"/>
            <rFont val="Tahoma"/>
            <family val="2"/>
          </rPr>
          <t>Type of shock</t>
        </r>
        <r>
          <rPr>
            <sz val="9"/>
            <color indexed="81"/>
            <rFont val="Tahoma"/>
            <family val="2"/>
          </rPr>
          <t xml:space="preserve">
  1 = multiplicative
  2 = additive</t>
        </r>
      </text>
    </comment>
    <comment ref="D5" authorId="0" shapeId="0" xr:uid="{92236FC8-1171-4BA7-8979-74587B33658F}">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3F91610C-84D1-4DA6-B27B-2D6771A718FB}">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278F0EBC-6A04-4012-884B-85F3D3FEDA5A}">
      <text>
        <r>
          <rPr>
            <b/>
            <sz val="9"/>
            <color indexed="81"/>
            <rFont val="Tahoma"/>
            <family val="2"/>
          </rPr>
          <t>TE</t>
        </r>
        <r>
          <rPr>
            <sz val="9"/>
            <color indexed="81"/>
            <rFont val="Tahoma"/>
            <family val="2"/>
          </rPr>
          <t xml:space="preserve">
Export tax rates</t>
        </r>
      </text>
    </comment>
    <comment ref="G5" authorId="0" shapeId="0" xr:uid="{CE0F22B1-C202-4224-BD67-B42F141F5B95}">
      <text>
        <r>
          <rPr>
            <b/>
            <sz val="9"/>
            <color indexed="81"/>
            <rFont val="Tahoma"/>
            <family val="2"/>
          </rPr>
          <t>TM</t>
        </r>
        <r>
          <rPr>
            <sz val="9"/>
            <color indexed="81"/>
            <rFont val="Tahoma"/>
            <family val="2"/>
          </rPr>
          <t xml:space="preserve">
Import tariff rates</t>
        </r>
      </text>
    </comment>
    <comment ref="H5" authorId="0" shapeId="0" xr:uid="{07325EA6-00A6-4DAF-9CF3-4F9E162A2AFA}">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76AA84AE-57DD-42E3-B615-EC76D4236155}">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DE4C8236-F896-4253-94D1-B6EFFB43D945}">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F281A89C-FC43-44D2-A7F9-8D88293FE69A}">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AB509A31-9387-4ECC-A5C2-97D50FE37E92}">
      <text>
        <r>
          <rPr>
            <b/>
            <sz val="9"/>
            <color indexed="81"/>
            <rFont val="Tahoma"/>
            <family val="2"/>
          </rPr>
          <t xml:space="preserve">Commodity tax adjustment:
  </t>
        </r>
        <r>
          <rPr>
            <sz val="9"/>
            <color indexed="81"/>
            <rFont val="Tahoma"/>
            <family val="2"/>
          </rPr>
          <t xml:space="preserve">1 = Allow commodity tax to adjust.
  2 = Do not allow commodity tax to adjust.
  Note: Same rule applied to TE, TM, and TQ.
</t>
        </r>
      </text>
    </comment>
    <comment ref="Q5" authorId="0" shapeId="0" xr:uid="{64F01536-8DD3-45C9-9EBD-AB214C2CCFC5}">
      <text>
        <r>
          <rPr>
            <b/>
            <sz val="9"/>
            <color indexed="81"/>
            <rFont val="Tahoma"/>
            <family val="2"/>
          </rPr>
          <t>TA</t>
        </r>
        <r>
          <rPr>
            <sz val="9"/>
            <color indexed="81"/>
            <rFont val="Tahoma"/>
            <family val="2"/>
          </rPr>
          <t xml:space="preserve">
Indirect taxes on total activity production value.</t>
        </r>
      </text>
    </comment>
    <comment ref="R5" authorId="0" shapeId="0" xr:uid="{B7901F8E-F713-45ED-873B-0BE3C376C7A1}">
      <text>
        <r>
          <rPr>
            <b/>
            <sz val="9"/>
            <color indexed="81"/>
            <rFont val="Tahoma"/>
            <family val="2"/>
          </rPr>
          <t xml:space="preserve">TVA </t>
        </r>
        <r>
          <rPr>
            <sz val="9"/>
            <color indexed="81"/>
            <rFont val="Tahoma"/>
            <family val="2"/>
          </rPr>
          <t xml:space="preserve">
Indirect taxes on activity value-added.</t>
        </r>
      </text>
    </comment>
    <comment ref="S5" authorId="0" shapeId="0" xr:uid="{24CEEA98-1DCF-4EF7-8973-0D7404C741A9}">
      <text>
        <r>
          <rPr>
            <b/>
            <sz val="9"/>
            <color indexed="81"/>
            <rFont val="Tahoma"/>
            <family val="2"/>
          </rPr>
          <t xml:space="preserve">Capital mobility assumption: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AB8F3009-2F2F-4794-A525-AEA35A86E203}">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2492A5FC-8BF7-467C-859C-0DEFA5AA25C8}">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3FB029FC-2252-4DE0-8463-EDD0740445C1}">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E012675B-BCF7-45DA-A253-2F8910370305}">
      <text>
        <r>
          <rPr>
            <b/>
            <sz val="9"/>
            <color indexed="81"/>
            <rFont val="Tahoma"/>
            <family val="2"/>
          </rPr>
          <t>WF</t>
        </r>
        <r>
          <rPr>
            <sz val="9"/>
            <color indexed="81"/>
            <rFont val="Tahoma"/>
            <family val="2"/>
          </rPr>
          <t xml:space="preserve">
Economywide wage rate.</t>
        </r>
      </text>
    </comment>
    <comment ref="AA5" authorId="0" shapeId="0" xr:uid="{AF64D9EC-196C-407B-AE8F-A485C6ED32FF}">
      <text>
        <r>
          <rPr>
            <b/>
            <sz val="9"/>
            <color indexed="81"/>
            <rFont val="Tahoma"/>
            <family val="2"/>
          </rPr>
          <t xml:space="preserve">QFS
</t>
        </r>
        <r>
          <rPr>
            <sz val="9"/>
            <color indexed="81"/>
            <rFont val="Tahoma"/>
            <family val="2"/>
          </rPr>
          <t>Total factor supply quantity.</t>
        </r>
      </text>
    </comment>
    <comment ref="AB5" authorId="0" shapeId="0" xr:uid="{EF46A88A-4F44-475C-8028-F6E60A3886E4}">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B9C4F38B-D8E2-49C7-9425-0ABC1975AA78}">
      <text>
        <r>
          <rPr>
            <b/>
            <sz val="9"/>
            <color indexed="81"/>
            <rFont val="Tahoma"/>
            <family val="2"/>
          </rPr>
          <t>TF</t>
        </r>
        <r>
          <rPr>
            <sz val="9"/>
            <color indexed="81"/>
            <rFont val="Tahoma"/>
            <family val="2"/>
          </rPr>
          <t xml:space="preserve">
Direct tax on total factor earnings.</t>
        </r>
      </text>
    </comment>
    <comment ref="AD5" authorId="0" shapeId="0" xr:uid="{BCEC0849-E97F-4C5A-A967-185CB0CAEFE3}">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B857AB7F-76C4-4D26-94DD-50B04FFFEE35}">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495FB313-CF7F-4C31-BF02-561AD71D868E}">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BD3E53E1-BFF6-42F6-A009-5F638F33ED0E}">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58DFFFAF-8DD1-4834-ADCF-50FCE2BD7011}">
      <text>
        <r>
          <rPr>
            <b/>
            <sz val="9"/>
            <color indexed="81"/>
            <rFont val="Tahoma"/>
            <family val="2"/>
          </rPr>
          <t xml:space="preserve">Factor tax adjustment:
  </t>
        </r>
        <r>
          <rPr>
            <sz val="9"/>
            <color indexed="81"/>
            <rFont val="Tahoma"/>
            <family val="2"/>
          </rPr>
          <t>1 = Allow factor tax to adjust.
  2 = Do not allow factor tax to adjust.</t>
        </r>
      </text>
    </comment>
    <comment ref="AL5" authorId="0" shapeId="0" xr:uid="{2F6C04BD-33AC-424E-A900-3AB9C3FFA2A2}">
      <text>
        <r>
          <rPr>
            <b/>
            <sz val="9"/>
            <color indexed="81"/>
            <rFont val="Tahoma"/>
            <family val="2"/>
          </rPr>
          <t xml:space="preserve">HPOP
</t>
        </r>
        <r>
          <rPr>
            <sz val="9"/>
            <color indexed="81"/>
            <rFont val="Tahoma"/>
            <family val="2"/>
          </rPr>
          <t>Household population.</t>
        </r>
      </text>
    </comment>
    <comment ref="AM5" authorId="0" shapeId="0" xr:uid="{E0478098-6894-47FD-BFC3-E0E43117FEB3}">
      <text>
        <r>
          <rPr>
            <b/>
            <sz val="9"/>
            <color indexed="81"/>
            <rFont val="Tahoma"/>
            <family val="2"/>
          </rPr>
          <t xml:space="preserve">MPS
</t>
        </r>
        <r>
          <rPr>
            <sz val="9"/>
            <color indexed="81"/>
            <rFont val="Tahoma"/>
            <family val="2"/>
          </rPr>
          <t>Marginal propensity to save (households and enterprises).</t>
        </r>
      </text>
    </comment>
    <comment ref="AN5" authorId="0" shapeId="0" xr:uid="{BD919CD9-6C3A-41AC-A8D5-76D5023650A2}">
      <text>
        <r>
          <rPr>
            <b/>
            <sz val="9"/>
            <color indexed="81"/>
            <rFont val="Tahoma"/>
            <family val="2"/>
          </rPr>
          <t xml:space="preserve">TINS
</t>
        </r>
        <r>
          <rPr>
            <sz val="9"/>
            <color indexed="81"/>
            <rFont val="Tahoma"/>
            <family val="2"/>
          </rPr>
          <t>Institution direct tax rate (households and enterprises).</t>
        </r>
      </text>
    </comment>
    <comment ref="AO5" authorId="0" shapeId="0" xr:uid="{BBCD4F06-0CB6-4A9A-8D57-8E6C147B9BCE}">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CA256D3E-2E0D-4144-B678-6F3179F36F34}">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E90FBBA7-E150-4477-BB86-B05DB4D351BD}">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E1200036-F65F-445A-87DA-AE8FAF21A747}">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24387112-6CBF-4F70-A65A-7E61B75F974B}">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2B931101-A56C-42E1-A592-A10EF7480894}">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E91E2165-91F1-4EB2-907E-400C347141B6}">
      <text>
        <r>
          <rPr>
            <b/>
            <sz val="9"/>
            <color indexed="81"/>
            <rFont val="Tahoma"/>
            <family val="2"/>
          </rPr>
          <t xml:space="preserve">EXR
</t>
        </r>
        <r>
          <rPr>
            <sz val="9"/>
            <color indexed="81"/>
            <rFont val="Tahoma"/>
            <family val="2"/>
          </rPr>
          <t>Exchange rate.</t>
        </r>
      </text>
    </comment>
    <comment ref="C8" authorId="0" shapeId="0" xr:uid="{3AF8198A-88BF-43F1-BEAD-E59EFE380544}">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O8" authorId="0" shapeId="0" xr:uid="{95331CDB-3DD5-4237-A4D4-BAC542A50C21}">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Y8" authorId="0" shapeId="0" xr:uid="{F3E7B9CF-2990-4355-B428-BB62BBF9DF67}">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K8" authorId="0" shapeId="0" xr:uid="{19B93600-134C-487E-B9DA-DA75A841DA91}">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W8" authorId="0" shapeId="0" xr:uid="{052B4F8C-B06D-4C91-93C0-A12BB4573AAA}">
      <text>
        <r>
          <rPr>
            <b/>
            <sz val="9"/>
            <color indexed="81"/>
            <rFont val="Tahoma"/>
            <family val="2"/>
          </rPr>
          <t xml:space="preserve">FSAV
</t>
        </r>
        <r>
          <rPr>
            <sz val="9"/>
            <color indexed="81"/>
            <rFont val="Tahoma"/>
            <family val="2"/>
          </rPr>
          <t>Foreign savings.</t>
        </r>
      </text>
    </comment>
    <comment ref="C9" authorId="0" shapeId="0" xr:uid="{19AE7ABD-6EEC-440A-9EEE-C2FA12B8F3B9}">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O9" authorId="0" shapeId="0" xr:uid="{B36DFE95-740A-4692-84D3-5C79C53035D3}">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Y9" authorId="0" shapeId="0" xr:uid="{1CEF3E49-4A6C-43DF-9AF4-6250BBAF8791}">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K9" authorId="0" shapeId="0" xr:uid="{F995FF98-4DBC-44B0-86CB-9F9379A2A047}">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W9" authorId="0" shapeId="0" xr:uid="{33F517FE-28E8-4207-9507-ED9BD53CE524}">
      <text>
        <r>
          <rPr>
            <b/>
            <sz val="9"/>
            <color indexed="81"/>
            <rFont val="Tahoma"/>
            <family val="2"/>
          </rPr>
          <t xml:space="preserve">IADJ
</t>
        </r>
        <r>
          <rPr>
            <sz val="9"/>
            <color indexed="81"/>
            <rFont val="Tahoma"/>
            <family val="2"/>
          </rPr>
          <t xml:space="preserve">Gross fixed capital formation.
</t>
        </r>
      </text>
    </comment>
    <comment ref="AW10" authorId="0" shapeId="0" xr:uid="{B4C2EF82-7EE1-48B6-B316-FA003D2F391E}">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6320F678-1835-4991-9FEE-EFDD134CFDE0}">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B646C6E6-8055-466F-AB48-DE52E14092B2}">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402D237C-FC83-467E-81A5-695D2DD3E834}">
      <text>
        <r>
          <rPr>
            <b/>
            <sz val="9"/>
            <color indexed="81"/>
            <rFont val="Tahoma"/>
            <family val="2"/>
          </rPr>
          <t xml:space="preserve">GADJ
</t>
        </r>
        <r>
          <rPr>
            <sz val="9"/>
            <color indexed="81"/>
            <rFont val="Tahoma"/>
            <family val="2"/>
          </rPr>
          <t>Government consumption spending.</t>
        </r>
      </text>
    </comment>
    <comment ref="AW14" authorId="0" shapeId="0" xr:uid="{C62B0ABE-1F4B-49E7-B566-BB5611D704ED}">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93F222A6-2D59-4351-888D-55420C78F152}">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54786E84-EF30-4074-9871-178D2E5304E3}">
      <text>
        <r>
          <rPr>
            <b/>
            <sz val="9"/>
            <color indexed="81"/>
            <rFont val="Tahoma"/>
            <family val="2"/>
          </rPr>
          <t xml:space="preserve">trnsi
</t>
        </r>
        <r>
          <rPr>
            <sz val="9"/>
            <color indexed="81"/>
            <rFont val="Tahoma"/>
            <family val="2"/>
          </rPr>
          <t>Rest of the world transfers to government</t>
        </r>
      </text>
    </comment>
    <comment ref="AW17" authorId="0" shapeId="0" xr:uid="{1516E3ED-07BF-4860-AF34-739746E77D14}">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3B0037B0-3AAF-455D-988A-2F060A5D3AF4}">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963D3666-B020-401A-A058-0340C68C00DE}">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B630FE56-37A0-41A8-891F-F1DAA0BF96F0}">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83E957BC-91CB-4D31-A6B2-F871C602FED8}">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E02A3F79-BC61-4C0A-8227-355EB6391B65}">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D18C0D1B-01AD-4464-8567-F3203DCD06D4}">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 ref="AW24" authorId="0" shapeId="0" xr:uid="{0E78C03E-1FA5-4434-8CB4-E3E9B21914AA}">
      <text>
        <r>
          <rPr>
            <b/>
            <sz val="9"/>
            <color indexed="81"/>
            <rFont val="Tahoma"/>
            <family val="2"/>
          </rPr>
          <t xml:space="preserve">DRATE
</t>
        </r>
        <r>
          <rPr>
            <sz val="9"/>
            <color indexed="81"/>
            <rFont val="Tahoma"/>
            <family val="2"/>
          </rPr>
          <t>Annual depreciation rate for capital stocks across all sectors.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2904B83C-A795-430F-91CF-E85135E16A0A}">
      <text>
        <r>
          <rPr>
            <b/>
            <sz val="9"/>
            <color indexed="81"/>
            <rFont val="Tahoma"/>
            <family val="2"/>
          </rPr>
          <t>alphava</t>
        </r>
        <r>
          <rPr>
            <sz val="9"/>
            <color indexed="81"/>
            <rFont val="Tahoma"/>
            <family val="2"/>
          </rPr>
          <t xml:space="preserve">
Total factor productivity.
</t>
        </r>
      </text>
    </comment>
    <comment ref="AY4" authorId="0" shapeId="0" xr:uid="{94EB21F2-0C0D-4ACF-AF35-7F862551D153}">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Z4" authorId="0" shapeId="0" xr:uid="{86D1FDEE-8F81-430C-9F38-50D846BFD3AC}">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BA4" authorId="0" shapeId="0" xr:uid="{7D18331A-B5AA-426D-9878-BE8AA9735525}">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BB4" authorId="0" shapeId="0" xr:uid="{4EC432B0-1695-450D-8CC2-33A33ACB808D}">
      <text>
        <r>
          <rPr>
            <b/>
            <sz val="9"/>
            <color indexed="81"/>
            <rFont val="Tahoma"/>
            <family val="2"/>
          </rPr>
          <t>Type of shock</t>
        </r>
        <r>
          <rPr>
            <sz val="9"/>
            <color indexed="81"/>
            <rFont val="Tahoma"/>
            <family val="2"/>
          </rPr>
          <t xml:space="preserve">
  1 = multiplicative
  2 = additive</t>
        </r>
      </text>
    </comment>
    <comment ref="D5" authorId="0" shapeId="0" xr:uid="{C16A2975-490D-4C39-878D-A3A3AF483693}">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6EE51BFC-8DDA-49DD-8A6B-D7FD316C1652}">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46BE9164-0AFB-45B0-9A07-8A8752C23CBF}">
      <text>
        <r>
          <rPr>
            <b/>
            <sz val="9"/>
            <color indexed="81"/>
            <rFont val="Tahoma"/>
            <family val="2"/>
          </rPr>
          <t>TE</t>
        </r>
        <r>
          <rPr>
            <sz val="9"/>
            <color indexed="81"/>
            <rFont val="Tahoma"/>
            <family val="2"/>
          </rPr>
          <t xml:space="preserve">
Export tax rates</t>
        </r>
      </text>
    </comment>
    <comment ref="G5" authorId="0" shapeId="0" xr:uid="{732201E1-E93E-48D5-B49D-A2C9691B03F8}">
      <text>
        <r>
          <rPr>
            <b/>
            <sz val="9"/>
            <color indexed="81"/>
            <rFont val="Tahoma"/>
            <family val="2"/>
          </rPr>
          <t>TM</t>
        </r>
        <r>
          <rPr>
            <sz val="9"/>
            <color indexed="81"/>
            <rFont val="Tahoma"/>
            <family val="2"/>
          </rPr>
          <t xml:space="preserve">
Import tariff rates</t>
        </r>
      </text>
    </comment>
    <comment ref="H5" authorId="0" shapeId="0" xr:uid="{3B252683-89BE-4C04-AF09-C554CD6C7631}">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3810386A-E755-4774-9E42-ED6DCC08D6C5}">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F058FC0A-F5ED-436E-AAC9-4E7D7E92A08E}">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0DB55A3C-19A5-41CB-B340-B93E33865BEF}">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11B32EEF-5834-4D04-8205-4799810EB3DD}">
      <text>
        <r>
          <rPr>
            <b/>
            <sz val="9"/>
            <color indexed="81"/>
            <rFont val="Tahoma"/>
            <family val="2"/>
          </rPr>
          <t xml:space="preserve">Commodity tax adjustment:
  </t>
        </r>
        <r>
          <rPr>
            <sz val="9"/>
            <color indexed="81"/>
            <rFont val="Tahoma"/>
            <family val="2"/>
          </rPr>
          <t xml:space="preserve">1 = Allow commodity tax to adjust.
  0 = Do not allow commodity tax to adjust.
  Note: Same rule applied to TE, TM, and TQ.
</t>
        </r>
      </text>
    </comment>
    <comment ref="Q5" authorId="0" shapeId="0" xr:uid="{AF835227-1BF9-4AAC-A758-0CD28FBE0A2F}">
      <text>
        <r>
          <rPr>
            <b/>
            <sz val="9"/>
            <color indexed="81"/>
            <rFont val="Tahoma"/>
            <family val="2"/>
          </rPr>
          <t>TA</t>
        </r>
        <r>
          <rPr>
            <sz val="9"/>
            <color indexed="81"/>
            <rFont val="Tahoma"/>
            <family val="2"/>
          </rPr>
          <t xml:space="preserve">
Indirect taxes on total activity production value.</t>
        </r>
      </text>
    </comment>
    <comment ref="R5" authorId="0" shapeId="0" xr:uid="{16946696-C4F0-4E80-A3B0-C6275CE18634}">
      <text>
        <r>
          <rPr>
            <b/>
            <sz val="9"/>
            <color indexed="81"/>
            <rFont val="Tahoma"/>
            <family val="2"/>
          </rPr>
          <t xml:space="preserve">TVA </t>
        </r>
        <r>
          <rPr>
            <sz val="9"/>
            <color indexed="81"/>
            <rFont val="Tahoma"/>
            <family val="2"/>
          </rPr>
          <t xml:space="preserve">
Indirect taxes on activity value-added.</t>
        </r>
      </text>
    </comment>
    <comment ref="S5" authorId="0" shapeId="0" xr:uid="{F1361466-082C-495D-A299-85900E41AFBA}">
      <text>
        <r>
          <rPr>
            <b/>
            <sz val="9"/>
            <color indexed="81"/>
            <rFont val="Tahoma"/>
            <family val="2"/>
          </rPr>
          <t xml:space="preserve">Capital mobility assumption: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978AB980-9D6A-4AB6-BBAE-7CDAA98444A7}">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00D1CEB9-0533-40C8-B9D6-EFF758ED9A88}">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D760A9EB-547B-41F5-9A13-960C6C6E2EC9}">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F1CB5C10-043F-46E2-B296-16B4F0A81042}">
      <text>
        <r>
          <rPr>
            <b/>
            <sz val="9"/>
            <color indexed="81"/>
            <rFont val="Tahoma"/>
            <family val="2"/>
          </rPr>
          <t>WF</t>
        </r>
        <r>
          <rPr>
            <sz val="9"/>
            <color indexed="81"/>
            <rFont val="Tahoma"/>
            <family val="2"/>
          </rPr>
          <t xml:space="preserve">
Economywide wage rate.</t>
        </r>
      </text>
    </comment>
    <comment ref="AA5" authorId="0" shapeId="0" xr:uid="{F810F36F-B031-4E3D-9238-086C5A659CFF}">
      <text>
        <r>
          <rPr>
            <b/>
            <sz val="9"/>
            <color indexed="81"/>
            <rFont val="Tahoma"/>
            <family val="2"/>
          </rPr>
          <t xml:space="preserve">QFS
</t>
        </r>
        <r>
          <rPr>
            <sz val="9"/>
            <color indexed="81"/>
            <rFont val="Tahoma"/>
            <family val="2"/>
          </rPr>
          <t>Total factor supply quantity.</t>
        </r>
      </text>
    </comment>
    <comment ref="AB5" authorId="0" shapeId="0" xr:uid="{88D2F59A-93D4-4DB1-859F-E30A6F9568FD}">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E7401699-F1EC-4558-82A7-71FCF399CB2B}">
      <text>
        <r>
          <rPr>
            <b/>
            <sz val="9"/>
            <color indexed="81"/>
            <rFont val="Tahoma"/>
            <family val="2"/>
          </rPr>
          <t>TF</t>
        </r>
        <r>
          <rPr>
            <sz val="9"/>
            <color indexed="81"/>
            <rFont val="Tahoma"/>
            <family val="2"/>
          </rPr>
          <t xml:space="preserve">
Direct tax on total factor earnings.</t>
        </r>
      </text>
    </comment>
    <comment ref="AD5" authorId="0" shapeId="0" xr:uid="{A6F452DD-2ED6-4016-AC9C-15E95AEB7C88}">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8B85C67E-42E3-4A27-9B98-CE139FE4D068}">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9E491F1F-6A8E-4F2D-A3DC-9A608C5AAF1B}">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6D5760CE-BE12-4771-9EFD-8095273C79A5}">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4CBC3CD7-B774-4AE5-978D-B97D3A427E50}">
      <text>
        <r>
          <rPr>
            <b/>
            <sz val="9"/>
            <color indexed="81"/>
            <rFont val="Tahoma"/>
            <family val="2"/>
          </rPr>
          <t xml:space="preserve">Factor tax adjustment:
  </t>
        </r>
        <r>
          <rPr>
            <sz val="9"/>
            <color indexed="81"/>
            <rFont val="Tahoma"/>
            <family val="2"/>
          </rPr>
          <t>1 = Allow factor tax to adjust.
  2 = Do not allow factor tax to adjust.</t>
        </r>
      </text>
    </comment>
    <comment ref="AL5" authorId="0" shapeId="0" xr:uid="{A90CF517-1D36-4D2D-BC81-D5713A48CFE9}">
      <text>
        <r>
          <rPr>
            <b/>
            <sz val="9"/>
            <color indexed="81"/>
            <rFont val="Tahoma"/>
            <family val="2"/>
          </rPr>
          <t xml:space="preserve">HPOP
</t>
        </r>
        <r>
          <rPr>
            <sz val="9"/>
            <color indexed="81"/>
            <rFont val="Tahoma"/>
            <family val="2"/>
          </rPr>
          <t>Household population.</t>
        </r>
      </text>
    </comment>
    <comment ref="AM5" authorId="0" shapeId="0" xr:uid="{EAE7929B-BFB8-46F9-A198-217A10903ABD}">
      <text>
        <r>
          <rPr>
            <b/>
            <sz val="9"/>
            <color indexed="81"/>
            <rFont val="Tahoma"/>
            <family val="2"/>
          </rPr>
          <t xml:space="preserve">MPS
</t>
        </r>
        <r>
          <rPr>
            <sz val="9"/>
            <color indexed="81"/>
            <rFont val="Tahoma"/>
            <family val="2"/>
          </rPr>
          <t>Marginal propensity to save (households and enterprises).</t>
        </r>
      </text>
    </comment>
    <comment ref="AN5" authorId="0" shapeId="0" xr:uid="{EE8C07A0-0F1A-4EEB-99AE-E15B11A62D6E}">
      <text>
        <r>
          <rPr>
            <b/>
            <sz val="9"/>
            <color indexed="81"/>
            <rFont val="Tahoma"/>
            <family val="2"/>
          </rPr>
          <t xml:space="preserve">TINS
</t>
        </r>
        <r>
          <rPr>
            <sz val="9"/>
            <color indexed="81"/>
            <rFont val="Tahoma"/>
            <family val="2"/>
          </rPr>
          <t>Institution direct tax rate (households and enterprises).</t>
        </r>
      </text>
    </comment>
    <comment ref="AO5" authorId="0" shapeId="0" xr:uid="{2DD24C5C-9403-47F1-BE16-38CF81B287B5}">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CDAAC818-BD55-429D-A520-645B898F4000}">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ED74CDAC-6FFF-4445-A4E9-22DF63FF5A27}">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57EE2436-D069-4C16-BC43-F4F1291D0B0A}">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0016A5B2-03CA-4933-8372-5ED7CF465849}">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B4C3669E-F6D1-417C-A8C2-30E016C0D728}">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B11391EF-2FB8-409E-B415-45F81291C837}">
      <text>
        <r>
          <rPr>
            <b/>
            <sz val="9"/>
            <color indexed="81"/>
            <rFont val="Tahoma"/>
            <family val="2"/>
          </rPr>
          <t xml:space="preserve">EXR
</t>
        </r>
        <r>
          <rPr>
            <sz val="9"/>
            <color indexed="81"/>
            <rFont val="Tahoma"/>
            <family val="2"/>
          </rPr>
          <t>Exchange rate.</t>
        </r>
      </text>
    </comment>
    <comment ref="C8" authorId="0" shapeId="0" xr:uid="{3E3E7E62-2120-40B0-BEBE-55A0FC64FC4B}">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O8" authorId="0" shapeId="0" xr:uid="{C068E92D-F143-4683-821E-7384554D7E09}">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Y8" authorId="0" shapeId="0" xr:uid="{8A2F20DF-220F-4BCD-BF2A-551CC5F1E670}">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K8" authorId="0" shapeId="0" xr:uid="{41A7C823-38CF-479A-B6AF-721DAF1C263D}">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W8" authorId="0" shapeId="0" xr:uid="{E46AA572-DC03-437B-80A4-243D311787FE}">
      <text>
        <r>
          <rPr>
            <b/>
            <sz val="9"/>
            <color indexed="81"/>
            <rFont val="Tahoma"/>
            <family val="2"/>
          </rPr>
          <t xml:space="preserve">FSAV
</t>
        </r>
        <r>
          <rPr>
            <sz val="9"/>
            <color indexed="81"/>
            <rFont val="Tahoma"/>
            <family val="2"/>
          </rPr>
          <t>Foreign savings.</t>
        </r>
      </text>
    </comment>
    <comment ref="C9" authorId="0" shapeId="0" xr:uid="{42C9B942-0DBA-45BB-B140-030A00AFF5F3}">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O9" authorId="0" shapeId="0" xr:uid="{8E8F2B1B-8F79-4E92-B8FA-49E6C9F06A69}">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Y9" authorId="0" shapeId="0" xr:uid="{31AF45D2-320F-49E5-850B-67270A63190F}">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K9" authorId="0" shapeId="0" xr:uid="{35381F4B-00EA-4D5E-88FA-59BA5EF954C0}">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W9" authorId="0" shapeId="0" xr:uid="{00E34DDB-0B4A-4BF3-BD15-3052CF02DA91}">
      <text>
        <r>
          <rPr>
            <b/>
            <sz val="9"/>
            <color indexed="81"/>
            <rFont val="Tahoma"/>
            <family val="2"/>
          </rPr>
          <t xml:space="preserve">IADJ
</t>
        </r>
        <r>
          <rPr>
            <sz val="9"/>
            <color indexed="81"/>
            <rFont val="Tahoma"/>
            <family val="2"/>
          </rPr>
          <t xml:space="preserve">Gross fixed capital formation.
</t>
        </r>
      </text>
    </comment>
    <comment ref="AW10" authorId="0" shapeId="0" xr:uid="{7E2CD729-3DCF-4ACC-9BD6-DE92B3950E3C}">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146C90B7-257C-4318-83C2-67C17F33F3E3}">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E2BB6945-9352-4128-B837-7CAFC827B3B4}">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B0BC2106-D533-4F79-B33C-42562BD12812}">
      <text>
        <r>
          <rPr>
            <b/>
            <sz val="9"/>
            <color indexed="81"/>
            <rFont val="Tahoma"/>
            <family val="2"/>
          </rPr>
          <t xml:space="preserve">GADJ
</t>
        </r>
        <r>
          <rPr>
            <sz val="9"/>
            <color indexed="81"/>
            <rFont val="Tahoma"/>
            <family val="2"/>
          </rPr>
          <t>Government consumption spending.</t>
        </r>
      </text>
    </comment>
    <comment ref="AW14" authorId="0" shapeId="0" xr:uid="{311A24A2-5710-42B6-96CD-FEE0C32BFC55}">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58530FBA-2069-4592-A15E-DED81FA105EF}">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B4E900AA-E246-419A-AA29-8EA21641526D}">
      <text>
        <r>
          <rPr>
            <b/>
            <sz val="9"/>
            <color indexed="81"/>
            <rFont val="Tahoma"/>
            <family val="2"/>
          </rPr>
          <t xml:space="preserve">trnsi
</t>
        </r>
        <r>
          <rPr>
            <sz val="9"/>
            <color indexed="81"/>
            <rFont val="Tahoma"/>
            <family val="2"/>
          </rPr>
          <t>Rest of the world transfers to government</t>
        </r>
      </text>
    </comment>
    <comment ref="AW17" authorId="0" shapeId="0" xr:uid="{2176E8F6-DE47-4DB7-8700-5ABC0669A5D3}">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92702A40-DC42-41FB-B32D-015567B5C67F}">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FB7CCD42-546E-4CE1-A294-71183EDC727C}">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A0C942AA-58BE-46A0-B9F1-22ED482C76E0}">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3C7BA3C2-D180-4C1C-8F67-6085BC6801DA}">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D41170E9-12FF-48AC-B192-ECFB88497F24}">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AF1DDD9E-4103-49A1-B820-0C3A3434F210}">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 ref="AW24" authorId="0" shapeId="0" xr:uid="{A9B32DC5-D2DE-42CC-A894-747591AF8850}">
      <text>
        <r>
          <rPr>
            <b/>
            <sz val="9"/>
            <color indexed="81"/>
            <rFont val="Tahoma"/>
            <family val="2"/>
          </rPr>
          <t xml:space="preserve">DRATE
</t>
        </r>
        <r>
          <rPr>
            <sz val="9"/>
            <color indexed="81"/>
            <rFont val="Tahoma"/>
            <family val="2"/>
          </rPr>
          <t>Annual depreciation rate for capital stocks across all sectors.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4E87E030-40AF-43FE-86C1-A96F69E67E02}">
      <text>
        <r>
          <rPr>
            <b/>
            <sz val="9"/>
            <color indexed="81"/>
            <rFont val="Tahoma"/>
            <family val="2"/>
          </rPr>
          <t>alphava</t>
        </r>
        <r>
          <rPr>
            <sz val="9"/>
            <color indexed="81"/>
            <rFont val="Tahoma"/>
            <family val="2"/>
          </rPr>
          <t xml:space="preserve">
Total factor productivity.
</t>
        </r>
      </text>
    </comment>
    <comment ref="AY4" authorId="0" shapeId="0" xr:uid="{F91A36E6-5720-46C5-99BD-163715DE457B}">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Z4" authorId="0" shapeId="0" xr:uid="{C57A8363-79D9-491F-9A95-1234BB76503C}">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BA4" authorId="0" shapeId="0" xr:uid="{657B7D47-935E-46B8-AA96-D22CA5903C98}">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BB4" authorId="0" shapeId="0" xr:uid="{AC4351A1-9A62-406A-9115-136C6B54F1B5}">
      <text>
        <r>
          <rPr>
            <b/>
            <sz val="9"/>
            <color indexed="81"/>
            <rFont val="Tahoma"/>
            <family val="2"/>
          </rPr>
          <t>Type of shock</t>
        </r>
        <r>
          <rPr>
            <sz val="9"/>
            <color indexed="81"/>
            <rFont val="Tahoma"/>
            <family val="2"/>
          </rPr>
          <t xml:space="preserve">
  1 = multiplicative
  2 = additive</t>
        </r>
      </text>
    </comment>
    <comment ref="D5" authorId="0" shapeId="0" xr:uid="{66EB516B-D431-402A-A0CC-39D25CE78116}">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B0828444-87D5-4B7C-B51A-7E49312EC490}">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832E7F45-DD2B-47B7-A353-9859A777CF4E}">
      <text>
        <r>
          <rPr>
            <b/>
            <sz val="9"/>
            <color indexed="81"/>
            <rFont val="Tahoma"/>
            <family val="2"/>
          </rPr>
          <t>TE</t>
        </r>
        <r>
          <rPr>
            <sz val="9"/>
            <color indexed="81"/>
            <rFont val="Tahoma"/>
            <family val="2"/>
          </rPr>
          <t xml:space="preserve">
Export tax rates</t>
        </r>
      </text>
    </comment>
    <comment ref="G5" authorId="0" shapeId="0" xr:uid="{0B040D81-7C3D-4D19-BA0E-C4CBE7F5F30E}">
      <text>
        <r>
          <rPr>
            <b/>
            <sz val="9"/>
            <color indexed="81"/>
            <rFont val="Tahoma"/>
            <family val="2"/>
          </rPr>
          <t>TM</t>
        </r>
        <r>
          <rPr>
            <sz val="9"/>
            <color indexed="81"/>
            <rFont val="Tahoma"/>
            <family val="2"/>
          </rPr>
          <t xml:space="preserve">
Import tariff rates</t>
        </r>
      </text>
    </comment>
    <comment ref="H5" authorId="0" shapeId="0" xr:uid="{0F866F7B-4033-4CC4-883D-741687B0DDFD}">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B3EE3E30-AE99-4A9B-831B-5254C6336F52}">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CCEF62FA-572D-48C4-8695-485FC4C38DA7}">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77ADCB55-05CF-4963-9F33-F57B288FD4AB}">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6DCAC19E-5109-440C-8516-96960A9D3BF1}">
      <text>
        <r>
          <rPr>
            <b/>
            <sz val="9"/>
            <color indexed="81"/>
            <rFont val="Tahoma"/>
            <family val="2"/>
          </rPr>
          <t xml:space="preserve">Commodity tax adjustment:
  </t>
        </r>
        <r>
          <rPr>
            <sz val="9"/>
            <color indexed="81"/>
            <rFont val="Tahoma"/>
            <family val="2"/>
          </rPr>
          <t xml:space="preserve">1 = Allow commodity tax to adjust.
  0 = Do not allow commodity tax to adjust.
  Note: Same rule applied to TE, TM, and TQ.
</t>
        </r>
      </text>
    </comment>
    <comment ref="Q5" authorId="0" shapeId="0" xr:uid="{18ED0F66-588F-4318-80C5-1B2B073E0FC3}">
      <text>
        <r>
          <rPr>
            <b/>
            <sz val="9"/>
            <color indexed="81"/>
            <rFont val="Tahoma"/>
            <family val="2"/>
          </rPr>
          <t>TA</t>
        </r>
        <r>
          <rPr>
            <sz val="9"/>
            <color indexed="81"/>
            <rFont val="Tahoma"/>
            <family val="2"/>
          </rPr>
          <t xml:space="preserve">
Indirect taxes on total activity production value.</t>
        </r>
      </text>
    </comment>
    <comment ref="R5" authorId="0" shapeId="0" xr:uid="{4CA38179-CFCE-485E-88DE-63D6186F2D95}">
      <text>
        <r>
          <rPr>
            <b/>
            <sz val="9"/>
            <color indexed="81"/>
            <rFont val="Tahoma"/>
            <family val="2"/>
          </rPr>
          <t xml:space="preserve">TVA </t>
        </r>
        <r>
          <rPr>
            <sz val="9"/>
            <color indexed="81"/>
            <rFont val="Tahoma"/>
            <family val="2"/>
          </rPr>
          <t xml:space="preserve">
Indirect taxes on activity value-added.</t>
        </r>
      </text>
    </comment>
    <comment ref="S5" authorId="0" shapeId="0" xr:uid="{7FCBB53C-5FBE-4C7F-B8F3-F9CC759E06A2}">
      <text>
        <r>
          <rPr>
            <b/>
            <sz val="9"/>
            <color indexed="81"/>
            <rFont val="Tahoma"/>
            <family val="2"/>
          </rPr>
          <t xml:space="preserve">Capital mobility assumption: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F84C195E-7569-4527-9FF4-57450B41C352}">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3F0FB0B8-C12B-4C7F-B7EE-807E133270D0}">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6546AAE8-D06D-46EB-8049-15DBB28E0BAD}">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EFC7885A-DA8D-4427-9AC6-BCB5BC78CF25}">
      <text>
        <r>
          <rPr>
            <b/>
            <sz val="9"/>
            <color indexed="81"/>
            <rFont val="Tahoma"/>
            <family val="2"/>
          </rPr>
          <t>WF</t>
        </r>
        <r>
          <rPr>
            <sz val="9"/>
            <color indexed="81"/>
            <rFont val="Tahoma"/>
            <family val="2"/>
          </rPr>
          <t xml:space="preserve">
Economywide wage rate.</t>
        </r>
      </text>
    </comment>
    <comment ref="AA5" authorId="0" shapeId="0" xr:uid="{4346A84F-748E-4B02-AD16-2FF7EF473B38}">
      <text>
        <r>
          <rPr>
            <b/>
            <sz val="9"/>
            <color indexed="81"/>
            <rFont val="Tahoma"/>
            <family val="2"/>
          </rPr>
          <t xml:space="preserve">QFS
</t>
        </r>
        <r>
          <rPr>
            <sz val="9"/>
            <color indexed="81"/>
            <rFont val="Tahoma"/>
            <family val="2"/>
          </rPr>
          <t>Total factor supply quantity.</t>
        </r>
      </text>
    </comment>
    <comment ref="AB5" authorId="0" shapeId="0" xr:uid="{992364FE-56FA-4B1F-8D4C-3F943000DCF7}">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2EA249B2-D6F8-41C7-A2C5-8245A3848BAF}">
      <text>
        <r>
          <rPr>
            <b/>
            <sz val="9"/>
            <color indexed="81"/>
            <rFont val="Tahoma"/>
            <family val="2"/>
          </rPr>
          <t>TF</t>
        </r>
        <r>
          <rPr>
            <sz val="9"/>
            <color indexed="81"/>
            <rFont val="Tahoma"/>
            <family val="2"/>
          </rPr>
          <t xml:space="preserve">
Direct tax on total factor earnings.</t>
        </r>
      </text>
    </comment>
    <comment ref="AD5" authorId="0" shapeId="0" xr:uid="{54B8ED26-B74E-40D7-8A1A-DACC2AC2FA7F}">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BBAE9077-042B-4634-A54A-E4A32CEEE8BE}">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FD3CA735-5894-4E2B-8B83-98742D4A353B}">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353BB57A-419B-484B-A3C6-D56076A8424C}">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2B7B1107-2719-4F6C-B35C-F4D0A6B1D0DD}">
      <text>
        <r>
          <rPr>
            <b/>
            <sz val="9"/>
            <color indexed="81"/>
            <rFont val="Tahoma"/>
            <family val="2"/>
          </rPr>
          <t xml:space="preserve">Factor tax adjustment:
  </t>
        </r>
        <r>
          <rPr>
            <sz val="9"/>
            <color indexed="81"/>
            <rFont val="Tahoma"/>
            <family val="2"/>
          </rPr>
          <t>1 = Allow factor tax to adjust.
  2 = Do not allow factor tax to adjust.</t>
        </r>
      </text>
    </comment>
    <comment ref="AL5" authorId="0" shapeId="0" xr:uid="{6C03796F-B437-4A50-B0BB-BC99B66DD8BC}">
      <text>
        <r>
          <rPr>
            <b/>
            <sz val="9"/>
            <color indexed="81"/>
            <rFont val="Tahoma"/>
            <family val="2"/>
          </rPr>
          <t xml:space="preserve">HPOP
</t>
        </r>
        <r>
          <rPr>
            <sz val="9"/>
            <color indexed="81"/>
            <rFont val="Tahoma"/>
            <family val="2"/>
          </rPr>
          <t>Household population.</t>
        </r>
      </text>
    </comment>
    <comment ref="AM5" authorId="0" shapeId="0" xr:uid="{8F9EE343-90C0-4665-A43A-4C572A0398FA}">
      <text>
        <r>
          <rPr>
            <b/>
            <sz val="9"/>
            <color indexed="81"/>
            <rFont val="Tahoma"/>
            <family val="2"/>
          </rPr>
          <t xml:space="preserve">MPS
</t>
        </r>
        <r>
          <rPr>
            <sz val="9"/>
            <color indexed="81"/>
            <rFont val="Tahoma"/>
            <family val="2"/>
          </rPr>
          <t>Marginal propensity to save (households and enterprises).</t>
        </r>
      </text>
    </comment>
    <comment ref="AN5" authorId="0" shapeId="0" xr:uid="{DDC7C415-63B7-4A83-B884-A03D095057E3}">
      <text>
        <r>
          <rPr>
            <b/>
            <sz val="9"/>
            <color indexed="81"/>
            <rFont val="Tahoma"/>
            <family val="2"/>
          </rPr>
          <t xml:space="preserve">TINS
</t>
        </r>
        <r>
          <rPr>
            <sz val="9"/>
            <color indexed="81"/>
            <rFont val="Tahoma"/>
            <family val="2"/>
          </rPr>
          <t>Institution direct tax rate (households and enterprises).</t>
        </r>
      </text>
    </comment>
    <comment ref="AO5" authorId="0" shapeId="0" xr:uid="{3B54B8CA-4ADA-4FB6-AFE8-3A95E0E31035}">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A4A98CFC-4275-4BC1-A053-04C902C8A2FE}">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54251657-CD22-4551-97FA-CCC4E6D4219F}">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4E912847-66D9-4711-9021-4B85380AEE08}">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E3B4AF3A-77E8-444B-A4E6-0426B90ECDA9}">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D8CD9B64-632A-4F52-88CA-585C44C34DCB}">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5435D86B-50A1-480A-990C-61A31BA829AF}">
      <text>
        <r>
          <rPr>
            <b/>
            <sz val="9"/>
            <color indexed="81"/>
            <rFont val="Tahoma"/>
            <family val="2"/>
          </rPr>
          <t xml:space="preserve">EXR
</t>
        </r>
        <r>
          <rPr>
            <sz val="9"/>
            <color indexed="81"/>
            <rFont val="Tahoma"/>
            <family val="2"/>
          </rPr>
          <t>Exchange rate.</t>
        </r>
      </text>
    </comment>
    <comment ref="C8" authorId="0" shapeId="0" xr:uid="{2CEA9D13-039F-421B-A415-862B8FEACCF9}">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O8" authorId="0" shapeId="0" xr:uid="{4CFB66C8-BCA9-409F-9F6D-295D64C913E4}">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Y8" authorId="0" shapeId="0" xr:uid="{F54FE785-5645-4F54-A02E-22757D7BA9B3}">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K8" authorId="0" shapeId="0" xr:uid="{12A8C1CD-3C09-423F-86C9-2B214B9AB131}">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W8" authorId="0" shapeId="0" xr:uid="{A39FBA7E-819F-4133-9BE1-3FE8588DD0B5}">
      <text>
        <r>
          <rPr>
            <b/>
            <sz val="9"/>
            <color indexed="81"/>
            <rFont val="Tahoma"/>
            <family val="2"/>
          </rPr>
          <t xml:space="preserve">FSAV
</t>
        </r>
        <r>
          <rPr>
            <sz val="9"/>
            <color indexed="81"/>
            <rFont val="Tahoma"/>
            <family val="2"/>
          </rPr>
          <t>Foreign savings.</t>
        </r>
      </text>
    </comment>
    <comment ref="C9" authorId="0" shapeId="0" xr:uid="{F9EFAC00-D60E-4FAE-96F9-A892C83F3A1B}">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O9" authorId="0" shapeId="0" xr:uid="{8BC55202-F891-4079-8E35-1087D1BB2B59}">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Y9" authorId="0" shapeId="0" xr:uid="{32E5909E-26D4-490D-B845-BEAC82C2AD3E}">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K9" authorId="0" shapeId="0" xr:uid="{1A81053A-C804-4CEB-A57B-5CDF806659DD}">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W9" authorId="0" shapeId="0" xr:uid="{0ADAD342-7F9D-49E4-8AEC-71FF9B935154}">
      <text>
        <r>
          <rPr>
            <b/>
            <sz val="9"/>
            <color indexed="81"/>
            <rFont val="Tahoma"/>
            <family val="2"/>
          </rPr>
          <t xml:space="preserve">IADJ
</t>
        </r>
        <r>
          <rPr>
            <sz val="9"/>
            <color indexed="81"/>
            <rFont val="Tahoma"/>
            <family val="2"/>
          </rPr>
          <t xml:space="preserve">Gross fixed capital formation.
</t>
        </r>
      </text>
    </comment>
    <comment ref="AW10" authorId="0" shapeId="0" xr:uid="{960054A3-EF72-4F92-AD23-1474BC1EA2C2}">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9B3E4B64-FA38-4834-8288-CCF62545EB21}">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BB7F5A82-46AF-4978-AFBE-CADD7558D6C1}">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241B2B12-5D4A-4D90-B777-8A59BDFF024B}">
      <text>
        <r>
          <rPr>
            <b/>
            <sz val="9"/>
            <color indexed="81"/>
            <rFont val="Tahoma"/>
            <family val="2"/>
          </rPr>
          <t xml:space="preserve">GADJ
</t>
        </r>
        <r>
          <rPr>
            <sz val="9"/>
            <color indexed="81"/>
            <rFont val="Tahoma"/>
            <family val="2"/>
          </rPr>
          <t>Government consumption spending.</t>
        </r>
      </text>
    </comment>
    <comment ref="AW14" authorId="0" shapeId="0" xr:uid="{C8B2FFEB-EE72-4E82-AA41-708B36FBEE7A}">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99E10DE1-F478-4162-AB52-B0A886BFD908}">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7AB80E09-9107-431C-951D-BE3DA61DCF3A}">
      <text>
        <r>
          <rPr>
            <b/>
            <sz val="9"/>
            <color indexed="81"/>
            <rFont val="Tahoma"/>
            <family val="2"/>
          </rPr>
          <t xml:space="preserve">trnsi
</t>
        </r>
        <r>
          <rPr>
            <sz val="9"/>
            <color indexed="81"/>
            <rFont val="Tahoma"/>
            <family val="2"/>
          </rPr>
          <t>Rest of the world transfers to government</t>
        </r>
      </text>
    </comment>
    <comment ref="AW17" authorId="0" shapeId="0" xr:uid="{60677A21-5C64-4976-9A1F-9B7868E0D689}">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9A930FEC-C9D6-4DEB-9F98-638CC21F4295}">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6B9FA13F-5BFA-4343-AE00-E37C9AB6C166}">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002EA3EC-AF5F-4632-8B75-04942B05B519}">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1FE37805-A9A7-402F-9EBD-824B1C333542}">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730CE2E8-4A36-4B4F-BF14-6DA12F63BE04}">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0ACDED94-9A38-4C79-BFFB-5613A5F411E0}">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 ref="AW24" authorId="0" shapeId="0" xr:uid="{F612043C-EA4B-44F7-BA74-2B2D547FB46C}">
      <text>
        <r>
          <rPr>
            <b/>
            <sz val="9"/>
            <color indexed="81"/>
            <rFont val="Tahoma"/>
            <family val="2"/>
          </rPr>
          <t xml:space="preserve">DRATE
</t>
        </r>
        <r>
          <rPr>
            <sz val="9"/>
            <color indexed="81"/>
            <rFont val="Tahoma"/>
            <family val="2"/>
          </rPr>
          <t>Annual depreciation rate for capital stocks across all sectors.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F29A704B-D2E0-459D-9DFD-E3D3B03E08B3}">
      <text>
        <r>
          <rPr>
            <b/>
            <sz val="9"/>
            <color indexed="81"/>
            <rFont val="Tahoma"/>
            <family val="2"/>
          </rPr>
          <t>alphava</t>
        </r>
        <r>
          <rPr>
            <sz val="9"/>
            <color indexed="81"/>
            <rFont val="Tahoma"/>
            <family val="2"/>
          </rPr>
          <t xml:space="preserve">
Total factor productivity.
</t>
        </r>
      </text>
    </comment>
    <comment ref="AY4" authorId="0" shapeId="0" xr:uid="{528F9B67-9E42-4317-9905-2729A2851812}">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Z4" authorId="0" shapeId="0" xr:uid="{4D331E90-253A-4AD4-8E7C-30514582A5A8}">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BA4" authorId="0" shapeId="0" xr:uid="{48968A40-AD66-4688-B3AD-0E0B1BC6ADCB}">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BB4" authorId="0" shapeId="0" xr:uid="{B49CB6C6-5554-4BF4-BB9D-F897DF27B068}">
      <text>
        <r>
          <rPr>
            <b/>
            <sz val="9"/>
            <color indexed="81"/>
            <rFont val="Tahoma"/>
            <family val="2"/>
          </rPr>
          <t>Type of shock</t>
        </r>
        <r>
          <rPr>
            <sz val="9"/>
            <color indexed="81"/>
            <rFont val="Tahoma"/>
            <family val="2"/>
          </rPr>
          <t xml:space="preserve">
  1 = multiplicative
  2 = additive</t>
        </r>
      </text>
    </comment>
    <comment ref="D5" authorId="0" shapeId="0" xr:uid="{DA521C83-D35F-47A1-9B47-57FB3A0DDBEA}">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0794F1BF-BBE6-4658-AD11-9D8EDC69435A}">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FC29D979-D3AD-456D-81E7-1D856429C8DF}">
      <text>
        <r>
          <rPr>
            <b/>
            <sz val="9"/>
            <color indexed="81"/>
            <rFont val="Tahoma"/>
            <family val="2"/>
          </rPr>
          <t>TE</t>
        </r>
        <r>
          <rPr>
            <sz val="9"/>
            <color indexed="81"/>
            <rFont val="Tahoma"/>
            <family val="2"/>
          </rPr>
          <t xml:space="preserve">
Export tax rates</t>
        </r>
      </text>
    </comment>
    <comment ref="G5" authorId="0" shapeId="0" xr:uid="{025FAEA4-0A9D-4080-A58B-44D179F35669}">
      <text>
        <r>
          <rPr>
            <b/>
            <sz val="9"/>
            <color indexed="81"/>
            <rFont val="Tahoma"/>
            <family val="2"/>
          </rPr>
          <t>TM</t>
        </r>
        <r>
          <rPr>
            <sz val="9"/>
            <color indexed="81"/>
            <rFont val="Tahoma"/>
            <family val="2"/>
          </rPr>
          <t xml:space="preserve">
Import tariff rates</t>
        </r>
      </text>
    </comment>
    <comment ref="H5" authorId="0" shapeId="0" xr:uid="{6EA90441-8411-4301-8ED2-54E6364B2629}">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983C2897-ADEC-41C2-BCF4-E0778E4D0A3E}">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3E959CF8-5108-43A2-971E-5E3111858383}">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B49F665A-D164-491C-80B6-ADC0A92C8674}">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1F8C4639-9090-4647-B8D4-2FFE1F829DFD}">
      <text>
        <r>
          <rPr>
            <b/>
            <sz val="9"/>
            <color indexed="81"/>
            <rFont val="Tahoma"/>
            <family val="2"/>
          </rPr>
          <t xml:space="preserve">Commodity tax adjustment:
  </t>
        </r>
        <r>
          <rPr>
            <sz val="9"/>
            <color indexed="81"/>
            <rFont val="Tahoma"/>
            <family val="2"/>
          </rPr>
          <t xml:space="preserve">1 = Allow commodity tax to adjust.
  0 = Do not allow commodity tax to adjust.
  Note: Same rule applied to TE, TM, and TQ.
</t>
        </r>
      </text>
    </comment>
    <comment ref="Q5" authorId="0" shapeId="0" xr:uid="{17893BB7-28BE-4C44-97A8-8CF6F1500CEE}">
      <text>
        <r>
          <rPr>
            <b/>
            <sz val="9"/>
            <color indexed="81"/>
            <rFont val="Tahoma"/>
            <family val="2"/>
          </rPr>
          <t>TA</t>
        </r>
        <r>
          <rPr>
            <sz val="9"/>
            <color indexed="81"/>
            <rFont val="Tahoma"/>
            <family val="2"/>
          </rPr>
          <t xml:space="preserve">
Indirect taxes on total activity production value.</t>
        </r>
      </text>
    </comment>
    <comment ref="R5" authorId="0" shapeId="0" xr:uid="{BB6E000F-E7D6-434A-B9BD-343BB49170E7}">
      <text>
        <r>
          <rPr>
            <b/>
            <sz val="9"/>
            <color indexed="81"/>
            <rFont val="Tahoma"/>
            <family val="2"/>
          </rPr>
          <t xml:space="preserve">TVA </t>
        </r>
        <r>
          <rPr>
            <sz val="9"/>
            <color indexed="81"/>
            <rFont val="Tahoma"/>
            <family val="2"/>
          </rPr>
          <t xml:space="preserve">
Indirect taxes on activity value-added.</t>
        </r>
      </text>
    </comment>
    <comment ref="S5" authorId="0" shapeId="0" xr:uid="{AC18EC3D-F9AA-442B-8B65-E2F53042C90C}">
      <text>
        <r>
          <rPr>
            <b/>
            <sz val="9"/>
            <color indexed="81"/>
            <rFont val="Tahoma"/>
            <family val="2"/>
          </rPr>
          <t xml:space="preserve">Capital mobility assumption: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6449EADE-B28C-4CF6-B99C-D6D6D7C12006}">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ED270B9C-5C9B-4400-A748-8E43E6E33282}">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00A5E619-4A0D-41F4-BABD-F400453604F4}">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5BA93C40-3852-4A3C-BAA1-762F1CF8360F}">
      <text>
        <r>
          <rPr>
            <b/>
            <sz val="9"/>
            <color indexed="81"/>
            <rFont val="Tahoma"/>
            <family val="2"/>
          </rPr>
          <t>WF</t>
        </r>
        <r>
          <rPr>
            <sz val="9"/>
            <color indexed="81"/>
            <rFont val="Tahoma"/>
            <family val="2"/>
          </rPr>
          <t xml:space="preserve">
Economywide wage rate.</t>
        </r>
      </text>
    </comment>
    <comment ref="AA5" authorId="0" shapeId="0" xr:uid="{1F202496-4BF7-44BB-8732-EED98920EA0D}">
      <text>
        <r>
          <rPr>
            <b/>
            <sz val="9"/>
            <color indexed="81"/>
            <rFont val="Tahoma"/>
            <family val="2"/>
          </rPr>
          <t xml:space="preserve">QFS
</t>
        </r>
        <r>
          <rPr>
            <sz val="9"/>
            <color indexed="81"/>
            <rFont val="Tahoma"/>
            <family val="2"/>
          </rPr>
          <t>Total factor supply quantity.</t>
        </r>
      </text>
    </comment>
    <comment ref="AB5" authorId="0" shapeId="0" xr:uid="{F2FB09D7-6626-4C51-889C-BE9F06391420}">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CC0032B6-C002-408A-A269-7B32414D18B4}">
      <text>
        <r>
          <rPr>
            <b/>
            <sz val="9"/>
            <color indexed="81"/>
            <rFont val="Tahoma"/>
            <family val="2"/>
          </rPr>
          <t>TF</t>
        </r>
        <r>
          <rPr>
            <sz val="9"/>
            <color indexed="81"/>
            <rFont val="Tahoma"/>
            <family val="2"/>
          </rPr>
          <t xml:space="preserve">
Direct tax on total factor earnings.</t>
        </r>
      </text>
    </comment>
    <comment ref="AD5" authorId="0" shapeId="0" xr:uid="{6AE9F711-017C-42C0-ACE9-9C309BDC8F96}">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660F09C3-D6E6-4A12-AAE5-C2D0479F1C4C}">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168FB031-77E7-406B-9AB0-0ACC5119313D}">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F786094E-A71C-4C94-8EB4-6E38B0F69590}">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5C5147F9-561C-4E14-AD65-A624289EB3D7}">
      <text>
        <r>
          <rPr>
            <b/>
            <sz val="9"/>
            <color indexed="81"/>
            <rFont val="Tahoma"/>
            <family val="2"/>
          </rPr>
          <t xml:space="preserve">Factor tax adjustment:
  </t>
        </r>
        <r>
          <rPr>
            <sz val="9"/>
            <color indexed="81"/>
            <rFont val="Tahoma"/>
            <family val="2"/>
          </rPr>
          <t>1 = Allow factor tax to adjust.
  2 = Do not allow factor tax to adjust.</t>
        </r>
      </text>
    </comment>
    <comment ref="AL5" authorId="0" shapeId="0" xr:uid="{BA6C8B6D-7830-4A65-8B20-09B3F5A8D568}">
      <text>
        <r>
          <rPr>
            <b/>
            <sz val="9"/>
            <color indexed="81"/>
            <rFont val="Tahoma"/>
            <family val="2"/>
          </rPr>
          <t xml:space="preserve">HPOP
</t>
        </r>
        <r>
          <rPr>
            <sz val="9"/>
            <color indexed="81"/>
            <rFont val="Tahoma"/>
            <family val="2"/>
          </rPr>
          <t>Household population.</t>
        </r>
      </text>
    </comment>
    <comment ref="AM5" authorId="0" shapeId="0" xr:uid="{39F8B8DC-0EC1-4BF7-989B-EE48E73B32B5}">
      <text>
        <r>
          <rPr>
            <b/>
            <sz val="9"/>
            <color indexed="81"/>
            <rFont val="Tahoma"/>
            <family val="2"/>
          </rPr>
          <t xml:space="preserve">MPS
</t>
        </r>
        <r>
          <rPr>
            <sz val="9"/>
            <color indexed="81"/>
            <rFont val="Tahoma"/>
            <family val="2"/>
          </rPr>
          <t>Marginal propensity to save (households and enterprises).</t>
        </r>
      </text>
    </comment>
    <comment ref="AN5" authorId="0" shapeId="0" xr:uid="{532D0D96-88E7-4EFF-8D07-452522A6A870}">
      <text>
        <r>
          <rPr>
            <b/>
            <sz val="9"/>
            <color indexed="81"/>
            <rFont val="Tahoma"/>
            <family val="2"/>
          </rPr>
          <t xml:space="preserve">TINS
</t>
        </r>
        <r>
          <rPr>
            <sz val="9"/>
            <color indexed="81"/>
            <rFont val="Tahoma"/>
            <family val="2"/>
          </rPr>
          <t>Institution direct tax rate (households and enterprises).</t>
        </r>
      </text>
    </comment>
    <comment ref="AO5" authorId="0" shapeId="0" xr:uid="{D7112EB7-B2F3-43D1-981D-AAE279F9AE07}">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B790A8B2-A68E-41AB-BB69-20F1840D7D6A}">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F9363686-A34B-4DCF-B1E0-95B29692E923}">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ECA131DD-9323-4FA4-91F5-F954A62082A7}">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A2256798-D9E0-46F5-99F9-C787A785CF62}">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6155AC3E-72DC-4C50-9BF2-B4B313270F01}">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F496BC11-8557-47B7-9716-1AFE9EE572D3}">
      <text>
        <r>
          <rPr>
            <b/>
            <sz val="9"/>
            <color indexed="81"/>
            <rFont val="Tahoma"/>
            <family val="2"/>
          </rPr>
          <t xml:space="preserve">EXR
</t>
        </r>
        <r>
          <rPr>
            <sz val="9"/>
            <color indexed="81"/>
            <rFont val="Tahoma"/>
            <family val="2"/>
          </rPr>
          <t>Exchange rate.</t>
        </r>
      </text>
    </comment>
    <comment ref="C8" authorId="0" shapeId="0" xr:uid="{831E0E2C-B8BF-48EA-958A-3D7140FCA51E}">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O8" authorId="0" shapeId="0" xr:uid="{7D51A660-0614-43A6-BAE6-342C5B967A87}">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Y8" authorId="0" shapeId="0" xr:uid="{973B25B5-1F01-46E7-BCA0-5119522F8537}">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K8" authorId="0" shapeId="0" xr:uid="{C88FF6DE-8AD7-4110-8DC1-C7582AD0FBC7}">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W8" authorId="0" shapeId="0" xr:uid="{51769405-9CF2-47A7-8521-05C09A1AE36B}">
      <text>
        <r>
          <rPr>
            <b/>
            <sz val="9"/>
            <color indexed="81"/>
            <rFont val="Tahoma"/>
            <family val="2"/>
          </rPr>
          <t xml:space="preserve">FSAV
</t>
        </r>
        <r>
          <rPr>
            <sz val="9"/>
            <color indexed="81"/>
            <rFont val="Tahoma"/>
            <family val="2"/>
          </rPr>
          <t>Foreign savings.</t>
        </r>
      </text>
    </comment>
    <comment ref="C9" authorId="0" shapeId="0" xr:uid="{F7C2442C-B907-4695-94E8-6DED20B35855}">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O9" authorId="0" shapeId="0" xr:uid="{B28983B2-EEF8-4E4A-8B39-E21EBEBC43AE}">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Y9" authorId="0" shapeId="0" xr:uid="{53D13DB1-1F84-416D-AD93-B1A79322363A}">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K9" authorId="0" shapeId="0" xr:uid="{C4F18045-9116-48DD-A0E8-B847A9E4DA8D}">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W9" authorId="0" shapeId="0" xr:uid="{23059190-AAD1-4A21-81A5-85F9F9475193}">
      <text>
        <r>
          <rPr>
            <b/>
            <sz val="9"/>
            <color indexed="81"/>
            <rFont val="Tahoma"/>
            <family val="2"/>
          </rPr>
          <t xml:space="preserve">IADJ
</t>
        </r>
        <r>
          <rPr>
            <sz val="9"/>
            <color indexed="81"/>
            <rFont val="Tahoma"/>
            <family val="2"/>
          </rPr>
          <t xml:space="preserve">Gross fixed capital formation.
</t>
        </r>
      </text>
    </comment>
    <comment ref="AW10" authorId="0" shapeId="0" xr:uid="{178B3315-6A12-456E-B07B-4F04356C1C39}">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8E5E4F04-386D-467B-93A0-A6DAF9DABE3C}">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BCBE44E9-C188-41E4-8C0F-205CA3F31A52}">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110EA73E-A58E-483E-81B3-2EA2A5F0FD04}">
      <text>
        <r>
          <rPr>
            <b/>
            <sz val="9"/>
            <color indexed="81"/>
            <rFont val="Tahoma"/>
            <family val="2"/>
          </rPr>
          <t xml:space="preserve">GADJ
</t>
        </r>
        <r>
          <rPr>
            <sz val="9"/>
            <color indexed="81"/>
            <rFont val="Tahoma"/>
            <family val="2"/>
          </rPr>
          <t>Government consumption spending.</t>
        </r>
      </text>
    </comment>
    <comment ref="AW14" authorId="0" shapeId="0" xr:uid="{C11BABE6-F9A6-438E-9A15-53547BAF0C55}">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FA8C2C46-3711-4E96-80E3-38926B708C12}">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D1B68038-44A7-4AF1-9DB9-7AC493FCAC32}">
      <text>
        <r>
          <rPr>
            <b/>
            <sz val="9"/>
            <color indexed="81"/>
            <rFont val="Tahoma"/>
            <family val="2"/>
          </rPr>
          <t xml:space="preserve">trnsi
</t>
        </r>
        <r>
          <rPr>
            <sz val="9"/>
            <color indexed="81"/>
            <rFont val="Tahoma"/>
            <family val="2"/>
          </rPr>
          <t>Rest of the world transfers to government</t>
        </r>
      </text>
    </comment>
    <comment ref="AW17" authorId="0" shapeId="0" xr:uid="{8EAA593D-D89A-40AD-8961-BBE4673AE90A}">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1D22DD39-D0A2-40A9-A7A5-53D3BDB77395}">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104A9EDE-6B9B-49F5-8C65-5DD97EAE283F}">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101B793E-C3AD-4429-A6C8-0908576BCDAD}">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2C5E5A76-C72F-4B24-B3DA-238239BC1D23}">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80AC8CE5-F16F-4346-8A55-86A2F59BCFB9}">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CF9E84BC-E1B7-4D0E-8C37-311867AC755C}">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 ref="AW24" authorId="0" shapeId="0" xr:uid="{03B57B68-B7C3-4F74-A4C9-2B6F404C79FC}">
      <text>
        <r>
          <rPr>
            <b/>
            <sz val="9"/>
            <color indexed="81"/>
            <rFont val="Tahoma"/>
            <family val="2"/>
          </rPr>
          <t xml:space="preserve">DRATE
</t>
        </r>
        <r>
          <rPr>
            <sz val="9"/>
            <color indexed="81"/>
            <rFont val="Tahoma"/>
            <family val="2"/>
          </rPr>
          <t>Annual depreciation rate for capital stocks across all sectors.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1D0C0C51-94A9-4A9E-8D60-0BC09686C239}">
      <text>
        <r>
          <rPr>
            <b/>
            <sz val="9"/>
            <color indexed="81"/>
            <rFont val="Tahoma"/>
            <family val="2"/>
          </rPr>
          <t>alphava</t>
        </r>
        <r>
          <rPr>
            <sz val="9"/>
            <color indexed="81"/>
            <rFont val="Tahoma"/>
            <family val="2"/>
          </rPr>
          <t xml:space="preserve">
Total factor productivity.
</t>
        </r>
      </text>
    </comment>
    <comment ref="AY4" authorId="0" shapeId="0" xr:uid="{FA75BF1B-8092-4FE3-BBEF-53F860F3A74E}">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Z4" authorId="0" shapeId="0" xr:uid="{E7D0A0ED-B2C2-4C3E-80F4-64B66413740F}">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BA4" authorId="0" shapeId="0" xr:uid="{78731812-A703-47D2-B1F2-413943116845}">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BB4" authorId="0" shapeId="0" xr:uid="{BB7A1649-817A-4CC6-AD29-E7923CB38513}">
      <text>
        <r>
          <rPr>
            <b/>
            <sz val="9"/>
            <color indexed="81"/>
            <rFont val="Tahoma"/>
            <family val="2"/>
          </rPr>
          <t>Type of shock</t>
        </r>
        <r>
          <rPr>
            <sz val="9"/>
            <color indexed="81"/>
            <rFont val="Tahoma"/>
            <family val="2"/>
          </rPr>
          <t xml:space="preserve">
  1 = multiplicative
  2 = additive</t>
        </r>
      </text>
    </comment>
    <comment ref="D5" authorId="0" shapeId="0" xr:uid="{C6A035BB-9122-4A0E-8C6A-DE1DB5E0DF8D}">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90A62328-369B-4875-903C-F738EA95748D}">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CEB4242E-3626-4E42-A642-07006A279BF6}">
      <text>
        <r>
          <rPr>
            <b/>
            <sz val="9"/>
            <color indexed="81"/>
            <rFont val="Tahoma"/>
            <family val="2"/>
          </rPr>
          <t>TE</t>
        </r>
        <r>
          <rPr>
            <sz val="9"/>
            <color indexed="81"/>
            <rFont val="Tahoma"/>
            <family val="2"/>
          </rPr>
          <t xml:space="preserve">
Export tax rates</t>
        </r>
      </text>
    </comment>
    <comment ref="G5" authorId="0" shapeId="0" xr:uid="{246286D8-3BFC-4EF2-BA55-EFFFBD2A9B19}">
      <text>
        <r>
          <rPr>
            <b/>
            <sz val="9"/>
            <color indexed="81"/>
            <rFont val="Tahoma"/>
            <family val="2"/>
          </rPr>
          <t>TM</t>
        </r>
        <r>
          <rPr>
            <sz val="9"/>
            <color indexed="81"/>
            <rFont val="Tahoma"/>
            <family val="2"/>
          </rPr>
          <t xml:space="preserve">
Import tariff rates</t>
        </r>
      </text>
    </comment>
    <comment ref="H5" authorId="0" shapeId="0" xr:uid="{B2046B2E-D0DD-457C-B432-D206D145B3BE}">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714C2A8D-8CB6-473D-8941-63CEC985A11A}">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911C38FC-7867-4B4C-83AE-9601F3261A71}">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252F3E7D-EF85-419E-88EC-5C876A4AF5C4}">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19ADD774-41E5-4A4C-9431-CFE02E9ACED7}">
      <text>
        <r>
          <rPr>
            <b/>
            <sz val="9"/>
            <color indexed="81"/>
            <rFont val="Tahoma"/>
            <family val="2"/>
          </rPr>
          <t xml:space="preserve">Commodity tax adjustment:
  </t>
        </r>
        <r>
          <rPr>
            <sz val="9"/>
            <color indexed="81"/>
            <rFont val="Tahoma"/>
            <family val="2"/>
          </rPr>
          <t xml:space="preserve">1 = Allow commodity tax to adjust.
  0 = Do not allow commodity tax to adjust.
  Note: Same rule applied to TE, TM, and TQ.
</t>
        </r>
      </text>
    </comment>
    <comment ref="Q5" authorId="0" shapeId="0" xr:uid="{142000D5-ED50-485D-8F8E-8C9E1F95B98A}">
      <text>
        <r>
          <rPr>
            <b/>
            <sz val="9"/>
            <color indexed="81"/>
            <rFont val="Tahoma"/>
            <family val="2"/>
          </rPr>
          <t>TA</t>
        </r>
        <r>
          <rPr>
            <sz val="9"/>
            <color indexed="81"/>
            <rFont val="Tahoma"/>
            <family val="2"/>
          </rPr>
          <t xml:space="preserve">
Indirect taxes on total activity production value.</t>
        </r>
      </text>
    </comment>
    <comment ref="R5" authorId="0" shapeId="0" xr:uid="{0F1217D8-8C82-403A-A914-F1D5B89BF695}">
      <text>
        <r>
          <rPr>
            <b/>
            <sz val="9"/>
            <color indexed="81"/>
            <rFont val="Tahoma"/>
            <family val="2"/>
          </rPr>
          <t xml:space="preserve">TVA </t>
        </r>
        <r>
          <rPr>
            <sz val="9"/>
            <color indexed="81"/>
            <rFont val="Tahoma"/>
            <family val="2"/>
          </rPr>
          <t xml:space="preserve">
Indirect taxes on activity value-added.</t>
        </r>
      </text>
    </comment>
    <comment ref="S5" authorId="0" shapeId="0" xr:uid="{287DC504-BAFD-4637-BBB6-7674295DCBDE}">
      <text>
        <r>
          <rPr>
            <b/>
            <sz val="9"/>
            <color indexed="81"/>
            <rFont val="Tahoma"/>
            <family val="2"/>
          </rPr>
          <t xml:space="preserve">Capital mobility assumption: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6EB80FFC-5B06-4A33-B836-EAE8B68EAAE7}">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D4E415B3-3EB1-4A09-B07F-F27175AE5A05}">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81C0B3C2-CBA3-4CC7-8F2F-A4DAB2CB0E40}">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8EE4BBAD-E0FD-4D20-8740-C216DABB6E66}">
      <text>
        <r>
          <rPr>
            <b/>
            <sz val="9"/>
            <color indexed="81"/>
            <rFont val="Tahoma"/>
            <family val="2"/>
          </rPr>
          <t>WF</t>
        </r>
        <r>
          <rPr>
            <sz val="9"/>
            <color indexed="81"/>
            <rFont val="Tahoma"/>
            <family val="2"/>
          </rPr>
          <t xml:space="preserve">
Economywide wage rate.</t>
        </r>
      </text>
    </comment>
    <comment ref="AA5" authorId="0" shapeId="0" xr:uid="{E08D3162-9AC5-4A93-9FB2-ADD89A0B6D30}">
      <text>
        <r>
          <rPr>
            <b/>
            <sz val="9"/>
            <color indexed="81"/>
            <rFont val="Tahoma"/>
            <family val="2"/>
          </rPr>
          <t xml:space="preserve">QFS
</t>
        </r>
        <r>
          <rPr>
            <sz val="9"/>
            <color indexed="81"/>
            <rFont val="Tahoma"/>
            <family val="2"/>
          </rPr>
          <t>Total factor supply quantity.</t>
        </r>
      </text>
    </comment>
    <comment ref="AB5" authorId="0" shapeId="0" xr:uid="{ED0E90C2-7731-409B-9827-47A5334C4123}">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9B7BF7A3-8359-4A25-9199-3FFC74D30A7B}">
      <text>
        <r>
          <rPr>
            <b/>
            <sz val="9"/>
            <color indexed="81"/>
            <rFont val="Tahoma"/>
            <family val="2"/>
          </rPr>
          <t>TF</t>
        </r>
        <r>
          <rPr>
            <sz val="9"/>
            <color indexed="81"/>
            <rFont val="Tahoma"/>
            <family val="2"/>
          </rPr>
          <t xml:space="preserve">
Direct tax on total factor earnings.</t>
        </r>
      </text>
    </comment>
    <comment ref="AD5" authorId="0" shapeId="0" xr:uid="{8EFAE794-D9D3-42E0-815F-85D2C0A75866}">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A42AD38E-4EDA-4812-B39F-C7C102E04EEF}">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C8F101F9-286D-4F3E-AC16-758800C3F08D}">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148AD7A9-DC58-456A-BF7F-902C8C3CB955}">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71500701-76D0-4DCD-ADCD-572804AF1F23}">
      <text>
        <r>
          <rPr>
            <b/>
            <sz val="9"/>
            <color indexed="81"/>
            <rFont val="Tahoma"/>
            <family val="2"/>
          </rPr>
          <t xml:space="preserve">Factor tax adjustment:
  </t>
        </r>
        <r>
          <rPr>
            <sz val="9"/>
            <color indexed="81"/>
            <rFont val="Tahoma"/>
            <family val="2"/>
          </rPr>
          <t>1 = Allow factor tax to adjust.
  2 = Do not allow factor tax to adjust.</t>
        </r>
      </text>
    </comment>
    <comment ref="AL5" authorId="0" shapeId="0" xr:uid="{76558117-E8A5-43F0-9C85-3AD261E9D188}">
      <text>
        <r>
          <rPr>
            <b/>
            <sz val="9"/>
            <color indexed="81"/>
            <rFont val="Tahoma"/>
            <family val="2"/>
          </rPr>
          <t xml:space="preserve">HPOP
</t>
        </r>
        <r>
          <rPr>
            <sz val="9"/>
            <color indexed="81"/>
            <rFont val="Tahoma"/>
            <family val="2"/>
          </rPr>
          <t>Household population.</t>
        </r>
      </text>
    </comment>
    <comment ref="AM5" authorId="0" shapeId="0" xr:uid="{9055F805-EF1A-4734-A0E8-62BFDE75787F}">
      <text>
        <r>
          <rPr>
            <b/>
            <sz val="9"/>
            <color indexed="81"/>
            <rFont val="Tahoma"/>
            <family val="2"/>
          </rPr>
          <t xml:space="preserve">MPS
</t>
        </r>
        <r>
          <rPr>
            <sz val="9"/>
            <color indexed="81"/>
            <rFont val="Tahoma"/>
            <family val="2"/>
          </rPr>
          <t>Marginal propensity to save (households and enterprises).</t>
        </r>
      </text>
    </comment>
    <comment ref="AN5" authorId="0" shapeId="0" xr:uid="{F13CAC40-6660-47A3-81E8-3AA98CE28D61}">
      <text>
        <r>
          <rPr>
            <b/>
            <sz val="9"/>
            <color indexed="81"/>
            <rFont val="Tahoma"/>
            <family val="2"/>
          </rPr>
          <t xml:space="preserve">TINS
</t>
        </r>
        <r>
          <rPr>
            <sz val="9"/>
            <color indexed="81"/>
            <rFont val="Tahoma"/>
            <family val="2"/>
          </rPr>
          <t>Institution direct tax rate (households and enterprises).</t>
        </r>
      </text>
    </comment>
    <comment ref="AO5" authorId="0" shapeId="0" xr:uid="{90BBF958-27F3-4BC5-829A-258C59CB3264}">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3D2DADBF-1C4B-414F-B0DC-4FAA493AC64E}">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58851537-4826-4385-ABE9-1812E8D84866}">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33E4B4D9-C036-45B1-8367-648153AB52F0}">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BCC9DB02-7562-4FE7-8BDF-9F386ECC407A}">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06E48AEA-8733-493E-AB26-664078E24024}">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3175716E-E70A-4530-BE32-07AE5319B110}">
      <text>
        <r>
          <rPr>
            <b/>
            <sz val="9"/>
            <color indexed="81"/>
            <rFont val="Tahoma"/>
            <family val="2"/>
          </rPr>
          <t xml:space="preserve">EXR
</t>
        </r>
        <r>
          <rPr>
            <sz val="9"/>
            <color indexed="81"/>
            <rFont val="Tahoma"/>
            <family val="2"/>
          </rPr>
          <t>Exchange rate.</t>
        </r>
      </text>
    </comment>
    <comment ref="C8" authorId="0" shapeId="0" xr:uid="{5EB076FA-DF7C-47B2-91C6-DC3C52A46885}">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O8" authorId="0" shapeId="0" xr:uid="{8EA8A7CC-A7DA-49C2-8F83-59A9251FAC16}">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Y8" authorId="0" shapeId="0" xr:uid="{3DAC1CE6-6F0E-4B13-B78F-11E3D315444B}">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K8" authorId="0" shapeId="0" xr:uid="{FD0C0002-C84E-457B-A534-BF766EC4E76B}">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W8" authorId="0" shapeId="0" xr:uid="{0F337A72-B157-4F0D-99F8-B9ECA6228BB2}">
      <text>
        <r>
          <rPr>
            <b/>
            <sz val="9"/>
            <color indexed="81"/>
            <rFont val="Tahoma"/>
            <family val="2"/>
          </rPr>
          <t xml:space="preserve">FSAV
</t>
        </r>
        <r>
          <rPr>
            <sz val="9"/>
            <color indexed="81"/>
            <rFont val="Tahoma"/>
            <family val="2"/>
          </rPr>
          <t>Foreign savings.</t>
        </r>
      </text>
    </comment>
    <comment ref="C9" authorId="0" shapeId="0" xr:uid="{9FD9FCD0-A35A-40F5-9CDA-046521703D71}">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O9" authorId="0" shapeId="0" xr:uid="{642585CF-E576-404A-9A66-5B670F36E9C7}">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Y9" authorId="0" shapeId="0" xr:uid="{039173F8-7870-4694-8CEC-8D45D3DCA367}">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K9" authorId="0" shapeId="0" xr:uid="{B6066E60-EBC4-48EB-AF67-6DA703D9D835}">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W9" authorId="0" shapeId="0" xr:uid="{D42193DF-B8C5-4A6D-8B2F-CB86A0277326}">
      <text>
        <r>
          <rPr>
            <b/>
            <sz val="9"/>
            <color indexed="81"/>
            <rFont val="Tahoma"/>
            <family val="2"/>
          </rPr>
          <t xml:space="preserve">IADJ
</t>
        </r>
        <r>
          <rPr>
            <sz val="9"/>
            <color indexed="81"/>
            <rFont val="Tahoma"/>
            <family val="2"/>
          </rPr>
          <t xml:space="preserve">Gross fixed capital formation.
</t>
        </r>
      </text>
    </comment>
    <comment ref="AW10" authorId="0" shapeId="0" xr:uid="{C0CD21B1-B437-45DF-B22F-74B6CE1C2F75}">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BB36452D-BDF5-406B-B1D4-BD09F3A3D3FB}">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F9C3F306-FD01-4D21-BD9B-E35C9A72355A}">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0D777327-C3D3-4EA4-9E57-0E7BC9437A08}">
      <text>
        <r>
          <rPr>
            <b/>
            <sz val="9"/>
            <color indexed="81"/>
            <rFont val="Tahoma"/>
            <family val="2"/>
          </rPr>
          <t xml:space="preserve">GADJ
</t>
        </r>
        <r>
          <rPr>
            <sz val="9"/>
            <color indexed="81"/>
            <rFont val="Tahoma"/>
            <family val="2"/>
          </rPr>
          <t>Government consumption spending.</t>
        </r>
      </text>
    </comment>
    <comment ref="AW14" authorId="0" shapeId="0" xr:uid="{176C681A-E921-43F5-A5F4-13B1501A5E8C}">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DDB4287E-FFCE-4B42-B7BC-3516B609040A}">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E023D5CE-5D35-4A0E-B9DA-EC4601357250}">
      <text>
        <r>
          <rPr>
            <b/>
            <sz val="9"/>
            <color indexed="81"/>
            <rFont val="Tahoma"/>
            <family val="2"/>
          </rPr>
          <t xml:space="preserve">trnsi
</t>
        </r>
        <r>
          <rPr>
            <sz val="9"/>
            <color indexed="81"/>
            <rFont val="Tahoma"/>
            <family val="2"/>
          </rPr>
          <t>Rest of the world transfers to government</t>
        </r>
      </text>
    </comment>
    <comment ref="AW17" authorId="0" shapeId="0" xr:uid="{C8F58B5D-AE81-4609-A788-B0DD6BABBF50}">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5791225E-B092-49BF-8436-AA7DF8FE7CFE}">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DEE3B8B0-E8A2-46A6-9ACB-AFFA06C02155}">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0E801D92-E7EA-47E5-AFE1-DDC38D0D4E95}">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8EF11136-1EA1-4F37-A781-78BBFB289031}">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1BD6532F-C165-4136-93E4-BD6AC885AB55}">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19EAFE47-17CA-4486-862F-7C05F0A81892}">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 ref="AW24" authorId="0" shapeId="0" xr:uid="{FFF7677E-1081-4974-A0B4-B5EB98929179}">
      <text>
        <r>
          <rPr>
            <b/>
            <sz val="9"/>
            <color indexed="81"/>
            <rFont val="Tahoma"/>
            <family val="2"/>
          </rPr>
          <t xml:space="preserve">DRATE
</t>
        </r>
        <r>
          <rPr>
            <sz val="9"/>
            <color indexed="81"/>
            <rFont val="Tahoma"/>
            <family val="2"/>
          </rPr>
          <t>Annual depreciation rate for capital stocks across all sectors.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288F3E34-B775-45B7-9305-CCB8754043BC}">
      <text>
        <r>
          <rPr>
            <b/>
            <sz val="9"/>
            <color indexed="81"/>
            <rFont val="Tahoma"/>
            <family val="2"/>
          </rPr>
          <t>alphava</t>
        </r>
        <r>
          <rPr>
            <sz val="9"/>
            <color indexed="81"/>
            <rFont val="Tahoma"/>
            <family val="2"/>
          </rPr>
          <t xml:space="preserve">
Total factor productivity.
</t>
        </r>
      </text>
    </comment>
    <comment ref="AY4" authorId="0" shapeId="0" xr:uid="{B3DDFFC5-270F-48A2-84BD-68ED60783334}">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Z4" authorId="0" shapeId="0" xr:uid="{526E16E4-8603-43B2-8686-2CCAC4735635}">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BA4" authorId="0" shapeId="0" xr:uid="{3E396E65-151B-4AB9-B81A-87741EB5D082}">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BB4" authorId="0" shapeId="0" xr:uid="{873D8C2B-0410-4747-8027-9D0CF4ACA5DF}">
      <text>
        <r>
          <rPr>
            <b/>
            <sz val="9"/>
            <color indexed="81"/>
            <rFont val="Tahoma"/>
            <family val="2"/>
          </rPr>
          <t>Type of shock</t>
        </r>
        <r>
          <rPr>
            <sz val="9"/>
            <color indexed="81"/>
            <rFont val="Tahoma"/>
            <family val="2"/>
          </rPr>
          <t xml:space="preserve">
  1 = multiplicative
  2 = additive</t>
        </r>
      </text>
    </comment>
    <comment ref="D5" authorId="0" shapeId="0" xr:uid="{AA3605D3-FCFC-4991-928C-F990F2F8B333}">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B2AD7BCE-4DC6-4D2F-88EB-F95DFE40266B}">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3269A575-F3E0-4FF0-B7C5-46E42D910864}">
      <text>
        <r>
          <rPr>
            <b/>
            <sz val="9"/>
            <color indexed="81"/>
            <rFont val="Tahoma"/>
            <family val="2"/>
          </rPr>
          <t>TE</t>
        </r>
        <r>
          <rPr>
            <sz val="9"/>
            <color indexed="81"/>
            <rFont val="Tahoma"/>
            <family val="2"/>
          </rPr>
          <t xml:space="preserve">
Export tax rates</t>
        </r>
      </text>
    </comment>
    <comment ref="G5" authorId="0" shapeId="0" xr:uid="{5E5A7574-F1E0-492A-9E10-5A334E8C56B3}">
      <text>
        <r>
          <rPr>
            <b/>
            <sz val="9"/>
            <color indexed="81"/>
            <rFont val="Tahoma"/>
            <family val="2"/>
          </rPr>
          <t>TM</t>
        </r>
        <r>
          <rPr>
            <sz val="9"/>
            <color indexed="81"/>
            <rFont val="Tahoma"/>
            <family val="2"/>
          </rPr>
          <t xml:space="preserve">
Import tariff rates</t>
        </r>
      </text>
    </comment>
    <comment ref="H5" authorId="0" shapeId="0" xr:uid="{ACD5A229-829C-453F-B2DF-411064C1CBAC}">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F29B1173-F6F1-4071-8561-7F03006B34FC}">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2CF76CBD-8FB9-4B23-B196-9D63E069E961}">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41108E7D-24D6-462B-9951-172997ACA165}">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1BB78C07-D7CA-4E9B-867C-D98224FF227E}">
      <text>
        <r>
          <rPr>
            <b/>
            <sz val="9"/>
            <color indexed="81"/>
            <rFont val="Tahoma"/>
            <family val="2"/>
          </rPr>
          <t xml:space="preserve">Commodity tax adjustment:
  </t>
        </r>
        <r>
          <rPr>
            <sz val="9"/>
            <color indexed="81"/>
            <rFont val="Tahoma"/>
            <family val="2"/>
          </rPr>
          <t xml:space="preserve">1 = Allow commodity tax to adjust.
  0 = Do not allow commodity tax to adjust.
  Note: Same rule applied to TE, TM, and TQ.
</t>
        </r>
      </text>
    </comment>
    <comment ref="Q5" authorId="0" shapeId="0" xr:uid="{44BAB231-669B-4264-A710-8ECC081B8EE1}">
      <text>
        <r>
          <rPr>
            <b/>
            <sz val="9"/>
            <color indexed="81"/>
            <rFont val="Tahoma"/>
            <family val="2"/>
          </rPr>
          <t>TA</t>
        </r>
        <r>
          <rPr>
            <sz val="9"/>
            <color indexed="81"/>
            <rFont val="Tahoma"/>
            <family val="2"/>
          </rPr>
          <t xml:space="preserve">
Indirect taxes on total activity production value.</t>
        </r>
      </text>
    </comment>
    <comment ref="R5" authorId="0" shapeId="0" xr:uid="{5417AB43-FB30-447F-AF01-DAFD80099E2F}">
      <text>
        <r>
          <rPr>
            <b/>
            <sz val="9"/>
            <color indexed="81"/>
            <rFont val="Tahoma"/>
            <family val="2"/>
          </rPr>
          <t xml:space="preserve">TVA </t>
        </r>
        <r>
          <rPr>
            <sz val="9"/>
            <color indexed="81"/>
            <rFont val="Tahoma"/>
            <family val="2"/>
          </rPr>
          <t xml:space="preserve">
Indirect taxes on activity value-added.</t>
        </r>
      </text>
    </comment>
    <comment ref="S5" authorId="0" shapeId="0" xr:uid="{CAA39104-7578-4187-9910-C3C68F97D888}">
      <text>
        <r>
          <rPr>
            <b/>
            <sz val="9"/>
            <color indexed="81"/>
            <rFont val="Tahoma"/>
            <family val="2"/>
          </rPr>
          <t xml:space="preserve">Capital mobility assumption: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0DB7DEF8-85E2-41B9-80BE-51853D7BEEF6}">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1E22F197-7CD7-4B23-89BD-E7433A9564B4}">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A81DE894-E19C-43F5-88A9-2689468AED54}">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E661C179-D807-496C-8262-D8BF5BC546C8}">
      <text>
        <r>
          <rPr>
            <b/>
            <sz val="9"/>
            <color indexed="81"/>
            <rFont val="Tahoma"/>
            <family val="2"/>
          </rPr>
          <t>WF</t>
        </r>
        <r>
          <rPr>
            <sz val="9"/>
            <color indexed="81"/>
            <rFont val="Tahoma"/>
            <family val="2"/>
          </rPr>
          <t xml:space="preserve">
Economywide wage rate.</t>
        </r>
      </text>
    </comment>
    <comment ref="AA5" authorId="0" shapeId="0" xr:uid="{6BE76DA5-8712-468E-8591-C41683C1E01D}">
      <text>
        <r>
          <rPr>
            <b/>
            <sz val="9"/>
            <color indexed="81"/>
            <rFont val="Tahoma"/>
            <family val="2"/>
          </rPr>
          <t xml:space="preserve">QFS
</t>
        </r>
        <r>
          <rPr>
            <sz val="9"/>
            <color indexed="81"/>
            <rFont val="Tahoma"/>
            <family val="2"/>
          </rPr>
          <t>Total factor supply quantity.</t>
        </r>
      </text>
    </comment>
    <comment ref="AB5" authorId="0" shapeId="0" xr:uid="{48D33076-779A-4202-A33A-2FF83FC9D33B}">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9CB56F90-F2B7-465F-AE1F-2B13AD221C18}">
      <text>
        <r>
          <rPr>
            <b/>
            <sz val="9"/>
            <color indexed="81"/>
            <rFont val="Tahoma"/>
            <family val="2"/>
          </rPr>
          <t>TF</t>
        </r>
        <r>
          <rPr>
            <sz val="9"/>
            <color indexed="81"/>
            <rFont val="Tahoma"/>
            <family val="2"/>
          </rPr>
          <t xml:space="preserve">
Direct tax on total factor earnings.</t>
        </r>
      </text>
    </comment>
    <comment ref="AD5" authorId="0" shapeId="0" xr:uid="{58EF2D8E-CD10-4B38-B74F-F018E9771542}">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45309528-12C2-435F-896C-800725CC98E0}">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62AF2418-1825-457E-88D5-CD64280AA19D}">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E3210333-D3D3-4BC0-812F-A9570E43A08B}">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A017D659-97E9-4B58-9511-4075C83323C2}">
      <text>
        <r>
          <rPr>
            <b/>
            <sz val="9"/>
            <color indexed="81"/>
            <rFont val="Tahoma"/>
            <family val="2"/>
          </rPr>
          <t xml:space="preserve">Factor tax adjustment:
  </t>
        </r>
        <r>
          <rPr>
            <sz val="9"/>
            <color indexed="81"/>
            <rFont val="Tahoma"/>
            <family val="2"/>
          </rPr>
          <t>1 = Allow factor tax to adjust.
  2 = Do not allow factor tax to adjust.</t>
        </r>
      </text>
    </comment>
    <comment ref="AL5" authorId="0" shapeId="0" xr:uid="{D8B0B752-9E04-47FD-8A68-9AAFEB30803C}">
      <text>
        <r>
          <rPr>
            <b/>
            <sz val="9"/>
            <color indexed="81"/>
            <rFont val="Tahoma"/>
            <family val="2"/>
          </rPr>
          <t xml:space="preserve">HPOP
</t>
        </r>
        <r>
          <rPr>
            <sz val="9"/>
            <color indexed="81"/>
            <rFont val="Tahoma"/>
            <family val="2"/>
          </rPr>
          <t>Household population.</t>
        </r>
      </text>
    </comment>
    <comment ref="AM5" authorId="0" shapeId="0" xr:uid="{AF74391D-099E-4861-AD1A-EC2823993A15}">
      <text>
        <r>
          <rPr>
            <b/>
            <sz val="9"/>
            <color indexed="81"/>
            <rFont val="Tahoma"/>
            <family val="2"/>
          </rPr>
          <t xml:space="preserve">MPS
</t>
        </r>
        <r>
          <rPr>
            <sz val="9"/>
            <color indexed="81"/>
            <rFont val="Tahoma"/>
            <family val="2"/>
          </rPr>
          <t>Marginal propensity to save (households and enterprises).</t>
        </r>
      </text>
    </comment>
    <comment ref="AN5" authorId="0" shapeId="0" xr:uid="{A29FAFA5-AC53-4452-B478-0C9782B7AEB9}">
      <text>
        <r>
          <rPr>
            <b/>
            <sz val="9"/>
            <color indexed="81"/>
            <rFont val="Tahoma"/>
            <family val="2"/>
          </rPr>
          <t xml:space="preserve">TINS
</t>
        </r>
        <r>
          <rPr>
            <sz val="9"/>
            <color indexed="81"/>
            <rFont val="Tahoma"/>
            <family val="2"/>
          </rPr>
          <t>Institution direct tax rate (households and enterprises).</t>
        </r>
      </text>
    </comment>
    <comment ref="AO5" authorId="0" shapeId="0" xr:uid="{3571A64F-718B-42E8-919F-38BA2DCA0D6E}">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A8F0C6D9-042B-4EC1-AC1E-DD8ECF988599}">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BDE95A38-798A-432F-8C62-5F3698878AE2}">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EAC64548-548B-45E0-9759-2E72F0BAC0BA}">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D0782561-D145-4B57-9BDD-CEC9FBB05577}">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60E31CED-EB14-428C-81D4-AA911114C34D}">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C2E86DD9-A0C8-49A1-9486-D3FECE94B681}">
      <text>
        <r>
          <rPr>
            <b/>
            <sz val="9"/>
            <color indexed="81"/>
            <rFont val="Tahoma"/>
            <family val="2"/>
          </rPr>
          <t xml:space="preserve">EXR
</t>
        </r>
        <r>
          <rPr>
            <sz val="9"/>
            <color indexed="81"/>
            <rFont val="Tahoma"/>
            <family val="2"/>
          </rPr>
          <t>Exchange rate.</t>
        </r>
      </text>
    </comment>
    <comment ref="C8" authorId="0" shapeId="0" xr:uid="{774AC1A7-8C49-4C6E-8D3E-F2C65F0C7E78}">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O8" authorId="0" shapeId="0" xr:uid="{B10D2306-9D67-47E0-93DA-FB810E935272}">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Y8" authorId="0" shapeId="0" xr:uid="{A4567612-E795-42D0-A219-E34866402A86}">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K8" authorId="0" shapeId="0" xr:uid="{2A97DD6E-F5F5-4450-8AED-CA9A7EC97C38}">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W8" authorId="0" shapeId="0" xr:uid="{263EB675-FD15-42CC-8B5F-C47F310FDD5D}">
      <text>
        <r>
          <rPr>
            <b/>
            <sz val="9"/>
            <color indexed="81"/>
            <rFont val="Tahoma"/>
            <family val="2"/>
          </rPr>
          <t xml:space="preserve">FSAV
</t>
        </r>
        <r>
          <rPr>
            <sz val="9"/>
            <color indexed="81"/>
            <rFont val="Tahoma"/>
            <family val="2"/>
          </rPr>
          <t>Foreign savings.</t>
        </r>
      </text>
    </comment>
    <comment ref="C9" authorId="0" shapeId="0" xr:uid="{C75D2E4B-C4E8-4D1D-985D-F78EB186FFC3}">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O9" authorId="0" shapeId="0" xr:uid="{0DE60DCB-FA35-4711-9F0D-074F17E834D2}">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Y9" authorId="0" shapeId="0" xr:uid="{8B0914D1-A704-48DA-9A54-E0571710A88D}">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K9" authorId="0" shapeId="0" xr:uid="{614998EC-725A-48B1-A19C-003C467D13C2}">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W9" authorId="0" shapeId="0" xr:uid="{F1AB65BE-8C0F-4ECB-91C9-AC589DABFC25}">
      <text>
        <r>
          <rPr>
            <b/>
            <sz val="9"/>
            <color indexed="81"/>
            <rFont val="Tahoma"/>
            <family val="2"/>
          </rPr>
          <t xml:space="preserve">IADJ
</t>
        </r>
        <r>
          <rPr>
            <sz val="9"/>
            <color indexed="81"/>
            <rFont val="Tahoma"/>
            <family val="2"/>
          </rPr>
          <t xml:space="preserve">Gross fixed capital formation.
</t>
        </r>
      </text>
    </comment>
    <comment ref="AW10" authorId="0" shapeId="0" xr:uid="{3874E44A-DD7A-4018-8D41-3AE8E2C45A36}">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B4EF6C00-F669-4866-9CE7-218E64EF7706}">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BFED68A7-628A-4041-8EBD-DEBF6A39EC6F}">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F50DF65B-1187-427C-A591-2A6E0D3EB182}">
      <text>
        <r>
          <rPr>
            <b/>
            <sz val="9"/>
            <color indexed="81"/>
            <rFont val="Tahoma"/>
            <family val="2"/>
          </rPr>
          <t xml:space="preserve">GADJ
</t>
        </r>
        <r>
          <rPr>
            <sz val="9"/>
            <color indexed="81"/>
            <rFont val="Tahoma"/>
            <family val="2"/>
          </rPr>
          <t>Government consumption spending.</t>
        </r>
      </text>
    </comment>
    <comment ref="AW14" authorId="0" shapeId="0" xr:uid="{54D405A5-39DC-4BD4-8B7C-A15D73871552}">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B1B2B096-20B5-414F-B4FE-BF233983F9B7}">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C30A64CE-742A-423C-B206-9A85A6BABC52}">
      <text>
        <r>
          <rPr>
            <b/>
            <sz val="9"/>
            <color indexed="81"/>
            <rFont val="Tahoma"/>
            <family val="2"/>
          </rPr>
          <t xml:space="preserve">trnsi
</t>
        </r>
        <r>
          <rPr>
            <sz val="9"/>
            <color indexed="81"/>
            <rFont val="Tahoma"/>
            <family val="2"/>
          </rPr>
          <t>Rest of the world transfers to government</t>
        </r>
      </text>
    </comment>
    <comment ref="AW17" authorId="0" shapeId="0" xr:uid="{7E871123-DC58-4DC6-9514-87E47AAC6F3F}">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752AE11D-9B12-40B0-9AB3-E4F612882247}">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89AF3D45-7C34-4830-B5F2-EDE9E6039658}">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EAA4206C-9ECA-4190-A5A2-62742D3BC4BF}">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E83BEC93-0DD1-4F73-8979-BF64D8B761B4}">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9DA00282-CDF4-420D-9826-D55DC39EC1D6}">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D9111C75-6F0F-4C5A-88F8-B0F046CF16A1}">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 ref="AW24" authorId="0" shapeId="0" xr:uid="{45B59DA3-8151-421E-9C62-693270BF3209}">
      <text>
        <r>
          <rPr>
            <b/>
            <sz val="9"/>
            <color indexed="81"/>
            <rFont val="Tahoma"/>
            <family val="2"/>
          </rPr>
          <t xml:space="preserve">DRATE
</t>
        </r>
        <r>
          <rPr>
            <sz val="9"/>
            <color indexed="81"/>
            <rFont val="Tahoma"/>
            <family val="2"/>
          </rPr>
          <t>Annual depreciation rate for capital stocks across all sectors.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A91164AE-0FC2-469C-8F48-A274D3E0A7DE}">
      <text>
        <r>
          <rPr>
            <b/>
            <sz val="9"/>
            <color indexed="81"/>
            <rFont val="Tahoma"/>
            <family val="2"/>
          </rPr>
          <t>alphava</t>
        </r>
        <r>
          <rPr>
            <sz val="9"/>
            <color indexed="81"/>
            <rFont val="Tahoma"/>
            <family val="2"/>
          </rPr>
          <t xml:space="preserve">
Total factor productivity.
</t>
        </r>
      </text>
    </comment>
    <comment ref="AY4" authorId="0" shapeId="0" xr:uid="{57C661F0-683A-4A00-B133-B1A625DAEDEC}">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Z4" authorId="0" shapeId="0" xr:uid="{616844CD-D757-4ECE-9CB6-8F75856680B3}">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BA4" authorId="0" shapeId="0" xr:uid="{60F24B26-B711-45E0-B34D-C4E50B95FD4E}">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BB4" authorId="0" shapeId="0" xr:uid="{B6FAC3A5-2048-403E-AAD1-A9AEA945282D}">
      <text>
        <r>
          <rPr>
            <b/>
            <sz val="9"/>
            <color indexed="81"/>
            <rFont val="Tahoma"/>
            <family val="2"/>
          </rPr>
          <t>Type of shock</t>
        </r>
        <r>
          <rPr>
            <sz val="9"/>
            <color indexed="81"/>
            <rFont val="Tahoma"/>
            <family val="2"/>
          </rPr>
          <t xml:space="preserve">
  1 = multiplicative
  2 = additive</t>
        </r>
      </text>
    </comment>
    <comment ref="D5" authorId="0" shapeId="0" xr:uid="{057C3E3D-846D-461F-9160-CF7490B325E1}">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B45DCF10-0803-4416-B5A7-589FD81B46C6}">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BD80DFB1-ACF3-43F6-8A10-1F2BB976C23F}">
      <text>
        <r>
          <rPr>
            <b/>
            <sz val="9"/>
            <color indexed="81"/>
            <rFont val="Tahoma"/>
            <family val="2"/>
          </rPr>
          <t>TE</t>
        </r>
        <r>
          <rPr>
            <sz val="9"/>
            <color indexed="81"/>
            <rFont val="Tahoma"/>
            <family val="2"/>
          </rPr>
          <t xml:space="preserve">
Export tax rates</t>
        </r>
      </text>
    </comment>
    <comment ref="G5" authorId="0" shapeId="0" xr:uid="{58238C87-6077-40B8-9727-13C9FD04298A}">
      <text>
        <r>
          <rPr>
            <b/>
            <sz val="9"/>
            <color indexed="81"/>
            <rFont val="Tahoma"/>
            <family val="2"/>
          </rPr>
          <t>TM</t>
        </r>
        <r>
          <rPr>
            <sz val="9"/>
            <color indexed="81"/>
            <rFont val="Tahoma"/>
            <family val="2"/>
          </rPr>
          <t xml:space="preserve">
Import tariff rates</t>
        </r>
      </text>
    </comment>
    <comment ref="H5" authorId="0" shapeId="0" xr:uid="{0588F27F-5813-4C62-8284-F146E479776A}">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10947BFF-437E-4A1C-BD7A-7DC38E231640}">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1413AAE2-74F7-4B5D-BE8C-95E44382A4B2}">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ADC2655C-4946-451B-AF6B-434EA7D67A54}">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F171C37C-D27E-4B95-9284-68209D9A8053}">
      <text>
        <r>
          <rPr>
            <b/>
            <sz val="9"/>
            <color indexed="81"/>
            <rFont val="Tahoma"/>
            <family val="2"/>
          </rPr>
          <t xml:space="preserve">Commodity tax adjustment:
  </t>
        </r>
        <r>
          <rPr>
            <sz val="9"/>
            <color indexed="81"/>
            <rFont val="Tahoma"/>
            <family val="2"/>
          </rPr>
          <t xml:space="preserve">1 = Allow commodity tax to adjust.
  0 = Do not allow commodity tax to adjust.
  Note: Same rule applied to TE, TM, and TQ.
</t>
        </r>
      </text>
    </comment>
    <comment ref="Q5" authorId="0" shapeId="0" xr:uid="{68FA524B-2011-4848-8EA8-C1C6F18C40A6}">
      <text>
        <r>
          <rPr>
            <b/>
            <sz val="9"/>
            <color indexed="81"/>
            <rFont val="Tahoma"/>
            <family val="2"/>
          </rPr>
          <t>TA</t>
        </r>
        <r>
          <rPr>
            <sz val="9"/>
            <color indexed="81"/>
            <rFont val="Tahoma"/>
            <family val="2"/>
          </rPr>
          <t xml:space="preserve">
Indirect taxes on total activity production value.</t>
        </r>
      </text>
    </comment>
    <comment ref="R5" authorId="0" shapeId="0" xr:uid="{3DF264CF-2F31-46CF-86FF-F7168A2D7288}">
      <text>
        <r>
          <rPr>
            <b/>
            <sz val="9"/>
            <color indexed="81"/>
            <rFont val="Tahoma"/>
            <family val="2"/>
          </rPr>
          <t xml:space="preserve">TVA </t>
        </r>
        <r>
          <rPr>
            <sz val="9"/>
            <color indexed="81"/>
            <rFont val="Tahoma"/>
            <family val="2"/>
          </rPr>
          <t xml:space="preserve">
Indirect taxes on activity value-added.</t>
        </r>
      </text>
    </comment>
    <comment ref="S5" authorId="0" shapeId="0" xr:uid="{134FB3C3-1494-4D6C-8027-11620B0E2A8C}">
      <text>
        <r>
          <rPr>
            <b/>
            <sz val="9"/>
            <color indexed="81"/>
            <rFont val="Tahoma"/>
            <family val="2"/>
          </rPr>
          <t xml:space="preserve">Capital mobility assumption: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E99883DD-37D3-4A45-8A89-89FC425416E4}">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24B7D7EC-4680-46AE-9CD5-7168EDAB093C}">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09D65D60-ACC0-4E20-A2BA-506E0B4FCF02}">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8F57D0C0-E366-4296-9B43-97812AE152DF}">
      <text>
        <r>
          <rPr>
            <b/>
            <sz val="9"/>
            <color indexed="81"/>
            <rFont val="Tahoma"/>
            <family val="2"/>
          </rPr>
          <t>WF</t>
        </r>
        <r>
          <rPr>
            <sz val="9"/>
            <color indexed="81"/>
            <rFont val="Tahoma"/>
            <family val="2"/>
          </rPr>
          <t xml:space="preserve">
Economywide wage rate.</t>
        </r>
      </text>
    </comment>
    <comment ref="AA5" authorId="0" shapeId="0" xr:uid="{4130EE0B-0B45-4D55-9104-1E1DA56FA689}">
      <text>
        <r>
          <rPr>
            <b/>
            <sz val="9"/>
            <color indexed="81"/>
            <rFont val="Tahoma"/>
            <family val="2"/>
          </rPr>
          <t xml:space="preserve">QFS
</t>
        </r>
        <r>
          <rPr>
            <sz val="9"/>
            <color indexed="81"/>
            <rFont val="Tahoma"/>
            <family val="2"/>
          </rPr>
          <t>Total factor supply quantity.</t>
        </r>
      </text>
    </comment>
    <comment ref="AB5" authorId="0" shapeId="0" xr:uid="{668D2C08-26E1-4C45-A320-313269C48ABB}">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A844135A-09BF-42C1-A6F1-A612B2F9B5E7}">
      <text>
        <r>
          <rPr>
            <b/>
            <sz val="9"/>
            <color indexed="81"/>
            <rFont val="Tahoma"/>
            <family val="2"/>
          </rPr>
          <t>TF</t>
        </r>
        <r>
          <rPr>
            <sz val="9"/>
            <color indexed="81"/>
            <rFont val="Tahoma"/>
            <family val="2"/>
          </rPr>
          <t xml:space="preserve">
Direct tax on total factor earnings.</t>
        </r>
      </text>
    </comment>
    <comment ref="AD5" authorId="0" shapeId="0" xr:uid="{D8CDDB55-DA6A-488D-BBE7-2999962ADD0B}">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D405E7B1-D686-4D84-9C91-9E6E5AB06BDB}">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0C167D77-6982-4507-92FB-FBDC2A95D4A6}">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A87590DB-879C-43BD-A732-6469B213FB7B}">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3A3E2251-403D-4A39-851E-4A7E109D74F5}">
      <text>
        <r>
          <rPr>
            <b/>
            <sz val="9"/>
            <color indexed="81"/>
            <rFont val="Tahoma"/>
            <family val="2"/>
          </rPr>
          <t xml:space="preserve">Factor tax adjustment:
  </t>
        </r>
        <r>
          <rPr>
            <sz val="9"/>
            <color indexed="81"/>
            <rFont val="Tahoma"/>
            <family val="2"/>
          </rPr>
          <t>1 = Allow factor tax to adjust.
  2 = Do not allow factor tax to adjust.</t>
        </r>
      </text>
    </comment>
    <comment ref="AL5" authorId="0" shapeId="0" xr:uid="{6B836399-DC2D-4D9D-A27B-AEF0746FCF8E}">
      <text>
        <r>
          <rPr>
            <b/>
            <sz val="9"/>
            <color indexed="81"/>
            <rFont val="Tahoma"/>
            <family val="2"/>
          </rPr>
          <t xml:space="preserve">HPOP
</t>
        </r>
        <r>
          <rPr>
            <sz val="9"/>
            <color indexed="81"/>
            <rFont val="Tahoma"/>
            <family val="2"/>
          </rPr>
          <t>Household population.</t>
        </r>
      </text>
    </comment>
    <comment ref="AM5" authorId="0" shapeId="0" xr:uid="{D6EBE36B-F713-4E01-B337-E6CA7787FE6B}">
      <text>
        <r>
          <rPr>
            <b/>
            <sz val="9"/>
            <color indexed="81"/>
            <rFont val="Tahoma"/>
            <family val="2"/>
          </rPr>
          <t xml:space="preserve">MPS
</t>
        </r>
        <r>
          <rPr>
            <sz val="9"/>
            <color indexed="81"/>
            <rFont val="Tahoma"/>
            <family val="2"/>
          </rPr>
          <t>Marginal propensity to save (households and enterprises).</t>
        </r>
      </text>
    </comment>
    <comment ref="AN5" authorId="0" shapeId="0" xr:uid="{4B1D6996-0109-4379-84A6-113FF4EC0D40}">
      <text>
        <r>
          <rPr>
            <b/>
            <sz val="9"/>
            <color indexed="81"/>
            <rFont val="Tahoma"/>
            <family val="2"/>
          </rPr>
          <t xml:space="preserve">TINS
</t>
        </r>
        <r>
          <rPr>
            <sz val="9"/>
            <color indexed="81"/>
            <rFont val="Tahoma"/>
            <family val="2"/>
          </rPr>
          <t>Institution direct tax rate (households and enterprises).</t>
        </r>
      </text>
    </comment>
    <comment ref="AO5" authorId="0" shapeId="0" xr:uid="{28D9F44C-24E6-47D8-B0C7-D0DD95E5A85C}">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3EFC4BAF-D6F7-4E8B-922D-2074065BAD1D}">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7F5E3511-E05A-461E-9AD9-C87DD25F79C0}">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11615096-DC07-49F6-A0EB-033A48ED071C}">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B9BA4608-E14C-4FD4-AF7D-38BC36A21F02}">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91EC3356-1AEF-4BDD-ABC8-DE9124FFF5AF}">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6EA9CE18-FB50-478D-8FA5-136CFF1514B1}">
      <text>
        <r>
          <rPr>
            <b/>
            <sz val="9"/>
            <color indexed="81"/>
            <rFont val="Tahoma"/>
            <family val="2"/>
          </rPr>
          <t xml:space="preserve">EXR
</t>
        </r>
        <r>
          <rPr>
            <sz val="9"/>
            <color indexed="81"/>
            <rFont val="Tahoma"/>
            <family val="2"/>
          </rPr>
          <t>Exchange rate.</t>
        </r>
      </text>
    </comment>
    <comment ref="C8" authorId="0" shapeId="0" xr:uid="{CD118ABB-D9EE-46D5-AF23-07B5B30321BA}">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O8" authorId="0" shapeId="0" xr:uid="{5903372B-94E0-42A4-AAB5-2E13778AFD06}">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Y8" authorId="0" shapeId="0" xr:uid="{2D45B54E-97CA-4EB0-8D1F-D497BD1526C9}">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K8" authorId="0" shapeId="0" xr:uid="{3AB1B9A8-1E45-4A14-9DBD-EEF23D941FA3}">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W8" authorId="0" shapeId="0" xr:uid="{EC612D29-4704-47B4-87B4-0F1A07296CFA}">
      <text>
        <r>
          <rPr>
            <b/>
            <sz val="9"/>
            <color indexed="81"/>
            <rFont val="Tahoma"/>
            <family val="2"/>
          </rPr>
          <t xml:space="preserve">FSAV
</t>
        </r>
        <r>
          <rPr>
            <sz val="9"/>
            <color indexed="81"/>
            <rFont val="Tahoma"/>
            <family val="2"/>
          </rPr>
          <t>Foreign savings.</t>
        </r>
      </text>
    </comment>
    <comment ref="C9" authorId="0" shapeId="0" xr:uid="{547B52C5-128A-466D-A793-8245171860D8}">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O9" authorId="0" shapeId="0" xr:uid="{E4B1114B-F9B5-48DF-9047-CC4EC563671E}">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Y9" authorId="0" shapeId="0" xr:uid="{9F6E6F52-1650-44DD-848A-68A6DDE0B302}">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K9" authorId="0" shapeId="0" xr:uid="{FE722985-5DC6-494B-BBAE-85CDCC2369F0}">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W9" authorId="0" shapeId="0" xr:uid="{EC7DBBA7-6950-4693-ABBA-1461342FB14D}">
      <text>
        <r>
          <rPr>
            <b/>
            <sz val="9"/>
            <color indexed="81"/>
            <rFont val="Tahoma"/>
            <family val="2"/>
          </rPr>
          <t xml:space="preserve">IADJ
</t>
        </r>
        <r>
          <rPr>
            <sz val="9"/>
            <color indexed="81"/>
            <rFont val="Tahoma"/>
            <family val="2"/>
          </rPr>
          <t xml:space="preserve">Gross fixed capital formation.
</t>
        </r>
      </text>
    </comment>
    <comment ref="AW10" authorId="0" shapeId="0" xr:uid="{247EAD71-0E84-4CDA-828E-12F4B5D957AE}">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D19F2DD5-F26A-4486-BEE5-0F0A6EF97CF6}">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5E5EBA9C-FC97-486F-AA7E-764D64AB89FF}">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B81BF540-4CC1-4928-9C7C-DC083F6456BD}">
      <text>
        <r>
          <rPr>
            <b/>
            <sz val="9"/>
            <color indexed="81"/>
            <rFont val="Tahoma"/>
            <family val="2"/>
          </rPr>
          <t xml:space="preserve">GADJ
</t>
        </r>
        <r>
          <rPr>
            <sz val="9"/>
            <color indexed="81"/>
            <rFont val="Tahoma"/>
            <family val="2"/>
          </rPr>
          <t>Government consumption spending.</t>
        </r>
      </text>
    </comment>
    <comment ref="AW14" authorId="0" shapeId="0" xr:uid="{FD0F726D-4442-40A6-B2E2-1CF0595A9FC3}">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D6772A9D-57AC-4768-8BC3-5255125B24B4}">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FE6B29D9-ECB9-4274-BE10-D20C7AF71EC8}">
      <text>
        <r>
          <rPr>
            <b/>
            <sz val="9"/>
            <color indexed="81"/>
            <rFont val="Tahoma"/>
            <family val="2"/>
          </rPr>
          <t xml:space="preserve">trnsi
</t>
        </r>
        <r>
          <rPr>
            <sz val="9"/>
            <color indexed="81"/>
            <rFont val="Tahoma"/>
            <family val="2"/>
          </rPr>
          <t>Rest of the world transfers to government</t>
        </r>
      </text>
    </comment>
    <comment ref="AW17" authorId="0" shapeId="0" xr:uid="{AC69BEB5-098A-4D32-A866-3D6DCFD20AB6}">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6720B803-DCC7-4AEC-A802-8A56156B8D7B}">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B5ADFEF5-EB19-479D-8B8E-4F39941514EF}">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DDDC6B53-6030-4B24-90CF-62B06034A90A}">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DDB9301F-F1BD-4BA6-AB2D-55780C24C17F}">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4D550772-25E4-4FAF-927B-530FD4DD5CEF}">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F88CAC9E-08ED-4CBA-8DAB-F3C58B31D46E}">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 ref="AW24" authorId="0" shapeId="0" xr:uid="{8B8914D8-37A1-43A5-83BC-B7A8BB95BA07}">
      <text>
        <r>
          <rPr>
            <b/>
            <sz val="9"/>
            <color indexed="81"/>
            <rFont val="Tahoma"/>
            <family val="2"/>
          </rPr>
          <t xml:space="preserve">DRATE
</t>
        </r>
        <r>
          <rPr>
            <sz val="9"/>
            <color indexed="81"/>
            <rFont val="Tahoma"/>
            <family val="2"/>
          </rPr>
          <t>Annual depreciation rate for capital stocks across all sectors.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B6A8C8E9-5D18-4C86-B8B5-FA3B6FFD5956}">
      <text>
        <r>
          <rPr>
            <b/>
            <sz val="9"/>
            <color indexed="81"/>
            <rFont val="Tahoma"/>
            <family val="2"/>
          </rPr>
          <t>alphava</t>
        </r>
        <r>
          <rPr>
            <sz val="9"/>
            <color indexed="81"/>
            <rFont val="Tahoma"/>
            <family val="2"/>
          </rPr>
          <t xml:space="preserve">
Total factor productivity.
</t>
        </r>
      </text>
    </comment>
    <comment ref="AY4" authorId="0" shapeId="0" xr:uid="{572049ED-64E4-4BB6-9775-9BCBF48512BB}">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Z4" authorId="0" shapeId="0" xr:uid="{F629453D-4B3B-4B8E-879B-D208952DDB3A}">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BA4" authorId="0" shapeId="0" xr:uid="{BD687F1C-B085-481E-86B6-26B6C144BFBD}">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BB4" authorId="0" shapeId="0" xr:uid="{FFBDC63D-B82F-4C98-98B2-DDF7092855CF}">
      <text>
        <r>
          <rPr>
            <b/>
            <sz val="9"/>
            <color indexed="81"/>
            <rFont val="Tahoma"/>
            <family val="2"/>
          </rPr>
          <t>Type of shock</t>
        </r>
        <r>
          <rPr>
            <sz val="9"/>
            <color indexed="81"/>
            <rFont val="Tahoma"/>
            <family val="2"/>
          </rPr>
          <t xml:space="preserve">
  1 = multiplicative
  2 = additive</t>
        </r>
      </text>
    </comment>
    <comment ref="D5" authorId="0" shapeId="0" xr:uid="{4FC5D78C-0BC0-4FA4-927F-412A55D19950}">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968CF492-2384-433F-8DB7-0547563F8426}">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3611EFB8-EEFC-4EF0-AEAB-0A7580C0E391}">
      <text>
        <r>
          <rPr>
            <b/>
            <sz val="9"/>
            <color indexed="81"/>
            <rFont val="Tahoma"/>
            <family val="2"/>
          </rPr>
          <t>TE</t>
        </r>
        <r>
          <rPr>
            <sz val="9"/>
            <color indexed="81"/>
            <rFont val="Tahoma"/>
            <family val="2"/>
          </rPr>
          <t xml:space="preserve">
Export tax rates</t>
        </r>
      </text>
    </comment>
    <comment ref="G5" authorId="0" shapeId="0" xr:uid="{33BC57F1-8793-49BF-8F5B-00D004C6520F}">
      <text>
        <r>
          <rPr>
            <b/>
            <sz val="9"/>
            <color indexed="81"/>
            <rFont val="Tahoma"/>
            <family val="2"/>
          </rPr>
          <t>TM</t>
        </r>
        <r>
          <rPr>
            <sz val="9"/>
            <color indexed="81"/>
            <rFont val="Tahoma"/>
            <family val="2"/>
          </rPr>
          <t xml:space="preserve">
Import tariff rates</t>
        </r>
      </text>
    </comment>
    <comment ref="H5" authorId="0" shapeId="0" xr:uid="{75F57E79-9B5D-4EBA-956A-2C101A31CE29}">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2F4E37DB-AA87-4E66-9905-093AD54D9E36}">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245FD00D-493C-44B8-9986-355E24C0145B}">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290B6F3F-B474-4D8E-AC72-7254D0BBFAE7}">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AFA4F802-46D0-4426-BF7D-33044842891A}">
      <text>
        <r>
          <rPr>
            <b/>
            <sz val="9"/>
            <color indexed="81"/>
            <rFont val="Tahoma"/>
            <family val="2"/>
          </rPr>
          <t xml:space="preserve">Commodity tax adjustment:
  </t>
        </r>
        <r>
          <rPr>
            <sz val="9"/>
            <color indexed="81"/>
            <rFont val="Tahoma"/>
            <family val="2"/>
          </rPr>
          <t xml:space="preserve">1 = Allow commodity tax to adjust.
  0 = Do not allow commodity tax to adjust.
  Note: Same rule applied to TE, TM, and TQ.
</t>
        </r>
      </text>
    </comment>
    <comment ref="Q5" authorId="0" shapeId="0" xr:uid="{C5F0A78A-7AEB-4416-8FAC-2244500C4072}">
      <text>
        <r>
          <rPr>
            <b/>
            <sz val="9"/>
            <color indexed="81"/>
            <rFont val="Tahoma"/>
            <family val="2"/>
          </rPr>
          <t>TA</t>
        </r>
        <r>
          <rPr>
            <sz val="9"/>
            <color indexed="81"/>
            <rFont val="Tahoma"/>
            <family val="2"/>
          </rPr>
          <t xml:space="preserve">
Indirect taxes on total activity production value.</t>
        </r>
      </text>
    </comment>
    <comment ref="R5" authorId="0" shapeId="0" xr:uid="{77001D46-E0F0-48A5-9D25-3CF708F24E92}">
      <text>
        <r>
          <rPr>
            <b/>
            <sz val="9"/>
            <color indexed="81"/>
            <rFont val="Tahoma"/>
            <family val="2"/>
          </rPr>
          <t xml:space="preserve">TVA </t>
        </r>
        <r>
          <rPr>
            <sz val="9"/>
            <color indexed="81"/>
            <rFont val="Tahoma"/>
            <family val="2"/>
          </rPr>
          <t xml:space="preserve">
Indirect taxes on activity value-added.</t>
        </r>
      </text>
    </comment>
    <comment ref="S5" authorId="0" shapeId="0" xr:uid="{CA7660AF-F727-4898-B261-38170CECDEF6}">
      <text>
        <r>
          <rPr>
            <b/>
            <sz val="9"/>
            <color indexed="81"/>
            <rFont val="Tahoma"/>
            <family val="2"/>
          </rPr>
          <t xml:space="preserve">Capital mobility assumption: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F7C0CB94-9F77-47C2-BF79-B1DC2B9530D5}">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81684A78-E5FA-429C-8E74-CDDB556A435F}">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2B4FCE6D-8B73-4151-AF1F-1D2E2237A459}">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26B34CBF-C8F2-4C59-B827-EA91DF36412F}">
      <text>
        <r>
          <rPr>
            <b/>
            <sz val="9"/>
            <color indexed="81"/>
            <rFont val="Tahoma"/>
            <family val="2"/>
          </rPr>
          <t>WF</t>
        </r>
        <r>
          <rPr>
            <sz val="9"/>
            <color indexed="81"/>
            <rFont val="Tahoma"/>
            <family val="2"/>
          </rPr>
          <t xml:space="preserve">
Economywide wage rate.</t>
        </r>
      </text>
    </comment>
    <comment ref="AA5" authorId="0" shapeId="0" xr:uid="{3810593D-9C39-4D87-B377-A4A16658B6CA}">
      <text>
        <r>
          <rPr>
            <b/>
            <sz val="9"/>
            <color indexed="81"/>
            <rFont val="Tahoma"/>
            <family val="2"/>
          </rPr>
          <t xml:space="preserve">QFS
</t>
        </r>
        <r>
          <rPr>
            <sz val="9"/>
            <color indexed="81"/>
            <rFont val="Tahoma"/>
            <family val="2"/>
          </rPr>
          <t>Total factor supply quantity.</t>
        </r>
      </text>
    </comment>
    <comment ref="AB5" authorId="0" shapeId="0" xr:uid="{6251C7F0-209C-4F97-8FC6-3CB68B916CA4}">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9E1C4601-EAE9-4F11-B77D-2C7A14B2D72E}">
      <text>
        <r>
          <rPr>
            <b/>
            <sz val="9"/>
            <color indexed="81"/>
            <rFont val="Tahoma"/>
            <family val="2"/>
          </rPr>
          <t>TF</t>
        </r>
        <r>
          <rPr>
            <sz val="9"/>
            <color indexed="81"/>
            <rFont val="Tahoma"/>
            <family val="2"/>
          </rPr>
          <t xml:space="preserve">
Direct tax on total factor earnings.</t>
        </r>
      </text>
    </comment>
    <comment ref="AD5" authorId="0" shapeId="0" xr:uid="{B48B4345-0CFD-42DE-9571-89F68FC75D02}">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EB427602-6CD7-4E14-AF65-10B807C4B057}">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A9F74E5A-B5EC-4D61-9DB4-4DF1D7240827}">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A807A12A-3EAD-41A4-93CB-901FABB965F4}">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0EED958A-A7D9-4F3B-9E10-C38611AF46E6}">
      <text>
        <r>
          <rPr>
            <b/>
            <sz val="9"/>
            <color indexed="81"/>
            <rFont val="Tahoma"/>
            <family val="2"/>
          </rPr>
          <t xml:space="preserve">Factor tax adjustment:
  </t>
        </r>
        <r>
          <rPr>
            <sz val="9"/>
            <color indexed="81"/>
            <rFont val="Tahoma"/>
            <family val="2"/>
          </rPr>
          <t>1 = Allow factor tax to adjust.
  2 = Do not allow factor tax to adjust.</t>
        </r>
      </text>
    </comment>
    <comment ref="AL5" authorId="0" shapeId="0" xr:uid="{BAB09E9D-8D99-493E-8135-B86F70B3E6D8}">
      <text>
        <r>
          <rPr>
            <b/>
            <sz val="9"/>
            <color indexed="81"/>
            <rFont val="Tahoma"/>
            <family val="2"/>
          </rPr>
          <t xml:space="preserve">HPOP
</t>
        </r>
        <r>
          <rPr>
            <sz val="9"/>
            <color indexed="81"/>
            <rFont val="Tahoma"/>
            <family val="2"/>
          </rPr>
          <t>Household population.</t>
        </r>
      </text>
    </comment>
    <comment ref="AM5" authorId="0" shapeId="0" xr:uid="{E543ACE4-C71B-483A-B8B2-3822063EA336}">
      <text>
        <r>
          <rPr>
            <b/>
            <sz val="9"/>
            <color indexed="81"/>
            <rFont val="Tahoma"/>
            <family val="2"/>
          </rPr>
          <t xml:space="preserve">MPS
</t>
        </r>
        <r>
          <rPr>
            <sz val="9"/>
            <color indexed="81"/>
            <rFont val="Tahoma"/>
            <family val="2"/>
          </rPr>
          <t>Marginal propensity to save (households and enterprises).</t>
        </r>
      </text>
    </comment>
    <comment ref="AN5" authorId="0" shapeId="0" xr:uid="{974DFA1D-D3AD-4B7A-BBC6-C186E4D1DEC8}">
      <text>
        <r>
          <rPr>
            <b/>
            <sz val="9"/>
            <color indexed="81"/>
            <rFont val="Tahoma"/>
            <family val="2"/>
          </rPr>
          <t xml:space="preserve">TINS
</t>
        </r>
        <r>
          <rPr>
            <sz val="9"/>
            <color indexed="81"/>
            <rFont val="Tahoma"/>
            <family val="2"/>
          </rPr>
          <t>Institution direct tax rate (households and enterprises).</t>
        </r>
      </text>
    </comment>
    <comment ref="AO5" authorId="0" shapeId="0" xr:uid="{F457FDEA-B1D8-4E5A-A3C5-5570FD452A6C}">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B824C7E0-26C9-4EB8-893D-2E72ACDA356D}">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0379ED37-11FB-4589-90E6-E134AADCD5D8}">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D9DA5905-885B-4270-8E54-FA3730B0BF3E}">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32C139BF-A9E3-4704-8C92-5F6EC40ABADC}">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26FD999D-D3F7-40ED-9537-F752F62207AE}">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C27296B1-696A-4CA5-8224-F24E2422DF9A}">
      <text>
        <r>
          <rPr>
            <b/>
            <sz val="9"/>
            <color indexed="81"/>
            <rFont val="Tahoma"/>
            <family val="2"/>
          </rPr>
          <t xml:space="preserve">EXR
</t>
        </r>
        <r>
          <rPr>
            <sz val="9"/>
            <color indexed="81"/>
            <rFont val="Tahoma"/>
            <family val="2"/>
          </rPr>
          <t>Exchange rate.</t>
        </r>
      </text>
    </comment>
    <comment ref="C8" authorId="0" shapeId="0" xr:uid="{8DA97ED1-74C3-4D4F-AC66-32697F8A4EEB}">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O8" authorId="0" shapeId="0" xr:uid="{6852633E-C1C2-42D0-BF72-05536C4755E8}">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Y8" authorId="0" shapeId="0" xr:uid="{398DA475-3C42-4019-9FB6-7E039C6D87B3}">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K8" authorId="0" shapeId="0" xr:uid="{BD51097D-1BB8-48F6-8921-F335B3FD7BD9}">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W8" authorId="0" shapeId="0" xr:uid="{EDBCB1D2-6423-4B25-B24F-2A4518990CED}">
      <text>
        <r>
          <rPr>
            <b/>
            <sz val="9"/>
            <color indexed="81"/>
            <rFont val="Tahoma"/>
            <family val="2"/>
          </rPr>
          <t xml:space="preserve">FSAV
</t>
        </r>
        <r>
          <rPr>
            <sz val="9"/>
            <color indexed="81"/>
            <rFont val="Tahoma"/>
            <family val="2"/>
          </rPr>
          <t>Foreign savings.</t>
        </r>
      </text>
    </comment>
    <comment ref="C9" authorId="0" shapeId="0" xr:uid="{6926799E-8258-4710-B14E-09A77E6EFF7F}">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O9" authorId="0" shapeId="0" xr:uid="{93547CF5-04BD-4B9E-82F1-9F5B3EB646EF}">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Y9" authorId="0" shapeId="0" xr:uid="{6F759E09-9902-4468-8034-C1DF4CE2B199}">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K9" authorId="0" shapeId="0" xr:uid="{55EE9DC3-1D00-4AC5-BA2B-ABDE5B56BF61}">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W9" authorId="0" shapeId="0" xr:uid="{45BCCE2C-393F-4A2F-982D-C9C05D1F0E5C}">
      <text>
        <r>
          <rPr>
            <b/>
            <sz val="9"/>
            <color indexed="81"/>
            <rFont val="Tahoma"/>
            <family val="2"/>
          </rPr>
          <t xml:space="preserve">IADJ
</t>
        </r>
        <r>
          <rPr>
            <sz val="9"/>
            <color indexed="81"/>
            <rFont val="Tahoma"/>
            <family val="2"/>
          </rPr>
          <t xml:space="preserve">Gross fixed capital formation.
</t>
        </r>
      </text>
    </comment>
    <comment ref="AW10" authorId="0" shapeId="0" xr:uid="{A2F775A4-9D08-4121-B517-555AE4420B30}">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B5E09B5B-FBC1-409A-BA7E-F56866BB561E}">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A9832D2D-220F-4161-A43C-6E5975E59865}">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E0BB704E-06A4-4BCE-909D-6094A3E83AD7}">
      <text>
        <r>
          <rPr>
            <b/>
            <sz val="9"/>
            <color indexed="81"/>
            <rFont val="Tahoma"/>
            <family val="2"/>
          </rPr>
          <t xml:space="preserve">GADJ
</t>
        </r>
        <r>
          <rPr>
            <sz val="9"/>
            <color indexed="81"/>
            <rFont val="Tahoma"/>
            <family val="2"/>
          </rPr>
          <t>Government consumption spending.</t>
        </r>
      </text>
    </comment>
    <comment ref="AW14" authorId="0" shapeId="0" xr:uid="{6EFAE391-9E4D-4E48-848C-50BDC07FFB13}">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387767CD-AF59-4AE2-ADED-19C59D493D8E}">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C570F04C-6FB6-495D-89E8-B9FE6B1D0822}">
      <text>
        <r>
          <rPr>
            <b/>
            <sz val="9"/>
            <color indexed="81"/>
            <rFont val="Tahoma"/>
            <family val="2"/>
          </rPr>
          <t xml:space="preserve">trnsi
</t>
        </r>
        <r>
          <rPr>
            <sz val="9"/>
            <color indexed="81"/>
            <rFont val="Tahoma"/>
            <family val="2"/>
          </rPr>
          <t>Rest of the world transfers to government</t>
        </r>
      </text>
    </comment>
    <comment ref="AW17" authorId="0" shapeId="0" xr:uid="{2CD8BB7C-1A09-4CC1-BCE0-8D7DFA499745}">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5F87397D-93C9-471B-9EA3-2A14B59C1112}">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87D898E9-8336-4D82-8913-22483230983C}">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844CA644-F662-47E1-89BC-60E7CE133303}">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C55DAFD6-1A85-43D0-BAB7-FEF9BF3D0789}">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3501FC81-C140-49F1-92EF-59ED41F9CE5A}">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DB23BD88-23F0-440B-8134-7013423BC036}">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 ref="AW24" authorId="0" shapeId="0" xr:uid="{1F2DBBE8-8869-48C4-8EAC-AFE263FBDD0A}">
      <text>
        <r>
          <rPr>
            <b/>
            <sz val="9"/>
            <color indexed="81"/>
            <rFont val="Tahoma"/>
            <family val="2"/>
          </rPr>
          <t xml:space="preserve">DRATE
</t>
        </r>
        <r>
          <rPr>
            <sz val="9"/>
            <color indexed="81"/>
            <rFont val="Tahoma"/>
            <family val="2"/>
          </rPr>
          <t>Annual depreciation rate for capital stocks across all sectors.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B96FBB8A-20FE-45BB-B8BE-B6C3ADEAEFAD}">
      <text>
        <r>
          <rPr>
            <b/>
            <sz val="9"/>
            <color indexed="81"/>
            <rFont val="Tahoma"/>
            <family val="2"/>
          </rPr>
          <t>alphava</t>
        </r>
        <r>
          <rPr>
            <sz val="9"/>
            <color indexed="81"/>
            <rFont val="Tahoma"/>
            <family val="2"/>
          </rPr>
          <t xml:space="preserve">
Total factor productivity.
</t>
        </r>
      </text>
    </comment>
    <comment ref="AY4" authorId="0" shapeId="0" xr:uid="{8DEADA64-DF3C-405E-8DE9-9F92E5E9B14E}">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Z4" authorId="0" shapeId="0" xr:uid="{454F6C25-1DD7-4383-839D-D03FA51A624E}">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BA4" authorId="0" shapeId="0" xr:uid="{7997A860-99B9-42AF-8E55-DE2750106FE8}">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BB4" authorId="0" shapeId="0" xr:uid="{21EB4499-6229-4A43-A539-E24C2A464C16}">
      <text>
        <r>
          <rPr>
            <b/>
            <sz val="9"/>
            <color indexed="81"/>
            <rFont val="Tahoma"/>
            <family val="2"/>
          </rPr>
          <t>Type of shock</t>
        </r>
        <r>
          <rPr>
            <sz val="9"/>
            <color indexed="81"/>
            <rFont val="Tahoma"/>
            <family val="2"/>
          </rPr>
          <t xml:space="preserve">
  1 = multiplicative
  2 = additive</t>
        </r>
      </text>
    </comment>
    <comment ref="D5" authorId="0" shapeId="0" xr:uid="{AD8A17D1-21D6-4292-86A5-3D4BCBC5DE19}">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92ADB618-C927-4D9A-BAB0-D2FFCE78131C}">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2F1CC1A1-5187-487E-AE4D-240CD2115F94}">
      <text>
        <r>
          <rPr>
            <b/>
            <sz val="9"/>
            <color indexed="81"/>
            <rFont val="Tahoma"/>
            <family val="2"/>
          </rPr>
          <t>TE</t>
        </r>
        <r>
          <rPr>
            <sz val="9"/>
            <color indexed="81"/>
            <rFont val="Tahoma"/>
            <family val="2"/>
          </rPr>
          <t xml:space="preserve">
Export tax rates</t>
        </r>
      </text>
    </comment>
    <comment ref="G5" authorId="0" shapeId="0" xr:uid="{D2272CF2-52C1-42AE-B683-A2E28ABB784A}">
      <text>
        <r>
          <rPr>
            <b/>
            <sz val="9"/>
            <color indexed="81"/>
            <rFont val="Tahoma"/>
            <family val="2"/>
          </rPr>
          <t>TM</t>
        </r>
        <r>
          <rPr>
            <sz val="9"/>
            <color indexed="81"/>
            <rFont val="Tahoma"/>
            <family val="2"/>
          </rPr>
          <t xml:space="preserve">
Import tariff rates</t>
        </r>
      </text>
    </comment>
    <comment ref="H5" authorId="0" shapeId="0" xr:uid="{C15D7618-8F8D-4286-854C-843858283939}">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6A4DA836-52CF-44E5-92BC-A7D3D311CC85}">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4EF1B791-8949-48BB-8182-6F6EEF5BB1B2}">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5ABAFB4F-FB8F-4180-B7FC-4AA5D4D44305}">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3FB09EFE-1B50-4FE5-A9AB-66B95FFD889A}">
      <text>
        <r>
          <rPr>
            <b/>
            <sz val="9"/>
            <color indexed="81"/>
            <rFont val="Tahoma"/>
            <family val="2"/>
          </rPr>
          <t xml:space="preserve">Commodity tax adjustment:
  </t>
        </r>
        <r>
          <rPr>
            <sz val="9"/>
            <color indexed="81"/>
            <rFont val="Tahoma"/>
            <family val="2"/>
          </rPr>
          <t xml:space="preserve">1 = Allow commodity tax to adjust.
  0 = Do not allow commodity tax to adjust.
  Note: Same rule applied to TE, TM, and TQ.
</t>
        </r>
      </text>
    </comment>
    <comment ref="Q5" authorId="0" shapeId="0" xr:uid="{E336ACB8-6943-4B6F-A7DF-0ADC60B17D5F}">
      <text>
        <r>
          <rPr>
            <b/>
            <sz val="9"/>
            <color indexed="81"/>
            <rFont val="Tahoma"/>
            <family val="2"/>
          </rPr>
          <t>TA</t>
        </r>
        <r>
          <rPr>
            <sz val="9"/>
            <color indexed="81"/>
            <rFont val="Tahoma"/>
            <family val="2"/>
          </rPr>
          <t xml:space="preserve">
Indirect taxes on total activity production value.</t>
        </r>
      </text>
    </comment>
    <comment ref="R5" authorId="0" shapeId="0" xr:uid="{535CB055-7322-4523-A90E-EDF5BD1C9D24}">
      <text>
        <r>
          <rPr>
            <b/>
            <sz val="9"/>
            <color indexed="81"/>
            <rFont val="Tahoma"/>
            <family val="2"/>
          </rPr>
          <t xml:space="preserve">TVA </t>
        </r>
        <r>
          <rPr>
            <sz val="9"/>
            <color indexed="81"/>
            <rFont val="Tahoma"/>
            <family val="2"/>
          </rPr>
          <t xml:space="preserve">
Indirect taxes on activity value-added.</t>
        </r>
      </text>
    </comment>
    <comment ref="S5" authorId="0" shapeId="0" xr:uid="{41353D9C-39D9-4B96-8421-E31DA1910B30}">
      <text>
        <r>
          <rPr>
            <b/>
            <sz val="9"/>
            <color indexed="81"/>
            <rFont val="Tahoma"/>
            <family val="2"/>
          </rPr>
          <t xml:space="preserve">Capital mobility assumption: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E9462515-8F88-48AF-807E-F8204B902B44}">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75BA6CC4-9F2B-47D9-8BCD-446DB9EDF323}">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1CCE2A5A-8A6A-4297-9A7B-5E03B9EA0C4D}">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E6F4DA20-CA7F-4FB8-9A5E-3EE8CE3A06E7}">
      <text>
        <r>
          <rPr>
            <b/>
            <sz val="9"/>
            <color indexed="81"/>
            <rFont val="Tahoma"/>
            <family val="2"/>
          </rPr>
          <t>WF</t>
        </r>
        <r>
          <rPr>
            <sz val="9"/>
            <color indexed="81"/>
            <rFont val="Tahoma"/>
            <family val="2"/>
          </rPr>
          <t xml:space="preserve">
Economywide wage rate.</t>
        </r>
      </text>
    </comment>
    <comment ref="AA5" authorId="0" shapeId="0" xr:uid="{E61D7BD6-162D-42EF-ACF6-FB8204B76979}">
      <text>
        <r>
          <rPr>
            <b/>
            <sz val="9"/>
            <color indexed="81"/>
            <rFont val="Tahoma"/>
            <family val="2"/>
          </rPr>
          <t xml:space="preserve">QFS
</t>
        </r>
        <r>
          <rPr>
            <sz val="9"/>
            <color indexed="81"/>
            <rFont val="Tahoma"/>
            <family val="2"/>
          </rPr>
          <t>Total factor supply quantity.</t>
        </r>
      </text>
    </comment>
    <comment ref="AB5" authorId="0" shapeId="0" xr:uid="{B8904BF2-8CD2-424A-A0D7-193542014E4D}">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294B3D23-9362-4363-9D21-3A25E48054FE}">
      <text>
        <r>
          <rPr>
            <b/>
            <sz val="9"/>
            <color indexed="81"/>
            <rFont val="Tahoma"/>
            <family val="2"/>
          </rPr>
          <t>TF</t>
        </r>
        <r>
          <rPr>
            <sz val="9"/>
            <color indexed="81"/>
            <rFont val="Tahoma"/>
            <family val="2"/>
          </rPr>
          <t xml:space="preserve">
Direct tax on total factor earnings.</t>
        </r>
      </text>
    </comment>
    <comment ref="AD5" authorId="0" shapeId="0" xr:uid="{D71939E8-C356-48A5-86D3-CEA2042310A5}">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C114575F-EF4F-4530-B545-743071F8044A}">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8A0E11CC-B769-4F60-8658-00104B2177AC}">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73421EC6-6ECD-48BA-9188-BEB6F1082FF2}">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DAFB4A4D-B9B0-43C6-8A0A-5A43C2D14BE5}">
      <text>
        <r>
          <rPr>
            <b/>
            <sz val="9"/>
            <color indexed="81"/>
            <rFont val="Tahoma"/>
            <family val="2"/>
          </rPr>
          <t xml:space="preserve">Factor tax adjustment:
  </t>
        </r>
        <r>
          <rPr>
            <sz val="9"/>
            <color indexed="81"/>
            <rFont val="Tahoma"/>
            <family val="2"/>
          </rPr>
          <t>1 = Allow factor tax to adjust.
  2 = Do not allow factor tax to adjust.</t>
        </r>
      </text>
    </comment>
    <comment ref="AL5" authorId="0" shapeId="0" xr:uid="{ABFF051F-FEDC-4914-B374-084677C3BA42}">
      <text>
        <r>
          <rPr>
            <b/>
            <sz val="9"/>
            <color indexed="81"/>
            <rFont val="Tahoma"/>
            <family val="2"/>
          </rPr>
          <t xml:space="preserve">HPOP
</t>
        </r>
        <r>
          <rPr>
            <sz val="9"/>
            <color indexed="81"/>
            <rFont val="Tahoma"/>
            <family val="2"/>
          </rPr>
          <t>Household population.</t>
        </r>
      </text>
    </comment>
    <comment ref="AM5" authorId="0" shapeId="0" xr:uid="{2910BAC7-4387-4565-A218-535D8C6BAC0F}">
      <text>
        <r>
          <rPr>
            <b/>
            <sz val="9"/>
            <color indexed="81"/>
            <rFont val="Tahoma"/>
            <family val="2"/>
          </rPr>
          <t xml:space="preserve">MPS
</t>
        </r>
        <r>
          <rPr>
            <sz val="9"/>
            <color indexed="81"/>
            <rFont val="Tahoma"/>
            <family val="2"/>
          </rPr>
          <t>Marginal propensity to save (households and enterprises).</t>
        </r>
      </text>
    </comment>
    <comment ref="AN5" authorId="0" shapeId="0" xr:uid="{A5A034A8-777B-48D9-9BE0-E7E0C6A0257C}">
      <text>
        <r>
          <rPr>
            <b/>
            <sz val="9"/>
            <color indexed="81"/>
            <rFont val="Tahoma"/>
            <family val="2"/>
          </rPr>
          <t xml:space="preserve">TINS
</t>
        </r>
        <r>
          <rPr>
            <sz val="9"/>
            <color indexed="81"/>
            <rFont val="Tahoma"/>
            <family val="2"/>
          </rPr>
          <t>Institution direct tax rate (households and enterprises).</t>
        </r>
      </text>
    </comment>
    <comment ref="AO5" authorId="0" shapeId="0" xr:uid="{65BCD3F2-6231-4E71-98E9-DCCCB54D15BE}">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4118E5A1-D8F0-4038-BDDF-52B83F6555AA}">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8D3F8C25-D60B-4D3C-A292-CD66498A39CF}">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76C20491-819E-44D0-B842-5FB8B5383477}">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7466F276-2B83-40DA-A166-897DB4614B1D}">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48EEDAE5-9B51-4FB3-91B5-6A575DD295A2}">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F82AEB18-A5EF-4A81-8AFB-05F14247A528}">
      <text>
        <r>
          <rPr>
            <b/>
            <sz val="9"/>
            <color indexed="81"/>
            <rFont val="Tahoma"/>
            <family val="2"/>
          </rPr>
          <t xml:space="preserve">EXR
</t>
        </r>
        <r>
          <rPr>
            <sz val="9"/>
            <color indexed="81"/>
            <rFont val="Tahoma"/>
            <family val="2"/>
          </rPr>
          <t>Exchange rate.</t>
        </r>
      </text>
    </comment>
    <comment ref="C8" authorId="0" shapeId="0" xr:uid="{7F2A0221-041B-43C5-B4D9-F23A3651B0E6}">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O8" authorId="0" shapeId="0" xr:uid="{B332A711-0672-4029-863A-73610AEC6279}">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Y8" authorId="0" shapeId="0" xr:uid="{7DEAE911-AA8C-4D77-A894-554A61827FA7}">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K8" authorId="0" shapeId="0" xr:uid="{98DE63E4-9512-4BCE-8A9C-D40A6B29925C}">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W8" authorId="0" shapeId="0" xr:uid="{77F23E4E-FA5F-4CE3-8A8F-D895E14CCE07}">
      <text>
        <r>
          <rPr>
            <b/>
            <sz val="9"/>
            <color indexed="81"/>
            <rFont val="Tahoma"/>
            <family val="2"/>
          </rPr>
          <t xml:space="preserve">FSAV
</t>
        </r>
        <r>
          <rPr>
            <sz val="9"/>
            <color indexed="81"/>
            <rFont val="Tahoma"/>
            <family val="2"/>
          </rPr>
          <t>Foreign savings.</t>
        </r>
      </text>
    </comment>
    <comment ref="C9" authorId="0" shapeId="0" xr:uid="{E82BD1B7-8977-4668-9A20-6E20F8E7B6AD}">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O9" authorId="0" shapeId="0" xr:uid="{474D316B-5DDD-48E0-A9E2-64FE032B1F05}">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Y9" authorId="0" shapeId="0" xr:uid="{D87D5379-0763-48B8-9603-101DAC4F0FAF}">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K9" authorId="0" shapeId="0" xr:uid="{6AC6A928-ECB5-4EC0-9E9B-D1963C94F02B}">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W9" authorId="0" shapeId="0" xr:uid="{9F115A42-3011-4591-A986-D382E3D76BDF}">
      <text>
        <r>
          <rPr>
            <b/>
            <sz val="9"/>
            <color indexed="81"/>
            <rFont val="Tahoma"/>
            <family val="2"/>
          </rPr>
          <t xml:space="preserve">IADJ
</t>
        </r>
        <r>
          <rPr>
            <sz val="9"/>
            <color indexed="81"/>
            <rFont val="Tahoma"/>
            <family val="2"/>
          </rPr>
          <t xml:space="preserve">Gross fixed capital formation.
</t>
        </r>
      </text>
    </comment>
    <comment ref="AW10" authorId="0" shapeId="0" xr:uid="{1E42690B-41FE-4A71-AB26-DCCE1405B065}">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8BB8E9AC-7D73-40EE-9ECD-FFB2429C6126}">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DA198885-7454-484E-8D7E-1BD32C94D4C1}">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B00263F6-BFCB-4E3B-865B-080F81E1E1BA}">
      <text>
        <r>
          <rPr>
            <b/>
            <sz val="9"/>
            <color indexed="81"/>
            <rFont val="Tahoma"/>
            <family val="2"/>
          </rPr>
          <t xml:space="preserve">GADJ
</t>
        </r>
        <r>
          <rPr>
            <sz val="9"/>
            <color indexed="81"/>
            <rFont val="Tahoma"/>
            <family val="2"/>
          </rPr>
          <t>Government consumption spending.</t>
        </r>
      </text>
    </comment>
    <comment ref="AW14" authorId="0" shapeId="0" xr:uid="{5EC03962-AEB6-43EA-8CE2-5452C6DC875C}">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475BB37D-B4A4-41B8-BC26-93A41857B15D}">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402E5680-AC53-4CCD-A423-FE33455EACA3}">
      <text>
        <r>
          <rPr>
            <b/>
            <sz val="9"/>
            <color indexed="81"/>
            <rFont val="Tahoma"/>
            <family val="2"/>
          </rPr>
          <t xml:space="preserve">trnsi
</t>
        </r>
        <r>
          <rPr>
            <sz val="9"/>
            <color indexed="81"/>
            <rFont val="Tahoma"/>
            <family val="2"/>
          </rPr>
          <t>Rest of the world transfers to government</t>
        </r>
      </text>
    </comment>
    <comment ref="AW17" authorId="0" shapeId="0" xr:uid="{0A9413AC-B9C4-4F76-AA4B-A1F1D1047AAE}">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AA9885F4-0CC0-46F9-8817-A3861DCF480F}">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22E96EA7-D030-4E19-803A-88D1A90DA761}">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F0A3130E-C3DD-4A5F-8BB3-A28604ED74A7}">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60C67789-2EFE-4434-9980-A7B863CA7D51}">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6CBE1918-481E-47AE-85A3-C948BE782BDC}">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0D110F7B-CE0A-4412-AE46-8D06B7E0298F}">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 ref="AW24" authorId="0" shapeId="0" xr:uid="{C520573D-901F-46E2-BDF0-E180BD625F6E}">
      <text>
        <r>
          <rPr>
            <b/>
            <sz val="9"/>
            <color indexed="81"/>
            <rFont val="Tahoma"/>
            <family val="2"/>
          </rPr>
          <t xml:space="preserve">DRATE
</t>
        </r>
        <r>
          <rPr>
            <sz val="9"/>
            <color indexed="81"/>
            <rFont val="Tahoma"/>
            <family val="2"/>
          </rPr>
          <t>Annual depreciation rate for capital stocks across all sectors.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FA602FFD-95FE-49C3-A528-696B6EBA9814}">
      <text>
        <r>
          <rPr>
            <b/>
            <sz val="9"/>
            <color indexed="81"/>
            <rFont val="Tahoma"/>
            <family val="2"/>
          </rPr>
          <t>alphava</t>
        </r>
        <r>
          <rPr>
            <sz val="9"/>
            <color indexed="81"/>
            <rFont val="Tahoma"/>
            <family val="2"/>
          </rPr>
          <t xml:space="preserve">
Total factor productivity.
</t>
        </r>
      </text>
    </comment>
    <comment ref="AY4" authorId="0" shapeId="0" xr:uid="{C58B4994-3507-4DA1-82B3-79D54D83AE45}">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Z4" authorId="0" shapeId="0" xr:uid="{780654FA-24A8-4729-9C7D-621A832C1818}">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BA4" authorId="0" shapeId="0" xr:uid="{207C3565-C8FE-4CAB-90B7-04DD959534DF}">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BB4" authorId="0" shapeId="0" xr:uid="{564964F4-A9D0-4456-AC25-C7F6C02E9353}">
      <text>
        <r>
          <rPr>
            <b/>
            <sz val="9"/>
            <color indexed="81"/>
            <rFont val="Tahoma"/>
            <family val="2"/>
          </rPr>
          <t>Type of shock</t>
        </r>
        <r>
          <rPr>
            <sz val="9"/>
            <color indexed="81"/>
            <rFont val="Tahoma"/>
            <family val="2"/>
          </rPr>
          <t xml:space="preserve">
  1 = multiplicative
  2 = additive</t>
        </r>
      </text>
    </comment>
    <comment ref="D5" authorId="0" shapeId="0" xr:uid="{7F050A85-3E14-4C96-AA7E-DE081F4F775E}">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21953FF8-5892-423E-ABCE-1F859F75FC3A}">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483B8493-2D21-4C16-829B-3345726056D5}">
      <text>
        <r>
          <rPr>
            <b/>
            <sz val="9"/>
            <color indexed="81"/>
            <rFont val="Tahoma"/>
            <family val="2"/>
          </rPr>
          <t>TE</t>
        </r>
        <r>
          <rPr>
            <sz val="9"/>
            <color indexed="81"/>
            <rFont val="Tahoma"/>
            <family val="2"/>
          </rPr>
          <t xml:space="preserve">
Export tax rates</t>
        </r>
      </text>
    </comment>
    <comment ref="G5" authorId="0" shapeId="0" xr:uid="{ADAB5CB9-01DD-48C6-A837-49F20D58AC5D}">
      <text>
        <r>
          <rPr>
            <b/>
            <sz val="9"/>
            <color indexed="81"/>
            <rFont val="Tahoma"/>
            <family val="2"/>
          </rPr>
          <t>TM</t>
        </r>
        <r>
          <rPr>
            <sz val="9"/>
            <color indexed="81"/>
            <rFont val="Tahoma"/>
            <family val="2"/>
          </rPr>
          <t xml:space="preserve">
Import tariff rates</t>
        </r>
      </text>
    </comment>
    <comment ref="H5" authorId="0" shapeId="0" xr:uid="{29314E3A-286C-4FE6-AB42-282E24C8CF70}">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1102E86F-65E5-417F-A969-300AD93F60CD}">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E4B6967A-56B0-41E9-846C-99DF03A4DC12}">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318FD71B-8A37-4D6E-9EA7-F61C209C10FE}">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2FEB87CE-225D-4C02-AC0D-85A96F22775D}">
      <text>
        <r>
          <rPr>
            <b/>
            <sz val="9"/>
            <color indexed="81"/>
            <rFont val="Tahoma"/>
            <family val="2"/>
          </rPr>
          <t xml:space="preserve">Commodity tax adjustment:
  </t>
        </r>
        <r>
          <rPr>
            <sz val="9"/>
            <color indexed="81"/>
            <rFont val="Tahoma"/>
            <family val="2"/>
          </rPr>
          <t xml:space="preserve">1 = Allow commodity tax to adjust.
  0 = Do not allow commodity tax to adjust.
  Note: Same rule applied to TE, TM, and TQ.
</t>
        </r>
      </text>
    </comment>
    <comment ref="Q5" authorId="0" shapeId="0" xr:uid="{28F2FAAD-04F4-411A-B49D-020BFA5C2F1D}">
      <text>
        <r>
          <rPr>
            <b/>
            <sz val="9"/>
            <color indexed="81"/>
            <rFont val="Tahoma"/>
            <family val="2"/>
          </rPr>
          <t>TA</t>
        </r>
        <r>
          <rPr>
            <sz val="9"/>
            <color indexed="81"/>
            <rFont val="Tahoma"/>
            <family val="2"/>
          </rPr>
          <t xml:space="preserve">
Indirect taxes on total activity production value.</t>
        </r>
      </text>
    </comment>
    <comment ref="R5" authorId="0" shapeId="0" xr:uid="{9A394ABD-C5E2-47A3-A1FF-B4634B700945}">
      <text>
        <r>
          <rPr>
            <b/>
            <sz val="9"/>
            <color indexed="81"/>
            <rFont val="Tahoma"/>
            <family val="2"/>
          </rPr>
          <t xml:space="preserve">TVA </t>
        </r>
        <r>
          <rPr>
            <sz val="9"/>
            <color indexed="81"/>
            <rFont val="Tahoma"/>
            <family val="2"/>
          </rPr>
          <t xml:space="preserve">
Indirect taxes on activity value-added.</t>
        </r>
      </text>
    </comment>
    <comment ref="S5" authorId="0" shapeId="0" xr:uid="{9FAD826D-7B38-46B9-B4FC-2C89EB13A4EB}">
      <text>
        <r>
          <rPr>
            <b/>
            <sz val="9"/>
            <color indexed="81"/>
            <rFont val="Tahoma"/>
            <family val="2"/>
          </rPr>
          <t xml:space="preserve">Capital mobility assumption: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E6FC9F77-2B9E-4D3A-99DA-5CDEF8651126}">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4930099B-A970-43F0-BBA3-13D028360A15}">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89640FC9-70F4-480A-B68D-FD1B8281E071}">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5EE55EFA-CB74-4327-B786-59B6C119F292}">
      <text>
        <r>
          <rPr>
            <b/>
            <sz val="9"/>
            <color indexed="81"/>
            <rFont val="Tahoma"/>
            <family val="2"/>
          </rPr>
          <t>WF</t>
        </r>
        <r>
          <rPr>
            <sz val="9"/>
            <color indexed="81"/>
            <rFont val="Tahoma"/>
            <family val="2"/>
          </rPr>
          <t xml:space="preserve">
Economywide wage rate.</t>
        </r>
      </text>
    </comment>
    <comment ref="AA5" authorId="0" shapeId="0" xr:uid="{004785F4-084C-4795-8EEF-F95E35A0F545}">
      <text>
        <r>
          <rPr>
            <b/>
            <sz val="9"/>
            <color indexed="81"/>
            <rFont val="Tahoma"/>
            <family val="2"/>
          </rPr>
          <t xml:space="preserve">QFS
</t>
        </r>
        <r>
          <rPr>
            <sz val="9"/>
            <color indexed="81"/>
            <rFont val="Tahoma"/>
            <family val="2"/>
          </rPr>
          <t>Total factor supply quantity.</t>
        </r>
      </text>
    </comment>
    <comment ref="AB5" authorId="0" shapeId="0" xr:uid="{1793A334-E8A1-4971-BB3D-D930CF39192C}">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ACE50144-6D5E-4C29-8DA5-527ABE9DB4C8}">
      <text>
        <r>
          <rPr>
            <b/>
            <sz val="9"/>
            <color indexed="81"/>
            <rFont val="Tahoma"/>
            <family val="2"/>
          </rPr>
          <t>TF</t>
        </r>
        <r>
          <rPr>
            <sz val="9"/>
            <color indexed="81"/>
            <rFont val="Tahoma"/>
            <family val="2"/>
          </rPr>
          <t xml:space="preserve">
Direct tax on total factor earnings.</t>
        </r>
      </text>
    </comment>
    <comment ref="AD5" authorId="0" shapeId="0" xr:uid="{6CBD582E-93BB-4829-8867-12050F7272D0}">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BE8C3F98-15C6-457C-99AC-85850E37D70E}">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B99E5E6A-DB5F-4A1B-911E-D6EE578C626A}">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F27F66D9-2FCC-4E60-B807-54A6A52ABA24}">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3E99098B-C835-4FA2-AE51-5C8551824A8F}">
      <text>
        <r>
          <rPr>
            <b/>
            <sz val="9"/>
            <color indexed="81"/>
            <rFont val="Tahoma"/>
            <family val="2"/>
          </rPr>
          <t xml:space="preserve">Factor tax adjustment:
  </t>
        </r>
        <r>
          <rPr>
            <sz val="9"/>
            <color indexed="81"/>
            <rFont val="Tahoma"/>
            <family val="2"/>
          </rPr>
          <t>1 = Allow factor tax to adjust.
  2 = Do not allow factor tax to adjust.</t>
        </r>
      </text>
    </comment>
    <comment ref="AL5" authorId="0" shapeId="0" xr:uid="{3588701F-EA5A-4094-9CDA-5AA8A2EAB982}">
      <text>
        <r>
          <rPr>
            <b/>
            <sz val="9"/>
            <color indexed="81"/>
            <rFont val="Tahoma"/>
            <family val="2"/>
          </rPr>
          <t xml:space="preserve">HPOP
</t>
        </r>
        <r>
          <rPr>
            <sz val="9"/>
            <color indexed="81"/>
            <rFont val="Tahoma"/>
            <family val="2"/>
          </rPr>
          <t>Household population.</t>
        </r>
      </text>
    </comment>
    <comment ref="AM5" authorId="0" shapeId="0" xr:uid="{273CE55E-DB8E-4CB5-8563-86114FF0A569}">
      <text>
        <r>
          <rPr>
            <b/>
            <sz val="9"/>
            <color indexed="81"/>
            <rFont val="Tahoma"/>
            <family val="2"/>
          </rPr>
          <t xml:space="preserve">MPS
</t>
        </r>
        <r>
          <rPr>
            <sz val="9"/>
            <color indexed="81"/>
            <rFont val="Tahoma"/>
            <family val="2"/>
          </rPr>
          <t>Marginal propensity to save (households and enterprises).</t>
        </r>
      </text>
    </comment>
    <comment ref="AN5" authorId="0" shapeId="0" xr:uid="{FD3C6CDA-50D6-4014-B96E-ABD80E4BD36E}">
      <text>
        <r>
          <rPr>
            <b/>
            <sz val="9"/>
            <color indexed="81"/>
            <rFont val="Tahoma"/>
            <family val="2"/>
          </rPr>
          <t xml:space="preserve">TINS
</t>
        </r>
        <r>
          <rPr>
            <sz val="9"/>
            <color indexed="81"/>
            <rFont val="Tahoma"/>
            <family val="2"/>
          </rPr>
          <t>Institution direct tax rate (households and enterprises).</t>
        </r>
      </text>
    </comment>
    <comment ref="AO5" authorId="0" shapeId="0" xr:uid="{BAE2F6FA-8C72-4EB4-91F3-9B752571AB84}">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5645E628-302E-4272-B335-9ACBC57302AA}">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87F24825-995B-4859-B04F-9F9FD8E58E46}">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77E6A444-E865-403C-B011-36D7E794CC8E}">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E1512DE1-3814-4F24-9FBD-581161FABFAE}">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319EC06B-14FD-4DCD-858B-53181DFBD0D1}">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99AE8183-4922-42DC-BCB7-09F13ECA270D}">
      <text>
        <r>
          <rPr>
            <b/>
            <sz val="9"/>
            <color indexed="81"/>
            <rFont val="Tahoma"/>
            <family val="2"/>
          </rPr>
          <t xml:space="preserve">EXR
</t>
        </r>
        <r>
          <rPr>
            <sz val="9"/>
            <color indexed="81"/>
            <rFont val="Tahoma"/>
            <family val="2"/>
          </rPr>
          <t>Exchange rate.</t>
        </r>
      </text>
    </comment>
    <comment ref="C8" authorId="0" shapeId="0" xr:uid="{AC3B6DEC-DBD6-4573-A407-5BCA29533679}">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O8" authorId="0" shapeId="0" xr:uid="{CCFDF90F-4F22-4594-B2AB-BE5EBF925DA2}">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Y8" authorId="0" shapeId="0" xr:uid="{A60CD93E-D253-41FE-90A2-1C3F97426973}">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K8" authorId="0" shapeId="0" xr:uid="{F0AFBA29-77D1-4E2A-A5B9-CA83BC099BC9}">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W8" authorId="0" shapeId="0" xr:uid="{A970D95A-7A82-4E47-8B20-3102AFA270FC}">
      <text>
        <r>
          <rPr>
            <b/>
            <sz val="9"/>
            <color indexed="81"/>
            <rFont val="Tahoma"/>
            <family val="2"/>
          </rPr>
          <t xml:space="preserve">FSAV
</t>
        </r>
        <r>
          <rPr>
            <sz val="9"/>
            <color indexed="81"/>
            <rFont val="Tahoma"/>
            <family val="2"/>
          </rPr>
          <t>Foreign savings.</t>
        </r>
      </text>
    </comment>
    <comment ref="C9" authorId="0" shapeId="0" xr:uid="{73556FBE-C2FC-486E-972B-85D47EE139A1}">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O9" authorId="0" shapeId="0" xr:uid="{F3588EE3-5386-48B0-91A8-C5B3CD55AB18}">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Y9" authorId="0" shapeId="0" xr:uid="{B370AB27-1A94-497B-ABEF-7C0E105A24C2}">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K9" authorId="0" shapeId="0" xr:uid="{86EFB0E6-878F-421F-8A36-75E36C05F611}">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W9" authorId="0" shapeId="0" xr:uid="{94FD3753-6285-421B-91ED-F6C8D6C8C0C2}">
      <text>
        <r>
          <rPr>
            <b/>
            <sz val="9"/>
            <color indexed="81"/>
            <rFont val="Tahoma"/>
            <family val="2"/>
          </rPr>
          <t xml:space="preserve">IADJ
</t>
        </r>
        <r>
          <rPr>
            <sz val="9"/>
            <color indexed="81"/>
            <rFont val="Tahoma"/>
            <family val="2"/>
          </rPr>
          <t xml:space="preserve">Gross fixed capital formation.
</t>
        </r>
      </text>
    </comment>
    <comment ref="AW10" authorId="0" shapeId="0" xr:uid="{7DB3EB23-6676-44D6-94BC-5BD9E110CFD6}">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6EE378A3-4A45-4523-9B57-DE9941B66135}">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FCA6F2DB-2161-419F-A0C7-047B990DD80F}">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61B5C581-36E4-4823-8F74-AB40148DBE75}">
      <text>
        <r>
          <rPr>
            <b/>
            <sz val="9"/>
            <color indexed="81"/>
            <rFont val="Tahoma"/>
            <family val="2"/>
          </rPr>
          <t xml:space="preserve">GADJ
</t>
        </r>
        <r>
          <rPr>
            <sz val="9"/>
            <color indexed="81"/>
            <rFont val="Tahoma"/>
            <family val="2"/>
          </rPr>
          <t>Government consumption spending.</t>
        </r>
      </text>
    </comment>
    <comment ref="AW14" authorId="0" shapeId="0" xr:uid="{BEB8C5D1-D890-477B-BD03-DEC1855AEAD2}">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98018AAD-1AF8-418E-AF25-0C528071DF4F}">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DBC4AD7C-B8F6-40F5-BC8F-79D64D970F63}">
      <text>
        <r>
          <rPr>
            <b/>
            <sz val="9"/>
            <color indexed="81"/>
            <rFont val="Tahoma"/>
            <family val="2"/>
          </rPr>
          <t xml:space="preserve">trnsi
</t>
        </r>
        <r>
          <rPr>
            <sz val="9"/>
            <color indexed="81"/>
            <rFont val="Tahoma"/>
            <family val="2"/>
          </rPr>
          <t>Rest of the world transfers to government</t>
        </r>
      </text>
    </comment>
    <comment ref="AW17" authorId="0" shapeId="0" xr:uid="{93398EC2-2500-460E-A41E-F28DB7327DFB}">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3C47C284-BDD7-4351-A542-1B8FBE332905}">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66789813-55D2-4D83-A4EF-4782ACF2BF67}">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E9E3C24D-0F64-4BC7-9E09-A77F75521050}">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68EF9A1F-302E-4B1B-8854-2AA0E4C39939}">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CB311172-0734-449A-9530-62D2461D4C97}">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9165E789-F366-4DC4-9317-C18E84FA012E}">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 ref="AW24" authorId="0" shapeId="0" xr:uid="{C20A1A4A-92AF-4A44-B983-28EE9867CBDF}">
      <text>
        <r>
          <rPr>
            <b/>
            <sz val="9"/>
            <color indexed="81"/>
            <rFont val="Tahoma"/>
            <family val="2"/>
          </rPr>
          <t xml:space="preserve">DRATE
</t>
        </r>
        <r>
          <rPr>
            <sz val="9"/>
            <color indexed="81"/>
            <rFont val="Tahoma"/>
            <family val="2"/>
          </rPr>
          <t>Annual depreciation rate for capital stocks across all sectors.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A08F1AC0-15F3-4FFE-8852-23D25BA8213C}">
      <text>
        <r>
          <rPr>
            <b/>
            <sz val="9"/>
            <color indexed="81"/>
            <rFont val="Tahoma"/>
            <family val="2"/>
          </rPr>
          <t>alphava</t>
        </r>
        <r>
          <rPr>
            <sz val="9"/>
            <color indexed="81"/>
            <rFont val="Tahoma"/>
            <family val="2"/>
          </rPr>
          <t xml:space="preserve">
Total factor productivity.
</t>
        </r>
      </text>
    </comment>
    <comment ref="AY4" authorId="0" shapeId="0" xr:uid="{4E05A807-6976-459E-BE2F-8E3300E4B4F4}">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Z4" authorId="0" shapeId="0" xr:uid="{E020C06C-EEE2-42FC-9B8A-E7E312DFE247}">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BA4" authorId="0" shapeId="0" xr:uid="{EF664E4D-37A8-48D7-A70C-B65FB26CFC0E}">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BB4" authorId="0" shapeId="0" xr:uid="{21C7BB5C-8A58-4C6E-8E48-1F18D3F3669A}">
      <text>
        <r>
          <rPr>
            <b/>
            <sz val="9"/>
            <color indexed="81"/>
            <rFont val="Tahoma"/>
            <family val="2"/>
          </rPr>
          <t>Type of shock</t>
        </r>
        <r>
          <rPr>
            <sz val="9"/>
            <color indexed="81"/>
            <rFont val="Tahoma"/>
            <family val="2"/>
          </rPr>
          <t xml:space="preserve">
  1 = multiplicative
  2 = additive</t>
        </r>
      </text>
    </comment>
    <comment ref="D5" authorId="0" shapeId="0" xr:uid="{6CFB0810-CB76-44B1-A1F4-5256E25F6C85}">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BAB3A2F2-E291-4503-A6C2-295FE4F3B9BB}">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7681AC7E-AD94-4A6E-B1D0-CD3123B258C1}">
      <text>
        <r>
          <rPr>
            <b/>
            <sz val="9"/>
            <color indexed="81"/>
            <rFont val="Tahoma"/>
            <family val="2"/>
          </rPr>
          <t>TE</t>
        </r>
        <r>
          <rPr>
            <sz val="9"/>
            <color indexed="81"/>
            <rFont val="Tahoma"/>
            <family val="2"/>
          </rPr>
          <t xml:space="preserve">
Export tax rates</t>
        </r>
      </text>
    </comment>
    <comment ref="G5" authorId="0" shapeId="0" xr:uid="{9E03B564-0523-4E0F-B8B5-3001FEAD44CD}">
      <text>
        <r>
          <rPr>
            <b/>
            <sz val="9"/>
            <color indexed="81"/>
            <rFont val="Tahoma"/>
            <family val="2"/>
          </rPr>
          <t>TM</t>
        </r>
        <r>
          <rPr>
            <sz val="9"/>
            <color indexed="81"/>
            <rFont val="Tahoma"/>
            <family val="2"/>
          </rPr>
          <t xml:space="preserve">
Import tariff rates</t>
        </r>
      </text>
    </comment>
    <comment ref="H5" authorId="0" shapeId="0" xr:uid="{2DCDF49B-3232-4CD8-8811-AC0888D77204}">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B78414FA-C263-4A2C-901D-84A8B33F31BF}">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2CBA3A49-2FEE-449E-A0A5-08FA37ECDC24}">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1CD24A29-BDE2-4455-90E4-6E84BC7872E4}">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DD2554D0-B367-4AFD-BFA9-908B928C1613}">
      <text>
        <r>
          <rPr>
            <b/>
            <sz val="9"/>
            <color indexed="81"/>
            <rFont val="Tahoma"/>
            <family val="2"/>
          </rPr>
          <t xml:space="preserve">Commodity tax adjustment:
  </t>
        </r>
        <r>
          <rPr>
            <sz val="9"/>
            <color indexed="81"/>
            <rFont val="Tahoma"/>
            <family val="2"/>
          </rPr>
          <t xml:space="preserve">1 = Allow commodity tax to adjust.
  0 = Do not allow commodity tax to adjust.
  Note: Same rule applied to TE, TM, and TQ.
</t>
        </r>
      </text>
    </comment>
    <comment ref="Q5" authorId="0" shapeId="0" xr:uid="{755CDE4D-AEC6-40D0-8DDB-7FFC97B911EF}">
      <text>
        <r>
          <rPr>
            <b/>
            <sz val="9"/>
            <color indexed="81"/>
            <rFont val="Tahoma"/>
            <family val="2"/>
          </rPr>
          <t>TA</t>
        </r>
        <r>
          <rPr>
            <sz val="9"/>
            <color indexed="81"/>
            <rFont val="Tahoma"/>
            <family val="2"/>
          </rPr>
          <t xml:space="preserve">
Indirect taxes on total activity production value.</t>
        </r>
      </text>
    </comment>
    <comment ref="R5" authorId="0" shapeId="0" xr:uid="{86ABAEFA-ECD0-419A-8D89-F567BCA7BE75}">
      <text>
        <r>
          <rPr>
            <b/>
            <sz val="9"/>
            <color indexed="81"/>
            <rFont val="Tahoma"/>
            <family val="2"/>
          </rPr>
          <t xml:space="preserve">TVA </t>
        </r>
        <r>
          <rPr>
            <sz val="9"/>
            <color indexed="81"/>
            <rFont val="Tahoma"/>
            <family val="2"/>
          </rPr>
          <t xml:space="preserve">
Indirect taxes on activity value-added.</t>
        </r>
      </text>
    </comment>
    <comment ref="S5" authorId="0" shapeId="0" xr:uid="{F44BDFD7-2793-43A4-8DE9-3174E715E9E7}">
      <text>
        <r>
          <rPr>
            <b/>
            <sz val="9"/>
            <color indexed="81"/>
            <rFont val="Tahoma"/>
            <family val="2"/>
          </rPr>
          <t xml:space="preserve">Capital mobility assumption: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C4388980-374E-40A6-9807-A68307DD51BC}">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6590C255-5388-4071-836C-1CD995AAA7F3}">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9676FE73-A75F-41F1-B732-D251DAB46982}">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0D6C12D3-3714-4180-808D-36FBAAC49DD2}">
      <text>
        <r>
          <rPr>
            <b/>
            <sz val="9"/>
            <color indexed="81"/>
            <rFont val="Tahoma"/>
            <family val="2"/>
          </rPr>
          <t>WF</t>
        </r>
        <r>
          <rPr>
            <sz val="9"/>
            <color indexed="81"/>
            <rFont val="Tahoma"/>
            <family val="2"/>
          </rPr>
          <t xml:space="preserve">
Economywide wage rate.</t>
        </r>
      </text>
    </comment>
    <comment ref="AA5" authorId="0" shapeId="0" xr:uid="{990124FB-4EB5-4AB2-9FCD-576983687E20}">
      <text>
        <r>
          <rPr>
            <b/>
            <sz val="9"/>
            <color indexed="81"/>
            <rFont val="Tahoma"/>
            <family val="2"/>
          </rPr>
          <t xml:space="preserve">QFS
</t>
        </r>
        <r>
          <rPr>
            <sz val="9"/>
            <color indexed="81"/>
            <rFont val="Tahoma"/>
            <family val="2"/>
          </rPr>
          <t>Total factor supply quantity.</t>
        </r>
      </text>
    </comment>
    <comment ref="AB5" authorId="0" shapeId="0" xr:uid="{87E05591-A32D-497E-9F75-CE367FD8A0C3}">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3A1ECBF4-9971-47B7-98C2-DF7672926122}">
      <text>
        <r>
          <rPr>
            <b/>
            <sz val="9"/>
            <color indexed="81"/>
            <rFont val="Tahoma"/>
            <family val="2"/>
          </rPr>
          <t>TF</t>
        </r>
        <r>
          <rPr>
            <sz val="9"/>
            <color indexed="81"/>
            <rFont val="Tahoma"/>
            <family val="2"/>
          </rPr>
          <t xml:space="preserve">
Direct tax on total factor earnings.</t>
        </r>
      </text>
    </comment>
    <comment ref="AD5" authorId="0" shapeId="0" xr:uid="{D02E0A53-8C80-4922-8BD2-07D606A81D97}">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BCEAB0C8-A16A-4468-AF93-2D63D13DBE07}">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05F17737-F338-4D2A-85AC-CC88BF3B7BD6}">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04760ECE-56A8-4F6F-8DA5-7760FC693BC4}">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707041E7-0FF8-4F2B-9EEE-D8ED41EABE2D}">
      <text>
        <r>
          <rPr>
            <b/>
            <sz val="9"/>
            <color indexed="81"/>
            <rFont val="Tahoma"/>
            <family val="2"/>
          </rPr>
          <t xml:space="preserve">Factor tax adjustment:
  </t>
        </r>
        <r>
          <rPr>
            <sz val="9"/>
            <color indexed="81"/>
            <rFont val="Tahoma"/>
            <family val="2"/>
          </rPr>
          <t>1 = Allow factor tax to adjust.
  2 = Do not allow factor tax to adjust.</t>
        </r>
      </text>
    </comment>
    <comment ref="AL5" authorId="0" shapeId="0" xr:uid="{FDB3633B-306B-4C1B-A566-269C3CA44843}">
      <text>
        <r>
          <rPr>
            <b/>
            <sz val="9"/>
            <color indexed="81"/>
            <rFont val="Tahoma"/>
            <family val="2"/>
          </rPr>
          <t xml:space="preserve">HPOP
</t>
        </r>
        <r>
          <rPr>
            <sz val="9"/>
            <color indexed="81"/>
            <rFont val="Tahoma"/>
            <family val="2"/>
          </rPr>
          <t>Household population.</t>
        </r>
      </text>
    </comment>
    <comment ref="AM5" authorId="0" shapeId="0" xr:uid="{33165DCD-05A5-4885-9ECA-3D6FDF311B90}">
      <text>
        <r>
          <rPr>
            <b/>
            <sz val="9"/>
            <color indexed="81"/>
            <rFont val="Tahoma"/>
            <family val="2"/>
          </rPr>
          <t xml:space="preserve">MPS
</t>
        </r>
        <r>
          <rPr>
            <sz val="9"/>
            <color indexed="81"/>
            <rFont val="Tahoma"/>
            <family val="2"/>
          </rPr>
          <t>Marginal propensity to save (households and enterprises).</t>
        </r>
      </text>
    </comment>
    <comment ref="AN5" authorId="0" shapeId="0" xr:uid="{8911A021-0829-43D4-B707-73F22EF358CA}">
      <text>
        <r>
          <rPr>
            <b/>
            <sz val="9"/>
            <color indexed="81"/>
            <rFont val="Tahoma"/>
            <family val="2"/>
          </rPr>
          <t xml:space="preserve">TINS
</t>
        </r>
        <r>
          <rPr>
            <sz val="9"/>
            <color indexed="81"/>
            <rFont val="Tahoma"/>
            <family val="2"/>
          </rPr>
          <t>Institution direct tax rate (households and enterprises).</t>
        </r>
      </text>
    </comment>
    <comment ref="AO5" authorId="0" shapeId="0" xr:uid="{C122625F-8272-4A80-8A26-AD84B79084FA}">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30933451-A664-425B-B086-C39AEC3E1DD8}">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A50F4F4D-9573-42B3-88FC-2C25CCC6BFA6}">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05F729AA-BEFF-4D34-A38F-E87BFE3BF4C1}">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BB2C3728-8829-4C25-BD42-060B1046224E}">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635B5117-6E46-4123-A6BA-1FAF21917EF3}">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5EB24C95-382B-4172-896A-3E6E296304DE}">
      <text>
        <r>
          <rPr>
            <b/>
            <sz val="9"/>
            <color indexed="81"/>
            <rFont val="Tahoma"/>
            <family val="2"/>
          </rPr>
          <t xml:space="preserve">EXR
</t>
        </r>
        <r>
          <rPr>
            <sz val="9"/>
            <color indexed="81"/>
            <rFont val="Tahoma"/>
            <family val="2"/>
          </rPr>
          <t>Exchange rate.</t>
        </r>
      </text>
    </comment>
    <comment ref="C8" authorId="0" shapeId="0" xr:uid="{32FFBFF2-66C9-416C-9252-77491628B120}">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O8" authorId="0" shapeId="0" xr:uid="{A53FE61F-9B87-406A-8C88-722058AD7D11}">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Y8" authorId="0" shapeId="0" xr:uid="{31F7EEC9-8F85-495B-94CC-035638A1A474}">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K8" authorId="0" shapeId="0" xr:uid="{292999D0-2180-48D1-AC73-F7E280A62B94}">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W8" authorId="0" shapeId="0" xr:uid="{35A43103-6237-43AA-B45A-2C1AABB33A0A}">
      <text>
        <r>
          <rPr>
            <b/>
            <sz val="9"/>
            <color indexed="81"/>
            <rFont val="Tahoma"/>
            <family val="2"/>
          </rPr>
          <t xml:space="preserve">FSAV
</t>
        </r>
        <r>
          <rPr>
            <sz val="9"/>
            <color indexed="81"/>
            <rFont val="Tahoma"/>
            <family val="2"/>
          </rPr>
          <t>Foreign savings.</t>
        </r>
      </text>
    </comment>
    <comment ref="C9" authorId="0" shapeId="0" xr:uid="{B465C78E-584C-4D90-B791-312ACD2254C3}">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O9" authorId="0" shapeId="0" xr:uid="{C26BAC5A-FE92-49AD-B00D-A88DC89E423E}">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Y9" authorId="0" shapeId="0" xr:uid="{3ABE8E2B-BBA6-4DF3-BEC1-5DFB6D0E38C5}">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K9" authorId="0" shapeId="0" xr:uid="{0FAB17AE-12E6-4708-A981-65A9835DEE1A}">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W9" authorId="0" shapeId="0" xr:uid="{3EC1DFC3-4DAA-4866-B342-056E92620FEF}">
      <text>
        <r>
          <rPr>
            <b/>
            <sz val="9"/>
            <color indexed="81"/>
            <rFont val="Tahoma"/>
            <family val="2"/>
          </rPr>
          <t xml:space="preserve">IADJ
</t>
        </r>
        <r>
          <rPr>
            <sz val="9"/>
            <color indexed="81"/>
            <rFont val="Tahoma"/>
            <family val="2"/>
          </rPr>
          <t xml:space="preserve">Gross fixed capital formation.
</t>
        </r>
      </text>
    </comment>
    <comment ref="AW10" authorId="0" shapeId="0" xr:uid="{ABD342A4-226B-4BB7-BD35-57A84F33F239}">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A2DC4600-774B-41C7-8A14-F09699522529}">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27A39A54-49C5-47E0-8736-D159EE8F6AB3}">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9D011F5B-3950-451D-A972-38B95004554F}">
      <text>
        <r>
          <rPr>
            <b/>
            <sz val="9"/>
            <color indexed="81"/>
            <rFont val="Tahoma"/>
            <family val="2"/>
          </rPr>
          <t xml:space="preserve">GADJ
</t>
        </r>
        <r>
          <rPr>
            <sz val="9"/>
            <color indexed="81"/>
            <rFont val="Tahoma"/>
            <family val="2"/>
          </rPr>
          <t>Government consumption spending.</t>
        </r>
      </text>
    </comment>
    <comment ref="AW14" authorId="0" shapeId="0" xr:uid="{F7FD05C4-253A-4BB3-B2E1-80BDCE862BD3}">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8B29F29D-EAEB-42A2-BC96-54C4C3D6EA63}">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234EEBE7-4664-4835-83AB-A7F9961874C4}">
      <text>
        <r>
          <rPr>
            <b/>
            <sz val="9"/>
            <color indexed="81"/>
            <rFont val="Tahoma"/>
            <family val="2"/>
          </rPr>
          <t xml:space="preserve">trnsi
</t>
        </r>
        <r>
          <rPr>
            <sz val="9"/>
            <color indexed="81"/>
            <rFont val="Tahoma"/>
            <family val="2"/>
          </rPr>
          <t>Rest of the world transfers to government</t>
        </r>
      </text>
    </comment>
    <comment ref="AW17" authorId="0" shapeId="0" xr:uid="{2B32962E-6895-4312-9861-6047746AF95E}">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A48B4BCE-C2B9-42FC-8B4F-2650E5E74C63}">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F3F9A30D-F1C8-416D-8AF6-2F6025C9CDB2}">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840EF14D-D6F5-4B06-8633-C0B91EBF11F1}">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594AF69B-4CAB-4246-8EF3-E460BA7F57CA}">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E26F691C-DBCB-4A2D-B20A-E5E1D29ED340}">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905549FA-BAFF-48EC-B249-15DCF48AD77E}">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 ref="AW24" authorId="0" shapeId="0" xr:uid="{D8BFD218-7196-4D09-93A3-33434B57E892}">
      <text>
        <r>
          <rPr>
            <b/>
            <sz val="9"/>
            <color indexed="81"/>
            <rFont val="Tahoma"/>
            <family val="2"/>
          </rPr>
          <t xml:space="preserve">DRATE
</t>
        </r>
        <r>
          <rPr>
            <sz val="9"/>
            <color indexed="81"/>
            <rFont val="Tahoma"/>
            <family val="2"/>
          </rPr>
          <t>Annual depreciation rate for capital stocks across all sectors.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016C57CE-0C7B-4315-939E-E11557BB18CB}">
      <text>
        <r>
          <rPr>
            <b/>
            <sz val="9"/>
            <color indexed="81"/>
            <rFont val="Tahoma"/>
            <family val="2"/>
          </rPr>
          <t>alphava</t>
        </r>
        <r>
          <rPr>
            <sz val="9"/>
            <color indexed="81"/>
            <rFont val="Tahoma"/>
            <family val="2"/>
          </rPr>
          <t xml:space="preserve">
Total factor productivity.
</t>
        </r>
      </text>
    </comment>
    <comment ref="AY4" authorId="0" shapeId="0" xr:uid="{89DAD588-1CCC-4637-B5B1-7F735E986385}">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Z4" authorId="0" shapeId="0" xr:uid="{E232D357-8BA8-4B31-ACE7-45B4AAED63B1}">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BA4" authorId="0" shapeId="0" xr:uid="{EAD0D3DD-4523-4C5E-91C3-B16EB42DCC91}">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BB4" authorId="0" shapeId="0" xr:uid="{679F0A92-2963-4064-A2B1-65C946CC6CD5}">
      <text>
        <r>
          <rPr>
            <b/>
            <sz val="9"/>
            <color indexed="81"/>
            <rFont val="Tahoma"/>
            <family val="2"/>
          </rPr>
          <t>Type of shock</t>
        </r>
        <r>
          <rPr>
            <sz val="9"/>
            <color indexed="81"/>
            <rFont val="Tahoma"/>
            <family val="2"/>
          </rPr>
          <t xml:space="preserve">
  1 = multiplicative
  2 = additive</t>
        </r>
      </text>
    </comment>
    <comment ref="D5" authorId="0" shapeId="0" xr:uid="{9D02C418-BC94-42AC-9FD3-06B3C14CFC62}">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32D2A2BE-75AB-4916-A71F-B09B46A00E28}">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DC376FF4-780D-4FBB-9F5F-B0D9465E5F25}">
      <text>
        <r>
          <rPr>
            <b/>
            <sz val="9"/>
            <color indexed="81"/>
            <rFont val="Tahoma"/>
            <family val="2"/>
          </rPr>
          <t>TE</t>
        </r>
        <r>
          <rPr>
            <sz val="9"/>
            <color indexed="81"/>
            <rFont val="Tahoma"/>
            <family val="2"/>
          </rPr>
          <t xml:space="preserve">
Export tax rates</t>
        </r>
      </text>
    </comment>
    <comment ref="G5" authorId="0" shapeId="0" xr:uid="{61DC4EE5-6C5A-4384-BE1C-EC933F7EFEC2}">
      <text>
        <r>
          <rPr>
            <b/>
            <sz val="9"/>
            <color indexed="81"/>
            <rFont val="Tahoma"/>
            <family val="2"/>
          </rPr>
          <t>TM</t>
        </r>
        <r>
          <rPr>
            <sz val="9"/>
            <color indexed="81"/>
            <rFont val="Tahoma"/>
            <family val="2"/>
          </rPr>
          <t xml:space="preserve">
Import tariff rates</t>
        </r>
      </text>
    </comment>
    <comment ref="H5" authorId="0" shapeId="0" xr:uid="{79C3D059-407D-4BEC-B825-A609D85979A5}">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89E57D70-A6FC-4603-9EC9-A967EF95D300}">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8046CCB9-00DD-4B83-87D9-8221276D93E1}">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58EE4C34-7474-45AC-8C7C-3CBEC77B6A77}">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21A078B6-E9D7-4D55-ADFE-63052569D730}">
      <text>
        <r>
          <rPr>
            <b/>
            <sz val="9"/>
            <color indexed="81"/>
            <rFont val="Tahoma"/>
            <family val="2"/>
          </rPr>
          <t xml:space="preserve">Commodity tax adjustment:
  </t>
        </r>
        <r>
          <rPr>
            <sz val="9"/>
            <color indexed="81"/>
            <rFont val="Tahoma"/>
            <family val="2"/>
          </rPr>
          <t xml:space="preserve">1 = Allow commodity tax to adjust.
  0 = Do not allow commodity tax to adjust.
  Note: Same rule applied to TE, TM, and TQ.
</t>
        </r>
      </text>
    </comment>
    <comment ref="Q5" authorId="0" shapeId="0" xr:uid="{9355F712-2698-41FE-AAF5-A6D4CA04F647}">
      <text>
        <r>
          <rPr>
            <b/>
            <sz val="9"/>
            <color indexed="81"/>
            <rFont val="Tahoma"/>
            <family val="2"/>
          </rPr>
          <t>TA</t>
        </r>
        <r>
          <rPr>
            <sz val="9"/>
            <color indexed="81"/>
            <rFont val="Tahoma"/>
            <family val="2"/>
          </rPr>
          <t xml:space="preserve">
Indirect taxes on total activity production value.</t>
        </r>
      </text>
    </comment>
    <comment ref="R5" authorId="0" shapeId="0" xr:uid="{E60A94F1-EAFF-484E-B72A-1E75E60CDC99}">
      <text>
        <r>
          <rPr>
            <b/>
            <sz val="9"/>
            <color indexed="81"/>
            <rFont val="Tahoma"/>
            <family val="2"/>
          </rPr>
          <t xml:space="preserve">TVA </t>
        </r>
        <r>
          <rPr>
            <sz val="9"/>
            <color indexed="81"/>
            <rFont val="Tahoma"/>
            <family val="2"/>
          </rPr>
          <t xml:space="preserve">
Indirect taxes on activity value-added.</t>
        </r>
      </text>
    </comment>
    <comment ref="S5" authorId="0" shapeId="0" xr:uid="{9BBD33C5-A0DA-44F7-AB3F-F8E05A957C36}">
      <text>
        <r>
          <rPr>
            <b/>
            <sz val="9"/>
            <color indexed="81"/>
            <rFont val="Tahoma"/>
            <family val="2"/>
          </rPr>
          <t xml:space="preserve">Capital mobility assumption: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329CE8C0-0F33-4992-82F5-D3A90D57E6AE}">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1D87F323-29FF-4501-9570-7D5B3F477915}">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FB666922-E1D6-4EA8-B466-5AEA563F9EC7}">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4CDF7836-B2D5-479A-A797-F3368CF67AE2}">
      <text>
        <r>
          <rPr>
            <b/>
            <sz val="9"/>
            <color indexed="81"/>
            <rFont val="Tahoma"/>
            <family val="2"/>
          </rPr>
          <t>WF</t>
        </r>
        <r>
          <rPr>
            <sz val="9"/>
            <color indexed="81"/>
            <rFont val="Tahoma"/>
            <family val="2"/>
          </rPr>
          <t xml:space="preserve">
Economywide wage rate.</t>
        </r>
      </text>
    </comment>
    <comment ref="AA5" authorId="0" shapeId="0" xr:uid="{62982873-587D-4825-B4DF-0FEC8951F548}">
      <text>
        <r>
          <rPr>
            <b/>
            <sz val="9"/>
            <color indexed="81"/>
            <rFont val="Tahoma"/>
            <family val="2"/>
          </rPr>
          <t xml:space="preserve">QFS
</t>
        </r>
        <r>
          <rPr>
            <sz val="9"/>
            <color indexed="81"/>
            <rFont val="Tahoma"/>
            <family val="2"/>
          </rPr>
          <t>Total factor supply quantity.</t>
        </r>
      </text>
    </comment>
    <comment ref="AB5" authorId="0" shapeId="0" xr:uid="{DE5F3D5A-0013-40F8-8378-37B25694082D}">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48E814C6-E030-4722-BE0C-2F880BAE5C8D}">
      <text>
        <r>
          <rPr>
            <b/>
            <sz val="9"/>
            <color indexed="81"/>
            <rFont val="Tahoma"/>
            <family val="2"/>
          </rPr>
          <t>TF</t>
        </r>
        <r>
          <rPr>
            <sz val="9"/>
            <color indexed="81"/>
            <rFont val="Tahoma"/>
            <family val="2"/>
          </rPr>
          <t xml:space="preserve">
Direct tax on total factor earnings.</t>
        </r>
      </text>
    </comment>
    <comment ref="AD5" authorId="0" shapeId="0" xr:uid="{AE7ED561-66CF-4051-93E0-6A3F35AA9577}">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2FC6FC16-3867-43F2-965E-DCA152F01007}">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67E007C5-F526-4015-B8F7-5AFECD358516}">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198D95BF-36D3-4757-AE44-922D96480C41}">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C9F15B92-011E-437C-A741-CC55AEE9035D}">
      <text>
        <r>
          <rPr>
            <b/>
            <sz val="9"/>
            <color indexed="81"/>
            <rFont val="Tahoma"/>
            <family val="2"/>
          </rPr>
          <t xml:space="preserve">Factor tax adjustment:
  </t>
        </r>
        <r>
          <rPr>
            <sz val="9"/>
            <color indexed="81"/>
            <rFont val="Tahoma"/>
            <family val="2"/>
          </rPr>
          <t>1 = Allow factor tax to adjust.
  2 = Do not allow factor tax to adjust.</t>
        </r>
      </text>
    </comment>
    <comment ref="AL5" authorId="0" shapeId="0" xr:uid="{43421859-FC3D-4BAE-820C-E002BE62D6E6}">
      <text>
        <r>
          <rPr>
            <b/>
            <sz val="9"/>
            <color indexed="81"/>
            <rFont val="Tahoma"/>
            <family val="2"/>
          </rPr>
          <t xml:space="preserve">HPOP
</t>
        </r>
        <r>
          <rPr>
            <sz val="9"/>
            <color indexed="81"/>
            <rFont val="Tahoma"/>
            <family val="2"/>
          </rPr>
          <t>Household population.</t>
        </r>
      </text>
    </comment>
    <comment ref="AM5" authorId="0" shapeId="0" xr:uid="{EC0FEEF3-015B-4456-9C30-D677ECA08B2F}">
      <text>
        <r>
          <rPr>
            <b/>
            <sz val="9"/>
            <color indexed="81"/>
            <rFont val="Tahoma"/>
            <family val="2"/>
          </rPr>
          <t xml:space="preserve">MPS
</t>
        </r>
        <r>
          <rPr>
            <sz val="9"/>
            <color indexed="81"/>
            <rFont val="Tahoma"/>
            <family val="2"/>
          </rPr>
          <t>Marginal propensity to save (households and enterprises).</t>
        </r>
      </text>
    </comment>
    <comment ref="AN5" authorId="0" shapeId="0" xr:uid="{3E019A61-160C-449A-9D03-01F402B30F5C}">
      <text>
        <r>
          <rPr>
            <b/>
            <sz val="9"/>
            <color indexed="81"/>
            <rFont val="Tahoma"/>
            <family val="2"/>
          </rPr>
          <t xml:space="preserve">TINS
</t>
        </r>
        <r>
          <rPr>
            <sz val="9"/>
            <color indexed="81"/>
            <rFont val="Tahoma"/>
            <family val="2"/>
          </rPr>
          <t>Institution direct tax rate (households and enterprises).</t>
        </r>
      </text>
    </comment>
    <comment ref="AO5" authorId="0" shapeId="0" xr:uid="{068D686E-C92D-4956-AB13-E09C712ECB1D}">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73A0105D-191E-48B6-9FBC-A1968C3BE698}">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41ACC2FF-0185-4A61-B2AB-0F641C07F4C1}">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AD449748-28A1-4E78-8E87-9728BF9DC38F}">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43B2B9B1-1A23-40C6-871E-1A4E214EA1F0}">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64F0B0EC-217A-4E8D-A0B7-E9B7355EE5CA}">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C11F2661-DD76-464A-B2E7-63B72E648398}">
      <text>
        <r>
          <rPr>
            <b/>
            <sz val="9"/>
            <color indexed="81"/>
            <rFont val="Tahoma"/>
            <family val="2"/>
          </rPr>
          <t xml:space="preserve">EXR
</t>
        </r>
        <r>
          <rPr>
            <sz val="9"/>
            <color indexed="81"/>
            <rFont val="Tahoma"/>
            <family val="2"/>
          </rPr>
          <t>Exchange rate.</t>
        </r>
      </text>
    </comment>
    <comment ref="C8" authorId="0" shapeId="0" xr:uid="{36692893-6730-4F36-9723-F8550FC34169}">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O8" authorId="0" shapeId="0" xr:uid="{75472F0F-5558-4B6A-8AFC-5EA60D257C93}">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Y8" authorId="0" shapeId="0" xr:uid="{26037AF9-F38C-495D-84EE-98C45C26B3E0}">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K8" authorId="0" shapeId="0" xr:uid="{15738962-3CC3-47EC-B581-0C260C4493EE}">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W8" authorId="0" shapeId="0" xr:uid="{9A3B768D-DE99-4DB0-A91C-87FA3424D6EF}">
      <text>
        <r>
          <rPr>
            <b/>
            <sz val="9"/>
            <color indexed="81"/>
            <rFont val="Tahoma"/>
            <family val="2"/>
          </rPr>
          <t xml:space="preserve">FSAV
</t>
        </r>
        <r>
          <rPr>
            <sz val="9"/>
            <color indexed="81"/>
            <rFont val="Tahoma"/>
            <family val="2"/>
          </rPr>
          <t>Foreign savings.</t>
        </r>
      </text>
    </comment>
    <comment ref="C9" authorId="0" shapeId="0" xr:uid="{5F1A7C63-61A1-404D-9BA7-059776E13D87}">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O9" authorId="0" shapeId="0" xr:uid="{44F6ECA7-DFC7-41F4-B7F3-5C02A1899B3C}">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Y9" authorId="0" shapeId="0" xr:uid="{7EBDFA9C-8E39-48B1-98CC-111E65752566}">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K9" authorId="0" shapeId="0" xr:uid="{C44648EE-9476-4D80-B07D-5ED716D87D4B}">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W9" authorId="0" shapeId="0" xr:uid="{BE3FBF72-26C4-4A74-9AD6-B51A8F0E8D2C}">
      <text>
        <r>
          <rPr>
            <b/>
            <sz val="9"/>
            <color indexed="81"/>
            <rFont val="Tahoma"/>
            <family val="2"/>
          </rPr>
          <t xml:space="preserve">IADJ
</t>
        </r>
        <r>
          <rPr>
            <sz val="9"/>
            <color indexed="81"/>
            <rFont val="Tahoma"/>
            <family val="2"/>
          </rPr>
          <t xml:space="preserve">Gross fixed capital formation.
</t>
        </r>
      </text>
    </comment>
    <comment ref="AW10" authorId="0" shapeId="0" xr:uid="{F58FB9D0-038A-426A-AB0C-42AE2404EA63}">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E30C0D5B-6A0F-4B5F-8695-1562E8CB38B0}">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9679E5DA-BB33-44F6-833C-7C3ABFA23740}">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4640E1AE-BACF-4BB4-A3DB-080368C6FEE4}">
      <text>
        <r>
          <rPr>
            <b/>
            <sz val="9"/>
            <color indexed="81"/>
            <rFont val="Tahoma"/>
            <family val="2"/>
          </rPr>
          <t xml:space="preserve">GADJ
</t>
        </r>
        <r>
          <rPr>
            <sz val="9"/>
            <color indexed="81"/>
            <rFont val="Tahoma"/>
            <family val="2"/>
          </rPr>
          <t>Government consumption spending.</t>
        </r>
      </text>
    </comment>
    <comment ref="AW14" authorId="0" shapeId="0" xr:uid="{D91D8238-7D57-4C6A-9416-98FE1B27D2D1}">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AC26596B-76CD-47A8-A267-99235EBA3D4A}">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7EB8041C-9AE3-4A61-9122-5089F44C1A88}">
      <text>
        <r>
          <rPr>
            <b/>
            <sz val="9"/>
            <color indexed="81"/>
            <rFont val="Tahoma"/>
            <family val="2"/>
          </rPr>
          <t xml:space="preserve">trnsi
</t>
        </r>
        <r>
          <rPr>
            <sz val="9"/>
            <color indexed="81"/>
            <rFont val="Tahoma"/>
            <family val="2"/>
          </rPr>
          <t>Rest of the world transfers to government</t>
        </r>
      </text>
    </comment>
    <comment ref="AW17" authorId="0" shapeId="0" xr:uid="{0D46D3C8-056A-429A-8579-2191A2E077F0}">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CCF70C60-066F-49CF-BABC-843D7254D37D}">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4108FD91-09F2-4F8E-861A-2B3238D4E6A3}">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1B400745-2843-4B94-8E03-5C83EA87AF6E}">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C8D68085-5B4F-4553-AE15-233DB1C9A567}">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3BB5AFCD-D625-40C0-9B74-0B8E18647B80}">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68DB5BED-74A1-402A-8D0B-2CB2611BF8D9}">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 ref="AW24" authorId="0" shapeId="0" xr:uid="{96BCB4D5-F6E5-46E9-86E9-158C4DB5FCE9}">
      <text>
        <r>
          <rPr>
            <b/>
            <sz val="9"/>
            <color indexed="81"/>
            <rFont val="Tahoma"/>
            <family val="2"/>
          </rPr>
          <t xml:space="preserve">DRATE
</t>
        </r>
        <r>
          <rPr>
            <sz val="9"/>
            <color indexed="81"/>
            <rFont val="Tahoma"/>
            <family val="2"/>
          </rPr>
          <t>Annual depreciation rate for capital stocks across all sectors.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E9196EF6-C9B9-49BF-8289-C2B022503053}">
      <text>
        <r>
          <rPr>
            <b/>
            <sz val="9"/>
            <color indexed="81"/>
            <rFont val="Tahoma"/>
            <family val="2"/>
          </rPr>
          <t>alphava</t>
        </r>
        <r>
          <rPr>
            <sz val="9"/>
            <color indexed="81"/>
            <rFont val="Tahoma"/>
            <family val="2"/>
          </rPr>
          <t xml:space="preserve">
Total factor productivity.
</t>
        </r>
      </text>
    </comment>
    <comment ref="AY4" authorId="0" shapeId="0" xr:uid="{8160141C-AE50-4B7F-932A-D293F8889DF0}">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Z4" authorId="0" shapeId="0" xr:uid="{88994CDB-070B-4BF2-BB7B-0950CDF136C9}">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BA4" authorId="0" shapeId="0" xr:uid="{1D750109-2356-43A2-B5C7-09D2E423E6E1}">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BB4" authorId="0" shapeId="0" xr:uid="{50B002DE-0860-4C2A-A2A4-91927864CFB2}">
      <text>
        <r>
          <rPr>
            <b/>
            <sz val="9"/>
            <color indexed="81"/>
            <rFont val="Tahoma"/>
            <family val="2"/>
          </rPr>
          <t>Type of shock</t>
        </r>
        <r>
          <rPr>
            <sz val="9"/>
            <color indexed="81"/>
            <rFont val="Tahoma"/>
            <family val="2"/>
          </rPr>
          <t xml:space="preserve">
  1 = multiplicative
  2 = additive</t>
        </r>
      </text>
    </comment>
    <comment ref="D5" authorId="0" shapeId="0" xr:uid="{950604EF-448B-4B27-B422-1FD504C7A5EA}">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8A368659-18DD-4382-A311-849017C22816}">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5F433735-C20E-48DC-9D2B-CCF1574762F1}">
      <text>
        <r>
          <rPr>
            <b/>
            <sz val="9"/>
            <color indexed="81"/>
            <rFont val="Tahoma"/>
            <family val="2"/>
          </rPr>
          <t>TE</t>
        </r>
        <r>
          <rPr>
            <sz val="9"/>
            <color indexed="81"/>
            <rFont val="Tahoma"/>
            <family val="2"/>
          </rPr>
          <t xml:space="preserve">
Export tax rates</t>
        </r>
      </text>
    </comment>
    <comment ref="G5" authorId="0" shapeId="0" xr:uid="{5E1295E8-57B4-48F2-9C45-CD06B74EE154}">
      <text>
        <r>
          <rPr>
            <b/>
            <sz val="9"/>
            <color indexed="81"/>
            <rFont val="Tahoma"/>
            <family val="2"/>
          </rPr>
          <t>TM</t>
        </r>
        <r>
          <rPr>
            <sz val="9"/>
            <color indexed="81"/>
            <rFont val="Tahoma"/>
            <family val="2"/>
          </rPr>
          <t xml:space="preserve">
Import tariff rates</t>
        </r>
      </text>
    </comment>
    <comment ref="H5" authorId="0" shapeId="0" xr:uid="{1C1F800B-ED57-4489-BA5A-99EB516BF1D5}">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E0383778-8679-43B9-A40D-0051553149A7}">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6DB720C9-5A80-4D97-8BCB-D4E83DEC3401}">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E3D5519C-EA14-4390-8BA6-305547C684B0}">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EE5059FC-99F7-4DAD-8FFC-AB95D6B535EA}">
      <text>
        <r>
          <rPr>
            <b/>
            <sz val="9"/>
            <color indexed="81"/>
            <rFont val="Tahoma"/>
            <family val="2"/>
          </rPr>
          <t xml:space="preserve">Commodity tax adjustment:
  </t>
        </r>
        <r>
          <rPr>
            <sz val="9"/>
            <color indexed="81"/>
            <rFont val="Tahoma"/>
            <family val="2"/>
          </rPr>
          <t xml:space="preserve">1 = Allow commodity tax to adjust.
  0 = Do not allow commodity tax to adjust.
  Note: Same rule applied to TE, TM, and TQ.
</t>
        </r>
      </text>
    </comment>
    <comment ref="Q5" authorId="0" shapeId="0" xr:uid="{5C7B6797-F690-4EA0-85EE-CD3700233115}">
      <text>
        <r>
          <rPr>
            <b/>
            <sz val="9"/>
            <color indexed="81"/>
            <rFont val="Tahoma"/>
            <family val="2"/>
          </rPr>
          <t>TA</t>
        </r>
        <r>
          <rPr>
            <sz val="9"/>
            <color indexed="81"/>
            <rFont val="Tahoma"/>
            <family val="2"/>
          </rPr>
          <t xml:space="preserve">
Indirect taxes on total activity production value.</t>
        </r>
      </text>
    </comment>
    <comment ref="R5" authorId="0" shapeId="0" xr:uid="{9A77FEA3-9796-44B4-9208-03BC75C91136}">
      <text>
        <r>
          <rPr>
            <b/>
            <sz val="9"/>
            <color indexed="81"/>
            <rFont val="Tahoma"/>
            <family val="2"/>
          </rPr>
          <t xml:space="preserve">TVA </t>
        </r>
        <r>
          <rPr>
            <sz val="9"/>
            <color indexed="81"/>
            <rFont val="Tahoma"/>
            <family val="2"/>
          </rPr>
          <t xml:space="preserve">
Indirect taxes on activity value-added.</t>
        </r>
      </text>
    </comment>
    <comment ref="S5" authorId="0" shapeId="0" xr:uid="{4E07D738-061E-4575-8EF9-6512DBF77F5B}">
      <text>
        <r>
          <rPr>
            <b/>
            <sz val="9"/>
            <color indexed="81"/>
            <rFont val="Tahoma"/>
            <family val="2"/>
          </rPr>
          <t xml:space="preserve">Capital mobility assumption: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E8708FE5-A6E4-444E-A2CE-3E46B16062EA}">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9AAABEBA-3D97-47A4-8E26-D08669313BC9}">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FCF330F8-F02C-4DCA-A456-B39EBB7D8D67}">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69BF5BA1-399B-4EE9-90A7-7C3B679F7FB9}">
      <text>
        <r>
          <rPr>
            <b/>
            <sz val="9"/>
            <color indexed="81"/>
            <rFont val="Tahoma"/>
            <family val="2"/>
          </rPr>
          <t>WF</t>
        </r>
        <r>
          <rPr>
            <sz val="9"/>
            <color indexed="81"/>
            <rFont val="Tahoma"/>
            <family val="2"/>
          </rPr>
          <t xml:space="preserve">
Economywide wage rate.</t>
        </r>
      </text>
    </comment>
    <comment ref="AA5" authorId="0" shapeId="0" xr:uid="{E26C3154-BD24-41F8-8470-FA3D0FFAA928}">
      <text>
        <r>
          <rPr>
            <b/>
            <sz val="9"/>
            <color indexed="81"/>
            <rFont val="Tahoma"/>
            <family val="2"/>
          </rPr>
          <t xml:space="preserve">QFS
</t>
        </r>
        <r>
          <rPr>
            <sz val="9"/>
            <color indexed="81"/>
            <rFont val="Tahoma"/>
            <family val="2"/>
          </rPr>
          <t>Total factor supply quantity.</t>
        </r>
      </text>
    </comment>
    <comment ref="AB5" authorId="0" shapeId="0" xr:uid="{EF08B7D7-08D5-4915-A995-83A33D27CC7F}">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C68DDCAE-C8DF-43D2-BA10-3B15DF9B507F}">
      <text>
        <r>
          <rPr>
            <b/>
            <sz val="9"/>
            <color indexed="81"/>
            <rFont val="Tahoma"/>
            <family val="2"/>
          </rPr>
          <t>TF</t>
        </r>
        <r>
          <rPr>
            <sz val="9"/>
            <color indexed="81"/>
            <rFont val="Tahoma"/>
            <family val="2"/>
          </rPr>
          <t xml:space="preserve">
Direct tax on total factor earnings.</t>
        </r>
      </text>
    </comment>
    <comment ref="AD5" authorId="0" shapeId="0" xr:uid="{DB9871F5-F66B-49A5-9C76-99A6AAF35C4B}">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B3BCA657-EF63-42DA-ACF0-D06FC4A28E99}">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9241CEC4-86E6-4BA8-B211-6F51DD17532F}">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75C27EAE-6502-49B4-826F-9DEA97393545}">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5C4CC2B0-5339-4120-8651-3205FFE80455}">
      <text>
        <r>
          <rPr>
            <b/>
            <sz val="9"/>
            <color indexed="81"/>
            <rFont val="Tahoma"/>
            <family val="2"/>
          </rPr>
          <t xml:space="preserve">Factor tax adjustment:
  </t>
        </r>
        <r>
          <rPr>
            <sz val="9"/>
            <color indexed="81"/>
            <rFont val="Tahoma"/>
            <family val="2"/>
          </rPr>
          <t>1 = Allow factor tax to adjust.
  2 = Do not allow factor tax to adjust.</t>
        </r>
      </text>
    </comment>
    <comment ref="AL5" authorId="0" shapeId="0" xr:uid="{08A2B219-3875-4153-BA60-85B25D7BF0F9}">
      <text>
        <r>
          <rPr>
            <b/>
            <sz val="9"/>
            <color indexed="81"/>
            <rFont val="Tahoma"/>
            <family val="2"/>
          </rPr>
          <t xml:space="preserve">HPOP
</t>
        </r>
        <r>
          <rPr>
            <sz val="9"/>
            <color indexed="81"/>
            <rFont val="Tahoma"/>
            <family val="2"/>
          </rPr>
          <t>Household population.</t>
        </r>
      </text>
    </comment>
    <comment ref="AM5" authorId="0" shapeId="0" xr:uid="{12CDBC58-D12F-4281-96A5-86C091AD0ECC}">
      <text>
        <r>
          <rPr>
            <b/>
            <sz val="9"/>
            <color indexed="81"/>
            <rFont val="Tahoma"/>
            <family val="2"/>
          </rPr>
          <t xml:space="preserve">MPS
</t>
        </r>
        <r>
          <rPr>
            <sz val="9"/>
            <color indexed="81"/>
            <rFont val="Tahoma"/>
            <family val="2"/>
          </rPr>
          <t>Marginal propensity to save (households and enterprises).</t>
        </r>
      </text>
    </comment>
    <comment ref="AN5" authorId="0" shapeId="0" xr:uid="{E1CC800C-AE4A-4731-AB12-8931B2C476EE}">
      <text>
        <r>
          <rPr>
            <b/>
            <sz val="9"/>
            <color indexed="81"/>
            <rFont val="Tahoma"/>
            <family val="2"/>
          </rPr>
          <t xml:space="preserve">TINS
</t>
        </r>
        <r>
          <rPr>
            <sz val="9"/>
            <color indexed="81"/>
            <rFont val="Tahoma"/>
            <family val="2"/>
          </rPr>
          <t>Institution direct tax rate (households and enterprises).</t>
        </r>
      </text>
    </comment>
    <comment ref="AO5" authorId="0" shapeId="0" xr:uid="{C7E5BA29-D8E2-4EF2-B1C2-99B61FE2EB36}">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A80972E1-17A3-4966-9FB4-518AC5730572}">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B4CA143D-DA29-4B1C-8A21-D1B3B1C187F0}">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2A455A92-1334-47D0-8993-784C56E0E8F8}">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F64892F8-FBD7-4EF4-BF3A-1ED152D61C7E}">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0462A46F-2003-4414-A4BC-CE5A95EA4F36}">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5F373662-997F-4271-A26B-373BE1EC709E}">
      <text>
        <r>
          <rPr>
            <b/>
            <sz val="9"/>
            <color indexed="81"/>
            <rFont val="Tahoma"/>
            <family val="2"/>
          </rPr>
          <t xml:space="preserve">EXR
</t>
        </r>
        <r>
          <rPr>
            <sz val="9"/>
            <color indexed="81"/>
            <rFont val="Tahoma"/>
            <family val="2"/>
          </rPr>
          <t>Exchange rate.</t>
        </r>
      </text>
    </comment>
    <comment ref="C8" authorId="0" shapeId="0" xr:uid="{49931E50-856D-4D97-8166-DC71E60949A9}">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O8" authorId="0" shapeId="0" xr:uid="{6642A7BC-EC0B-4408-AC9F-9969BD6A45F1}">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Y8" authorId="0" shapeId="0" xr:uid="{0C339612-E6F4-4139-8339-B24BACEC5B8E}">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K8" authorId="0" shapeId="0" xr:uid="{94B76237-ACDA-4C19-8837-FCE909F86287}">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W8" authorId="0" shapeId="0" xr:uid="{EFDDB8E8-E02D-4176-92C5-1559C3B4ABAE}">
      <text>
        <r>
          <rPr>
            <b/>
            <sz val="9"/>
            <color indexed="81"/>
            <rFont val="Tahoma"/>
            <family val="2"/>
          </rPr>
          <t xml:space="preserve">FSAV
</t>
        </r>
        <r>
          <rPr>
            <sz val="9"/>
            <color indexed="81"/>
            <rFont val="Tahoma"/>
            <family val="2"/>
          </rPr>
          <t>Foreign savings.</t>
        </r>
      </text>
    </comment>
    <comment ref="C9" authorId="0" shapeId="0" xr:uid="{9C3AF04A-E8C7-463E-A0B8-686C64ED5CD1}">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O9" authorId="0" shapeId="0" xr:uid="{84E36713-C152-4AA1-A4C9-88E1B80690DA}">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Y9" authorId="0" shapeId="0" xr:uid="{603D539A-6E0B-48D9-8EF2-7BE83376DE37}">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K9" authorId="0" shapeId="0" xr:uid="{16D69B65-8D5C-49C6-9D26-F881CF7BA7AA}">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W9" authorId="0" shapeId="0" xr:uid="{DA15DA5E-8E30-485C-B934-013EC2089E22}">
      <text>
        <r>
          <rPr>
            <b/>
            <sz val="9"/>
            <color indexed="81"/>
            <rFont val="Tahoma"/>
            <family val="2"/>
          </rPr>
          <t xml:space="preserve">IADJ
</t>
        </r>
        <r>
          <rPr>
            <sz val="9"/>
            <color indexed="81"/>
            <rFont val="Tahoma"/>
            <family val="2"/>
          </rPr>
          <t xml:space="preserve">Gross fixed capital formation.
</t>
        </r>
      </text>
    </comment>
    <comment ref="AW10" authorId="0" shapeId="0" xr:uid="{2FF6F7C3-B590-45FA-9CCD-2048836AF2BF}">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487EDEA8-3672-45E2-B8A7-F55933B3A765}">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A3C87297-067C-4079-8E68-2B9B4CBA94BC}">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15BF9FD5-80A7-4897-BA4B-6B67D864A3C4}">
      <text>
        <r>
          <rPr>
            <b/>
            <sz val="9"/>
            <color indexed="81"/>
            <rFont val="Tahoma"/>
            <family val="2"/>
          </rPr>
          <t xml:space="preserve">GADJ
</t>
        </r>
        <r>
          <rPr>
            <sz val="9"/>
            <color indexed="81"/>
            <rFont val="Tahoma"/>
            <family val="2"/>
          </rPr>
          <t>Government consumption spending.</t>
        </r>
      </text>
    </comment>
    <comment ref="AW14" authorId="0" shapeId="0" xr:uid="{62AB03BB-53F5-47C6-A055-06D2AC872B64}">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25AAD6D1-E7A3-4F2C-9201-233B4AA0F875}">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4BA4703E-5727-4FE9-A240-B59954146D4D}">
      <text>
        <r>
          <rPr>
            <b/>
            <sz val="9"/>
            <color indexed="81"/>
            <rFont val="Tahoma"/>
            <family val="2"/>
          </rPr>
          <t xml:space="preserve">trnsi
</t>
        </r>
        <r>
          <rPr>
            <sz val="9"/>
            <color indexed="81"/>
            <rFont val="Tahoma"/>
            <family val="2"/>
          </rPr>
          <t>Rest of the world transfers to government</t>
        </r>
      </text>
    </comment>
    <comment ref="AW17" authorId="0" shapeId="0" xr:uid="{704022B2-3244-405D-8FEB-7068AA482A33}">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36FC8753-63D5-41B8-BB4F-3D77EB550526}">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CF678006-0211-452B-92DE-92E58C2F1718}">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1ECABCE5-B297-4CDF-B829-7147AB739C8F}">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3A700FA8-23A7-42DF-9084-A0D8E810EB49}">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95E24150-6857-4151-977F-C6C738C7FE47}">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94309F12-4F10-465F-926D-970F590F76A1}">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 ref="AW24" authorId="0" shapeId="0" xr:uid="{5B1EF081-0935-49BF-AA23-10D14EDC414C}">
      <text>
        <r>
          <rPr>
            <b/>
            <sz val="9"/>
            <color indexed="81"/>
            <rFont val="Tahoma"/>
            <family val="2"/>
          </rPr>
          <t xml:space="preserve">DRATE
</t>
        </r>
        <r>
          <rPr>
            <sz val="9"/>
            <color indexed="81"/>
            <rFont val="Tahoma"/>
            <family val="2"/>
          </rPr>
          <t>Annual depreciation rate for capital stocks across all sectors.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77F70238-3B89-4519-AF01-08BF6A3A1209}">
      <text>
        <r>
          <rPr>
            <b/>
            <sz val="9"/>
            <color indexed="81"/>
            <rFont val="Tahoma"/>
            <family val="2"/>
          </rPr>
          <t>alphava</t>
        </r>
        <r>
          <rPr>
            <sz val="9"/>
            <color indexed="81"/>
            <rFont val="Tahoma"/>
            <family val="2"/>
          </rPr>
          <t xml:space="preserve">
Total factor productivity.
</t>
        </r>
      </text>
    </comment>
    <comment ref="AY4" authorId="0" shapeId="0" xr:uid="{0CCBC68D-B178-40C2-BD75-3EF1BA01DED9}">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Z4" authorId="0" shapeId="0" xr:uid="{D25B9F7B-B895-499D-B9E6-114F2E54BB79}">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BA4" authorId="0" shapeId="0" xr:uid="{C53B9D48-A47B-4CD5-97A2-B18D937DF69C}">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BB4" authorId="0" shapeId="0" xr:uid="{88CC7B25-CBCC-4787-8344-1FD2E1B4FDAE}">
      <text>
        <r>
          <rPr>
            <b/>
            <sz val="9"/>
            <color indexed="81"/>
            <rFont val="Tahoma"/>
            <family val="2"/>
          </rPr>
          <t>Type of shock</t>
        </r>
        <r>
          <rPr>
            <sz val="9"/>
            <color indexed="81"/>
            <rFont val="Tahoma"/>
            <family val="2"/>
          </rPr>
          <t xml:space="preserve">
  1 = multiplicative
  2 = additive</t>
        </r>
      </text>
    </comment>
    <comment ref="D5" authorId="0" shapeId="0" xr:uid="{85BC1C98-8CBC-45BD-B1CF-EC1B2B6829FC}">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2449E3D1-70BD-48B8-BDC7-0318396542DA}">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2B8D94E9-3D48-4A7F-823A-393D8EBEF8B4}">
      <text>
        <r>
          <rPr>
            <b/>
            <sz val="9"/>
            <color indexed="81"/>
            <rFont val="Tahoma"/>
            <family val="2"/>
          </rPr>
          <t>TE</t>
        </r>
        <r>
          <rPr>
            <sz val="9"/>
            <color indexed="81"/>
            <rFont val="Tahoma"/>
            <family val="2"/>
          </rPr>
          <t xml:space="preserve">
Export tax rates</t>
        </r>
      </text>
    </comment>
    <comment ref="G5" authorId="0" shapeId="0" xr:uid="{09BA6E17-40D5-4F85-A625-0C7B5C6A31BB}">
      <text>
        <r>
          <rPr>
            <b/>
            <sz val="9"/>
            <color indexed="81"/>
            <rFont val="Tahoma"/>
            <family val="2"/>
          </rPr>
          <t>TM</t>
        </r>
        <r>
          <rPr>
            <sz val="9"/>
            <color indexed="81"/>
            <rFont val="Tahoma"/>
            <family val="2"/>
          </rPr>
          <t xml:space="preserve">
Import tariff rates</t>
        </r>
      </text>
    </comment>
    <comment ref="H5" authorId="0" shapeId="0" xr:uid="{9E0693BE-7012-4D49-9DB8-CEF3631A6604}">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196F9E05-6942-444B-9162-0FD6C5B98562}">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A05EDAF2-CBBD-4259-8748-2C10DF39A5BF}">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E624C667-E5CD-41F4-8086-79F19F9AAA28}">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4C596CC6-798C-49E6-BF85-B430227A25FF}">
      <text>
        <r>
          <rPr>
            <b/>
            <sz val="9"/>
            <color indexed="81"/>
            <rFont val="Tahoma"/>
            <family val="2"/>
          </rPr>
          <t xml:space="preserve">Commodity tax adjustment:
  </t>
        </r>
        <r>
          <rPr>
            <sz val="9"/>
            <color indexed="81"/>
            <rFont val="Tahoma"/>
            <family val="2"/>
          </rPr>
          <t xml:space="preserve">1 = Allow commodity tax to adjust.
  0 = Do not allow commodity tax to adjust.
  Note: Same rule applied to TE, TM, and TQ.
</t>
        </r>
      </text>
    </comment>
    <comment ref="Q5" authorId="0" shapeId="0" xr:uid="{66C9C4C2-14AD-41D1-8E9F-6C539D31B356}">
      <text>
        <r>
          <rPr>
            <b/>
            <sz val="9"/>
            <color indexed="81"/>
            <rFont val="Tahoma"/>
            <family val="2"/>
          </rPr>
          <t>TA</t>
        </r>
        <r>
          <rPr>
            <sz val="9"/>
            <color indexed="81"/>
            <rFont val="Tahoma"/>
            <family val="2"/>
          </rPr>
          <t xml:space="preserve">
Indirect taxes on total activity production value.</t>
        </r>
      </text>
    </comment>
    <comment ref="R5" authorId="0" shapeId="0" xr:uid="{E357C71C-B2A3-4D5D-81CC-551DF82A35E3}">
      <text>
        <r>
          <rPr>
            <b/>
            <sz val="9"/>
            <color indexed="81"/>
            <rFont val="Tahoma"/>
            <family val="2"/>
          </rPr>
          <t xml:space="preserve">TVA </t>
        </r>
        <r>
          <rPr>
            <sz val="9"/>
            <color indexed="81"/>
            <rFont val="Tahoma"/>
            <family val="2"/>
          </rPr>
          <t xml:space="preserve">
Indirect taxes on activity value-added.</t>
        </r>
      </text>
    </comment>
    <comment ref="S5" authorId="0" shapeId="0" xr:uid="{E06E7AAC-36A2-4EE7-9DE2-8CB19651813D}">
      <text>
        <r>
          <rPr>
            <b/>
            <sz val="9"/>
            <color indexed="81"/>
            <rFont val="Tahoma"/>
            <family val="2"/>
          </rPr>
          <t xml:space="preserve">Capital mobility assumption: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43E96015-3DA3-424F-8A09-EDC6F94D41DE}">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311027D8-7BEF-42DC-8FFB-BBB6560E5CC3}">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6197973B-EF4F-49F6-BAA2-5982B828308A}">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58C2DB74-D0C0-429E-96E2-D4A07A17B5A8}">
      <text>
        <r>
          <rPr>
            <b/>
            <sz val="9"/>
            <color indexed="81"/>
            <rFont val="Tahoma"/>
            <family val="2"/>
          </rPr>
          <t>WF</t>
        </r>
        <r>
          <rPr>
            <sz val="9"/>
            <color indexed="81"/>
            <rFont val="Tahoma"/>
            <family val="2"/>
          </rPr>
          <t xml:space="preserve">
Economywide wage rate.</t>
        </r>
      </text>
    </comment>
    <comment ref="AA5" authorId="0" shapeId="0" xr:uid="{791B085C-3A2B-49AE-8F2A-D31429E601A4}">
      <text>
        <r>
          <rPr>
            <b/>
            <sz val="9"/>
            <color indexed="81"/>
            <rFont val="Tahoma"/>
            <family val="2"/>
          </rPr>
          <t xml:space="preserve">QFS
</t>
        </r>
        <r>
          <rPr>
            <sz val="9"/>
            <color indexed="81"/>
            <rFont val="Tahoma"/>
            <family val="2"/>
          </rPr>
          <t>Total factor supply quantity.</t>
        </r>
      </text>
    </comment>
    <comment ref="AB5" authorId="0" shapeId="0" xr:uid="{9856C93A-DF85-4D65-B98B-1AA11EF1318E}">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52253615-56BC-4E6D-B3A9-9875DD0B664F}">
      <text>
        <r>
          <rPr>
            <b/>
            <sz val="9"/>
            <color indexed="81"/>
            <rFont val="Tahoma"/>
            <family val="2"/>
          </rPr>
          <t>TF</t>
        </r>
        <r>
          <rPr>
            <sz val="9"/>
            <color indexed="81"/>
            <rFont val="Tahoma"/>
            <family val="2"/>
          </rPr>
          <t xml:space="preserve">
Direct tax on total factor earnings.</t>
        </r>
      </text>
    </comment>
    <comment ref="AD5" authorId="0" shapeId="0" xr:uid="{257D07FF-8F23-4556-B957-BE8D8213D0EA}">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1EA0D8D3-2C1F-4013-8981-C05EA73C2E6C}">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2199481F-A577-4C7C-AA05-D64ADD747BAE}">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58119E8D-D6B5-4DF8-AC3F-7C5A0251F4E2}">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FD0DBA00-4D45-45AF-9DB5-FC0D8ECC0E5F}">
      <text>
        <r>
          <rPr>
            <b/>
            <sz val="9"/>
            <color indexed="81"/>
            <rFont val="Tahoma"/>
            <family val="2"/>
          </rPr>
          <t xml:space="preserve">Factor tax adjustment:
  </t>
        </r>
        <r>
          <rPr>
            <sz val="9"/>
            <color indexed="81"/>
            <rFont val="Tahoma"/>
            <family val="2"/>
          </rPr>
          <t>1 = Allow factor tax to adjust.
  2 = Do not allow factor tax to adjust.</t>
        </r>
      </text>
    </comment>
    <comment ref="AL5" authorId="0" shapeId="0" xr:uid="{2F528087-A9AC-42E9-AE0A-BE498D46675B}">
      <text>
        <r>
          <rPr>
            <b/>
            <sz val="9"/>
            <color indexed="81"/>
            <rFont val="Tahoma"/>
            <family val="2"/>
          </rPr>
          <t xml:space="preserve">HPOP
</t>
        </r>
        <r>
          <rPr>
            <sz val="9"/>
            <color indexed="81"/>
            <rFont val="Tahoma"/>
            <family val="2"/>
          </rPr>
          <t>Household population.</t>
        </r>
      </text>
    </comment>
    <comment ref="AM5" authorId="0" shapeId="0" xr:uid="{3CAA9E6F-9E7D-4F6E-B6FE-FE665E0DCEB4}">
      <text>
        <r>
          <rPr>
            <b/>
            <sz val="9"/>
            <color indexed="81"/>
            <rFont val="Tahoma"/>
            <family val="2"/>
          </rPr>
          <t xml:space="preserve">MPS
</t>
        </r>
        <r>
          <rPr>
            <sz val="9"/>
            <color indexed="81"/>
            <rFont val="Tahoma"/>
            <family val="2"/>
          </rPr>
          <t>Marginal propensity to save (households and enterprises).</t>
        </r>
      </text>
    </comment>
    <comment ref="AN5" authorId="0" shapeId="0" xr:uid="{0EADC27E-81EF-4EEE-9202-E4E42B6EDB4E}">
      <text>
        <r>
          <rPr>
            <b/>
            <sz val="9"/>
            <color indexed="81"/>
            <rFont val="Tahoma"/>
            <family val="2"/>
          </rPr>
          <t xml:space="preserve">TINS
</t>
        </r>
        <r>
          <rPr>
            <sz val="9"/>
            <color indexed="81"/>
            <rFont val="Tahoma"/>
            <family val="2"/>
          </rPr>
          <t>Institution direct tax rate (households and enterprises).</t>
        </r>
      </text>
    </comment>
    <comment ref="AO5" authorId="0" shapeId="0" xr:uid="{377BC0E6-C1AD-4FB9-A00B-303507DF1C72}">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2EFE5DBA-39C2-4B8D-B39A-81C154164DB9}">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76059D49-3437-4415-B324-729A62087D8D}">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3FC54304-A09E-4AF6-8222-19C50436505D}">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03FE235C-05D6-4D85-89AE-E5145F57992A}">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1ECC6805-7CCF-4BAB-8EAF-7022EE582597}">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448EFF69-F3DD-4BBE-8322-EB5B58D5370B}">
      <text>
        <r>
          <rPr>
            <b/>
            <sz val="9"/>
            <color indexed="81"/>
            <rFont val="Tahoma"/>
            <family val="2"/>
          </rPr>
          <t xml:space="preserve">EXR
</t>
        </r>
        <r>
          <rPr>
            <sz val="9"/>
            <color indexed="81"/>
            <rFont val="Tahoma"/>
            <family val="2"/>
          </rPr>
          <t>Exchange rate.</t>
        </r>
      </text>
    </comment>
    <comment ref="C8" authorId="0" shapeId="0" xr:uid="{72E85AFA-4909-499F-9538-324E4EAB5AB1}">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O8" authorId="0" shapeId="0" xr:uid="{65C96CFB-41D0-4827-BC8C-614049B53E7A}">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Y8" authorId="0" shapeId="0" xr:uid="{CF221DD4-CAD4-4269-A90B-C706C180CB46}">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K8" authorId="0" shapeId="0" xr:uid="{1C055984-9D8F-4020-8776-AA50BDD247B0}">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W8" authorId="0" shapeId="0" xr:uid="{B2B95EB1-90EC-412A-B838-3E24B35102BD}">
      <text>
        <r>
          <rPr>
            <b/>
            <sz val="9"/>
            <color indexed="81"/>
            <rFont val="Tahoma"/>
            <family val="2"/>
          </rPr>
          <t xml:space="preserve">FSAV
</t>
        </r>
        <r>
          <rPr>
            <sz val="9"/>
            <color indexed="81"/>
            <rFont val="Tahoma"/>
            <family val="2"/>
          </rPr>
          <t>Foreign savings.</t>
        </r>
      </text>
    </comment>
    <comment ref="C9" authorId="0" shapeId="0" xr:uid="{FEF27C22-AB2C-4605-BB87-2CDEA6DE54DF}">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O9" authorId="0" shapeId="0" xr:uid="{CBCBAE41-BC7C-4D3A-850B-EF580600A971}">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Y9" authorId="0" shapeId="0" xr:uid="{630AB161-40B4-4932-B68E-60B594B7BE4B}">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K9" authorId="0" shapeId="0" xr:uid="{1847E51D-DFEA-4460-B61D-A0770431397B}">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W9" authorId="0" shapeId="0" xr:uid="{E93084B8-BFFE-4DDB-AE10-F680A1DE86BE}">
      <text>
        <r>
          <rPr>
            <b/>
            <sz val="9"/>
            <color indexed="81"/>
            <rFont val="Tahoma"/>
            <family val="2"/>
          </rPr>
          <t xml:space="preserve">IADJ
</t>
        </r>
        <r>
          <rPr>
            <sz val="9"/>
            <color indexed="81"/>
            <rFont val="Tahoma"/>
            <family val="2"/>
          </rPr>
          <t xml:space="preserve">Gross fixed capital formation.
</t>
        </r>
      </text>
    </comment>
    <comment ref="AW10" authorId="0" shapeId="0" xr:uid="{F2CB75E9-CB07-49BE-93BB-EC5CF00C046D}">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712C4453-9AAF-45D3-8765-E01A8081EE5F}">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7C2D4B58-AB5A-42AE-918A-5EE3AFC67E87}">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C30018BA-D417-4762-830A-187620D30BBC}">
      <text>
        <r>
          <rPr>
            <b/>
            <sz val="9"/>
            <color indexed="81"/>
            <rFont val="Tahoma"/>
            <family val="2"/>
          </rPr>
          <t xml:space="preserve">GADJ
</t>
        </r>
        <r>
          <rPr>
            <sz val="9"/>
            <color indexed="81"/>
            <rFont val="Tahoma"/>
            <family val="2"/>
          </rPr>
          <t>Government consumption spending.</t>
        </r>
      </text>
    </comment>
    <comment ref="AW14" authorId="0" shapeId="0" xr:uid="{3B5C7675-1C0D-4B86-A1EF-7661503B82B2}">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098FB373-15EA-408B-B381-B22D254104E5}">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EF518B7D-6A7A-4EE2-8BEA-BD30B90A24B4}">
      <text>
        <r>
          <rPr>
            <b/>
            <sz val="9"/>
            <color indexed="81"/>
            <rFont val="Tahoma"/>
            <family val="2"/>
          </rPr>
          <t xml:space="preserve">trnsi
</t>
        </r>
        <r>
          <rPr>
            <sz val="9"/>
            <color indexed="81"/>
            <rFont val="Tahoma"/>
            <family val="2"/>
          </rPr>
          <t>Rest of the world transfers to government</t>
        </r>
      </text>
    </comment>
    <comment ref="AW17" authorId="0" shapeId="0" xr:uid="{36BC9F6F-C3CB-4F84-BCCF-E8E1DCD5FD07}">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4C015F41-9EF0-4F21-B2BD-E19436A10016}">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C4A13AAF-3ADD-4F6A-824B-9C029A7B1232}">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25E5C413-C621-42A2-9F1B-5EB565EC736A}">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18205282-D9FD-4EBB-B7FD-F93B0026F4C0}">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6F75D732-56FF-4FDD-B28D-3D5AA34735D7}">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545F5D87-22D1-4466-AAA0-AE390AAB6061}">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 ref="AW24" authorId="0" shapeId="0" xr:uid="{98199B74-4469-483B-9EE3-50B06FCF801E}">
      <text>
        <r>
          <rPr>
            <b/>
            <sz val="9"/>
            <color indexed="81"/>
            <rFont val="Tahoma"/>
            <family val="2"/>
          </rPr>
          <t xml:space="preserve">DRATE
</t>
        </r>
        <r>
          <rPr>
            <sz val="9"/>
            <color indexed="81"/>
            <rFont val="Tahoma"/>
            <family val="2"/>
          </rPr>
          <t>Annual depreciation rate for capital stocks across all sectors.</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James Thurlow</author>
    <author>Thurlow, James (IFPRI)</author>
  </authors>
  <commentList>
    <comment ref="P4" authorId="0" shapeId="0" xr:uid="{D53C4F30-BA22-4C70-8D5E-8D2794A1C8E0}">
      <text>
        <r>
          <rPr>
            <b/>
            <sz val="9"/>
            <color indexed="81"/>
            <rFont val="Tahoma"/>
            <family val="2"/>
          </rPr>
          <t>alphava</t>
        </r>
        <r>
          <rPr>
            <sz val="9"/>
            <color indexed="81"/>
            <rFont val="Tahoma"/>
            <family val="2"/>
          </rPr>
          <t xml:space="preserve">
Total factor productivity.
</t>
        </r>
      </text>
    </comment>
    <comment ref="AY4" authorId="0" shapeId="0" xr:uid="{E4ECC885-C249-444B-9564-BFF8C1B0DA15}">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Z4" authorId="0" shapeId="0" xr:uid="{1DCC209C-FDCC-42B8-B49B-25FF033728E5}">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BA4" authorId="0" shapeId="0" xr:uid="{B12B38E3-7F80-4BCF-9D9C-68CAF208B270}">
      <text>
        <r>
          <rPr>
            <sz val="9"/>
            <color indexed="81"/>
            <rFont val="Tahoma"/>
            <family val="2"/>
          </rPr>
          <t>Shocks to the entire economy, including changes in macroeconomic aggregates (e.g., foreign savings, share of investment in GDP) or economywide changes in savings and tax rates (i.e., affecting all activities, commodities, or institutions)</t>
        </r>
      </text>
    </comment>
    <comment ref="BB4" authorId="0" shapeId="0" xr:uid="{915BB762-B5CD-45EC-B8E7-F7C2E633226D}">
      <text>
        <r>
          <rPr>
            <b/>
            <sz val="9"/>
            <color indexed="81"/>
            <rFont val="Tahoma"/>
            <family val="2"/>
          </rPr>
          <t>Type of shock</t>
        </r>
        <r>
          <rPr>
            <sz val="9"/>
            <color indexed="81"/>
            <rFont val="Tahoma"/>
            <family val="2"/>
          </rPr>
          <t xml:space="preserve">
  1 = multiplicative
  2 = additive</t>
        </r>
      </text>
    </comment>
    <comment ref="D5" authorId="0" shapeId="0" xr:uid="{C42FC2BE-D214-451D-B5AF-A198EF6B6B84}">
      <text>
        <r>
          <rPr>
            <b/>
            <sz val="9"/>
            <color indexed="81"/>
            <rFont val="Tahoma"/>
            <family val="2"/>
          </rPr>
          <t>PWE</t>
        </r>
        <r>
          <rPr>
            <sz val="9"/>
            <color indexed="81"/>
            <rFont val="Tahoma"/>
            <family val="2"/>
          </rPr>
          <t xml:space="preserve">
World price of exports (before indirect taxes and transaction costs)</t>
        </r>
      </text>
    </comment>
    <comment ref="E5" authorId="0" shapeId="0" xr:uid="{62865A57-8CC4-4C50-9F80-D7D4B94A34BB}">
      <text>
        <r>
          <rPr>
            <b/>
            <sz val="9"/>
            <color indexed="81"/>
            <rFont val="Tahoma"/>
            <family val="2"/>
          </rPr>
          <t>PWM</t>
        </r>
        <r>
          <rPr>
            <sz val="9"/>
            <color indexed="81"/>
            <rFont val="Tahoma"/>
            <family val="2"/>
          </rPr>
          <t xml:space="preserve">
World price of imports (before indirect taxes and transaction costs)</t>
        </r>
      </text>
    </comment>
    <comment ref="F5" authorId="0" shapeId="0" xr:uid="{B7444848-4F45-47D2-A5F4-7F9FE6D55B43}">
      <text>
        <r>
          <rPr>
            <b/>
            <sz val="9"/>
            <color indexed="81"/>
            <rFont val="Tahoma"/>
            <family val="2"/>
          </rPr>
          <t>TE</t>
        </r>
        <r>
          <rPr>
            <sz val="9"/>
            <color indexed="81"/>
            <rFont val="Tahoma"/>
            <family val="2"/>
          </rPr>
          <t xml:space="preserve">
Export tax rates</t>
        </r>
      </text>
    </comment>
    <comment ref="G5" authorId="0" shapeId="0" xr:uid="{E53B4017-AB15-40E6-B4E8-EEB145E843DD}">
      <text>
        <r>
          <rPr>
            <b/>
            <sz val="9"/>
            <color indexed="81"/>
            <rFont val="Tahoma"/>
            <family val="2"/>
          </rPr>
          <t>TM</t>
        </r>
        <r>
          <rPr>
            <sz val="9"/>
            <color indexed="81"/>
            <rFont val="Tahoma"/>
            <family val="2"/>
          </rPr>
          <t xml:space="preserve">
Import tariff rates</t>
        </r>
      </text>
    </comment>
    <comment ref="H5" authorId="0" shapeId="0" xr:uid="{2278C218-7242-41BB-B452-9025DBC1BC6A}">
      <text>
        <r>
          <rPr>
            <b/>
            <sz val="9"/>
            <color indexed="81"/>
            <rFont val="Tahoma"/>
            <family val="2"/>
          </rPr>
          <t>TQ</t>
        </r>
        <r>
          <rPr>
            <sz val="9"/>
            <color indexed="81"/>
            <rFont val="Tahoma"/>
            <family val="2"/>
          </rPr>
          <t xml:space="preserve">
Composite commodity taxes (i.e., indirect taxes on commodities sold in domestic markets, including on imported commodities)</t>
        </r>
      </text>
    </comment>
    <comment ref="I5" authorId="0" shapeId="0" xr:uid="{20E4A90E-3FC0-49AD-B4F2-D71AC425C607}">
      <text>
        <r>
          <rPr>
            <b/>
            <sz val="9"/>
            <color indexed="81"/>
            <rFont val="Tahoma"/>
            <family val="2"/>
          </rPr>
          <t>ICE</t>
        </r>
        <r>
          <rPr>
            <sz val="9"/>
            <color indexed="81"/>
            <rFont val="Tahoma"/>
            <family val="2"/>
          </rPr>
          <t xml:space="preserve">
Transaction cost margin incurred when exporting commodities (e.g., from factory gate to border)</t>
        </r>
      </text>
    </comment>
    <comment ref="J5" authorId="0" shapeId="0" xr:uid="{CB86BBB2-908A-4CDA-80B5-54945F9E9241}">
      <text>
        <r>
          <rPr>
            <b/>
            <sz val="9"/>
            <color indexed="81"/>
            <rFont val="Tahoma"/>
            <family val="2"/>
          </rPr>
          <t>ICM</t>
        </r>
        <r>
          <rPr>
            <sz val="9"/>
            <color indexed="81"/>
            <rFont val="Tahoma"/>
            <family val="2"/>
          </rPr>
          <t xml:space="preserve">
Transaction cost margin incurred when importing commodities (e.g., from border to point of use or sale)</t>
        </r>
      </text>
    </comment>
    <comment ref="K5" authorId="0" shapeId="0" xr:uid="{A845EB1E-C749-47E4-B9A2-03508C70D415}">
      <text>
        <r>
          <rPr>
            <b/>
            <sz val="9"/>
            <color indexed="81"/>
            <rFont val="Tahoma"/>
            <family val="2"/>
          </rPr>
          <t>ICD</t>
        </r>
        <r>
          <rPr>
            <sz val="9"/>
            <color indexed="81"/>
            <rFont val="Tahoma"/>
            <family val="2"/>
          </rPr>
          <t xml:space="preserve">
Transaction cost margin incurred when producing a commodity domestically and supplying it domestic markets (e.g., from factory gate to local use or sale)</t>
        </r>
      </text>
    </comment>
    <comment ref="L5" authorId="0" shapeId="0" xr:uid="{10F9C765-CFAB-4E88-B99D-A68FCF712662}">
      <text>
        <r>
          <rPr>
            <b/>
            <sz val="9"/>
            <color indexed="81"/>
            <rFont val="Tahoma"/>
            <family val="2"/>
          </rPr>
          <t xml:space="preserve">Commodity tax adjustment:
  </t>
        </r>
        <r>
          <rPr>
            <sz val="9"/>
            <color indexed="81"/>
            <rFont val="Tahoma"/>
            <family val="2"/>
          </rPr>
          <t xml:space="preserve">1 = Allow commodity tax to adjust.
  0 = Do not allow commodity tax to adjust.
  Note: Same rule applied to TE, TM, and TQ.
</t>
        </r>
      </text>
    </comment>
    <comment ref="Q5" authorId="0" shapeId="0" xr:uid="{EEEF2198-C9B6-4EE1-A09A-C5B790485E26}">
      <text>
        <r>
          <rPr>
            <b/>
            <sz val="9"/>
            <color indexed="81"/>
            <rFont val="Tahoma"/>
            <family val="2"/>
          </rPr>
          <t>TA</t>
        </r>
        <r>
          <rPr>
            <sz val="9"/>
            <color indexed="81"/>
            <rFont val="Tahoma"/>
            <family val="2"/>
          </rPr>
          <t xml:space="preserve">
Indirect taxes on total activity production value.</t>
        </r>
      </text>
    </comment>
    <comment ref="R5" authorId="0" shapeId="0" xr:uid="{38FF3EC1-611A-49E6-8796-73339F5BB0CB}">
      <text>
        <r>
          <rPr>
            <b/>
            <sz val="9"/>
            <color indexed="81"/>
            <rFont val="Tahoma"/>
            <family val="2"/>
          </rPr>
          <t xml:space="preserve">TVA </t>
        </r>
        <r>
          <rPr>
            <sz val="9"/>
            <color indexed="81"/>
            <rFont val="Tahoma"/>
            <family val="2"/>
          </rPr>
          <t xml:space="preserve">
Indirect taxes on activity value-added.</t>
        </r>
      </text>
    </comment>
    <comment ref="S5" authorId="0" shapeId="0" xr:uid="{55845757-1E9E-41B8-8D3B-F8FFADFF4A74}">
      <text>
        <r>
          <rPr>
            <b/>
            <sz val="9"/>
            <color indexed="81"/>
            <rFont val="Tahoma"/>
            <family val="2"/>
          </rPr>
          <t xml:space="preserve">Capital mobility assumption:
</t>
        </r>
        <r>
          <rPr>
            <sz val="9"/>
            <color indexed="81"/>
            <rFont val="Tahoma"/>
            <family val="2"/>
          </rPr>
          <t xml:space="preserve">  0 = Capital is mobile across activities (unless general capital closure is sector-specific).</t>
        </r>
        <r>
          <rPr>
            <b/>
            <sz val="9"/>
            <color indexed="81"/>
            <rFont val="Tahoma"/>
            <family val="2"/>
          </rPr>
          <t xml:space="preserve">
  </t>
        </r>
        <r>
          <rPr>
            <sz val="9"/>
            <color indexed="81"/>
            <rFont val="Tahoma"/>
            <family val="2"/>
          </rPr>
          <t>1  = Capital is fixed in this activity (even when general capital closure is fully mobile).</t>
        </r>
      </text>
    </comment>
    <comment ref="T5" authorId="0" shapeId="0" xr:uid="{008D3D6F-C89A-4E44-B2BC-48E57F3A3DCC}">
      <text>
        <r>
          <rPr>
            <b/>
            <sz val="9"/>
            <color indexed="81"/>
            <rFont val="Tahoma"/>
            <family val="2"/>
          </rPr>
          <t xml:space="preserve">Land mobility assumption:
</t>
        </r>
        <r>
          <rPr>
            <sz val="9"/>
            <color indexed="81"/>
            <rFont val="Tahoma"/>
            <family val="2"/>
          </rPr>
          <t xml:space="preserve">  0 = Land is mobile across activities (unless general land closure is sector-specific).</t>
        </r>
        <r>
          <rPr>
            <b/>
            <sz val="9"/>
            <color indexed="81"/>
            <rFont val="Tahoma"/>
            <family val="2"/>
          </rPr>
          <t xml:space="preserve">
  </t>
        </r>
        <r>
          <rPr>
            <sz val="9"/>
            <color indexed="81"/>
            <rFont val="Tahoma"/>
            <family val="2"/>
          </rPr>
          <t>1  = Land is fixed in this activity (even when general land closure is fully mobile).</t>
        </r>
      </text>
    </comment>
    <comment ref="U5" authorId="0" shapeId="0" xr:uid="{349D2104-B5E3-49B2-A5A9-1FA4F1AA0298}">
      <text>
        <r>
          <rPr>
            <b/>
            <sz val="9"/>
            <color indexed="81"/>
            <rFont val="Tahoma"/>
            <family val="2"/>
          </rPr>
          <t xml:space="preserve">Factor-specific productivity
</t>
        </r>
        <r>
          <rPr>
            <sz val="9"/>
            <color indexed="81"/>
            <rFont val="Tahoma"/>
            <family val="2"/>
          </rPr>
          <t>Select sectors affected by factor-specific productivity changes. 
  1 = Affected.
  2 = Unaffected.</t>
        </r>
        <r>
          <rPr>
            <b/>
            <sz val="9"/>
            <color indexed="81"/>
            <rFont val="Tahoma"/>
            <family val="2"/>
          </rPr>
          <t xml:space="preserve">
</t>
        </r>
        <r>
          <rPr>
            <sz val="9"/>
            <color indexed="81"/>
            <rFont val="Tahoma"/>
            <family val="2"/>
          </rPr>
          <t xml:space="preserve">Note: Focusing factor-specific productivity shocks in a specific sector requires setting the magnitude of the shock (in factor block) and then selecting affected sectors (in activity block). </t>
        </r>
      </text>
    </comment>
    <comment ref="V5" authorId="0" shapeId="0" xr:uid="{6F201829-1E90-4897-BEC1-42EF7D0CE518}">
      <text>
        <r>
          <rPr>
            <b/>
            <sz val="9"/>
            <color indexed="81"/>
            <rFont val="Tahoma"/>
            <family val="2"/>
          </rPr>
          <t xml:space="preserve">Activity tax adjustment:
  </t>
        </r>
        <r>
          <rPr>
            <sz val="9"/>
            <color indexed="81"/>
            <rFont val="Tahoma"/>
            <family val="2"/>
          </rPr>
          <t xml:space="preserve">1 = Allow activity tax to adjust.
  2 = Do not allow activity tax to adjust.
  Note: Same rule applies to TA and TVA.
</t>
        </r>
      </text>
    </comment>
    <comment ref="Z5" authorId="0" shapeId="0" xr:uid="{16201B74-FEA6-47AE-AF2A-396DC2BAE1F7}">
      <text>
        <r>
          <rPr>
            <b/>
            <sz val="9"/>
            <color indexed="81"/>
            <rFont val="Tahoma"/>
            <family val="2"/>
          </rPr>
          <t>WF</t>
        </r>
        <r>
          <rPr>
            <sz val="9"/>
            <color indexed="81"/>
            <rFont val="Tahoma"/>
            <family val="2"/>
          </rPr>
          <t xml:space="preserve">
Economywide wage rate.</t>
        </r>
      </text>
    </comment>
    <comment ref="AA5" authorId="0" shapeId="0" xr:uid="{6DC0E5E7-2A62-4A98-AB0F-A3B963F359B1}">
      <text>
        <r>
          <rPr>
            <b/>
            <sz val="9"/>
            <color indexed="81"/>
            <rFont val="Tahoma"/>
            <family val="2"/>
          </rPr>
          <t xml:space="preserve">QFS
</t>
        </r>
        <r>
          <rPr>
            <sz val="9"/>
            <color indexed="81"/>
            <rFont val="Tahoma"/>
            <family val="2"/>
          </rPr>
          <t>Total factor supply quantity.</t>
        </r>
      </text>
    </comment>
    <comment ref="AB5" authorId="0" shapeId="0" xr:uid="{3CD60EFE-E004-4D91-8040-5FDA8455B0C0}">
      <text>
        <r>
          <rPr>
            <b/>
            <sz val="9"/>
            <color indexed="81"/>
            <rFont val="Tahoma"/>
            <family val="2"/>
          </rPr>
          <t xml:space="preserve">alphaf
</t>
        </r>
        <r>
          <rPr>
            <sz val="9"/>
            <color indexed="81"/>
            <rFont val="Tahoma"/>
            <family val="2"/>
          </rPr>
          <t>Factor-specific productivity (across all activities).
Note: To focus productivity shocks towards specific activities, select the affected activity in the activity block.</t>
        </r>
      </text>
    </comment>
    <comment ref="AC5" authorId="0" shapeId="0" xr:uid="{18E74631-472E-41F3-A4E1-D99820E8A225}">
      <text>
        <r>
          <rPr>
            <b/>
            <sz val="9"/>
            <color indexed="81"/>
            <rFont val="Tahoma"/>
            <family val="2"/>
          </rPr>
          <t>TF</t>
        </r>
        <r>
          <rPr>
            <sz val="9"/>
            <color indexed="81"/>
            <rFont val="Tahoma"/>
            <family val="2"/>
          </rPr>
          <t xml:space="preserve">
Direct tax on total factor earnings.</t>
        </r>
      </text>
    </comment>
    <comment ref="AD5" authorId="0" shapeId="0" xr:uid="{06A6E304-151B-4A92-A8C1-D8860CE2E61E}">
      <text>
        <r>
          <rPr>
            <b/>
            <sz val="9"/>
            <color indexed="81"/>
            <rFont val="Tahoma"/>
            <family val="2"/>
          </rPr>
          <t xml:space="preserve">SHIF
</t>
        </r>
        <r>
          <rPr>
            <sz val="9"/>
            <color indexed="81"/>
            <rFont val="Tahoma"/>
            <family val="2"/>
          </rPr>
          <t xml:space="preserve">Increase share of factor income transferred to government.
</t>
        </r>
      </text>
    </comment>
    <comment ref="AE5" authorId="0" shapeId="0" xr:uid="{D681EBF0-C9FC-495C-98DC-44A021B07686}">
      <text>
        <r>
          <rPr>
            <b/>
            <sz val="9"/>
            <color indexed="81"/>
            <rFont val="Tahoma"/>
            <family val="2"/>
          </rPr>
          <t xml:space="preserve">SHIF
</t>
        </r>
        <r>
          <rPr>
            <sz val="9"/>
            <color indexed="81"/>
            <rFont val="Tahoma"/>
            <family val="2"/>
          </rPr>
          <t xml:space="preserve">Increase share of factor income transferred to rest of world.
</t>
        </r>
      </text>
    </comment>
    <comment ref="AF5" authorId="0" shapeId="0" xr:uid="{89BBABC3-3C2D-430B-A81F-4D1EE187C6E4}">
      <text>
        <r>
          <rPr>
            <b/>
            <sz val="9"/>
            <color indexed="81"/>
            <rFont val="Tahoma"/>
            <family val="2"/>
          </rPr>
          <t xml:space="preserve">trnsfr
</t>
        </r>
        <r>
          <rPr>
            <sz val="9"/>
            <color indexed="81"/>
            <rFont val="Tahoma"/>
            <family val="2"/>
          </rPr>
          <t xml:space="preserve">Increase absolute government transfers to factors.
</t>
        </r>
      </text>
    </comment>
    <comment ref="AG5" authorId="0" shapeId="0" xr:uid="{CAA09506-6231-4248-B3C3-A6A7D2C9F86C}">
      <text>
        <r>
          <rPr>
            <b/>
            <sz val="9"/>
            <color indexed="81"/>
            <rFont val="Tahoma"/>
            <family val="2"/>
          </rPr>
          <t xml:space="preserve">trnsfr
</t>
        </r>
        <r>
          <rPr>
            <sz val="9"/>
            <color indexed="81"/>
            <rFont val="Tahoma"/>
            <family val="2"/>
          </rPr>
          <t xml:space="preserve">Increase absolute rest of world transfers to factors.
</t>
        </r>
      </text>
    </comment>
    <comment ref="AH5" authorId="0" shapeId="0" xr:uid="{D2C69F92-2A34-4AD1-917E-291869B0DBE0}">
      <text>
        <r>
          <rPr>
            <b/>
            <sz val="9"/>
            <color indexed="81"/>
            <rFont val="Tahoma"/>
            <family val="2"/>
          </rPr>
          <t xml:space="preserve">Factor tax adjustment:
  </t>
        </r>
        <r>
          <rPr>
            <sz val="9"/>
            <color indexed="81"/>
            <rFont val="Tahoma"/>
            <family val="2"/>
          </rPr>
          <t>1 = Allow factor tax to adjust.
  2 = Do not allow factor tax to adjust.</t>
        </r>
      </text>
    </comment>
    <comment ref="AL5" authorId="0" shapeId="0" xr:uid="{6FE97BB9-C893-49BD-8D5C-3852887CAF9F}">
      <text>
        <r>
          <rPr>
            <b/>
            <sz val="9"/>
            <color indexed="81"/>
            <rFont val="Tahoma"/>
            <family val="2"/>
          </rPr>
          <t xml:space="preserve">HPOP
</t>
        </r>
        <r>
          <rPr>
            <sz val="9"/>
            <color indexed="81"/>
            <rFont val="Tahoma"/>
            <family val="2"/>
          </rPr>
          <t>Household population.</t>
        </r>
      </text>
    </comment>
    <comment ref="AM5" authorId="0" shapeId="0" xr:uid="{95B899BB-2C16-4E05-B809-2B427FBECCAD}">
      <text>
        <r>
          <rPr>
            <b/>
            <sz val="9"/>
            <color indexed="81"/>
            <rFont val="Tahoma"/>
            <family val="2"/>
          </rPr>
          <t xml:space="preserve">MPS
</t>
        </r>
        <r>
          <rPr>
            <sz val="9"/>
            <color indexed="81"/>
            <rFont val="Tahoma"/>
            <family val="2"/>
          </rPr>
          <t>Marginal propensity to save (households and enterprises).</t>
        </r>
      </text>
    </comment>
    <comment ref="AN5" authorId="0" shapeId="0" xr:uid="{F10A5823-1B29-4555-B171-BA7CC146147A}">
      <text>
        <r>
          <rPr>
            <b/>
            <sz val="9"/>
            <color indexed="81"/>
            <rFont val="Tahoma"/>
            <family val="2"/>
          </rPr>
          <t xml:space="preserve">TINS
</t>
        </r>
        <r>
          <rPr>
            <sz val="9"/>
            <color indexed="81"/>
            <rFont val="Tahoma"/>
            <family val="2"/>
          </rPr>
          <t>Institution direct tax rate (households and enterprises).</t>
        </r>
      </text>
    </comment>
    <comment ref="AO5" authorId="0" shapeId="0" xr:uid="{A79C8782-EA43-4C2C-9D18-6D1F74DAF196}">
      <text>
        <r>
          <rPr>
            <b/>
            <sz val="9"/>
            <color indexed="81"/>
            <rFont val="Tahoma"/>
            <family val="2"/>
          </rPr>
          <t xml:space="preserve">SHII
</t>
        </r>
        <r>
          <rPr>
            <sz val="9"/>
            <color indexed="81"/>
            <rFont val="Tahoma"/>
            <family val="2"/>
          </rPr>
          <t xml:space="preserve">Increase share of institution income transferred to government.
</t>
        </r>
      </text>
    </comment>
    <comment ref="AP5" authorId="0" shapeId="0" xr:uid="{B6640642-2289-4ECE-B753-299D135F7A85}">
      <text>
        <r>
          <rPr>
            <b/>
            <sz val="9"/>
            <color indexed="81"/>
            <rFont val="Tahoma"/>
            <family val="2"/>
          </rPr>
          <t xml:space="preserve">SHII
</t>
        </r>
        <r>
          <rPr>
            <sz val="9"/>
            <color indexed="81"/>
            <rFont val="Tahoma"/>
            <family val="2"/>
          </rPr>
          <t xml:space="preserve">Increase share of institution income transferred to rest of world.
</t>
        </r>
      </text>
    </comment>
    <comment ref="AQ5" authorId="0" shapeId="0" xr:uid="{E18E18A0-779C-48C7-9323-EE6992763D02}">
      <text>
        <r>
          <rPr>
            <b/>
            <sz val="9"/>
            <color indexed="81"/>
            <rFont val="Tahoma"/>
            <family val="2"/>
          </rPr>
          <t xml:space="preserve">trnsfr
</t>
        </r>
        <r>
          <rPr>
            <sz val="9"/>
            <color indexed="81"/>
            <rFont val="Tahoma"/>
            <family val="2"/>
          </rPr>
          <t xml:space="preserve">Increase absolute government transfers to institutions.
</t>
        </r>
      </text>
    </comment>
    <comment ref="AR5" authorId="0" shapeId="0" xr:uid="{010EA866-DA0A-49D8-ADE5-875EDC751FD9}">
      <text>
        <r>
          <rPr>
            <b/>
            <sz val="9"/>
            <color indexed="81"/>
            <rFont val="Tahoma"/>
            <family val="2"/>
          </rPr>
          <t xml:space="preserve">trnsfr
</t>
        </r>
        <r>
          <rPr>
            <sz val="9"/>
            <color indexed="81"/>
            <rFont val="Tahoma"/>
            <family val="2"/>
          </rPr>
          <t xml:space="preserve">Increase absolute rest of world transfers to institutions.
</t>
        </r>
      </text>
    </comment>
    <comment ref="AS5" authorId="0" shapeId="0" xr:uid="{4C12EDEF-FD05-49A2-B8B0-08F8E4E4D926}">
      <text>
        <r>
          <rPr>
            <b/>
            <sz val="9"/>
            <color indexed="81"/>
            <rFont val="Tahoma"/>
            <family val="2"/>
          </rPr>
          <t xml:space="preserve">Institution savings adjustment:
  </t>
        </r>
        <r>
          <rPr>
            <sz val="9"/>
            <color indexed="81"/>
            <rFont val="Tahoma"/>
            <family val="2"/>
          </rPr>
          <t xml:space="preserve">1 = Allow savings rate to adjust.
  2 = Do not allow savings rate to adjust.
</t>
        </r>
      </text>
    </comment>
    <comment ref="AT5" authorId="0" shapeId="0" xr:uid="{787F26BD-E9F7-4FFF-8113-14EC35B2DCAD}">
      <text>
        <r>
          <rPr>
            <b/>
            <sz val="9"/>
            <color indexed="81"/>
            <rFont val="Tahoma"/>
            <family val="2"/>
          </rPr>
          <t xml:space="preserve">Institution tax adjustment:
  </t>
        </r>
        <r>
          <rPr>
            <sz val="9"/>
            <color indexed="81"/>
            <rFont val="Tahoma"/>
            <family val="2"/>
          </rPr>
          <t xml:space="preserve">1 = Allow institution tax to adjust.
  2 = Do not allow institution tax to adjust.
</t>
        </r>
      </text>
    </comment>
    <comment ref="AW7" authorId="0" shapeId="0" xr:uid="{1374C524-8957-4C6F-8CEC-6D6E45367654}">
      <text>
        <r>
          <rPr>
            <b/>
            <sz val="9"/>
            <color indexed="81"/>
            <rFont val="Tahoma"/>
            <family val="2"/>
          </rPr>
          <t xml:space="preserve">EXR
</t>
        </r>
        <r>
          <rPr>
            <sz val="9"/>
            <color indexed="81"/>
            <rFont val="Tahoma"/>
            <family val="2"/>
          </rPr>
          <t>Exchange rate.</t>
        </r>
      </text>
    </comment>
    <comment ref="C8" authorId="0" shapeId="0" xr:uid="{27C8ADDF-29E2-441D-ABCF-66F32821B91C}">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O8" authorId="0" shapeId="0" xr:uid="{5FB4E3F6-14B1-4632-BE41-F115DB3558E4}">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Y8" authorId="0" shapeId="0" xr:uid="{FE14EE65-30DB-499C-9CEC-7237A9FD5A53}">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K8" authorId="0" shapeId="0" xr:uid="{F31E7A84-F00B-4ACA-824A-2ACB1DE5A1E0}">
      <text>
        <r>
          <rPr>
            <b/>
            <sz val="9"/>
            <color indexed="81"/>
            <rFont val="Tahoma"/>
            <family val="2"/>
          </rPr>
          <t xml:space="preserve">Starting period for shock
</t>
        </r>
        <r>
          <rPr>
            <sz val="9"/>
            <color indexed="81"/>
            <rFont val="Tahoma"/>
            <family val="2"/>
          </rPr>
          <t>Select the period in which the shock first starts. If empty, the default start period is the second time period in the set YR.</t>
        </r>
      </text>
    </comment>
    <comment ref="AW8" authorId="0" shapeId="0" xr:uid="{C5E3B289-7CDA-4673-B881-63EC81141730}">
      <text>
        <r>
          <rPr>
            <b/>
            <sz val="9"/>
            <color indexed="81"/>
            <rFont val="Tahoma"/>
            <family val="2"/>
          </rPr>
          <t xml:space="preserve">FSAV
</t>
        </r>
        <r>
          <rPr>
            <sz val="9"/>
            <color indexed="81"/>
            <rFont val="Tahoma"/>
            <family val="2"/>
          </rPr>
          <t>Foreign savings.</t>
        </r>
      </text>
    </comment>
    <comment ref="C9" authorId="0" shapeId="0" xr:uid="{2303A476-620C-43C4-AFF1-7E7B29FF2CB9}">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O9" authorId="0" shapeId="0" xr:uid="{0AB0EB01-0A5E-4E86-9AF8-C9487B3BFFF7}">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Y9" authorId="0" shapeId="0" xr:uid="{142AA6E4-1FC7-4927-8CBF-262800060A8E}">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K9" authorId="0" shapeId="0" xr:uid="{54008E0A-6CD6-4E68-B2C3-347102AAC70F}">
      <text>
        <r>
          <rPr>
            <b/>
            <sz val="9"/>
            <color indexed="81"/>
            <rFont val="Tahoma"/>
            <family val="2"/>
          </rPr>
          <t xml:space="preserve">End period for shock
</t>
        </r>
        <r>
          <rPr>
            <sz val="9"/>
            <color indexed="81"/>
            <rFont val="Tahoma"/>
            <family val="2"/>
          </rPr>
          <t>Select the period in which the shock ends. If empty, the default start period is the final time period in the set YR.</t>
        </r>
      </text>
    </comment>
    <comment ref="AW9" authorId="0" shapeId="0" xr:uid="{5B0C9CBF-5893-4582-A259-0B71CD73183A}">
      <text>
        <r>
          <rPr>
            <b/>
            <sz val="9"/>
            <color indexed="81"/>
            <rFont val="Tahoma"/>
            <family val="2"/>
          </rPr>
          <t xml:space="preserve">IADJ
</t>
        </r>
        <r>
          <rPr>
            <sz val="9"/>
            <color indexed="81"/>
            <rFont val="Tahoma"/>
            <family val="2"/>
          </rPr>
          <t xml:space="preserve">Gross fixed capital formation.
</t>
        </r>
      </text>
    </comment>
    <comment ref="AW10" authorId="0" shapeId="0" xr:uid="{D37CC7F0-3F8F-4056-B3B4-3F8F0F80752C}">
      <text>
        <r>
          <rPr>
            <b/>
            <sz val="9"/>
            <color indexed="81"/>
            <rFont val="Tahoma"/>
            <family val="2"/>
          </rPr>
          <t xml:space="preserve">INVSHR
</t>
        </r>
        <r>
          <rPr>
            <sz val="9"/>
            <color indexed="81"/>
            <rFont val="Tahoma"/>
            <family val="2"/>
          </rPr>
          <t xml:space="preserve">Investment demand as a share of nominal absorption.
</t>
        </r>
      </text>
    </comment>
    <comment ref="AW11" authorId="0" shapeId="0" xr:uid="{A4DDCE82-88A1-4D20-8E6B-0A3FA53EA03E}">
      <text>
        <r>
          <rPr>
            <b/>
            <sz val="9"/>
            <color indexed="81"/>
            <rFont val="Tahoma"/>
            <family val="2"/>
          </rPr>
          <t xml:space="preserve">MPS
</t>
        </r>
        <r>
          <rPr>
            <sz val="9"/>
            <color indexed="81"/>
            <rFont val="Tahoma"/>
            <family val="2"/>
          </rPr>
          <t xml:space="preserve">Marginal savings rates for all institutions (except those excluded - see savings closure in household and enterprise shocks).
</t>
        </r>
      </text>
    </comment>
    <comment ref="AW12" authorId="0" shapeId="0" xr:uid="{CD0CF878-F89F-4256-88DB-FF44878D1BA0}">
      <text>
        <r>
          <rPr>
            <b/>
            <sz val="9"/>
            <color indexed="81"/>
            <rFont val="Tahoma"/>
            <family val="2"/>
          </rPr>
          <t xml:space="preserve">GSAV
</t>
        </r>
        <r>
          <rPr>
            <sz val="9"/>
            <color indexed="81"/>
            <rFont val="Tahoma"/>
            <family val="2"/>
          </rPr>
          <t xml:space="preserve">Government savings (recurrent surplus or deficit).
</t>
        </r>
      </text>
    </comment>
    <comment ref="AW13" authorId="0" shapeId="0" xr:uid="{C19D1B17-B7AE-4430-8762-092B0A9B35E6}">
      <text>
        <r>
          <rPr>
            <b/>
            <sz val="9"/>
            <color indexed="81"/>
            <rFont val="Tahoma"/>
            <family val="2"/>
          </rPr>
          <t xml:space="preserve">GADJ
</t>
        </r>
        <r>
          <rPr>
            <sz val="9"/>
            <color indexed="81"/>
            <rFont val="Tahoma"/>
            <family val="2"/>
          </rPr>
          <t>Government consumption spending.</t>
        </r>
      </text>
    </comment>
    <comment ref="AW14" authorId="0" shapeId="0" xr:uid="{7B1834CF-244C-47C1-A481-6FE9692072D5}">
      <text>
        <r>
          <rPr>
            <b/>
            <sz val="9"/>
            <color indexed="81"/>
            <rFont val="Tahoma"/>
            <family val="2"/>
          </rPr>
          <t xml:space="preserve">GOVSHR
</t>
        </r>
        <r>
          <rPr>
            <sz val="9"/>
            <color indexed="81"/>
            <rFont val="Tahoma"/>
            <family val="2"/>
          </rPr>
          <t xml:space="preserve">Government consumption as a share of nominal absorption.
</t>
        </r>
      </text>
    </comment>
    <comment ref="AW15" authorId="1" shapeId="0" xr:uid="{45030280-D391-4EC1-9BCF-0F0EC10B3932}">
      <text>
        <r>
          <rPr>
            <b/>
            <sz val="9"/>
            <color indexed="81"/>
            <rFont val="Tahoma"/>
            <family val="2"/>
          </rPr>
          <t xml:space="preserve">trnsi
</t>
        </r>
        <r>
          <rPr>
            <sz val="9"/>
            <color indexed="81"/>
            <rFont val="Tahoma"/>
            <family val="2"/>
          </rPr>
          <t xml:space="preserve">Government transfers to the rest of the world </t>
        </r>
      </text>
    </comment>
    <comment ref="AW16" authorId="1" shapeId="0" xr:uid="{1D0F1674-36B3-4F01-BEE4-B88934F9B4A0}">
      <text>
        <r>
          <rPr>
            <b/>
            <sz val="9"/>
            <color indexed="81"/>
            <rFont val="Tahoma"/>
            <family val="2"/>
          </rPr>
          <t xml:space="preserve">trnsi
</t>
        </r>
        <r>
          <rPr>
            <sz val="9"/>
            <color indexed="81"/>
            <rFont val="Tahoma"/>
            <family val="2"/>
          </rPr>
          <t>Rest of the world transfers to government</t>
        </r>
      </text>
    </comment>
    <comment ref="AW17" authorId="0" shapeId="0" xr:uid="{2E4B9D2C-094F-4B73-BCA5-6F6A187CE013}">
      <text>
        <r>
          <rPr>
            <b/>
            <sz val="9"/>
            <color indexed="81"/>
            <rFont val="Tahoma"/>
            <family val="2"/>
          </rPr>
          <t xml:space="preserve">TE
</t>
        </r>
        <r>
          <rPr>
            <sz val="9"/>
            <color indexed="81"/>
            <rFont val="Tahoma"/>
            <family val="2"/>
          </rPr>
          <t xml:space="preserve">Indirect export tax rates for all commodities (except those excluded - see taxes closure in commodity shocks).
</t>
        </r>
      </text>
    </comment>
    <comment ref="AW18" authorId="0" shapeId="0" xr:uid="{F39838D7-D392-4529-ACA4-972C11508E3A}">
      <text>
        <r>
          <rPr>
            <b/>
            <sz val="9"/>
            <color indexed="81"/>
            <rFont val="Tahoma"/>
            <family val="2"/>
          </rPr>
          <t xml:space="preserve">TM
</t>
        </r>
        <r>
          <rPr>
            <sz val="9"/>
            <color indexed="81"/>
            <rFont val="Tahoma"/>
            <family val="2"/>
          </rPr>
          <t xml:space="preserve">Indirect import tariff rates for all commodities (except those excluded - see taxes closure in commodity shocks).
</t>
        </r>
      </text>
    </comment>
    <comment ref="AW19" authorId="0" shapeId="0" xr:uid="{F61CDC79-E9FE-4D90-931C-9801CC29F8A7}">
      <text>
        <r>
          <rPr>
            <b/>
            <sz val="9"/>
            <color indexed="81"/>
            <rFont val="Tahoma"/>
            <family val="2"/>
          </rPr>
          <t xml:space="preserve">TQ
</t>
        </r>
        <r>
          <rPr>
            <sz val="9"/>
            <color indexed="81"/>
            <rFont val="Tahoma"/>
            <family val="2"/>
          </rPr>
          <t xml:space="preserve">Indirect sales tax rates for all commodities (except those excluded - see taxes closure in commodity shocks).
</t>
        </r>
      </text>
    </comment>
    <comment ref="AW20" authorId="0" shapeId="0" xr:uid="{40EABBAC-5F14-42FC-BA6C-24E5B02CB3AB}">
      <text>
        <r>
          <rPr>
            <b/>
            <sz val="9"/>
            <color indexed="81"/>
            <rFont val="Tahoma"/>
            <family val="2"/>
          </rPr>
          <t xml:space="preserve">TA
</t>
        </r>
        <r>
          <rPr>
            <sz val="9"/>
            <color indexed="81"/>
            <rFont val="Tahoma"/>
            <family val="2"/>
          </rPr>
          <t xml:space="preserve">Indirect production tax rates for all activities (except those excluded - see taxes closure in activity shocks).
</t>
        </r>
      </text>
    </comment>
    <comment ref="AW21" authorId="0" shapeId="0" xr:uid="{D8D97BD9-28AE-43AE-BF39-49288AA51087}">
      <text>
        <r>
          <rPr>
            <b/>
            <sz val="9"/>
            <color indexed="81"/>
            <rFont val="Tahoma"/>
            <family val="2"/>
          </rPr>
          <t xml:space="preserve">TVA
</t>
        </r>
        <r>
          <rPr>
            <sz val="9"/>
            <color indexed="81"/>
            <rFont val="Tahoma"/>
            <family val="2"/>
          </rPr>
          <t xml:space="preserve">Indirect value-added tax rates for all activities (except those excluded - see taxes closure in activity shocks).
</t>
        </r>
      </text>
    </comment>
    <comment ref="AW22" authorId="0" shapeId="0" xr:uid="{ADD43C89-522B-41F0-913B-96F4FCBDDF1B}">
      <text>
        <r>
          <rPr>
            <b/>
            <sz val="9"/>
            <color indexed="81"/>
            <rFont val="Tahoma"/>
            <family val="2"/>
          </rPr>
          <t xml:space="preserve">TF
</t>
        </r>
        <r>
          <rPr>
            <sz val="9"/>
            <color indexed="81"/>
            <rFont val="Tahoma"/>
            <family val="2"/>
          </rPr>
          <t xml:space="preserve">Direct tax rates for all factors (except those excluded - see taxes closure in factor shocks).
</t>
        </r>
      </text>
    </comment>
    <comment ref="AW23" authorId="0" shapeId="0" xr:uid="{4F681769-261A-45E3-AA92-E1EFC4238870}">
      <text>
        <r>
          <rPr>
            <b/>
            <sz val="9"/>
            <color indexed="81"/>
            <rFont val="Tahoma"/>
            <family val="2"/>
          </rPr>
          <t xml:space="preserve">TINS
</t>
        </r>
        <r>
          <rPr>
            <sz val="9"/>
            <color indexed="81"/>
            <rFont val="Tahoma"/>
            <family val="2"/>
          </rPr>
          <t xml:space="preserve">Direct tax rates for all institutions (except those excluded - see taxes closure in household and enterprise shocks).
</t>
        </r>
      </text>
    </comment>
    <comment ref="AW24" authorId="0" shapeId="0" xr:uid="{08712885-40CF-4DC3-A00D-22D2397ECC9E}">
      <text>
        <r>
          <rPr>
            <b/>
            <sz val="9"/>
            <color indexed="81"/>
            <rFont val="Tahoma"/>
            <family val="2"/>
          </rPr>
          <t xml:space="preserve">DRATE
</t>
        </r>
        <r>
          <rPr>
            <sz val="9"/>
            <color indexed="81"/>
            <rFont val="Tahoma"/>
            <family val="2"/>
          </rPr>
          <t>Annual depreciation rate for capital stocks across all sectors.</t>
        </r>
      </text>
    </comment>
  </commentList>
</comments>
</file>

<file path=xl/sharedStrings.xml><?xml version="1.0" encoding="utf-8"?>
<sst xmlns="http://schemas.openxmlformats.org/spreadsheetml/2006/main" count="8657" uniqueCount="1005">
  <si>
    <t>Country</t>
  </si>
  <si>
    <t>Year</t>
  </si>
  <si>
    <t>Units</t>
  </si>
  <si>
    <t>Factors</t>
  </si>
  <si>
    <t>Households</t>
  </si>
  <si>
    <t>Other accounts</t>
  </si>
  <si>
    <t>trc</t>
  </si>
  <si>
    <t>Transaction costs</t>
  </si>
  <si>
    <t>ent</t>
  </si>
  <si>
    <t>Enterprises</t>
  </si>
  <si>
    <t>flnd</t>
  </si>
  <si>
    <t>gov</t>
  </si>
  <si>
    <t>Government</t>
  </si>
  <si>
    <t>atax</t>
  </si>
  <si>
    <t>Taxes - activity</t>
  </si>
  <si>
    <t>dtax</t>
  </si>
  <si>
    <t>Taxes - direct</t>
  </si>
  <si>
    <t>etax</t>
  </si>
  <si>
    <t>Taxes - export</t>
  </si>
  <si>
    <t>ftax</t>
  </si>
  <si>
    <t>Taxes - factor</t>
  </si>
  <si>
    <t>mtax</t>
  </si>
  <si>
    <t>Taxes - import</t>
  </si>
  <si>
    <t>stax</t>
  </si>
  <si>
    <t>Taxes - sales</t>
  </si>
  <si>
    <t>vtax</t>
  </si>
  <si>
    <t>Taxes - value-added</t>
  </si>
  <si>
    <t>s-i</t>
  </si>
  <si>
    <t>Savings-investment</t>
  </si>
  <si>
    <t>dstk</t>
  </si>
  <si>
    <t>Change in stocks</t>
  </si>
  <si>
    <t>row</t>
  </si>
  <si>
    <t>Rest of world</t>
  </si>
  <si>
    <t>total</t>
  </si>
  <si>
    <t>Total</t>
  </si>
  <si>
    <t>Activate Simulations and Select Closures</t>
  </si>
  <si>
    <t>Activate simulations</t>
  </si>
  <si>
    <t>base</t>
  </si>
  <si>
    <t>Base scenario</t>
  </si>
  <si>
    <t>Numeraire</t>
  </si>
  <si>
    <t>Factor market closures</t>
  </si>
  <si>
    <t>sim11</t>
  </si>
  <si>
    <t>sim12</t>
  </si>
  <si>
    <t>sim13</t>
  </si>
  <si>
    <t>sim14</t>
  </si>
  <si>
    <t>sim15</t>
  </si>
  <si>
    <t>Investment is savings-driven</t>
  </si>
  <si>
    <t>Fully employed and mobile</t>
  </si>
  <si>
    <t>Fully employed and activity-specific</t>
  </si>
  <si>
    <t>Unemployed and mobile</t>
  </si>
  <si>
    <t>Factor closures:</t>
  </si>
  <si>
    <t>Savings-investment closures:</t>
  </si>
  <si>
    <t>Numeraire:</t>
  </si>
  <si>
    <t>Current account closures:</t>
  </si>
  <si>
    <t>Government account closures:</t>
  </si>
  <si>
    <t>Commodity shocks</t>
  </si>
  <si>
    <t>Activity shocks</t>
  </si>
  <si>
    <t>Factor shocks</t>
  </si>
  <si>
    <t>World prices</t>
  </si>
  <si>
    <t>Commodity taxes</t>
  </si>
  <si>
    <t>TFP</t>
  </si>
  <si>
    <t>Activity taxes</t>
  </si>
  <si>
    <t>Factor</t>
  </si>
  <si>
    <t>Wage</t>
  </si>
  <si>
    <t>Exports</t>
  </si>
  <si>
    <t>Imports</t>
  </si>
  <si>
    <t>Sales</t>
  </si>
  <si>
    <t>Domestic</t>
  </si>
  <si>
    <t>Activity</t>
  </si>
  <si>
    <t>taxes</t>
  </si>
  <si>
    <t>rate</t>
  </si>
  <si>
    <t>supply</t>
  </si>
  <si>
    <t>pwe</t>
  </si>
  <si>
    <t>pwm</t>
  </si>
  <si>
    <t>te</t>
  </si>
  <si>
    <t>tm</t>
  </si>
  <si>
    <t>tq</t>
  </si>
  <si>
    <t>ice</t>
  </si>
  <si>
    <t>icm</t>
  </si>
  <si>
    <t>icd</t>
  </si>
  <si>
    <t>fixcap</t>
  </si>
  <si>
    <t>alphava</t>
  </si>
  <si>
    <t>ta</t>
  </si>
  <si>
    <t>tf</t>
  </si>
  <si>
    <t>wf</t>
  </si>
  <si>
    <t>qfs</t>
  </si>
  <si>
    <t>Gov.</t>
  </si>
  <si>
    <t>World</t>
  </si>
  <si>
    <t>Exchange rate</t>
  </si>
  <si>
    <t>exr</t>
  </si>
  <si>
    <t>Investment</t>
  </si>
  <si>
    <t>iadj</t>
  </si>
  <si>
    <t>Foreign savings</t>
  </si>
  <si>
    <t>fsav</t>
  </si>
  <si>
    <t>Gov. savings</t>
  </si>
  <si>
    <t>gsav</t>
  </si>
  <si>
    <t>Gov. spending</t>
  </si>
  <si>
    <t>gadj</t>
  </si>
  <si>
    <t>Savings rates</t>
  </si>
  <si>
    <t>Savings</t>
  </si>
  <si>
    <t>Taxes</t>
  </si>
  <si>
    <t>mps</t>
  </si>
  <si>
    <t>Macro closures</t>
  </si>
  <si>
    <t>Closures</t>
  </si>
  <si>
    <t>Active? (0 = no |  1 = yes)</t>
  </si>
  <si>
    <r>
      <t xml:space="preserve">Government savings are fixed - </t>
    </r>
    <r>
      <rPr>
        <u/>
        <sz val="11"/>
        <color theme="1"/>
        <rFont val="Calibri"/>
        <family val="2"/>
        <scheme val="minor"/>
      </rPr>
      <t>uniform</t>
    </r>
    <r>
      <rPr>
        <sz val="11"/>
        <color theme="1"/>
        <rFont val="Calibri"/>
        <family val="2"/>
        <scheme val="minor"/>
      </rPr>
      <t xml:space="preserve"> </t>
    </r>
    <r>
      <rPr>
        <b/>
        <sz val="11"/>
        <color theme="1"/>
        <rFont val="Calibri"/>
        <family val="2"/>
        <scheme val="minor"/>
      </rPr>
      <t>TQ</t>
    </r>
    <r>
      <rPr>
        <sz val="11"/>
        <color theme="1"/>
        <rFont val="Calibri"/>
        <family val="2"/>
        <scheme val="minor"/>
      </rPr>
      <t xml:space="preserve"> adjustment  </t>
    </r>
    <r>
      <rPr>
        <sz val="11"/>
        <color theme="0" tint="-0.34998626667073579"/>
        <rFont val="Calibri"/>
        <family val="2"/>
        <scheme val="minor"/>
      </rPr>
      <t>(identical point change in sales tax rate)</t>
    </r>
  </si>
  <si>
    <r>
      <t xml:space="preserve">Government savings are fixed - </t>
    </r>
    <r>
      <rPr>
        <u/>
        <sz val="11"/>
        <color theme="1"/>
        <rFont val="Calibri"/>
        <family val="2"/>
        <scheme val="minor"/>
      </rPr>
      <t>scaled</t>
    </r>
    <r>
      <rPr>
        <sz val="11"/>
        <color theme="1"/>
        <rFont val="Calibri"/>
        <family val="2"/>
        <scheme val="minor"/>
      </rPr>
      <t xml:space="preserve"> </t>
    </r>
    <r>
      <rPr>
        <b/>
        <sz val="11"/>
        <color theme="1"/>
        <rFont val="Calibri"/>
        <family val="2"/>
        <scheme val="minor"/>
      </rPr>
      <t>TQ</t>
    </r>
    <r>
      <rPr>
        <sz val="11"/>
        <color theme="1"/>
        <rFont val="Calibri"/>
        <family val="2"/>
        <scheme val="minor"/>
      </rPr>
      <t xml:space="preserve"> adjustment  </t>
    </r>
    <r>
      <rPr>
        <sz val="11"/>
        <color theme="0" tint="-0.34998626667073579"/>
        <rFont val="Calibri"/>
        <family val="2"/>
        <scheme val="minor"/>
      </rPr>
      <t>(proportional change in sales tax rate)</t>
    </r>
  </si>
  <si>
    <r>
      <t xml:space="preserve">Government savings are fixed - </t>
    </r>
    <r>
      <rPr>
        <u/>
        <sz val="11"/>
        <color theme="1"/>
        <rFont val="Calibri"/>
        <family val="2"/>
        <scheme val="minor"/>
      </rPr>
      <t>uniform</t>
    </r>
    <r>
      <rPr>
        <sz val="11"/>
        <color theme="1"/>
        <rFont val="Calibri"/>
        <family val="2"/>
        <scheme val="minor"/>
      </rPr>
      <t xml:space="preserve"> </t>
    </r>
    <r>
      <rPr>
        <b/>
        <sz val="11"/>
        <color theme="1"/>
        <rFont val="Calibri"/>
        <family val="2"/>
        <scheme val="minor"/>
      </rPr>
      <t>TA</t>
    </r>
    <r>
      <rPr>
        <sz val="11"/>
        <color theme="1"/>
        <rFont val="Calibri"/>
        <family val="2"/>
        <scheme val="minor"/>
      </rPr>
      <t xml:space="preserve"> adjustment  </t>
    </r>
    <r>
      <rPr>
        <sz val="11"/>
        <color theme="0" tint="-0.34998626667073579"/>
        <rFont val="Calibri"/>
        <family val="2"/>
        <scheme val="minor"/>
      </rPr>
      <t>(identical point change in activity tax rate)</t>
    </r>
  </si>
  <si>
    <r>
      <t xml:space="preserve">Government savings are fixed - </t>
    </r>
    <r>
      <rPr>
        <u/>
        <sz val="11"/>
        <color theme="1"/>
        <rFont val="Calibri"/>
        <family val="2"/>
        <scheme val="minor"/>
      </rPr>
      <t>scaled</t>
    </r>
    <r>
      <rPr>
        <sz val="11"/>
        <color theme="1"/>
        <rFont val="Calibri"/>
        <family val="2"/>
        <scheme val="minor"/>
      </rPr>
      <t xml:space="preserve"> </t>
    </r>
    <r>
      <rPr>
        <b/>
        <sz val="11"/>
        <color theme="1"/>
        <rFont val="Calibri"/>
        <family val="2"/>
        <scheme val="minor"/>
      </rPr>
      <t>TA</t>
    </r>
    <r>
      <rPr>
        <sz val="11"/>
        <color theme="1"/>
        <rFont val="Calibri"/>
        <family val="2"/>
        <scheme val="minor"/>
      </rPr>
      <t xml:space="preserve"> adjustment  </t>
    </r>
    <r>
      <rPr>
        <sz val="11"/>
        <color theme="0" tint="-0.34998626667073579"/>
        <rFont val="Calibri"/>
        <family val="2"/>
        <scheme val="minor"/>
      </rPr>
      <t>(proportional change in activity tax rate)</t>
    </r>
  </si>
  <si>
    <r>
      <t xml:space="preserve">Government savings are fixed - </t>
    </r>
    <r>
      <rPr>
        <u/>
        <sz val="11"/>
        <color theme="1"/>
        <rFont val="Calibri"/>
        <family val="2"/>
        <scheme val="minor"/>
      </rPr>
      <t>uniform</t>
    </r>
    <r>
      <rPr>
        <sz val="11"/>
        <color theme="1"/>
        <rFont val="Calibri"/>
        <family val="2"/>
        <scheme val="minor"/>
      </rPr>
      <t xml:space="preserve"> </t>
    </r>
    <r>
      <rPr>
        <b/>
        <sz val="11"/>
        <color theme="1"/>
        <rFont val="Calibri"/>
        <family val="2"/>
        <scheme val="minor"/>
      </rPr>
      <t>TM</t>
    </r>
    <r>
      <rPr>
        <sz val="11"/>
        <color theme="1"/>
        <rFont val="Calibri"/>
        <family val="2"/>
        <scheme val="minor"/>
      </rPr>
      <t xml:space="preserve"> adjustment  </t>
    </r>
    <r>
      <rPr>
        <sz val="11"/>
        <color theme="0" tint="-0.34998626667073579"/>
        <rFont val="Calibri"/>
        <family val="2"/>
        <scheme val="minor"/>
      </rPr>
      <t>(identical point change in import tariff rate)</t>
    </r>
  </si>
  <si>
    <r>
      <t xml:space="preserve">Government savings are fixed - </t>
    </r>
    <r>
      <rPr>
        <u/>
        <sz val="11"/>
        <color theme="1"/>
        <rFont val="Calibri"/>
        <family val="2"/>
        <scheme val="minor"/>
      </rPr>
      <t>scaled</t>
    </r>
    <r>
      <rPr>
        <sz val="11"/>
        <color theme="1"/>
        <rFont val="Calibri"/>
        <family val="2"/>
        <scheme val="minor"/>
      </rPr>
      <t xml:space="preserve"> </t>
    </r>
    <r>
      <rPr>
        <b/>
        <sz val="11"/>
        <color theme="1"/>
        <rFont val="Calibri"/>
        <family val="2"/>
        <scheme val="minor"/>
      </rPr>
      <t>TM</t>
    </r>
    <r>
      <rPr>
        <sz val="11"/>
        <color theme="1"/>
        <rFont val="Calibri"/>
        <family val="2"/>
        <scheme val="minor"/>
      </rPr>
      <t xml:space="preserve"> adjustment </t>
    </r>
    <r>
      <rPr>
        <sz val="11"/>
        <color theme="0" tint="-0.34998626667073579"/>
        <rFont val="Calibri"/>
        <family val="2"/>
        <scheme val="minor"/>
      </rPr>
      <t xml:space="preserve"> (proportional change in import tariff rate)</t>
    </r>
  </si>
  <si>
    <r>
      <t xml:space="preserve">Government savings are fixed - </t>
    </r>
    <r>
      <rPr>
        <u/>
        <sz val="11"/>
        <color theme="1"/>
        <rFont val="Calibri"/>
        <family val="2"/>
        <scheme val="minor"/>
      </rPr>
      <t>uniform</t>
    </r>
    <r>
      <rPr>
        <sz val="11"/>
        <color theme="1"/>
        <rFont val="Calibri"/>
        <family val="2"/>
        <scheme val="minor"/>
      </rPr>
      <t xml:space="preserve"> </t>
    </r>
    <r>
      <rPr>
        <b/>
        <sz val="11"/>
        <color theme="1"/>
        <rFont val="Calibri"/>
        <family val="2"/>
        <scheme val="minor"/>
      </rPr>
      <t>TE</t>
    </r>
    <r>
      <rPr>
        <sz val="11"/>
        <color theme="1"/>
        <rFont val="Calibri"/>
        <family val="2"/>
        <scheme val="minor"/>
      </rPr>
      <t xml:space="preserve"> adjustment  </t>
    </r>
    <r>
      <rPr>
        <sz val="11"/>
        <color theme="0" tint="-0.34998626667073579"/>
        <rFont val="Calibri"/>
        <family val="2"/>
        <scheme val="minor"/>
      </rPr>
      <t>(identical point change in export tax rate)</t>
    </r>
  </si>
  <si>
    <r>
      <t xml:space="preserve">Government savings are fixed - </t>
    </r>
    <r>
      <rPr>
        <u/>
        <sz val="11"/>
        <color theme="1"/>
        <rFont val="Calibri"/>
        <family val="2"/>
        <scheme val="minor"/>
      </rPr>
      <t>scaled</t>
    </r>
    <r>
      <rPr>
        <sz val="11"/>
        <color theme="1"/>
        <rFont val="Calibri"/>
        <family val="2"/>
        <scheme val="minor"/>
      </rPr>
      <t xml:space="preserve"> </t>
    </r>
    <r>
      <rPr>
        <b/>
        <sz val="11"/>
        <color theme="1"/>
        <rFont val="Calibri"/>
        <family val="2"/>
        <scheme val="minor"/>
      </rPr>
      <t>TE</t>
    </r>
    <r>
      <rPr>
        <sz val="11"/>
        <color theme="1"/>
        <rFont val="Calibri"/>
        <family val="2"/>
        <scheme val="minor"/>
      </rPr>
      <t xml:space="preserve"> adjustment  </t>
    </r>
    <r>
      <rPr>
        <sz val="11"/>
        <color theme="0" tint="-0.34998626667073579"/>
        <rFont val="Calibri"/>
        <family val="2"/>
        <scheme val="minor"/>
      </rPr>
      <t>(proportional change in export tax rate)</t>
    </r>
  </si>
  <si>
    <r>
      <rPr>
        <b/>
        <sz val="11"/>
        <color theme="1"/>
        <rFont val="Calibri"/>
        <family val="2"/>
        <scheme val="minor"/>
      </rPr>
      <t xml:space="preserve">CPI </t>
    </r>
    <r>
      <rPr>
        <sz val="11"/>
        <color theme="1"/>
        <rFont val="Calibri"/>
        <family val="2"/>
        <scheme val="minor"/>
      </rPr>
      <t xml:space="preserve">is fixed numeraire  </t>
    </r>
    <r>
      <rPr>
        <sz val="11"/>
        <color theme="0" tint="-0.34998626667073579"/>
        <rFont val="Calibri"/>
        <family val="2"/>
        <scheme val="minor"/>
      </rPr>
      <t>(DPI is flexible)</t>
    </r>
  </si>
  <si>
    <r>
      <rPr>
        <b/>
        <sz val="11"/>
        <color theme="1"/>
        <rFont val="Calibri"/>
        <family val="2"/>
        <scheme val="minor"/>
      </rPr>
      <t xml:space="preserve">DPI </t>
    </r>
    <r>
      <rPr>
        <sz val="11"/>
        <color theme="1"/>
        <rFont val="Calibri"/>
        <family val="2"/>
        <scheme val="minor"/>
      </rPr>
      <t xml:space="preserve">is fixed numeraire  </t>
    </r>
    <r>
      <rPr>
        <sz val="11"/>
        <color theme="0" tint="-0.34998626667073579"/>
        <rFont val="Calibri"/>
        <family val="2"/>
        <scheme val="minor"/>
      </rPr>
      <t>(CPI is flexible)</t>
    </r>
  </si>
  <si>
    <r>
      <t xml:space="preserve">Investment-driven savings - </t>
    </r>
    <r>
      <rPr>
        <u/>
        <sz val="11"/>
        <color theme="1"/>
        <rFont val="Calibri"/>
        <family val="2"/>
        <scheme val="minor"/>
      </rPr>
      <t>uniform</t>
    </r>
    <r>
      <rPr>
        <sz val="11"/>
        <color theme="1"/>
        <rFont val="Calibri"/>
        <family val="2"/>
        <scheme val="minor"/>
      </rPr>
      <t xml:space="preserve"> </t>
    </r>
    <r>
      <rPr>
        <b/>
        <sz val="11"/>
        <color theme="1"/>
        <rFont val="Calibri"/>
        <family val="2"/>
        <scheme val="minor"/>
      </rPr>
      <t>MPS</t>
    </r>
    <r>
      <rPr>
        <sz val="11"/>
        <color theme="1"/>
        <rFont val="Calibri"/>
        <family val="2"/>
        <scheme val="minor"/>
      </rPr>
      <t xml:space="preserve"> adjustment  </t>
    </r>
    <r>
      <rPr>
        <sz val="11"/>
        <color theme="0" tint="-0.34998626667073579"/>
        <rFont val="Calibri"/>
        <family val="2"/>
        <scheme val="minor"/>
      </rPr>
      <t>(identical point change in marginal propensities to save across selected institutions)</t>
    </r>
  </si>
  <si>
    <r>
      <t xml:space="preserve">Investment-driven savings - </t>
    </r>
    <r>
      <rPr>
        <u/>
        <sz val="11"/>
        <color theme="1"/>
        <rFont val="Calibri"/>
        <family val="2"/>
        <scheme val="minor"/>
      </rPr>
      <t>scaled</t>
    </r>
    <r>
      <rPr>
        <sz val="11"/>
        <color theme="1"/>
        <rFont val="Calibri"/>
        <family val="2"/>
        <scheme val="minor"/>
      </rPr>
      <t xml:space="preserve"> </t>
    </r>
    <r>
      <rPr>
        <b/>
        <sz val="11"/>
        <color theme="1"/>
        <rFont val="Calibri"/>
        <family val="2"/>
        <scheme val="minor"/>
      </rPr>
      <t>MPS</t>
    </r>
    <r>
      <rPr>
        <sz val="11"/>
        <color theme="1"/>
        <rFont val="Calibri"/>
        <family val="2"/>
        <scheme val="minor"/>
      </rPr>
      <t xml:space="preserve"> adjustment  </t>
    </r>
    <r>
      <rPr>
        <sz val="11"/>
        <color theme="0" tint="-0.34998626667073579"/>
        <rFont val="Calibri"/>
        <family val="2"/>
        <scheme val="minor"/>
      </rPr>
      <t>(proportional change in marginal propensities to save across selected institutions)</t>
    </r>
  </si>
  <si>
    <r>
      <t xml:space="preserve">Balanced: Investment is fixed share  of absorption - </t>
    </r>
    <r>
      <rPr>
        <u/>
        <sz val="11"/>
        <color theme="1"/>
        <rFont val="Calibri"/>
        <family val="2"/>
        <scheme val="minor"/>
      </rPr>
      <t>uniform</t>
    </r>
    <r>
      <rPr>
        <sz val="11"/>
        <color theme="1"/>
        <rFont val="Calibri"/>
        <family val="2"/>
        <scheme val="minor"/>
      </rPr>
      <t xml:space="preserve"> </t>
    </r>
    <r>
      <rPr>
        <b/>
        <sz val="11"/>
        <color theme="1"/>
        <rFont val="Calibri"/>
        <family val="2"/>
        <scheme val="minor"/>
      </rPr>
      <t>MPS</t>
    </r>
    <r>
      <rPr>
        <sz val="11"/>
        <color theme="1"/>
        <rFont val="Calibri"/>
        <family val="2"/>
        <scheme val="minor"/>
      </rPr>
      <t xml:space="preserve"> adjustment  </t>
    </r>
    <r>
      <rPr>
        <sz val="11"/>
        <color theme="0" tint="-0.34998626667073579"/>
        <rFont val="Calibri"/>
        <family val="2"/>
        <scheme val="minor"/>
      </rPr>
      <t>(identical point change in marginal propensity to save)</t>
    </r>
  </si>
  <si>
    <r>
      <t xml:space="preserve">Balanced: Investment is fixed share  of absorption - </t>
    </r>
    <r>
      <rPr>
        <u/>
        <sz val="11"/>
        <color theme="1"/>
        <rFont val="Calibri"/>
        <family val="2"/>
        <scheme val="minor"/>
      </rPr>
      <t>scaled</t>
    </r>
    <r>
      <rPr>
        <sz val="11"/>
        <color theme="1"/>
        <rFont val="Calibri"/>
        <family val="2"/>
        <scheme val="minor"/>
      </rPr>
      <t xml:space="preserve"> </t>
    </r>
    <r>
      <rPr>
        <b/>
        <sz val="11"/>
        <color theme="1"/>
        <rFont val="Calibri"/>
        <family val="2"/>
        <scheme val="minor"/>
      </rPr>
      <t>MPS</t>
    </r>
    <r>
      <rPr>
        <sz val="11"/>
        <color theme="1"/>
        <rFont val="Calibri"/>
        <family val="2"/>
        <scheme val="minor"/>
      </rPr>
      <t xml:space="preserve"> adjustment  </t>
    </r>
    <r>
      <rPr>
        <sz val="11"/>
        <color theme="0" tint="-0.34998626667073579"/>
        <rFont val="Calibri"/>
        <family val="2"/>
        <scheme val="minor"/>
      </rPr>
      <t>(proportional change in marginal propensity to save)</t>
    </r>
  </si>
  <si>
    <r>
      <t xml:space="preserve">Exchange rate </t>
    </r>
    <r>
      <rPr>
        <b/>
        <sz val="11"/>
        <color theme="1"/>
        <rFont val="Calibri"/>
        <family val="2"/>
        <scheme val="minor"/>
      </rPr>
      <t>EXR</t>
    </r>
    <r>
      <rPr>
        <sz val="11"/>
        <color theme="1"/>
        <rFont val="Calibri"/>
        <family val="2"/>
        <scheme val="minor"/>
      </rPr>
      <t xml:space="preserve"> is flexible  </t>
    </r>
    <r>
      <rPr>
        <sz val="11"/>
        <color theme="0" tint="-0.34998626667073579"/>
        <rFont val="Calibri"/>
        <family val="2"/>
        <scheme val="minor"/>
      </rPr>
      <t>(foreign savings are fixed)</t>
    </r>
  </si>
  <si>
    <r>
      <t xml:space="preserve">Foreign savings </t>
    </r>
    <r>
      <rPr>
        <b/>
        <sz val="11"/>
        <color theme="1"/>
        <rFont val="Calibri"/>
        <family val="2"/>
        <scheme val="minor"/>
      </rPr>
      <t>FSAV</t>
    </r>
    <r>
      <rPr>
        <sz val="11"/>
        <color theme="1"/>
        <rFont val="Calibri"/>
        <family val="2"/>
        <scheme val="minor"/>
      </rPr>
      <t xml:space="preserve"> are flexible  </t>
    </r>
    <r>
      <rPr>
        <sz val="11"/>
        <color theme="0" tint="-0.34998626667073579"/>
        <rFont val="Calibri"/>
        <family val="2"/>
        <scheme val="minor"/>
      </rPr>
      <t>(exchange rate is fixed)</t>
    </r>
  </si>
  <si>
    <r>
      <t xml:space="preserve">Government savings are fixed - </t>
    </r>
    <r>
      <rPr>
        <u/>
        <sz val="11"/>
        <color theme="1"/>
        <rFont val="Calibri"/>
        <family val="2"/>
        <scheme val="minor"/>
      </rPr>
      <t>uniform</t>
    </r>
    <r>
      <rPr>
        <sz val="11"/>
        <color theme="1"/>
        <rFont val="Calibri"/>
        <family val="2"/>
        <scheme val="minor"/>
      </rPr>
      <t xml:space="preserve"> </t>
    </r>
    <r>
      <rPr>
        <b/>
        <sz val="11"/>
        <color theme="1"/>
        <rFont val="Calibri"/>
        <family val="2"/>
        <scheme val="minor"/>
      </rPr>
      <t>TF</t>
    </r>
    <r>
      <rPr>
        <sz val="11"/>
        <color theme="1"/>
        <rFont val="Calibri"/>
        <family val="2"/>
        <scheme val="minor"/>
      </rPr>
      <t xml:space="preserve"> adjustment  </t>
    </r>
    <r>
      <rPr>
        <sz val="11"/>
        <color theme="0" tint="-0.34998626667073579"/>
        <rFont val="Calibri"/>
        <family val="2"/>
        <scheme val="minor"/>
      </rPr>
      <t>(identical point change in factor tax rate for selected factors)</t>
    </r>
  </si>
  <si>
    <r>
      <t xml:space="preserve">Government savings are fixed - </t>
    </r>
    <r>
      <rPr>
        <u/>
        <sz val="11"/>
        <color theme="1"/>
        <rFont val="Calibri"/>
        <family val="2"/>
        <scheme val="minor"/>
      </rPr>
      <t>scaled</t>
    </r>
    <r>
      <rPr>
        <sz val="11"/>
        <color theme="1"/>
        <rFont val="Calibri"/>
        <family val="2"/>
        <scheme val="minor"/>
      </rPr>
      <t xml:space="preserve"> </t>
    </r>
    <r>
      <rPr>
        <b/>
        <sz val="11"/>
        <color theme="1"/>
        <rFont val="Calibri"/>
        <family val="2"/>
        <scheme val="minor"/>
      </rPr>
      <t>TF</t>
    </r>
    <r>
      <rPr>
        <sz val="11"/>
        <color theme="1"/>
        <rFont val="Calibri"/>
        <family val="2"/>
        <scheme val="minor"/>
      </rPr>
      <t xml:space="preserve"> adjustment  </t>
    </r>
    <r>
      <rPr>
        <sz val="11"/>
        <color theme="0" tint="-0.34998626667073579"/>
        <rFont val="Calibri"/>
        <family val="2"/>
        <scheme val="minor"/>
      </rPr>
      <t>(proportional change in factor tax rate for selected factors)</t>
    </r>
  </si>
  <si>
    <t>tax</t>
  </si>
  <si>
    <t>VAD</t>
  </si>
  <si>
    <t>Macro shocks</t>
  </si>
  <si>
    <t>Transfers to…</t>
  </si>
  <si>
    <t>Transfers from…</t>
  </si>
  <si>
    <t>trfg</t>
  </si>
  <si>
    <t>trfw</t>
  </si>
  <si>
    <t>trtg</t>
  </si>
  <si>
    <t>trtw</t>
  </si>
  <si>
    <t xml:space="preserve">Pop. </t>
  </si>
  <si>
    <t>pop</t>
  </si>
  <si>
    <t>change</t>
  </si>
  <si>
    <t>mclose</t>
  </si>
  <si>
    <t>fclose</t>
  </si>
  <si>
    <t>sim</t>
  </si>
  <si>
    <t>active</t>
  </si>
  <si>
    <t>dset</t>
  </si>
  <si>
    <t>par</t>
  </si>
  <si>
    <t>rdim</t>
  </si>
  <si>
    <t>cdim</t>
  </si>
  <si>
    <r>
      <t>Savings</t>
    </r>
    <r>
      <rPr>
        <sz val="11"/>
        <color theme="0"/>
        <rFont val="Calibri"/>
        <family val="2"/>
        <scheme val="minor"/>
      </rPr>
      <t>-</t>
    </r>
    <r>
      <rPr>
        <sz val="11"/>
        <color theme="1"/>
        <rFont val="Calibri"/>
        <family val="2"/>
        <scheme val="minor"/>
      </rPr>
      <t>investment</t>
    </r>
  </si>
  <si>
    <r>
      <t>Current</t>
    </r>
    <r>
      <rPr>
        <sz val="11"/>
        <color theme="0"/>
        <rFont val="Calibri"/>
        <family val="2"/>
        <scheme val="minor"/>
      </rPr>
      <t>-</t>
    </r>
    <r>
      <rPr>
        <sz val="11"/>
        <color theme="1"/>
        <rFont val="Calibri"/>
        <family val="2"/>
        <scheme val="minor"/>
      </rPr>
      <t>account</t>
    </r>
  </si>
  <si>
    <r>
      <t>Government</t>
    </r>
    <r>
      <rPr>
        <sz val="11"/>
        <color theme="0"/>
        <rFont val="Calibri"/>
        <family val="2"/>
        <scheme val="minor"/>
      </rPr>
      <t>-</t>
    </r>
    <r>
      <rPr>
        <sz val="11"/>
        <color theme="1"/>
        <rFont val="Calibri"/>
        <family val="2"/>
        <scheme val="minor"/>
      </rPr>
      <t>account</t>
    </r>
  </si>
  <si>
    <t>sim1c</t>
  </si>
  <si>
    <t>sim2c</t>
  </si>
  <si>
    <t>sim3c</t>
  </si>
  <si>
    <t>sim4c</t>
  </si>
  <si>
    <t>sim5c</t>
  </si>
  <si>
    <t>sim6c</t>
  </si>
  <si>
    <t>sim7c</t>
  </si>
  <si>
    <t>sim8c</t>
  </si>
  <si>
    <t>sim9c</t>
  </si>
  <si>
    <t>sim10c</t>
  </si>
  <si>
    <t>sim11c</t>
  </si>
  <si>
    <t>sim12c</t>
  </si>
  <si>
    <t>sim13c</t>
  </si>
  <si>
    <t>sim14c</t>
  </si>
  <si>
    <t>sim15c</t>
  </si>
  <si>
    <t>sim1a</t>
  </si>
  <si>
    <t>sim2a</t>
  </si>
  <si>
    <t>sim3a</t>
  </si>
  <si>
    <t>sim4a</t>
  </si>
  <si>
    <t>sim5a</t>
  </si>
  <si>
    <t>sim6a</t>
  </si>
  <si>
    <t>sim7a</t>
  </si>
  <si>
    <t>sim8a</t>
  </si>
  <si>
    <t>sim9a</t>
  </si>
  <si>
    <t>sim10a</t>
  </si>
  <si>
    <t>sim11a</t>
  </si>
  <si>
    <t>sim12a</t>
  </si>
  <si>
    <t>sim13a</t>
  </si>
  <si>
    <t>sim14a</t>
  </si>
  <si>
    <t>sim15a</t>
  </si>
  <si>
    <t>sim1f</t>
  </si>
  <si>
    <t>sim2f</t>
  </si>
  <si>
    <t>sim3f</t>
  </si>
  <si>
    <t>sim4f</t>
  </si>
  <si>
    <t>sim5f</t>
  </si>
  <si>
    <t>sim6f</t>
  </si>
  <si>
    <t>sim7f</t>
  </si>
  <si>
    <t>sim8f</t>
  </si>
  <si>
    <t>sim9f</t>
  </si>
  <si>
    <t>sim10f</t>
  </si>
  <si>
    <t>sim11f</t>
  </si>
  <si>
    <t>sim12f</t>
  </si>
  <si>
    <t>sim13f</t>
  </si>
  <si>
    <t>sim14f</t>
  </si>
  <si>
    <t>sim15f</t>
  </si>
  <si>
    <t>sim1h</t>
  </si>
  <si>
    <t>sim2h</t>
  </si>
  <si>
    <t>sim3h</t>
  </si>
  <si>
    <t>sim4h</t>
  </si>
  <si>
    <t>sim5h</t>
  </si>
  <si>
    <t>sim6h</t>
  </si>
  <si>
    <t>sim7h</t>
  </si>
  <si>
    <t>sim8h</t>
  </si>
  <si>
    <t>sim9h</t>
  </si>
  <si>
    <t>sim10h</t>
  </si>
  <si>
    <t>sim11h</t>
  </si>
  <si>
    <t>sim12h</t>
  </si>
  <si>
    <t>sim13h</t>
  </si>
  <si>
    <t>sim14h</t>
  </si>
  <si>
    <t>sim15h</t>
  </si>
  <si>
    <t>shk</t>
  </si>
  <si>
    <t>type</t>
  </si>
  <si>
    <t>typ1c</t>
  </si>
  <si>
    <t>typ2c</t>
  </si>
  <si>
    <t>typ3c</t>
  </si>
  <si>
    <t>typ4c</t>
  </si>
  <si>
    <t>typ5c</t>
  </si>
  <si>
    <t>typ6c</t>
  </si>
  <si>
    <t>typ7c</t>
  </si>
  <si>
    <t>typ8c</t>
  </si>
  <si>
    <t>typ9c</t>
  </si>
  <si>
    <t>typ10c</t>
  </si>
  <si>
    <t>typ11c</t>
  </si>
  <si>
    <t>typ12c</t>
  </si>
  <si>
    <t>typ13c</t>
  </si>
  <si>
    <t>typ14c</t>
  </si>
  <si>
    <t>typ15c</t>
  </si>
  <si>
    <t>typ1a</t>
  </si>
  <si>
    <t>typ2a</t>
  </si>
  <si>
    <t>typ3a</t>
  </si>
  <si>
    <t>typ4a</t>
  </si>
  <si>
    <t>typ5a</t>
  </si>
  <si>
    <t>typ6a</t>
  </si>
  <si>
    <t>typ7a</t>
  </si>
  <si>
    <t>typ8a</t>
  </si>
  <si>
    <t>typ9a</t>
  </si>
  <si>
    <t>typ10a</t>
  </si>
  <si>
    <t>typ11a</t>
  </si>
  <si>
    <t>typ12a</t>
  </si>
  <si>
    <t>typ13a</t>
  </si>
  <si>
    <t>typ14a</t>
  </si>
  <si>
    <t>typ15a</t>
  </si>
  <si>
    <t>typ1f</t>
  </si>
  <si>
    <t>typ2f</t>
  </si>
  <si>
    <t>typ3f</t>
  </si>
  <si>
    <t>typ4f</t>
  </si>
  <si>
    <t>typ5f</t>
  </si>
  <si>
    <t>typ6f</t>
  </si>
  <si>
    <t>typ7f</t>
  </si>
  <si>
    <t>typ8f</t>
  </si>
  <si>
    <t>typ9f</t>
  </si>
  <si>
    <t>typ10f</t>
  </si>
  <si>
    <t>typ11f</t>
  </si>
  <si>
    <t>typ12f</t>
  </si>
  <si>
    <t>typ13f</t>
  </si>
  <si>
    <t>typ14f</t>
  </si>
  <si>
    <t>typ15f</t>
  </si>
  <si>
    <t>typ1h</t>
  </si>
  <si>
    <t>typ2h</t>
  </si>
  <si>
    <t>typ3h</t>
  </si>
  <si>
    <t>typ4h</t>
  </si>
  <si>
    <t>typ5h</t>
  </si>
  <si>
    <t>typ6h</t>
  </si>
  <si>
    <t>typ7h</t>
  </si>
  <si>
    <t>typ8h</t>
  </si>
  <si>
    <t>typ9h</t>
  </si>
  <si>
    <t>typ10h</t>
  </si>
  <si>
    <t>typ11h</t>
  </si>
  <si>
    <t>typ12h</t>
  </si>
  <si>
    <t>typ13h</t>
  </si>
  <si>
    <t>typ14h</t>
  </si>
  <si>
    <t>typ15h</t>
  </si>
  <si>
    <t>sim1s</t>
  </si>
  <si>
    <t>sim2s</t>
  </si>
  <si>
    <t>sim3s</t>
  </si>
  <si>
    <t>sim4s</t>
  </si>
  <si>
    <t>sim5s</t>
  </si>
  <si>
    <t>sim6s</t>
  </si>
  <si>
    <t>sim7s</t>
  </si>
  <si>
    <t>sim8s</t>
  </si>
  <si>
    <t>sim9s</t>
  </si>
  <si>
    <t>sim10s</t>
  </si>
  <si>
    <t>sim11s</t>
  </si>
  <si>
    <t>sim12s</t>
  </si>
  <si>
    <t>sim13s</t>
  </si>
  <si>
    <t>sim14s</t>
  </si>
  <si>
    <t>sim15s</t>
  </si>
  <si>
    <t>Household and enterprise shocks</t>
  </si>
  <si>
    <t>Fix cap.</t>
  </si>
  <si>
    <t>fixlnd</t>
  </si>
  <si>
    <t>Fix land</t>
  </si>
  <si>
    <r>
      <t xml:space="preserve">Government savings </t>
    </r>
    <r>
      <rPr>
        <b/>
        <sz val="11"/>
        <color theme="1"/>
        <rFont val="Calibri"/>
        <family val="2"/>
        <scheme val="minor"/>
      </rPr>
      <t>GSAV</t>
    </r>
    <r>
      <rPr>
        <sz val="11"/>
        <color theme="1"/>
        <rFont val="Calibri"/>
        <family val="2"/>
        <scheme val="minor"/>
      </rPr>
      <t xml:space="preserve"> are flexible  </t>
    </r>
    <r>
      <rPr>
        <sz val="11"/>
        <color theme="0" tint="-0.34998626667073579"/>
        <rFont val="Calibri"/>
        <family val="2"/>
        <scheme val="minor"/>
      </rPr>
      <t>(all direct and indirect tax rates is fixed)</t>
    </r>
  </si>
  <si>
    <t>save</t>
  </si>
  <si>
    <t>Direct</t>
  </si>
  <si>
    <t>Export taxes</t>
  </si>
  <si>
    <t>Import tariffs</t>
  </si>
  <si>
    <t>Sales taxes</t>
  </si>
  <si>
    <t>Value-added taxes</t>
  </si>
  <si>
    <t>Factor taxes</t>
  </si>
  <si>
    <t>Direct taxes</t>
  </si>
  <si>
    <t>govshr</t>
  </si>
  <si>
    <t>Gov. absorp. share</t>
  </si>
  <si>
    <t>Inv. absorp. share</t>
  </si>
  <si>
    <t>invshr</t>
  </si>
  <si>
    <t>Shock</t>
  </si>
  <si>
    <t xml:space="preserve">   Shock</t>
  </si>
  <si>
    <r>
      <t xml:space="preserve">   Multiplicative?</t>
    </r>
    <r>
      <rPr>
        <sz val="11"/>
        <rFont val="Calibri"/>
        <family val="2"/>
        <scheme val="minor"/>
      </rPr>
      <t xml:space="preserve"> (1 = yes  |  2 = additive)</t>
    </r>
  </si>
  <si>
    <t>Scalar parameter</t>
  </si>
  <si>
    <t>Multi-</t>
  </si>
  <si>
    <t>plicative</t>
  </si>
  <si>
    <t>Accounts</t>
  </si>
  <si>
    <t>Description</t>
  </si>
  <si>
    <t>GDX Index</t>
  </si>
  <si>
    <t>main!c5</t>
  </si>
  <si>
    <t>alphaf</t>
  </si>
  <si>
    <t>Product-</t>
  </si>
  <si>
    <t>ivity</t>
  </si>
  <si>
    <t>Prod. shk</t>
  </si>
  <si>
    <t xml:space="preserve">s1!ax6  </t>
  </si>
  <si>
    <t xml:space="preserve">s2!ax6  </t>
  </si>
  <si>
    <t xml:space="preserve">s3!ax6  </t>
  </si>
  <si>
    <t xml:space="preserve">s4!ax6  </t>
  </si>
  <si>
    <t xml:space="preserve">s5!ax6  </t>
  </si>
  <si>
    <t xml:space="preserve">s6!ax6  </t>
  </si>
  <si>
    <t xml:space="preserve">s7!ax6  </t>
  </si>
  <si>
    <t xml:space="preserve">s8!ax6  </t>
  </si>
  <si>
    <t xml:space="preserve">s9!ax6  </t>
  </si>
  <si>
    <t xml:space="preserve">s10!ax6 </t>
  </si>
  <si>
    <t xml:space="preserve">s11!ax6 </t>
  </si>
  <si>
    <t xml:space="preserve">s12!ax6 </t>
  </si>
  <si>
    <t xml:space="preserve">s13!ax6 </t>
  </si>
  <si>
    <t xml:space="preserve">s14!ax6 </t>
  </si>
  <si>
    <t xml:space="preserve">s15!ax6 </t>
  </si>
  <si>
    <t>Baseline Scenario</t>
  </si>
  <si>
    <t>Time periods</t>
  </si>
  <si>
    <t>Commodities</t>
  </si>
  <si>
    <t>Activities</t>
  </si>
  <si>
    <t>All</t>
  </si>
  <si>
    <t>Active</t>
  </si>
  <si>
    <t>Start</t>
  </si>
  <si>
    <t>End</t>
  </si>
  <si>
    <t>start</t>
  </si>
  <si>
    <t>end</t>
  </si>
  <si>
    <t xml:space="preserve">   Start</t>
  </si>
  <si>
    <t xml:space="preserve">   End</t>
  </si>
  <si>
    <t xml:space="preserve">s1!c16  </t>
  </si>
  <si>
    <t xml:space="preserve">s2!c16  </t>
  </si>
  <si>
    <t xml:space="preserve">s3!c16  </t>
  </si>
  <si>
    <t xml:space="preserve">s4!c16  </t>
  </si>
  <si>
    <t xml:space="preserve">s5!c16  </t>
  </si>
  <si>
    <t xml:space="preserve">s6!c16  </t>
  </si>
  <si>
    <t xml:space="preserve">s7!c16  </t>
  </si>
  <si>
    <t xml:space="preserve">s8!c16  </t>
  </si>
  <si>
    <t xml:space="preserve">s9!c16  </t>
  </si>
  <si>
    <t xml:space="preserve">s10!c16 </t>
  </si>
  <si>
    <t xml:space="preserve">s11!c16 </t>
  </si>
  <si>
    <t xml:space="preserve">s12!c16 </t>
  </si>
  <si>
    <t xml:space="preserve">s13!c16 </t>
  </si>
  <si>
    <t xml:space="preserve">s14!c16 </t>
  </si>
  <si>
    <t xml:space="preserve">s15!c16 </t>
  </si>
  <si>
    <t xml:space="preserve">s1!o16  </t>
  </si>
  <si>
    <t xml:space="preserve">s2!o16  </t>
  </si>
  <si>
    <t xml:space="preserve">s3!o16  </t>
  </si>
  <si>
    <t xml:space="preserve">s4!o16  </t>
  </si>
  <si>
    <t xml:space="preserve">s5!o16  </t>
  </si>
  <si>
    <t xml:space="preserve">s6!o16  </t>
  </si>
  <si>
    <t xml:space="preserve">s7!o16  </t>
  </si>
  <si>
    <t xml:space="preserve">s8!o16  </t>
  </si>
  <si>
    <t xml:space="preserve">s9!o16  </t>
  </si>
  <si>
    <t xml:space="preserve">s10!o16 </t>
  </si>
  <si>
    <t xml:space="preserve">s11!o16 </t>
  </si>
  <si>
    <t xml:space="preserve">s12!o16 </t>
  </si>
  <si>
    <t xml:space="preserve">s13!o16 </t>
  </si>
  <si>
    <t xml:space="preserve">s14!o16 </t>
  </si>
  <si>
    <t xml:space="preserve">s15!o16 </t>
  </si>
  <si>
    <t xml:space="preserve">s1!y16  </t>
  </si>
  <si>
    <t xml:space="preserve">s2!y16  </t>
  </si>
  <si>
    <t xml:space="preserve">s3!y16  </t>
  </si>
  <si>
    <t xml:space="preserve">s4!y16  </t>
  </si>
  <si>
    <t xml:space="preserve">s5!y16  </t>
  </si>
  <si>
    <t xml:space="preserve">s6!y16  </t>
  </si>
  <si>
    <t xml:space="preserve">s7!y16  </t>
  </si>
  <si>
    <t xml:space="preserve">s8!y16  </t>
  </si>
  <si>
    <t xml:space="preserve">s9!y16  </t>
  </si>
  <si>
    <t xml:space="preserve">s10!y16 </t>
  </si>
  <si>
    <t xml:space="preserve">s11!y16 </t>
  </si>
  <si>
    <t xml:space="preserve">s12!y16 </t>
  </si>
  <si>
    <t xml:space="preserve">s13!y16 </t>
  </si>
  <si>
    <t xml:space="preserve">s14!y16 </t>
  </si>
  <si>
    <t xml:space="preserve">s15!y16 </t>
  </si>
  <si>
    <t xml:space="preserve">s1!ak16 </t>
  </si>
  <si>
    <t xml:space="preserve">s2!ak16 </t>
  </si>
  <si>
    <t xml:space="preserve">s3!ak16 </t>
  </si>
  <si>
    <t xml:space="preserve">s4!ak16 </t>
  </si>
  <si>
    <t xml:space="preserve">s5!ak16 </t>
  </si>
  <si>
    <t xml:space="preserve">s6!ak16 </t>
  </si>
  <si>
    <t xml:space="preserve">s7!ak16 </t>
  </si>
  <si>
    <t xml:space="preserve">s8!ak16 </t>
  </si>
  <si>
    <t xml:space="preserve">s9!ak16 </t>
  </si>
  <si>
    <t>s10!ak16</t>
  </si>
  <si>
    <t>s11!ak16</t>
  </si>
  <si>
    <t>s12!ak16</t>
  </si>
  <si>
    <t>s13!ak16</t>
  </si>
  <si>
    <t>s14!ak16</t>
  </si>
  <si>
    <t>s15!ak16</t>
  </si>
  <si>
    <t>tim1c</t>
  </si>
  <si>
    <t>tim2c</t>
  </si>
  <si>
    <t>tim3c</t>
  </si>
  <si>
    <t>tim4c</t>
  </si>
  <si>
    <t>tim5c</t>
  </si>
  <si>
    <t>tim6c</t>
  </si>
  <si>
    <t>tim7c</t>
  </si>
  <si>
    <t>tim8c</t>
  </si>
  <si>
    <t>tim9c</t>
  </si>
  <si>
    <t>tim10c</t>
  </si>
  <si>
    <t>tim11c</t>
  </si>
  <si>
    <t>tim12c</t>
  </si>
  <si>
    <t>tim13c</t>
  </si>
  <si>
    <t>tim14c</t>
  </si>
  <si>
    <t>tim15c</t>
  </si>
  <si>
    <t>tim1a</t>
  </si>
  <si>
    <t>tim2a</t>
  </si>
  <si>
    <t>tim3a</t>
  </si>
  <si>
    <t>tim4a</t>
  </si>
  <si>
    <t>tim5a</t>
  </si>
  <si>
    <t>tim6a</t>
  </si>
  <si>
    <t>tim7a</t>
  </si>
  <si>
    <t>tim8a</t>
  </si>
  <si>
    <t>tim9a</t>
  </si>
  <si>
    <t>tim10a</t>
  </si>
  <si>
    <t>tim11a</t>
  </si>
  <si>
    <t>tim12a</t>
  </si>
  <si>
    <t>tim13a</t>
  </si>
  <si>
    <t>tim14a</t>
  </si>
  <si>
    <t>tim15a</t>
  </si>
  <si>
    <t>tim1f</t>
  </si>
  <si>
    <t>tim2f</t>
  </si>
  <si>
    <t>tim3f</t>
  </si>
  <si>
    <t>tim4f</t>
  </si>
  <si>
    <t>tim5f</t>
  </si>
  <si>
    <t>tim6f</t>
  </si>
  <si>
    <t>tim7f</t>
  </si>
  <si>
    <t>tim8f</t>
  </si>
  <si>
    <t>tim9f</t>
  </si>
  <si>
    <t>tim10f</t>
  </si>
  <si>
    <t>tim11f</t>
  </si>
  <si>
    <t>tim12f</t>
  </si>
  <si>
    <t>tim13f</t>
  </si>
  <si>
    <t>tim14f</t>
  </si>
  <si>
    <t>tim15f</t>
  </si>
  <si>
    <t>tim1h</t>
  </si>
  <si>
    <t>tim2h</t>
  </si>
  <si>
    <t>tim3h</t>
  </si>
  <si>
    <t>tim4h</t>
  </si>
  <si>
    <t>tim5h</t>
  </si>
  <si>
    <t>tim6h</t>
  </si>
  <si>
    <t>tim7h</t>
  </si>
  <si>
    <t>tim8h</t>
  </si>
  <si>
    <t>tim9h</t>
  </si>
  <si>
    <t>tim10h</t>
  </si>
  <si>
    <t>tim11h</t>
  </si>
  <si>
    <t>tim12h</t>
  </si>
  <si>
    <t>tim13h</t>
  </si>
  <si>
    <t>tim14h</t>
  </si>
  <si>
    <t>tim15h</t>
  </si>
  <si>
    <t xml:space="preserve">s1!d12   </t>
  </si>
  <si>
    <t xml:space="preserve">s2!d12   </t>
  </si>
  <si>
    <t xml:space="preserve">s3!d12   </t>
  </si>
  <si>
    <t xml:space="preserve">s4!d12   </t>
  </si>
  <si>
    <t xml:space="preserve">s5!d12   </t>
  </si>
  <si>
    <t xml:space="preserve">s6!d12   </t>
  </si>
  <si>
    <t xml:space="preserve">s7!d12   </t>
  </si>
  <si>
    <t xml:space="preserve">s8!d12   </t>
  </si>
  <si>
    <t xml:space="preserve">s9!d12   </t>
  </si>
  <si>
    <t xml:space="preserve">s10!d12  </t>
  </si>
  <si>
    <t xml:space="preserve">s11!d12  </t>
  </si>
  <si>
    <t xml:space="preserve">s12!d12  </t>
  </si>
  <si>
    <t xml:space="preserve">s13!d12  </t>
  </si>
  <si>
    <t xml:space="preserve">s14!d12  </t>
  </si>
  <si>
    <t xml:space="preserve">s15!d12  </t>
  </si>
  <si>
    <t xml:space="preserve">s1!p12   </t>
  </si>
  <si>
    <t xml:space="preserve">s2!p12   </t>
  </si>
  <si>
    <t xml:space="preserve">s3!p12   </t>
  </si>
  <si>
    <t xml:space="preserve">s4!p12   </t>
  </si>
  <si>
    <t xml:space="preserve">s5!p12   </t>
  </si>
  <si>
    <t xml:space="preserve">s6!p12   </t>
  </si>
  <si>
    <t xml:space="preserve">s7!p12   </t>
  </si>
  <si>
    <t xml:space="preserve">s8!p12   </t>
  </si>
  <si>
    <t xml:space="preserve">s9!p12   </t>
  </si>
  <si>
    <t xml:space="preserve">s10!p12  </t>
  </si>
  <si>
    <t xml:space="preserve">s11!p12  </t>
  </si>
  <si>
    <t xml:space="preserve">s12!p12  </t>
  </si>
  <si>
    <t xml:space="preserve">s13!p12  </t>
  </si>
  <si>
    <t xml:space="preserve">s14!p12  </t>
  </si>
  <si>
    <t xml:space="preserve">s15!p12  </t>
  </si>
  <si>
    <t xml:space="preserve">s1!z12   </t>
  </si>
  <si>
    <t xml:space="preserve">s2!z12   </t>
  </si>
  <si>
    <t xml:space="preserve">s3!z12   </t>
  </si>
  <si>
    <t xml:space="preserve">s4!z12   </t>
  </si>
  <si>
    <t xml:space="preserve">s5!z12   </t>
  </si>
  <si>
    <t xml:space="preserve">s6!z12   </t>
  </si>
  <si>
    <t xml:space="preserve">s7!z12   </t>
  </si>
  <si>
    <t xml:space="preserve">s8!z12   </t>
  </si>
  <si>
    <t xml:space="preserve">s9!z12   </t>
  </si>
  <si>
    <t xml:space="preserve">s10!z12  </t>
  </si>
  <si>
    <t xml:space="preserve">s11!z12  </t>
  </si>
  <si>
    <t xml:space="preserve">s12!z12  </t>
  </si>
  <si>
    <t xml:space="preserve">s13!z12  </t>
  </si>
  <si>
    <t xml:space="preserve">s14!z12  </t>
  </si>
  <si>
    <t xml:space="preserve">s15!z12  </t>
  </si>
  <si>
    <t xml:space="preserve">s1!al12  </t>
  </si>
  <si>
    <t xml:space="preserve">s2!al12  </t>
  </si>
  <si>
    <t xml:space="preserve">s3!al12  </t>
  </si>
  <si>
    <t xml:space="preserve">s4!al12  </t>
  </si>
  <si>
    <t xml:space="preserve">s5!al12  </t>
  </si>
  <si>
    <t xml:space="preserve">s6!al12  </t>
  </si>
  <si>
    <t xml:space="preserve">s7!al12  </t>
  </si>
  <si>
    <t xml:space="preserve">s8!al12  </t>
  </si>
  <si>
    <t xml:space="preserve">s9!al12  </t>
  </si>
  <si>
    <t xml:space="preserve">s10!al12 </t>
  </si>
  <si>
    <t xml:space="preserve">s11!al12 </t>
  </si>
  <si>
    <t xml:space="preserve">s12!al12 </t>
  </si>
  <si>
    <t xml:space="preserve">s13!al12 </t>
  </si>
  <si>
    <t xml:space="preserve">s14!al12 </t>
  </si>
  <si>
    <t xml:space="preserve">s15!al12 </t>
  </si>
  <si>
    <t xml:space="preserve">s1!d7   </t>
  </si>
  <si>
    <t xml:space="preserve">s2!d7   </t>
  </si>
  <si>
    <t xml:space="preserve">s3!d7   </t>
  </si>
  <si>
    <t xml:space="preserve">s4!d7   </t>
  </si>
  <si>
    <t xml:space="preserve">s5!d7   </t>
  </si>
  <si>
    <t xml:space="preserve">s6!d7   </t>
  </si>
  <si>
    <t xml:space="preserve">s7!d7   </t>
  </si>
  <si>
    <t xml:space="preserve">s8!d7   </t>
  </si>
  <si>
    <t xml:space="preserve">s9!d7   </t>
  </si>
  <si>
    <t xml:space="preserve">s10!d7  </t>
  </si>
  <si>
    <t xml:space="preserve">s11!d7  </t>
  </si>
  <si>
    <t xml:space="preserve">s12!d7  </t>
  </si>
  <si>
    <t xml:space="preserve">s13!d7  </t>
  </si>
  <si>
    <t xml:space="preserve">s14!d7  </t>
  </si>
  <si>
    <t xml:space="preserve">s15!d7  </t>
  </si>
  <si>
    <t xml:space="preserve">s1!p7   </t>
  </si>
  <si>
    <t xml:space="preserve">s2!p7   </t>
  </si>
  <si>
    <t xml:space="preserve">s3!p7   </t>
  </si>
  <si>
    <t xml:space="preserve">s4!p7   </t>
  </si>
  <si>
    <t xml:space="preserve">s5!p7   </t>
  </si>
  <si>
    <t xml:space="preserve">s6!p7   </t>
  </si>
  <si>
    <t xml:space="preserve">s7!p7   </t>
  </si>
  <si>
    <t xml:space="preserve">s8!p7   </t>
  </si>
  <si>
    <t xml:space="preserve">s9!p7   </t>
  </si>
  <si>
    <t xml:space="preserve">s10!p7  </t>
  </si>
  <si>
    <t xml:space="preserve">s11!p7  </t>
  </si>
  <si>
    <t xml:space="preserve">s12!p7  </t>
  </si>
  <si>
    <t xml:space="preserve">s13!p7  </t>
  </si>
  <si>
    <t xml:space="preserve">s14!p7  </t>
  </si>
  <si>
    <t xml:space="preserve">s15!p7  </t>
  </si>
  <si>
    <t xml:space="preserve">s1!z7   </t>
  </si>
  <si>
    <t xml:space="preserve">s2!z7   </t>
  </si>
  <si>
    <t xml:space="preserve">s3!z7   </t>
  </si>
  <si>
    <t xml:space="preserve">s4!z7   </t>
  </si>
  <si>
    <t xml:space="preserve">s5!z7   </t>
  </si>
  <si>
    <t xml:space="preserve">s6!z7   </t>
  </si>
  <si>
    <t xml:space="preserve">s7!z7   </t>
  </si>
  <si>
    <t xml:space="preserve">s8!z7   </t>
  </si>
  <si>
    <t xml:space="preserve">s9!z7   </t>
  </si>
  <si>
    <t xml:space="preserve">s10!z7  </t>
  </si>
  <si>
    <t xml:space="preserve">s11!z7  </t>
  </si>
  <si>
    <t xml:space="preserve">s12!z7  </t>
  </si>
  <si>
    <t xml:space="preserve">s13!z7  </t>
  </si>
  <si>
    <t xml:space="preserve">s14!z7  </t>
  </si>
  <si>
    <t xml:space="preserve">s15!z7  </t>
  </si>
  <si>
    <t xml:space="preserve">s1!al7  </t>
  </si>
  <si>
    <t xml:space="preserve">s2!al7  </t>
  </si>
  <si>
    <t xml:space="preserve">s3!al7  </t>
  </si>
  <si>
    <t xml:space="preserve">s4!al7  </t>
  </si>
  <si>
    <t xml:space="preserve">s5!al7  </t>
  </si>
  <si>
    <t xml:space="preserve">s6!al7  </t>
  </si>
  <si>
    <t xml:space="preserve">s7!al7  </t>
  </si>
  <si>
    <t xml:space="preserve">s8!al7  </t>
  </si>
  <si>
    <t xml:space="preserve">s9!al7  </t>
  </si>
  <si>
    <t xml:space="preserve">s10!al7 </t>
  </si>
  <si>
    <t xml:space="preserve">s11!al7 </t>
  </si>
  <si>
    <t xml:space="preserve">s12!al7 </t>
  </si>
  <si>
    <t xml:space="preserve">s13!al7 </t>
  </si>
  <si>
    <t xml:space="preserve">s14!al7 </t>
  </si>
  <si>
    <t xml:space="preserve">s15!al7 </t>
  </si>
  <si>
    <t>set</t>
  </si>
  <si>
    <t>tim1s</t>
  </si>
  <si>
    <t>tim2s</t>
  </si>
  <si>
    <t>tim3s</t>
  </si>
  <si>
    <t>tim4s</t>
  </si>
  <si>
    <t>tim5s</t>
  </si>
  <si>
    <t>tim6s</t>
  </si>
  <si>
    <t>tim7s</t>
  </si>
  <si>
    <t>tim8s</t>
  </si>
  <si>
    <t>tim9s</t>
  </si>
  <si>
    <t>tim10s</t>
  </si>
  <si>
    <t>tim11s</t>
  </si>
  <si>
    <t>tim12s</t>
  </si>
  <si>
    <t>tim13s</t>
  </si>
  <si>
    <t>tim14s</t>
  </si>
  <si>
    <t>tim15s</t>
  </si>
  <si>
    <t xml:space="preserve">s2!ax7  </t>
  </si>
  <si>
    <t xml:space="preserve">s3!ax7  </t>
  </si>
  <si>
    <t xml:space="preserve">s4!ax7  </t>
  </si>
  <si>
    <t xml:space="preserve">s5!ax7  </t>
  </si>
  <si>
    <t xml:space="preserve">s6!ax7  </t>
  </si>
  <si>
    <t xml:space="preserve">s7!ax7  </t>
  </si>
  <si>
    <t xml:space="preserve">s8!ax7  </t>
  </si>
  <si>
    <t xml:space="preserve">s9!ax7  </t>
  </si>
  <si>
    <t xml:space="preserve">s10!ax7 </t>
  </si>
  <si>
    <t xml:space="preserve">s11!ax7 </t>
  </si>
  <si>
    <t xml:space="preserve">s12!ax7 </t>
  </si>
  <si>
    <t xml:space="preserve">s13!ax7 </t>
  </si>
  <si>
    <t xml:space="preserve">s14!ax7 </t>
  </si>
  <si>
    <t xml:space="preserve">s15!ax7 </t>
  </si>
  <si>
    <t>values=nodata</t>
  </si>
  <si>
    <t>values=nodata se=1</t>
  </si>
  <si>
    <t>First</t>
  </si>
  <si>
    <t>Last</t>
  </si>
  <si>
    <t>Shock years</t>
  </si>
  <si>
    <t xml:space="preserve">s1!ax7:AZ20  </t>
  </si>
  <si>
    <r>
      <t xml:space="preserve">Government savings are fixed - </t>
    </r>
    <r>
      <rPr>
        <u/>
        <sz val="11"/>
        <color theme="1"/>
        <rFont val="Calibri"/>
        <family val="2"/>
        <scheme val="minor"/>
      </rPr>
      <t>uniform</t>
    </r>
    <r>
      <rPr>
        <sz val="11"/>
        <color theme="1"/>
        <rFont val="Calibri"/>
        <family val="2"/>
        <scheme val="minor"/>
      </rPr>
      <t xml:space="preserve"> </t>
    </r>
    <r>
      <rPr>
        <b/>
        <sz val="11"/>
        <color theme="1"/>
        <rFont val="Calibri"/>
        <family val="2"/>
        <scheme val="minor"/>
      </rPr>
      <t>TI</t>
    </r>
    <r>
      <rPr>
        <sz val="11"/>
        <color theme="1"/>
        <rFont val="Calibri"/>
        <family val="2"/>
        <scheme val="minor"/>
      </rPr>
      <t xml:space="preserve"> adjustment  </t>
    </r>
    <r>
      <rPr>
        <sz val="11"/>
        <color theme="0" tint="-0.34998626667073579"/>
        <rFont val="Calibri"/>
        <family val="2"/>
        <scheme val="minor"/>
      </rPr>
      <t>(identical point change in direct tax rate for selected institutions)</t>
    </r>
  </si>
  <si>
    <r>
      <t xml:space="preserve">Government savings are fixed - </t>
    </r>
    <r>
      <rPr>
        <u/>
        <sz val="11"/>
        <color theme="1"/>
        <rFont val="Calibri"/>
        <family val="2"/>
        <scheme val="minor"/>
      </rPr>
      <t>scaled</t>
    </r>
    <r>
      <rPr>
        <sz val="11"/>
        <color theme="1"/>
        <rFont val="Calibri"/>
        <family val="2"/>
        <scheme val="minor"/>
      </rPr>
      <t xml:space="preserve"> </t>
    </r>
    <r>
      <rPr>
        <b/>
        <sz val="11"/>
        <color theme="1"/>
        <rFont val="Calibri"/>
        <family val="2"/>
        <scheme val="minor"/>
      </rPr>
      <t>TI</t>
    </r>
    <r>
      <rPr>
        <sz val="11"/>
        <color theme="1"/>
        <rFont val="Calibri"/>
        <family val="2"/>
        <scheme val="minor"/>
      </rPr>
      <t xml:space="preserve"> adjustment  </t>
    </r>
    <r>
      <rPr>
        <sz val="11"/>
        <color theme="0" tint="-0.34998626667073579"/>
        <rFont val="Calibri"/>
        <family val="2"/>
        <scheme val="minor"/>
      </rPr>
      <t>(proportional change in direct tax rate for selected institutions)</t>
    </r>
  </si>
  <si>
    <r>
      <t xml:space="preserve">Government savings are fixed - </t>
    </r>
    <r>
      <rPr>
        <u/>
        <sz val="11"/>
        <color theme="1"/>
        <rFont val="Calibri"/>
        <family val="2"/>
        <scheme val="minor"/>
      </rPr>
      <t>uniform</t>
    </r>
    <r>
      <rPr>
        <sz val="11"/>
        <color theme="1"/>
        <rFont val="Calibri"/>
        <family val="2"/>
        <scheme val="minor"/>
      </rPr>
      <t xml:space="preserve"> </t>
    </r>
    <r>
      <rPr>
        <b/>
        <sz val="11"/>
        <color theme="1"/>
        <rFont val="Calibri"/>
        <family val="2"/>
        <scheme val="minor"/>
      </rPr>
      <t>TV</t>
    </r>
    <r>
      <rPr>
        <sz val="11"/>
        <color theme="1"/>
        <rFont val="Calibri"/>
        <family val="2"/>
        <scheme val="minor"/>
      </rPr>
      <t xml:space="preserve"> adjustment  </t>
    </r>
    <r>
      <rPr>
        <sz val="11"/>
        <color theme="0" tint="-0.34998626667073579"/>
        <rFont val="Calibri"/>
        <family val="2"/>
        <scheme val="minor"/>
      </rPr>
      <t>(identical point change in activity value-added tax rate)</t>
    </r>
  </si>
  <si>
    <r>
      <t xml:space="preserve">Government savings are fixed - </t>
    </r>
    <r>
      <rPr>
        <u/>
        <sz val="11"/>
        <color theme="1"/>
        <rFont val="Calibri"/>
        <family val="2"/>
        <scheme val="minor"/>
      </rPr>
      <t>scaled</t>
    </r>
    <r>
      <rPr>
        <sz val="11"/>
        <color theme="1"/>
        <rFont val="Calibri"/>
        <family val="2"/>
        <scheme val="minor"/>
      </rPr>
      <t xml:space="preserve"> </t>
    </r>
    <r>
      <rPr>
        <b/>
        <sz val="11"/>
        <color theme="1"/>
        <rFont val="Calibri"/>
        <family val="2"/>
        <scheme val="minor"/>
      </rPr>
      <t>TV</t>
    </r>
    <r>
      <rPr>
        <sz val="11"/>
        <color theme="1"/>
        <rFont val="Calibri"/>
        <family val="2"/>
        <scheme val="minor"/>
      </rPr>
      <t xml:space="preserve"> adjustment  </t>
    </r>
    <r>
      <rPr>
        <sz val="11"/>
        <color theme="0" tint="-0.34998626667073579"/>
        <rFont val="Calibri"/>
        <family val="2"/>
        <scheme val="minor"/>
      </rPr>
      <t>(proportional change in activity value-added tax rate)</t>
    </r>
  </si>
  <si>
    <t>tv</t>
  </si>
  <si>
    <t>ti</t>
  </si>
  <si>
    <t>init</t>
  </si>
  <si>
    <t>Base year</t>
  </si>
  <si>
    <t>Macro trends</t>
  </si>
  <si>
    <t>Household and enterprise trends</t>
  </si>
  <si>
    <t>Factor trends</t>
  </si>
  <si>
    <t>Commodity trends</t>
  </si>
  <si>
    <t>Activity trends</t>
  </si>
  <si>
    <t>t</t>
  </si>
  <si>
    <t>tc</t>
  </si>
  <si>
    <t>main!l4</t>
  </si>
  <si>
    <t>main!l12</t>
  </si>
  <si>
    <t>main!h5</t>
  </si>
  <si>
    <t>main!i5</t>
  </si>
  <si>
    <t>simbc</t>
  </si>
  <si>
    <t>simba</t>
  </si>
  <si>
    <t>simbf</t>
  </si>
  <si>
    <t>simbh</t>
  </si>
  <si>
    <t>simbs</t>
  </si>
  <si>
    <t>base!c7</t>
  </si>
  <si>
    <t>base!o7</t>
  </si>
  <si>
    <t>base!y7</t>
  </si>
  <si>
    <t>base!ak7</t>
  </si>
  <si>
    <t>base!ax5</t>
  </si>
  <si>
    <t>Fixed factors</t>
  </si>
  <si>
    <t>Depreciation rate</t>
  </si>
  <si>
    <t>drate</t>
  </si>
  <si>
    <t>amaiz</t>
  </si>
  <si>
    <t>aocer</t>
  </si>
  <si>
    <t>apuls</t>
  </si>
  <si>
    <t>aoils</t>
  </si>
  <si>
    <t>aroot</t>
  </si>
  <si>
    <t>avege</t>
  </si>
  <si>
    <t>asugr</t>
  </si>
  <si>
    <t>atoba</t>
  </si>
  <si>
    <t>acott</t>
  </si>
  <si>
    <t>afrui</t>
  </si>
  <si>
    <t>acoff</t>
  </si>
  <si>
    <t>aocrp</t>
  </si>
  <si>
    <t>acatt</t>
  </si>
  <si>
    <t>apoul</t>
  </si>
  <si>
    <t>aoliv</t>
  </si>
  <si>
    <t>afore</t>
  </si>
  <si>
    <t>afish</t>
  </si>
  <si>
    <t>afood</t>
  </si>
  <si>
    <t>abeve</t>
  </si>
  <si>
    <t>atext</t>
  </si>
  <si>
    <t>awood</t>
  </si>
  <si>
    <t>achem</t>
  </si>
  <si>
    <t>anmet</t>
  </si>
  <si>
    <t>ametl</t>
  </si>
  <si>
    <t>amach</t>
  </si>
  <si>
    <t>aoman</t>
  </si>
  <si>
    <t>aelec</t>
  </si>
  <si>
    <t>awatr</t>
  </si>
  <si>
    <t>acons</t>
  </si>
  <si>
    <t>atrad</t>
  </si>
  <si>
    <t>atran</t>
  </si>
  <si>
    <t>ahotl</t>
  </si>
  <si>
    <t>acomm</t>
  </si>
  <si>
    <t>afsrv</t>
  </si>
  <si>
    <t>areal</t>
  </si>
  <si>
    <t>absrv</t>
  </si>
  <si>
    <t>apadm</t>
  </si>
  <si>
    <t>aeduc</t>
  </si>
  <si>
    <t>aheal</t>
  </si>
  <si>
    <t>aosrv</t>
  </si>
  <si>
    <t>Maize</t>
  </si>
  <si>
    <t>Other cereals</t>
  </si>
  <si>
    <t>Pulses</t>
  </si>
  <si>
    <t>Sugarcane</t>
  </si>
  <si>
    <t>Tobacco</t>
  </si>
  <si>
    <t>Cotton and fibres</t>
  </si>
  <si>
    <t>Other crops</t>
  </si>
  <si>
    <t>Other livestock</t>
  </si>
  <si>
    <t>Forestry</t>
  </si>
  <si>
    <t>Non-metal minerals</t>
  </si>
  <si>
    <t>Other manufacturing</t>
  </si>
  <si>
    <t>Electricity, gas and steam</t>
  </si>
  <si>
    <t>Water supply and sewage</t>
  </si>
  <si>
    <t>Construction</t>
  </si>
  <si>
    <t>Wholesale and retail trade</t>
  </si>
  <si>
    <t>Transportation and storage</t>
  </si>
  <si>
    <t>Information and communication</t>
  </si>
  <si>
    <t>Finance and insurance</t>
  </si>
  <si>
    <t>Real estate activities</t>
  </si>
  <si>
    <t>Business services</t>
  </si>
  <si>
    <t>Public administration</t>
  </si>
  <si>
    <t>Education</t>
  </si>
  <si>
    <t>Health and social work</t>
  </si>
  <si>
    <t>Other services</t>
  </si>
  <si>
    <t>cmaiz</t>
  </si>
  <si>
    <t>cocer</t>
  </si>
  <si>
    <t>cpuls</t>
  </si>
  <si>
    <t>coils</t>
  </si>
  <si>
    <t>croot</t>
  </si>
  <si>
    <t>cvege</t>
  </si>
  <si>
    <t>csugr</t>
  </si>
  <si>
    <t>ctoba</t>
  </si>
  <si>
    <t>ccott</t>
  </si>
  <si>
    <t>cfrui</t>
  </si>
  <si>
    <t>ccoff</t>
  </si>
  <si>
    <t>cocrp</t>
  </si>
  <si>
    <t>ccatt</t>
  </si>
  <si>
    <t>cpoul</t>
  </si>
  <si>
    <t>coliv</t>
  </si>
  <si>
    <t>cfore</t>
  </si>
  <si>
    <t>cfish</t>
  </si>
  <si>
    <t>cfood</t>
  </si>
  <si>
    <t>cbeve</t>
  </si>
  <si>
    <t>ctext</t>
  </si>
  <si>
    <t>cwood</t>
  </si>
  <si>
    <t>cchem</t>
  </si>
  <si>
    <t>cnmet</t>
  </si>
  <si>
    <t>cmetl</t>
  </si>
  <si>
    <t>cmach</t>
  </si>
  <si>
    <t>coman</t>
  </si>
  <si>
    <t>celec</t>
  </si>
  <si>
    <t>cwatr</t>
  </si>
  <si>
    <t>ccons</t>
  </si>
  <si>
    <t>ctrad</t>
  </si>
  <si>
    <t>ctran</t>
  </si>
  <si>
    <t>chotl</t>
  </si>
  <si>
    <t>ccomm</t>
  </si>
  <si>
    <t>cfsrv</t>
  </si>
  <si>
    <t>creal</t>
  </si>
  <si>
    <t>cbsrv</t>
  </si>
  <si>
    <t>cpadm</t>
  </si>
  <si>
    <t>ceduc</t>
  </si>
  <si>
    <t>cheal</t>
  </si>
  <si>
    <t>cosrv</t>
  </si>
  <si>
    <t>sim2</t>
  </si>
  <si>
    <t>sim3</t>
  </si>
  <si>
    <t>sim4</t>
  </si>
  <si>
    <t>sim5</t>
  </si>
  <si>
    <t>sim6</t>
  </si>
  <si>
    <t>sim7</t>
  </si>
  <si>
    <t>sim8</t>
  </si>
  <si>
    <t>sim9</t>
  </si>
  <si>
    <t>sim10</t>
  </si>
  <si>
    <t>Gov. tran. to world</t>
  </si>
  <si>
    <t>Gov. tran. from world</t>
  </si>
  <si>
    <t xml:space="preserve"> </t>
  </si>
  <si>
    <t>sim1</t>
  </si>
  <si>
    <t>csorg</t>
  </si>
  <si>
    <t>cwhea</t>
  </si>
  <si>
    <t>cgnut</t>
  </si>
  <si>
    <t>ccass</t>
  </si>
  <si>
    <t>cipot</t>
  </si>
  <si>
    <t>cspot</t>
  </si>
  <si>
    <t>cnuts</t>
  </si>
  <si>
    <t>cbana</t>
  </si>
  <si>
    <t>cteal</t>
  </si>
  <si>
    <t>ccoco</t>
  </si>
  <si>
    <t>cflwr</t>
  </si>
  <si>
    <t>crubb</t>
  </si>
  <si>
    <t>cmilk</t>
  </si>
  <si>
    <t>ceggs</t>
  </si>
  <si>
    <t>csmlr</t>
  </si>
  <si>
    <t>caqua</t>
  </si>
  <si>
    <t>ccoal</t>
  </si>
  <si>
    <t>ccoil</t>
  </si>
  <si>
    <t>cngas</t>
  </si>
  <si>
    <t>comin</t>
  </si>
  <si>
    <t>cmeat</t>
  </si>
  <si>
    <t>cfsea</t>
  </si>
  <si>
    <t>cdair</t>
  </si>
  <si>
    <t>cfveg</t>
  </si>
  <si>
    <t>cfoil</t>
  </si>
  <si>
    <t>cmmll</t>
  </si>
  <si>
    <t>csmll</t>
  </si>
  <si>
    <t>crmll</t>
  </si>
  <si>
    <t>cwmll</t>
  </si>
  <si>
    <t>cgmll</t>
  </si>
  <si>
    <t>csref</t>
  </si>
  <si>
    <t>cpcof</t>
  </si>
  <si>
    <t>cptea</t>
  </si>
  <si>
    <t>cfeed</t>
  </si>
  <si>
    <t>cptob</t>
  </si>
  <si>
    <t>cclth</t>
  </si>
  <si>
    <t>cleat</t>
  </si>
  <si>
    <t>cpapr</t>
  </si>
  <si>
    <t>cpetr</t>
  </si>
  <si>
    <t>cfert</t>
  </si>
  <si>
    <t>cequi</t>
  </si>
  <si>
    <t>cvehi</t>
  </si>
  <si>
    <t>crest</t>
  </si>
  <si>
    <t>asorg</t>
  </si>
  <si>
    <t>awhea</t>
  </si>
  <si>
    <t>agnut</t>
  </si>
  <si>
    <t>acass</t>
  </si>
  <si>
    <t>aipot</t>
  </si>
  <si>
    <t>aspot</t>
  </si>
  <si>
    <t>anuts</t>
  </si>
  <si>
    <t>abana</t>
  </si>
  <si>
    <t>ateal</t>
  </si>
  <si>
    <t>acoco</t>
  </si>
  <si>
    <t>aflwr</t>
  </si>
  <si>
    <t>arubb</t>
  </si>
  <si>
    <t>amilk</t>
  </si>
  <si>
    <t>aeggs</t>
  </si>
  <si>
    <t>asmlr</t>
  </si>
  <si>
    <t>aaqua</t>
  </si>
  <si>
    <t>acoal</t>
  </si>
  <si>
    <t>acoil</t>
  </si>
  <si>
    <t>angas</t>
  </si>
  <si>
    <t>aomin</t>
  </si>
  <si>
    <t>ameat</t>
  </si>
  <si>
    <t>afsea</t>
  </si>
  <si>
    <t>adair</t>
  </si>
  <si>
    <t>afveg</t>
  </si>
  <si>
    <t>afoil</t>
  </si>
  <si>
    <t>ammll</t>
  </si>
  <si>
    <t>asmll</t>
  </si>
  <si>
    <t>armll</t>
  </si>
  <si>
    <t>awmll</t>
  </si>
  <si>
    <t>agmll</t>
  </si>
  <si>
    <t>asref</t>
  </si>
  <si>
    <t>apcof</t>
  </si>
  <si>
    <t>aptea</t>
  </si>
  <si>
    <t>afeed</t>
  </si>
  <si>
    <t>aptob</t>
  </si>
  <si>
    <t>aclth</t>
  </si>
  <si>
    <t>aleat</t>
  </si>
  <si>
    <t>apapr</t>
  </si>
  <si>
    <t>apetr</t>
  </si>
  <si>
    <t>afert</t>
  </si>
  <si>
    <t>aequi</t>
  </si>
  <si>
    <t>avehi</t>
  </si>
  <si>
    <t>arest</t>
  </si>
  <si>
    <t>flab-rn</t>
  </si>
  <si>
    <t>flab-rp</t>
  </si>
  <si>
    <t>flab-rs</t>
  </si>
  <si>
    <t>flab-rt</t>
  </si>
  <si>
    <t>flab-un</t>
  </si>
  <si>
    <t>flab-up</t>
  </si>
  <si>
    <t>flab-us</t>
  </si>
  <si>
    <t>flab-ut</t>
  </si>
  <si>
    <t>fcap-c</t>
  </si>
  <si>
    <t>fcap-l</t>
  </si>
  <si>
    <t>fcap-m</t>
  </si>
  <si>
    <t>fcap-n</t>
  </si>
  <si>
    <t>Sorghum and millet</t>
  </si>
  <si>
    <t>Wheat and barley</t>
  </si>
  <si>
    <t>Groundnuts</t>
  </si>
  <si>
    <t>Other oilseeds</t>
  </si>
  <si>
    <t>Cassava</t>
  </si>
  <si>
    <t>Irish potatoes</t>
  </si>
  <si>
    <t>Sweet potatoes</t>
  </si>
  <si>
    <t>Other roots</t>
  </si>
  <si>
    <t>Other fruits</t>
  </si>
  <si>
    <t>Leaf tea</t>
  </si>
  <si>
    <t>Coffee</t>
  </si>
  <si>
    <t>Cocoa</t>
  </si>
  <si>
    <t>Cut flowers</t>
  </si>
  <si>
    <t>Rubber</t>
  </si>
  <si>
    <t>Cattle</t>
  </si>
  <si>
    <t>Raw milk</t>
  </si>
  <si>
    <t>Poultry</t>
  </si>
  <si>
    <t>Eggs</t>
  </si>
  <si>
    <t>Small ruminants</t>
  </si>
  <si>
    <t>Aquaculture</t>
  </si>
  <si>
    <t>Capture fisheries</t>
  </si>
  <si>
    <t>Coal and lignite</t>
  </si>
  <si>
    <t>Crude oil</t>
  </si>
  <si>
    <t>Natural gas</t>
  </si>
  <si>
    <t>Other mining</t>
  </si>
  <si>
    <t>Fish and seafood processing</t>
  </si>
  <si>
    <t>Fruit and vegetable processing</t>
  </si>
  <si>
    <t>Fats and oils</t>
  </si>
  <si>
    <t>Dairy</t>
  </si>
  <si>
    <t>Sugar refining</t>
  </si>
  <si>
    <t>Coffee processing</t>
  </si>
  <si>
    <t>Tea processing</t>
  </si>
  <si>
    <t>Other foods</t>
  </si>
  <si>
    <t>Animal feed</t>
  </si>
  <si>
    <t>Beverages</t>
  </si>
  <si>
    <t>Tobacco processing</t>
  </si>
  <si>
    <t>Textiles</t>
  </si>
  <si>
    <t>Clothing</t>
  </si>
  <si>
    <t>Leather and footwear</t>
  </si>
  <si>
    <t>Wood products</t>
  </si>
  <si>
    <t>Petroleum products</t>
  </si>
  <si>
    <t>Fertilizers and herbicides</t>
  </si>
  <si>
    <t>Other chemicals</t>
  </si>
  <si>
    <t>Electrical equipment</t>
  </si>
  <si>
    <t>Machinery and other equipment</t>
  </si>
  <si>
    <t>Accommodation</t>
  </si>
  <si>
    <t>Restaurants and food services</t>
  </si>
  <si>
    <t>Labor - rural uneducated</t>
  </si>
  <si>
    <t>Labor - rural primary</t>
  </si>
  <si>
    <t>Labor - rural secondary</t>
  </si>
  <si>
    <t>Labor - rural tertiary</t>
  </si>
  <si>
    <t>Labor - urban uneducated</t>
  </si>
  <si>
    <t>Labor - urban primary</t>
  </si>
  <si>
    <t>Labor - urban secondary</t>
  </si>
  <si>
    <t>Labor - urban tertiary</t>
  </si>
  <si>
    <t>Crop land</t>
  </si>
  <si>
    <t>Capital - crops</t>
  </si>
  <si>
    <t>Capital - livestock</t>
  </si>
  <si>
    <t>Capital - mining</t>
  </si>
  <si>
    <t>Capital - non-primary</t>
  </si>
  <si>
    <t>Rural - decile 1</t>
  </si>
  <si>
    <t>Rural - decile 2</t>
  </si>
  <si>
    <t>Rural - decile 3</t>
  </si>
  <si>
    <t>Rural - decile 4</t>
  </si>
  <si>
    <t>Rural - decile 5</t>
  </si>
  <si>
    <t>Rural - decile 6</t>
  </si>
  <si>
    <t>Rural - decile 7</t>
  </si>
  <si>
    <t>Rural - decile 8</t>
  </si>
  <si>
    <t>Rural - decile 9</t>
  </si>
  <si>
    <t>Rural - decile 10</t>
  </si>
  <si>
    <t>Urban - decile 1</t>
  </si>
  <si>
    <t>Urban - decile 2</t>
  </si>
  <si>
    <t>Urban - decile 3</t>
  </si>
  <si>
    <t>Urban - decile 4</t>
  </si>
  <si>
    <t>Urban - decile 5</t>
  </si>
  <si>
    <t>Urban - decile 6</t>
  </si>
  <si>
    <t>Urban - decile 7</t>
  </si>
  <si>
    <t>Urban - decile 8</t>
  </si>
  <si>
    <t>Urban - decile 9</t>
  </si>
  <si>
    <t>Urban - decile 10</t>
  </si>
  <si>
    <t>Bangladesh</t>
  </si>
  <si>
    <t>Billions of Taka</t>
  </si>
  <si>
    <t>aaman</t>
  </si>
  <si>
    <t>aboro</t>
  </si>
  <si>
    <t>aleaf</t>
  </si>
  <si>
    <t>ajute</t>
  </si>
  <si>
    <t>armlc</t>
  </si>
  <si>
    <t>armlo</t>
  </si>
  <si>
    <t>abale</t>
  </si>
  <si>
    <t>apjut</t>
  </si>
  <si>
    <t>ayarn</t>
  </si>
  <si>
    <t>Rice paddy (Aman)</t>
  </si>
  <si>
    <t>Rice paddy (Boro)</t>
  </si>
  <si>
    <t>Leafy vegetables</t>
  </si>
  <si>
    <t>Other vegetables</t>
  </si>
  <si>
    <t>Jute</t>
  </si>
  <si>
    <t>Nuts</t>
  </si>
  <si>
    <t>Bananas and plantains</t>
  </si>
  <si>
    <t>Meat processing</t>
  </si>
  <si>
    <t>Maize milling</t>
  </si>
  <si>
    <t>Sorghum and millet milling</t>
  </si>
  <si>
    <t>Rice milling</t>
  </si>
  <si>
    <t>Rice milling - coarse</t>
  </si>
  <si>
    <t>Rice milling - other</t>
  </si>
  <si>
    <t>Wheat and barley milling</t>
  </si>
  <si>
    <t>Other grain milling</t>
  </si>
  <si>
    <t>Jute baling</t>
  </si>
  <si>
    <t>Jute fabrication</t>
  </si>
  <si>
    <t>Cotton yarn</t>
  </si>
  <si>
    <t>Paper products and publishing</t>
  </si>
  <si>
    <t>Metals and metal products</t>
  </si>
  <si>
    <t>Vehicles and transport equipment</t>
  </si>
  <si>
    <t>caman</t>
  </si>
  <si>
    <t>cboro</t>
  </si>
  <si>
    <t>cleaf</t>
  </si>
  <si>
    <t>cjute</t>
  </si>
  <si>
    <t>crmlc</t>
  </si>
  <si>
    <t>crmlo</t>
  </si>
  <si>
    <t>cbale</t>
  </si>
  <si>
    <t>cpjut</t>
  </si>
  <si>
    <t>cyarn</t>
  </si>
  <si>
    <t>hhd-r0</t>
  </si>
  <si>
    <t>hhd-r1</t>
  </si>
  <si>
    <t>hhd-r2</t>
  </si>
  <si>
    <t>hhd-r3</t>
  </si>
  <si>
    <t>hhd-r4</t>
  </si>
  <si>
    <t>hhd-r5</t>
  </si>
  <si>
    <t>hhd-r6</t>
  </si>
  <si>
    <t>hhd-r7</t>
  </si>
  <si>
    <t>hhd-r8</t>
  </si>
  <si>
    <t>hhd-r9</t>
  </si>
  <si>
    <t>hhd-u0</t>
  </si>
  <si>
    <t>hhd-u1</t>
  </si>
  <si>
    <t>hhd-u2</t>
  </si>
  <si>
    <t>hhd-u3</t>
  </si>
  <si>
    <t>hhd-u4</t>
  </si>
  <si>
    <t>hhd-u5</t>
  </si>
  <si>
    <t>hhd-u6</t>
  </si>
  <si>
    <t>hhd-u7</t>
  </si>
  <si>
    <t>hhd-u8</t>
  </si>
  <si>
    <t>hhd-u9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</si>
</sst>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1"/>
      <color theme="1"/>
      <name val="Calibri"/>
      <family val="2"/>
      <scheme val="minor"/>
    </font>
    <font>
      <sz val="8"/>
      <name val="Calibri"/>
      <family val="2"/>
      <scheme val="minor"/>
    </font>
    <font>
      <sz val="11"/>
      <color theme="0" tint="-0.34998626667073579"/>
      <name val="Calibri"/>
      <family val="2"/>
      <scheme val="minor"/>
    </font>
    <font>
      <u/>
      <sz val="11"/>
      <color theme="1"/>
      <name val="Calibri"/>
      <family val="2"/>
      <scheme val="minor"/>
    </font>
    <font>
      <sz val="9"/>
      <color indexed="81"/>
      <name val="Tahoma"/>
      <family val="2"/>
    </font>
    <font>
      <b/>
      <sz val="9"/>
      <color indexed="81"/>
      <name val="Tahoma"/>
      <family val="2"/>
    </font>
    <font>
      <b/>
      <sz val="11"/>
      <color theme="0"/>
      <name val="Calibri"/>
      <family val="2"/>
      <scheme val="minor"/>
    </font>
    <font>
      <sz val="11"/>
      <color theme="0"/>
      <name val="Calibri"/>
      <family val="2"/>
      <scheme val="minor"/>
    </font>
    <font>
      <i/>
      <sz val="11"/>
      <color rgb="FFFF0000"/>
      <name val="Calibri"/>
      <family val="2"/>
      <scheme val="minor"/>
    </font>
    <font>
      <i/>
      <sz val="11"/>
      <color theme="1"/>
      <name val="Calibri"/>
      <family val="2"/>
      <scheme val="minor"/>
    </font>
    <font>
      <b/>
      <sz val="14"/>
      <color theme="0"/>
      <name val="Calibri"/>
      <family val="2"/>
      <scheme val="minor"/>
    </font>
    <font>
      <sz val="11"/>
      <name val="Calibri"/>
      <family val="2"/>
      <scheme val="minor"/>
    </font>
    <font>
      <b/>
      <sz val="11"/>
      <name val="Calibri"/>
      <family val="2"/>
      <scheme val="minor"/>
    </font>
    <font>
      <b/>
      <sz val="12"/>
      <color theme="0"/>
      <name val="Calibri"/>
      <family val="2"/>
      <scheme val="minor"/>
    </font>
    <font>
      <b/>
      <sz val="11"/>
      <color rgb="FFFF0000"/>
      <name val="Calibri"/>
      <family val="2"/>
      <scheme val="minor"/>
    </font>
  </fonts>
  <fills count="7">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rgb="FFFFDEDE"/>
        <bgColor indexed="64"/>
      </patternFill>
    </fill>
  </fills>
  <borders count="16">
    <border>
      <left/>
      <right/>
      <top/>
      <bottom/>
      <diagonal/>
    </border>
    <border>
      <left style="thin">
        <color theme="0" tint="-0.249977111117893"/>
      </left>
      <right/>
      <top/>
      <bottom/>
      <diagonal/>
    </border>
    <border>
      <left/>
      <right/>
      <top/>
      <bottom style="thin">
        <color indexed="64"/>
      </bottom>
      <diagonal/>
    </border>
    <border>
      <left style="thick">
        <color theme="1" tint="0.499984740745262"/>
      </left>
      <right/>
      <top/>
      <bottom/>
      <diagonal/>
    </border>
    <border>
      <left/>
      <right/>
      <top/>
      <bottom style="thin">
        <color theme="1" tint="0.499984740745262"/>
      </bottom>
      <diagonal/>
    </border>
    <border>
      <left/>
      <right/>
      <top style="dashed">
        <color theme="1" tint="0.499984740745262"/>
      </top>
      <bottom/>
      <diagonal/>
    </border>
    <border>
      <left style="dashed">
        <color theme="1" tint="0.499984740745262"/>
      </left>
      <right/>
      <top/>
      <bottom/>
      <diagonal/>
    </border>
    <border>
      <left style="dashed">
        <color theme="1" tint="0.499984740745262"/>
      </left>
      <right/>
      <top/>
      <bottom style="dashed">
        <color theme="1" tint="0.499984740745262"/>
      </bottom>
      <diagonal/>
    </border>
    <border>
      <left/>
      <right/>
      <top/>
      <bottom style="dashed">
        <color theme="1" tint="0.499984740745262"/>
      </bottom>
      <diagonal/>
    </border>
    <border>
      <left/>
      <right style="dashed">
        <color theme="1" tint="0.499984740745262"/>
      </right>
      <top/>
      <bottom/>
      <diagonal/>
    </border>
    <border>
      <left/>
      <right style="dashed">
        <color theme="1" tint="0.499984740745262"/>
      </right>
      <top/>
      <bottom style="dashed">
        <color theme="1" tint="0.499984740745262"/>
      </bottom>
      <diagonal/>
    </border>
    <border>
      <left style="thin">
        <color theme="0" tint="-0.249977111117893"/>
      </left>
      <right style="dashed">
        <color theme="1" tint="0.499984740745262"/>
      </right>
      <top/>
      <bottom/>
      <diagonal/>
    </border>
    <border>
      <left/>
      <right/>
      <top style="dashed">
        <color theme="0" tint="-0.34998626667073579"/>
      </top>
      <bottom/>
      <diagonal/>
    </border>
    <border>
      <left style="thick">
        <color theme="1" tint="0.499984740745262"/>
      </left>
      <right/>
      <top/>
      <bottom style="dashed">
        <color theme="1" tint="0.499984740745262"/>
      </bottom>
      <diagonal/>
    </border>
    <border>
      <left style="dashed">
        <color theme="0" tint="-0.499984740745262"/>
      </left>
      <right/>
      <top/>
      <bottom style="dashed">
        <color theme="1" tint="0.499984740745262"/>
      </bottom>
      <diagonal/>
    </border>
    <border>
      <left style="dashed">
        <color theme="0" tint="-0.499984740745262"/>
      </left>
      <right/>
      <top/>
      <bottom/>
      <diagonal/>
    </border>
  </borders>
  <cellStyleXfs count="1">
    <xf numFmtId="0" fontId="0" fillId="0" borderId="0"/>
  </cellStyleXfs>
  <cellXfs count="77">
    <xf numFmtId="0" fontId="0" fillId="0" borderId="0" xfId="0"/>
    <xf numFmtId="0" fontId="1" fillId="0" borderId="0" xfId="0" applyFont="1"/>
    <xf numFmtId="0" fontId="0" fillId="0" borderId="0" xfId="0" applyProtection="1">
      <protection locked="0"/>
    </xf>
    <xf numFmtId="0" fontId="0" fillId="0" borderId="0" xfId="0" applyAlignment="1" applyProtection="1">
      <alignment horizontal="right"/>
      <protection locked="0"/>
    </xf>
    <xf numFmtId="0" fontId="0" fillId="2" borderId="0" xfId="0" applyFill="1"/>
    <xf numFmtId="0" fontId="0" fillId="0" borderId="2" xfId="0" applyBorder="1"/>
    <xf numFmtId="0" fontId="11" fillId="2" borderId="0" xfId="0" applyFont="1" applyFill="1"/>
    <xf numFmtId="0" fontId="0" fillId="5" borderId="3" xfId="0" applyFill="1" applyBorder="1"/>
    <xf numFmtId="0" fontId="0" fillId="0" borderId="3" xfId="0" applyBorder="1"/>
    <xf numFmtId="0" fontId="0" fillId="3" borderId="0" xfId="0" applyFill="1"/>
    <xf numFmtId="0" fontId="8" fillId="2" borderId="0" xfId="0" applyFont="1" applyFill="1"/>
    <xf numFmtId="0" fontId="8" fillId="5" borderId="0" xfId="0" applyFont="1" applyFill="1"/>
    <xf numFmtId="0" fontId="9" fillId="5" borderId="0" xfId="0" applyFont="1" applyFill="1"/>
    <xf numFmtId="0" fontId="12" fillId="5" borderId="0" xfId="0" applyFont="1" applyFill="1"/>
    <xf numFmtId="0" fontId="0" fillId="3" borderId="3" xfId="0" applyFill="1" applyBorder="1"/>
    <xf numFmtId="0" fontId="0" fillId="3" borderId="0" xfId="0" applyFill="1" applyAlignment="1">
      <alignment horizontal="right"/>
    </xf>
    <xf numFmtId="0" fontId="3" fillId="3" borderId="0" xfId="0" applyFont="1" applyFill="1"/>
    <xf numFmtId="0" fontId="14" fillId="5" borderId="0" xfId="0" applyFont="1" applyFill="1"/>
    <xf numFmtId="0" fontId="0" fillId="0" borderId="0" xfId="0" applyAlignment="1" applyProtection="1">
      <alignment horizontal="left"/>
      <protection locked="0"/>
    </xf>
    <xf numFmtId="0" fontId="1" fillId="3" borderId="0" xfId="0" applyFont="1" applyFill="1"/>
    <xf numFmtId="0" fontId="1" fillId="3" borderId="0" xfId="0" applyFont="1" applyFill="1" applyProtection="1">
      <protection locked="0"/>
    </xf>
    <xf numFmtId="0" fontId="0" fillId="5" borderId="0" xfId="0" applyFill="1"/>
    <xf numFmtId="0" fontId="0" fillId="0" borderId="5" xfId="0" applyBorder="1"/>
    <xf numFmtId="0" fontId="0" fillId="0" borderId="12" xfId="0" applyBorder="1"/>
    <xf numFmtId="0" fontId="0" fillId="0" borderId="13" xfId="0" applyBorder="1"/>
    <xf numFmtId="0" fontId="0" fillId="0" borderId="0" xfId="0" applyAlignment="1">
      <alignment horizontal="left"/>
    </xf>
    <xf numFmtId="164" fontId="3" fillId="0" borderId="0" xfId="0" applyNumberFormat="1" applyFont="1" applyProtection="1">
      <protection locked="0"/>
    </xf>
    <xf numFmtId="164" fontId="3" fillId="0" borderId="6" xfId="0" applyNumberFormat="1" applyFont="1" applyBorder="1" applyProtection="1">
      <protection locked="0"/>
    </xf>
    <xf numFmtId="164" fontId="3" fillId="0" borderId="7" xfId="0" applyNumberFormat="1" applyFont="1" applyBorder="1" applyProtection="1">
      <protection locked="0"/>
    </xf>
    <xf numFmtId="164" fontId="3" fillId="0" borderId="8" xfId="0" applyNumberFormat="1" applyFont="1" applyBorder="1" applyProtection="1">
      <protection locked="0"/>
    </xf>
    <xf numFmtId="164" fontId="3" fillId="0" borderId="9" xfId="0" applyNumberFormat="1" applyFont="1" applyBorder="1" applyProtection="1">
      <protection locked="0"/>
    </xf>
    <xf numFmtId="164" fontId="3" fillId="0" borderId="10" xfId="0" applyNumberFormat="1" applyFont="1" applyBorder="1" applyProtection="1">
      <protection locked="0"/>
    </xf>
    <xf numFmtId="1" fontId="3" fillId="0" borderId="6" xfId="0" applyNumberFormat="1" applyFont="1" applyBorder="1" applyProtection="1">
      <protection locked="0"/>
    </xf>
    <xf numFmtId="1" fontId="3" fillId="0" borderId="7" xfId="0" applyNumberFormat="1" applyFont="1" applyBorder="1" applyProtection="1">
      <protection locked="0"/>
    </xf>
    <xf numFmtId="1" fontId="3" fillId="0" borderId="0" xfId="0" applyNumberFormat="1" applyFont="1" applyProtection="1">
      <protection locked="0"/>
    </xf>
    <xf numFmtId="1" fontId="3" fillId="0" borderId="9" xfId="0" applyNumberFormat="1" applyFont="1" applyBorder="1" applyProtection="1">
      <protection locked="0"/>
    </xf>
    <xf numFmtId="0" fontId="7" fillId="5" borderId="0" xfId="0" applyFont="1" applyFill="1"/>
    <xf numFmtId="0" fontId="1" fillId="4" borderId="6" xfId="0" applyFont="1" applyFill="1" applyBorder="1" applyAlignment="1">
      <alignment horizontal="center"/>
    </xf>
    <xf numFmtId="0" fontId="1" fillId="3" borderId="0" xfId="0" applyFont="1" applyFill="1" applyAlignment="1">
      <alignment horizontal="center"/>
    </xf>
    <xf numFmtId="0" fontId="13" fillId="0" borderId="0" xfId="0" applyFont="1" applyAlignment="1">
      <alignment horizontal="center"/>
    </xf>
    <xf numFmtId="0" fontId="0" fillId="3" borderId="0" xfId="0" applyFill="1" applyAlignment="1">
      <alignment horizontal="center"/>
    </xf>
    <xf numFmtId="0" fontId="0" fillId="3" borderId="6" xfId="0" applyFill="1" applyBorder="1" applyAlignment="1">
      <alignment horizontal="center"/>
    </xf>
    <xf numFmtId="0" fontId="0" fillId="3" borderId="9" xfId="0" applyFill="1" applyBorder="1" applyAlignment="1">
      <alignment horizontal="center"/>
    </xf>
    <xf numFmtId="0" fontId="0" fillId="0" borderId="0" xfId="0" applyAlignment="1">
      <alignment horizontal="center"/>
    </xf>
    <xf numFmtId="0" fontId="1" fillId="0" borderId="0" xfId="0" applyFont="1" applyAlignment="1">
      <alignment horizontal="center"/>
    </xf>
    <xf numFmtId="0" fontId="0" fillId="0" borderId="6" xfId="0" applyBorder="1"/>
    <xf numFmtId="0" fontId="0" fillId="0" borderId="9" xfId="0" applyBorder="1"/>
    <xf numFmtId="0" fontId="1" fillId="4" borderId="4" xfId="0" applyFont="1" applyFill="1" applyBorder="1"/>
    <xf numFmtId="0" fontId="0" fillId="0" borderId="4" xfId="0" applyBorder="1"/>
    <xf numFmtId="0" fontId="3" fillId="0" borderId="4" xfId="0" applyFont="1" applyBorder="1" applyAlignment="1">
      <alignment horizontal="right"/>
    </xf>
    <xf numFmtId="0" fontId="3" fillId="0" borderId="0" xfId="0" applyFont="1" applyAlignment="1">
      <alignment horizontal="right"/>
    </xf>
    <xf numFmtId="0" fontId="3" fillId="0" borderId="6" xfId="0" applyFont="1" applyBorder="1" applyAlignment="1">
      <alignment horizontal="right"/>
    </xf>
    <xf numFmtId="0" fontId="3" fillId="0" borderId="9" xfId="0" applyFont="1" applyBorder="1" applyAlignment="1">
      <alignment horizontal="right"/>
    </xf>
    <xf numFmtId="0" fontId="3" fillId="0" borderId="0" xfId="0" applyFont="1"/>
    <xf numFmtId="0" fontId="13" fillId="0" borderId="0" xfId="0" applyFont="1" applyAlignment="1">
      <alignment horizontal="left"/>
    </xf>
    <xf numFmtId="0" fontId="12" fillId="0" borderId="0" xfId="0" applyFont="1"/>
    <xf numFmtId="0" fontId="12" fillId="0" borderId="6" xfId="0" applyFont="1" applyBorder="1"/>
    <xf numFmtId="0" fontId="3" fillId="0" borderId="6" xfId="0" applyFont="1" applyBorder="1"/>
    <xf numFmtId="0" fontId="3" fillId="0" borderId="9" xfId="0" applyFont="1" applyBorder="1"/>
    <xf numFmtId="0" fontId="3" fillId="0" borderId="1" xfId="0" applyFont="1" applyBorder="1"/>
    <xf numFmtId="0" fontId="10" fillId="0" borderId="0" xfId="0" applyFont="1"/>
    <xf numFmtId="0" fontId="3" fillId="0" borderId="1" xfId="0" applyFont="1" applyBorder="1" applyAlignment="1">
      <alignment horizontal="right"/>
    </xf>
    <xf numFmtId="0" fontId="3" fillId="0" borderId="11" xfId="0" applyFont="1" applyBorder="1" applyAlignment="1">
      <alignment horizontal="right"/>
    </xf>
    <xf numFmtId="0" fontId="15" fillId="6" borderId="0" xfId="0" applyFont="1" applyFill="1" applyProtection="1">
      <protection locked="0"/>
    </xf>
    <xf numFmtId="0" fontId="15" fillId="6" borderId="6" xfId="0" applyFont="1" applyFill="1" applyBorder="1" applyProtection="1">
      <protection locked="0"/>
    </xf>
    <xf numFmtId="0" fontId="3" fillId="0" borderId="0" xfId="0" applyFont="1" applyProtection="1">
      <protection locked="0"/>
    </xf>
    <xf numFmtId="0" fontId="0" fillId="0" borderId="3" xfId="0" applyBorder="1" applyAlignment="1">
      <alignment horizontal="right"/>
    </xf>
    <xf numFmtId="1" fontId="3" fillId="0" borderId="15" xfId="0" applyNumberFormat="1" applyFont="1" applyBorder="1" applyProtection="1">
      <protection locked="0"/>
    </xf>
    <xf numFmtId="1" fontId="3" fillId="0" borderId="14" xfId="0" applyNumberFormat="1" applyFont="1" applyBorder="1" applyProtection="1">
      <protection locked="0"/>
    </xf>
    <xf numFmtId="0" fontId="0" fillId="3" borderId="15" xfId="0" applyFill="1" applyBorder="1" applyAlignment="1">
      <alignment horizontal="center"/>
    </xf>
    <xf numFmtId="0" fontId="0" fillId="0" borderId="15" xfId="0" applyBorder="1"/>
    <xf numFmtId="0" fontId="3" fillId="0" borderId="15" xfId="0" applyFont="1" applyBorder="1"/>
    <xf numFmtId="0" fontId="12" fillId="0" borderId="15" xfId="0" applyFont="1" applyBorder="1"/>
    <xf numFmtId="0" fontId="3" fillId="0" borderId="15" xfId="0" applyFont="1" applyBorder="1" applyAlignment="1">
      <alignment horizontal="right"/>
    </xf>
    <xf numFmtId="0" fontId="1" fillId="4" borderId="0" xfId="0" applyFont="1" applyFill="1" applyAlignment="1">
      <alignment horizontal="center"/>
    </xf>
    <xf numFmtId="0" fontId="1" fillId="4" borderId="6" xfId="0" applyFont="1" applyFill="1" applyBorder="1" applyAlignment="1">
      <alignment horizontal="center"/>
    </xf>
    <xf numFmtId="0" fontId="1" fillId="4" borderId="9" xfId="0" applyFont="1" applyFill="1" applyBorder="1" applyAlignment="1">
      <alignment horizontal="center"/>
    </xf>
  </cellXfs>
  <cellStyles count="1">
    <cellStyle name="Normal" xfId="0" builtinId="0"/>
  </cellStyles>
  <dxfs count="175">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val="0"/>
        <i val="0"/>
        <strike val="0"/>
        <color theme="0" tint="-0.34998626667073579"/>
      </font>
      <fill>
        <patternFill patternType="none">
          <bgColor auto="1"/>
        </patternFill>
      </fill>
    </dxf>
    <dxf>
      <font>
        <b val="0"/>
        <i val="0"/>
        <strike val="0"/>
        <color theme="0" tint="-0.34998626667073579"/>
      </font>
      <fill>
        <patternFill patternType="none">
          <bgColor auto="1"/>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val="0"/>
        <i val="0"/>
        <strike val="0"/>
        <color theme="0" tint="-0.34998626667073579"/>
      </font>
      <fill>
        <patternFill patternType="none">
          <bgColor auto="1"/>
        </patternFill>
      </fill>
    </dxf>
    <dxf>
      <font>
        <b val="0"/>
        <i val="0"/>
        <strike val="0"/>
        <color theme="0" tint="-0.34998626667073579"/>
      </font>
      <fill>
        <patternFill patternType="none">
          <bgColor auto="1"/>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val="0"/>
        <i val="0"/>
        <strike val="0"/>
        <color theme="0" tint="-0.34998626667073579"/>
      </font>
      <fill>
        <patternFill patternType="none">
          <bgColor auto="1"/>
        </patternFill>
      </fill>
    </dxf>
    <dxf>
      <font>
        <b val="0"/>
        <i val="0"/>
        <strike val="0"/>
        <color theme="0" tint="-0.34998626667073579"/>
      </font>
      <fill>
        <patternFill patternType="none">
          <bgColor auto="1"/>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val="0"/>
        <i val="0"/>
        <strike val="0"/>
        <color theme="0" tint="-0.34998626667073579"/>
      </font>
      <fill>
        <patternFill patternType="none">
          <bgColor auto="1"/>
        </patternFill>
      </fill>
    </dxf>
    <dxf>
      <font>
        <b val="0"/>
        <i val="0"/>
        <strike val="0"/>
        <color theme="0" tint="-0.34998626667073579"/>
      </font>
      <fill>
        <patternFill patternType="none">
          <bgColor auto="1"/>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val="0"/>
        <i val="0"/>
        <strike val="0"/>
        <color theme="0" tint="-0.34998626667073579"/>
      </font>
      <fill>
        <patternFill patternType="none">
          <bgColor auto="1"/>
        </patternFill>
      </fill>
    </dxf>
    <dxf>
      <font>
        <b val="0"/>
        <i val="0"/>
        <strike val="0"/>
        <color theme="0" tint="-0.34998626667073579"/>
      </font>
      <fill>
        <patternFill patternType="none">
          <bgColor auto="1"/>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val="0"/>
        <i val="0"/>
        <strike val="0"/>
        <color theme="0" tint="-0.34998626667073579"/>
      </font>
      <fill>
        <patternFill patternType="none">
          <bgColor auto="1"/>
        </patternFill>
      </fill>
    </dxf>
    <dxf>
      <font>
        <b val="0"/>
        <i val="0"/>
        <strike val="0"/>
        <color theme="0" tint="-0.34998626667073579"/>
      </font>
      <fill>
        <patternFill patternType="none">
          <bgColor auto="1"/>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val="0"/>
        <i val="0"/>
        <strike val="0"/>
        <color theme="0" tint="-0.34998626667073579"/>
      </font>
      <fill>
        <patternFill patternType="none">
          <bgColor auto="1"/>
        </patternFill>
      </fill>
    </dxf>
    <dxf>
      <font>
        <b val="0"/>
        <i val="0"/>
        <strike val="0"/>
        <color theme="0" tint="-0.34998626667073579"/>
      </font>
      <fill>
        <patternFill patternType="none">
          <bgColor auto="1"/>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val="0"/>
        <i val="0"/>
        <strike val="0"/>
        <color theme="0" tint="-0.34998626667073579"/>
      </font>
      <fill>
        <patternFill patternType="none">
          <bgColor auto="1"/>
        </patternFill>
      </fill>
    </dxf>
    <dxf>
      <font>
        <b val="0"/>
        <i val="0"/>
        <strike val="0"/>
        <color theme="0" tint="-0.34998626667073579"/>
      </font>
      <fill>
        <patternFill patternType="none">
          <bgColor auto="1"/>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val="0"/>
        <i val="0"/>
        <strike val="0"/>
        <color theme="0" tint="-0.34998626667073579"/>
      </font>
      <fill>
        <patternFill patternType="none">
          <bgColor auto="1"/>
        </patternFill>
      </fill>
    </dxf>
    <dxf>
      <font>
        <b val="0"/>
        <i val="0"/>
        <strike val="0"/>
        <color theme="0" tint="-0.34998626667073579"/>
      </font>
      <fill>
        <patternFill patternType="none">
          <bgColor auto="1"/>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val="0"/>
        <i val="0"/>
        <strike val="0"/>
        <color theme="0" tint="-0.34998626667073579"/>
      </font>
      <fill>
        <patternFill patternType="none">
          <bgColor auto="1"/>
        </patternFill>
      </fill>
    </dxf>
    <dxf>
      <font>
        <b val="0"/>
        <i val="0"/>
        <strike val="0"/>
        <color theme="0" tint="-0.34998626667073579"/>
      </font>
      <fill>
        <patternFill patternType="none">
          <bgColor auto="1"/>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val="0"/>
        <i val="0"/>
        <strike val="0"/>
        <color theme="0" tint="-0.34998626667073579"/>
      </font>
      <fill>
        <patternFill patternType="none">
          <bgColor auto="1"/>
        </patternFill>
      </fill>
    </dxf>
    <dxf>
      <font>
        <b val="0"/>
        <i val="0"/>
        <strike val="0"/>
        <color theme="0" tint="-0.34998626667073579"/>
      </font>
      <fill>
        <patternFill patternType="none">
          <bgColor auto="1"/>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val="0"/>
        <i val="0"/>
        <strike val="0"/>
        <color theme="0" tint="-0.34998626667073579"/>
      </font>
      <fill>
        <patternFill patternType="none">
          <bgColor auto="1"/>
        </patternFill>
      </fill>
    </dxf>
    <dxf>
      <font>
        <b val="0"/>
        <i val="0"/>
        <strike val="0"/>
        <color theme="0" tint="-0.34998626667073579"/>
      </font>
      <fill>
        <patternFill patternType="none">
          <bgColor auto="1"/>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val="0"/>
        <i val="0"/>
        <strike val="0"/>
        <color theme="0" tint="-0.34998626667073579"/>
      </font>
      <fill>
        <patternFill patternType="none">
          <bgColor auto="1"/>
        </patternFill>
      </fill>
    </dxf>
    <dxf>
      <font>
        <b val="0"/>
        <i val="0"/>
        <strike val="0"/>
        <color theme="0" tint="-0.34998626667073579"/>
      </font>
      <fill>
        <patternFill patternType="none">
          <bgColor auto="1"/>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val="0"/>
        <i val="0"/>
        <strike val="0"/>
        <color theme="0" tint="-0.34998626667073579"/>
      </font>
      <fill>
        <patternFill patternType="none">
          <bgColor auto="1"/>
        </patternFill>
      </fill>
    </dxf>
    <dxf>
      <font>
        <b val="0"/>
        <i val="0"/>
        <strike val="0"/>
        <color theme="0" tint="-0.34998626667073579"/>
      </font>
      <fill>
        <patternFill patternType="none">
          <bgColor auto="1"/>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val="0"/>
        <i val="0"/>
        <strike val="0"/>
        <color theme="0" tint="-0.34998626667073579"/>
      </font>
      <fill>
        <patternFill patternType="none">
          <bgColor auto="1"/>
        </patternFill>
      </fill>
    </dxf>
    <dxf>
      <font>
        <b val="0"/>
        <i val="0"/>
        <strike val="0"/>
        <color theme="0" tint="-0.34998626667073579"/>
      </font>
      <fill>
        <patternFill patternType="none">
          <bgColor auto="1"/>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b/>
        <i val="0"/>
        <strike val="0"/>
        <color rgb="FFFF0000"/>
      </font>
      <fill>
        <patternFill>
          <bgColor rgb="FFFFDEDE"/>
        </patternFill>
      </fill>
    </dxf>
    <dxf>
      <font>
        <strike val="0"/>
        <color rgb="FFC00000"/>
      </font>
      <fill>
        <patternFill patternType="none">
          <bgColor auto="1"/>
        </patternFill>
      </fill>
    </dxf>
    <dxf>
      <font>
        <strike val="0"/>
        <color rgb="FFC00000"/>
      </font>
      <fill>
        <patternFill patternType="none">
          <bgColor auto="1"/>
        </patternFill>
      </fill>
    </dxf>
    <dxf>
      <font>
        <b/>
        <i val="0"/>
        <strike val="0"/>
        <color rgb="FFFF0000"/>
      </font>
      <fill>
        <patternFill>
          <bgColor rgb="FFFFDEDE"/>
        </patternFill>
      </fill>
    </dxf>
    <dxf>
      <font>
        <b/>
        <i val="0"/>
        <strike val="0"/>
        <color rgb="FFFF0000"/>
      </font>
      <fill>
        <patternFill>
          <bgColor rgb="FFFFDEDE"/>
        </patternFill>
      </fill>
    </dxf>
    <dxf>
      <font>
        <strike val="0"/>
        <color rgb="FFC00000"/>
      </font>
      <fill>
        <patternFill patternType="none">
          <bgColor auto="1"/>
        </patternFill>
      </fill>
    </dxf>
    <dxf>
      <font>
        <strike val="0"/>
        <color rgb="FFC00000"/>
      </font>
      <fill>
        <patternFill patternType="none">
          <bgColor auto="1"/>
        </patternFill>
      </fill>
    </dxf>
    <dxf>
      <font>
        <b/>
        <i val="0"/>
        <strike val="0"/>
        <color rgb="FFFF0000"/>
      </font>
      <fill>
        <patternFill>
          <bgColor rgb="FFFFDEDE"/>
        </patternFill>
      </fill>
    </dxf>
    <dxf>
      <font>
        <b/>
        <i val="0"/>
        <strike val="0"/>
        <color rgb="FFFF0000"/>
      </font>
      <fill>
        <patternFill>
          <bgColor rgb="FFFFDEDE"/>
        </patternFill>
      </fill>
    </dxf>
    <dxf>
      <font>
        <strike val="0"/>
        <color rgb="FFC00000"/>
      </font>
      <fill>
        <patternFill patternType="none">
          <bgColor auto="1"/>
        </patternFill>
      </fill>
    </dxf>
    <dxf>
      <font>
        <strike val="0"/>
        <color rgb="FFC00000"/>
      </font>
      <fill>
        <patternFill patternType="none">
          <bgColor auto="1"/>
        </patternFill>
      </fill>
    </dxf>
  </dxfs>
  <tableStyles count="0" defaultTableStyle="TableStyleMedium2" defaultPivotStyle="PivotStyleLight16"/>
  <colors>
    <mruColors>
      <color rgb="FFFFDEDE"/>
      <color rgb="FFFFEFEF"/>
      <color rgb="FFFFE1E1"/>
      <color rgb="FFFFD1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W159"/>
  <sheetViews>
    <sheetView zoomScale="85" zoomScaleNormal="85" workbookViewId="0">
      <pane ySplit="8" topLeftCell="A71" activePane="bottomLeft" state="frozen"/>
      <selection activeCell="A9" sqref="A9"/>
      <selection pane="bottomLeft" activeCell="C9" sqref="C9:C100"/>
    </sheetView>
  </sheetViews>
  <sheetFormatPr defaultColWidth="0" defaultRowHeight="14.4" zeroHeight="1" x14ac:dyDescent="0.3"/>
  <cols>
    <col min="1" max="2" width="2.44140625" customWidth="1"/>
    <col min="3" max="3" width="9.109375" customWidth="1"/>
    <col min="4" max="4" width="24.44140625" customWidth="1"/>
    <col min="5" max="6" width="2.44140625" customWidth="1"/>
    <col min="7" max="7" width="9.109375" customWidth="1"/>
    <col min="8" max="8" width="24.44140625" customWidth="1"/>
    <col min="9" max="10" width="2.44140625" customWidth="1"/>
    <col min="11" max="11" width="9.109375" customWidth="1"/>
    <col min="12" max="12" width="24.44140625" customWidth="1"/>
    <col min="13" max="14" width="2.44140625" customWidth="1"/>
    <col min="15" max="15" width="9.109375" customWidth="1"/>
    <col min="16" max="16" width="24.44140625" customWidth="1"/>
    <col min="17" max="18" width="2.44140625" customWidth="1"/>
    <col min="19" max="19" width="9.109375" customWidth="1"/>
    <col min="20" max="20" width="24.44140625" customWidth="1"/>
    <col min="21" max="21" width="2.44140625" customWidth="1"/>
    <col min="22" max="23" width="0" hidden="1" customWidth="1"/>
    <col min="24" max="16384" width="9.109375" hidden="1"/>
  </cols>
  <sheetData>
    <row r="1" spans="1:21" ht="18" x14ac:dyDescent="0.35">
      <c r="A1" s="6" t="str">
        <f>"Dynamic Simulations  |  "&amp;D3&amp;" ("&amp;D4&amp;")"</f>
        <v>Dynamic Simulations  |  Bangladesh (2023)</v>
      </c>
      <c r="B1" s="4"/>
      <c r="C1" s="4"/>
      <c r="D1" s="4"/>
      <c r="E1" s="4"/>
      <c r="F1" s="4"/>
      <c r="G1" s="4"/>
      <c r="H1" s="4"/>
      <c r="I1" s="4"/>
      <c r="J1" s="4"/>
      <c r="K1" s="4"/>
      <c r="L1" s="4"/>
      <c r="M1" s="4"/>
      <c r="N1" s="4"/>
      <c r="O1" s="4"/>
      <c r="P1" s="4"/>
      <c r="Q1" s="4"/>
      <c r="R1" s="4"/>
      <c r="S1" s="4"/>
      <c r="T1" s="4"/>
      <c r="U1" s="4"/>
    </row>
    <row r="2" spans="1:21" x14ac:dyDescent="0.3"/>
    <row r="3" spans="1:21" x14ac:dyDescent="0.3">
      <c r="C3" s="1" t="s">
        <v>0</v>
      </c>
      <c r="D3" s="18" t="s">
        <v>944</v>
      </c>
      <c r="E3" s="18"/>
      <c r="K3" s="1" t="s">
        <v>615</v>
      </c>
    </row>
    <row r="4" spans="1:21" x14ac:dyDescent="0.3">
      <c r="C4" s="1" t="s">
        <v>1</v>
      </c>
      <c r="D4" s="18">
        <v>2023</v>
      </c>
      <c r="E4" s="18"/>
      <c r="K4" t="s">
        <v>613</v>
      </c>
      <c r="L4" s="25">
        <f>INDEX(Main!$H$5:$H$58,2)</f>
        <v>2024</v>
      </c>
    </row>
    <row r="5" spans="1:21" x14ac:dyDescent="0.3">
      <c r="C5" s="1" t="s">
        <v>2</v>
      </c>
      <c r="D5" s="18" t="s">
        <v>945</v>
      </c>
      <c r="E5" s="18"/>
      <c r="K5" t="s">
        <v>614</v>
      </c>
      <c r="L5" s="25">
        <f>MAX(Main!H5:H58)</f>
        <v>2040</v>
      </c>
    </row>
    <row r="6" spans="1:21" x14ac:dyDescent="0.3"/>
    <row r="7" spans="1:21" ht="15.6" x14ac:dyDescent="0.3">
      <c r="B7" s="7"/>
      <c r="C7" s="17" t="s">
        <v>332</v>
      </c>
      <c r="D7" s="17"/>
      <c r="F7" s="7"/>
      <c r="G7" s="17" t="s">
        <v>331</v>
      </c>
      <c r="H7" s="17"/>
      <c r="J7" s="7"/>
      <c r="K7" s="17" t="s">
        <v>3</v>
      </c>
      <c r="L7" s="17"/>
      <c r="N7" s="7"/>
      <c r="O7" s="17" t="s">
        <v>4</v>
      </c>
      <c r="P7" s="17"/>
      <c r="R7" s="7"/>
      <c r="S7" s="17" t="s">
        <v>5</v>
      </c>
      <c r="T7" s="17"/>
    </row>
    <row r="8" spans="1:21" x14ac:dyDescent="0.3">
      <c r="B8" s="14"/>
      <c r="C8" s="19" t="s">
        <v>306</v>
      </c>
      <c r="D8" s="19" t="s">
        <v>307</v>
      </c>
      <c r="F8" s="14"/>
      <c r="G8" s="19"/>
      <c r="H8" s="19"/>
      <c r="J8" s="14"/>
      <c r="K8" s="19" t="s">
        <v>306</v>
      </c>
      <c r="L8" s="19" t="s">
        <v>307</v>
      </c>
      <c r="N8" s="14"/>
      <c r="O8" s="19" t="s">
        <v>306</v>
      </c>
      <c r="P8" s="19" t="s">
        <v>307</v>
      </c>
      <c r="R8" s="14"/>
      <c r="S8" s="20" t="s">
        <v>306</v>
      </c>
      <c r="T8" s="20" t="s">
        <v>307</v>
      </c>
    </row>
    <row r="9" spans="1:21" x14ac:dyDescent="0.3">
      <c r="B9" s="8"/>
      <c r="C9" s="2" t="s">
        <v>649</v>
      </c>
      <c r="D9" s="2" t="s">
        <v>689</v>
      </c>
      <c r="E9" t="s">
        <v>764</v>
      </c>
      <c r="F9" s="8"/>
      <c r="G9" s="2" t="s">
        <v>713</v>
      </c>
      <c r="H9" s="2" t="s">
        <v>689</v>
      </c>
      <c r="I9" t="s">
        <v>764</v>
      </c>
      <c r="J9" s="8"/>
      <c r="K9" s="2" t="s">
        <v>852</v>
      </c>
      <c r="L9" s="2" t="s">
        <v>911</v>
      </c>
      <c r="M9" t="s">
        <v>764</v>
      </c>
      <c r="N9" s="8"/>
      <c r="O9" s="2" t="s">
        <v>985</v>
      </c>
      <c r="P9" s="2" t="s">
        <v>924</v>
      </c>
      <c r="Q9" t="s">
        <v>764</v>
      </c>
      <c r="R9" s="8"/>
      <c r="S9" s="2" t="s">
        <v>6</v>
      </c>
      <c r="T9" s="2" t="s">
        <v>7</v>
      </c>
    </row>
    <row r="10" spans="1:21" x14ac:dyDescent="0.3">
      <c r="B10" s="8"/>
      <c r="C10" s="2" t="s">
        <v>809</v>
      </c>
      <c r="D10" s="2" t="s">
        <v>864</v>
      </c>
      <c r="E10" t="s">
        <v>764</v>
      </c>
      <c r="F10" s="8"/>
      <c r="G10" s="2" t="s">
        <v>766</v>
      </c>
      <c r="H10" s="2" t="s">
        <v>864</v>
      </c>
      <c r="I10" t="s">
        <v>764</v>
      </c>
      <c r="J10" s="8"/>
      <c r="K10" s="2" t="s">
        <v>853</v>
      </c>
      <c r="L10" s="2" t="s">
        <v>912</v>
      </c>
      <c r="M10" t="s">
        <v>764</v>
      </c>
      <c r="N10" s="8"/>
      <c r="O10" s="2" t="s">
        <v>986</v>
      </c>
      <c r="P10" s="2" t="s">
        <v>925</v>
      </c>
      <c r="Q10" t="s">
        <v>764</v>
      </c>
      <c r="R10" s="8"/>
      <c r="S10" s="2" t="s">
        <v>8</v>
      </c>
      <c r="T10" s="2" t="s">
        <v>9</v>
      </c>
    </row>
    <row r="11" spans="1:21" x14ac:dyDescent="0.3">
      <c r="B11" s="8"/>
      <c r="C11" s="2" t="s">
        <v>946</v>
      </c>
      <c r="D11" s="2" t="s">
        <v>955</v>
      </c>
      <c r="E11" t="s">
        <v>764</v>
      </c>
      <c r="F11" s="8"/>
      <c r="G11" s="2" t="s">
        <v>976</v>
      </c>
      <c r="H11" s="2" t="s">
        <v>955</v>
      </c>
      <c r="I11" t="s">
        <v>764</v>
      </c>
      <c r="J11" s="8"/>
      <c r="K11" s="2" t="s">
        <v>854</v>
      </c>
      <c r="L11" s="2" t="s">
        <v>913</v>
      </c>
      <c r="M11" t="s">
        <v>764</v>
      </c>
      <c r="N11" s="8"/>
      <c r="O11" s="2" t="s">
        <v>987</v>
      </c>
      <c r="P11" s="2" t="s">
        <v>926</v>
      </c>
      <c r="Q11" t="s">
        <v>764</v>
      </c>
      <c r="R11" s="8"/>
      <c r="S11" s="2" t="s">
        <v>11</v>
      </c>
      <c r="T11" s="2" t="s">
        <v>12</v>
      </c>
    </row>
    <row r="12" spans="1:21" x14ac:dyDescent="0.3">
      <c r="B12" s="8"/>
      <c r="C12" s="2" t="s">
        <v>947</v>
      </c>
      <c r="D12" s="2" t="s">
        <v>956</v>
      </c>
      <c r="E12" t="s">
        <v>764</v>
      </c>
      <c r="F12" s="8"/>
      <c r="G12" s="2" t="s">
        <v>977</v>
      </c>
      <c r="H12" s="2" t="s">
        <v>956</v>
      </c>
      <c r="I12" t="s">
        <v>764</v>
      </c>
      <c r="J12" s="8"/>
      <c r="K12" s="2" t="s">
        <v>855</v>
      </c>
      <c r="L12" s="2" t="s">
        <v>914</v>
      </c>
      <c r="M12" t="s">
        <v>764</v>
      </c>
      <c r="N12" s="8"/>
      <c r="O12" s="2" t="s">
        <v>988</v>
      </c>
      <c r="P12" s="2" t="s">
        <v>927</v>
      </c>
      <c r="Q12" t="s">
        <v>764</v>
      </c>
      <c r="R12" s="8"/>
      <c r="S12" s="2" t="s">
        <v>13</v>
      </c>
      <c r="T12" s="2" t="s">
        <v>14</v>
      </c>
    </row>
    <row r="13" spans="1:21" x14ac:dyDescent="0.3">
      <c r="B13" s="8"/>
      <c r="C13" s="2" t="s">
        <v>810</v>
      </c>
      <c r="D13" s="2" t="s">
        <v>865</v>
      </c>
      <c r="E13" t="s">
        <v>764</v>
      </c>
      <c r="F13" s="8"/>
      <c r="G13" s="2" t="s">
        <v>767</v>
      </c>
      <c r="H13" s="2" t="s">
        <v>865</v>
      </c>
      <c r="I13" t="s">
        <v>764</v>
      </c>
      <c r="J13" s="8"/>
      <c r="K13" s="2" t="s">
        <v>856</v>
      </c>
      <c r="L13" s="2" t="s">
        <v>915</v>
      </c>
      <c r="M13" t="s">
        <v>764</v>
      </c>
      <c r="N13" s="8"/>
      <c r="O13" s="2" t="s">
        <v>989</v>
      </c>
      <c r="P13" s="2" t="s">
        <v>928</v>
      </c>
      <c r="Q13" t="s">
        <v>764</v>
      </c>
      <c r="R13" s="8"/>
      <c r="S13" s="2" t="s">
        <v>15</v>
      </c>
      <c r="T13" s="2" t="s">
        <v>16</v>
      </c>
    </row>
    <row r="14" spans="1:21" x14ac:dyDescent="0.3">
      <c r="B14" s="8"/>
      <c r="C14" s="2" t="s">
        <v>650</v>
      </c>
      <c r="D14" s="2" t="s">
        <v>690</v>
      </c>
      <c r="E14" t="s">
        <v>764</v>
      </c>
      <c r="F14" s="8"/>
      <c r="G14" s="2" t="s">
        <v>714</v>
      </c>
      <c r="H14" s="2" t="s">
        <v>690</v>
      </c>
      <c r="I14" t="s">
        <v>764</v>
      </c>
      <c r="J14" s="8"/>
      <c r="K14" s="2" t="s">
        <v>857</v>
      </c>
      <c r="L14" s="2" t="s">
        <v>916</v>
      </c>
      <c r="M14" t="s">
        <v>764</v>
      </c>
      <c r="N14" s="8"/>
      <c r="O14" s="2" t="s">
        <v>990</v>
      </c>
      <c r="P14" s="2" t="s">
        <v>929</v>
      </c>
      <c r="Q14" t="s">
        <v>764</v>
      </c>
      <c r="R14" s="8"/>
      <c r="S14" s="2" t="s">
        <v>17</v>
      </c>
      <c r="T14" s="2" t="s">
        <v>18</v>
      </c>
    </row>
    <row r="15" spans="1:21" x14ac:dyDescent="0.3">
      <c r="B15" s="8"/>
      <c r="C15" s="2" t="s">
        <v>651</v>
      </c>
      <c r="D15" s="2" t="s">
        <v>691</v>
      </c>
      <c r="E15" t="s">
        <v>764</v>
      </c>
      <c r="F15" s="8"/>
      <c r="G15" s="2" t="s">
        <v>715</v>
      </c>
      <c r="H15" s="2" t="s">
        <v>691</v>
      </c>
      <c r="I15" t="s">
        <v>764</v>
      </c>
      <c r="J15" s="8"/>
      <c r="K15" s="2" t="s">
        <v>858</v>
      </c>
      <c r="L15" s="2" t="s">
        <v>917</v>
      </c>
      <c r="M15" t="s">
        <v>764</v>
      </c>
      <c r="N15" s="8"/>
      <c r="O15" s="2" t="s">
        <v>991</v>
      </c>
      <c r="P15" s="2" t="s">
        <v>930</v>
      </c>
      <c r="Q15" t="s">
        <v>764</v>
      </c>
      <c r="R15" s="8"/>
      <c r="S15" s="2" t="s">
        <v>19</v>
      </c>
      <c r="T15" s="2" t="s">
        <v>20</v>
      </c>
    </row>
    <row r="16" spans="1:21" x14ac:dyDescent="0.3">
      <c r="B16" s="8"/>
      <c r="C16" s="2" t="s">
        <v>811</v>
      </c>
      <c r="D16" s="2" t="s">
        <v>866</v>
      </c>
      <c r="E16" t="s">
        <v>764</v>
      </c>
      <c r="F16" s="8"/>
      <c r="G16" s="2" t="s">
        <v>768</v>
      </c>
      <c r="H16" s="2" t="s">
        <v>866</v>
      </c>
      <c r="I16" t="s">
        <v>764</v>
      </c>
      <c r="J16" s="8"/>
      <c r="K16" s="2" t="s">
        <v>859</v>
      </c>
      <c r="L16" s="2" t="s">
        <v>918</v>
      </c>
      <c r="M16" t="s">
        <v>764</v>
      </c>
      <c r="N16" s="8"/>
      <c r="O16" s="2" t="s">
        <v>992</v>
      </c>
      <c r="P16" s="2" t="s">
        <v>931</v>
      </c>
      <c r="Q16" t="s">
        <v>764</v>
      </c>
      <c r="R16" s="8"/>
      <c r="S16" s="2" t="s">
        <v>21</v>
      </c>
      <c r="T16" s="2" t="s">
        <v>22</v>
      </c>
    </row>
    <row r="17" spans="2:20" x14ac:dyDescent="0.3">
      <c r="B17" s="8"/>
      <c r="C17" s="2" t="s">
        <v>652</v>
      </c>
      <c r="D17" s="2" t="s">
        <v>867</v>
      </c>
      <c r="E17" t="s">
        <v>764</v>
      </c>
      <c r="F17" s="8"/>
      <c r="G17" s="2" t="s">
        <v>716</v>
      </c>
      <c r="H17" s="2" t="s">
        <v>867</v>
      </c>
      <c r="I17" t="s">
        <v>764</v>
      </c>
      <c r="J17" s="8"/>
      <c r="K17" s="2" t="s">
        <v>10</v>
      </c>
      <c r="L17" s="2" t="s">
        <v>919</v>
      </c>
      <c r="M17" t="s">
        <v>764</v>
      </c>
      <c r="N17" s="8"/>
      <c r="O17" s="2" t="s">
        <v>993</v>
      </c>
      <c r="P17" s="2" t="s">
        <v>932</v>
      </c>
      <c r="Q17" t="s">
        <v>764</v>
      </c>
      <c r="R17" s="8"/>
      <c r="S17" s="2" t="s">
        <v>23</v>
      </c>
      <c r="T17" s="2" t="s">
        <v>24</v>
      </c>
    </row>
    <row r="18" spans="2:20" x14ac:dyDescent="0.3">
      <c r="B18" s="8"/>
      <c r="C18" s="2" t="s">
        <v>812</v>
      </c>
      <c r="D18" s="2" t="s">
        <v>868</v>
      </c>
      <c r="E18" t="s">
        <v>764</v>
      </c>
      <c r="F18" s="8"/>
      <c r="G18" s="2" t="s">
        <v>769</v>
      </c>
      <c r="H18" s="2" t="s">
        <v>868</v>
      </c>
      <c r="I18" t="s">
        <v>764</v>
      </c>
      <c r="J18" s="8"/>
      <c r="K18" s="2" t="s">
        <v>860</v>
      </c>
      <c r="L18" s="2" t="s">
        <v>920</v>
      </c>
      <c r="M18" t="s">
        <v>764</v>
      </c>
      <c r="N18" s="8"/>
      <c r="O18" s="2" t="s">
        <v>994</v>
      </c>
      <c r="P18" s="2" t="s">
        <v>933</v>
      </c>
      <c r="Q18" t="s">
        <v>764</v>
      </c>
      <c r="R18" s="8"/>
      <c r="S18" s="2" t="s">
        <v>25</v>
      </c>
      <c r="T18" s="2" t="s">
        <v>26</v>
      </c>
    </row>
    <row r="19" spans="2:20" x14ac:dyDescent="0.3">
      <c r="B19" s="8"/>
      <c r="C19" s="2" t="s">
        <v>813</v>
      </c>
      <c r="D19" s="2" t="s">
        <v>869</v>
      </c>
      <c r="E19" t="s">
        <v>764</v>
      </c>
      <c r="F19" s="8"/>
      <c r="G19" s="2" t="s">
        <v>770</v>
      </c>
      <c r="H19" s="2" t="s">
        <v>869</v>
      </c>
      <c r="I19" t="s">
        <v>764</v>
      </c>
      <c r="J19" s="8"/>
      <c r="K19" s="2" t="s">
        <v>861</v>
      </c>
      <c r="L19" s="2" t="s">
        <v>921</v>
      </c>
      <c r="M19" t="s">
        <v>764</v>
      </c>
      <c r="N19" s="8"/>
      <c r="O19" s="2" t="s">
        <v>995</v>
      </c>
      <c r="P19" s="2" t="s">
        <v>934</v>
      </c>
      <c r="Q19" t="s">
        <v>764</v>
      </c>
      <c r="R19" s="8"/>
      <c r="S19" s="2" t="s">
        <v>27</v>
      </c>
      <c r="T19" s="2" t="s">
        <v>28</v>
      </c>
    </row>
    <row r="20" spans="2:20" x14ac:dyDescent="0.3">
      <c r="B20" s="8"/>
      <c r="C20" s="2" t="s">
        <v>814</v>
      </c>
      <c r="D20" s="2" t="s">
        <v>870</v>
      </c>
      <c r="E20" t="s">
        <v>764</v>
      </c>
      <c r="F20" s="8"/>
      <c r="G20" s="2" t="s">
        <v>771</v>
      </c>
      <c r="H20" s="2" t="s">
        <v>870</v>
      </c>
      <c r="I20" t="s">
        <v>764</v>
      </c>
      <c r="J20" s="8"/>
      <c r="K20" s="2" t="s">
        <v>862</v>
      </c>
      <c r="L20" s="2" t="s">
        <v>922</v>
      </c>
      <c r="M20" t="s">
        <v>764</v>
      </c>
      <c r="N20" s="8"/>
      <c r="O20" s="2" t="s">
        <v>996</v>
      </c>
      <c r="P20" s="2" t="s">
        <v>935</v>
      </c>
      <c r="Q20" t="s">
        <v>764</v>
      </c>
      <c r="R20" s="8"/>
      <c r="S20" s="2" t="s">
        <v>29</v>
      </c>
      <c r="T20" s="2" t="s">
        <v>30</v>
      </c>
    </row>
    <row r="21" spans="2:20" x14ac:dyDescent="0.3">
      <c r="B21" s="8"/>
      <c r="C21" s="2" t="s">
        <v>653</v>
      </c>
      <c r="D21" s="2" t="s">
        <v>871</v>
      </c>
      <c r="E21" t="s">
        <v>764</v>
      </c>
      <c r="F21" s="8"/>
      <c r="G21" s="2" t="s">
        <v>717</v>
      </c>
      <c r="H21" s="2" t="s">
        <v>871</v>
      </c>
      <c r="I21" t="s">
        <v>764</v>
      </c>
      <c r="J21" s="8"/>
      <c r="K21" s="2" t="s">
        <v>863</v>
      </c>
      <c r="L21" s="2" t="s">
        <v>923</v>
      </c>
      <c r="M21" t="s">
        <v>764</v>
      </c>
      <c r="N21" s="8"/>
      <c r="O21" s="2" t="s">
        <v>997</v>
      </c>
      <c r="P21" s="2" t="s">
        <v>936</v>
      </c>
      <c r="Q21" t="s">
        <v>764</v>
      </c>
      <c r="R21" s="8"/>
      <c r="S21" s="2" t="s">
        <v>31</v>
      </c>
      <c r="T21" s="2" t="s">
        <v>32</v>
      </c>
    </row>
    <row r="22" spans="2:20" x14ac:dyDescent="0.3">
      <c r="B22" s="8"/>
      <c r="C22" s="2" t="s">
        <v>948</v>
      </c>
      <c r="D22" s="2" t="s">
        <v>957</v>
      </c>
      <c r="E22" t="s">
        <v>764</v>
      </c>
      <c r="F22" s="8"/>
      <c r="G22" s="2" t="s">
        <v>978</v>
      </c>
      <c r="H22" s="2" t="s">
        <v>957</v>
      </c>
      <c r="I22" t="s">
        <v>764</v>
      </c>
      <c r="J22" s="8"/>
      <c r="K22" s="2"/>
      <c r="L22" s="2"/>
      <c r="M22" t="s">
        <v>764</v>
      </c>
      <c r="N22" s="8"/>
      <c r="O22" s="2" t="s">
        <v>998</v>
      </c>
      <c r="P22" s="2" t="s">
        <v>937</v>
      </c>
      <c r="Q22" t="s">
        <v>764</v>
      </c>
      <c r="R22" s="8"/>
      <c r="S22" s="2" t="s">
        <v>33</v>
      </c>
      <c r="T22" s="2" t="s">
        <v>34</v>
      </c>
    </row>
    <row r="23" spans="2:20" x14ac:dyDescent="0.3">
      <c r="B23" s="8"/>
      <c r="C23" s="2" t="s">
        <v>654</v>
      </c>
      <c r="D23" s="2" t="s">
        <v>958</v>
      </c>
      <c r="E23" t="s">
        <v>764</v>
      </c>
      <c r="F23" s="8"/>
      <c r="G23" s="2" t="s">
        <v>718</v>
      </c>
      <c r="H23" s="2" t="s">
        <v>958</v>
      </c>
      <c r="I23" t="s">
        <v>764</v>
      </c>
      <c r="J23" s="8"/>
      <c r="K23" s="2"/>
      <c r="L23" s="2"/>
      <c r="M23" t="s">
        <v>764</v>
      </c>
      <c r="N23" s="8"/>
      <c r="O23" s="2" t="s">
        <v>999</v>
      </c>
      <c r="P23" s="2" t="s">
        <v>938</v>
      </c>
      <c r="Q23" t="s">
        <v>764</v>
      </c>
      <c r="R23" s="8"/>
      <c r="S23" s="2"/>
      <c r="T23" s="2"/>
    </row>
    <row r="24" spans="2:20" x14ac:dyDescent="0.3">
      <c r="B24" s="8"/>
      <c r="C24" s="2" t="s">
        <v>655</v>
      </c>
      <c r="D24" s="2" t="s">
        <v>692</v>
      </c>
      <c r="E24" t="s">
        <v>764</v>
      </c>
      <c r="F24" s="8"/>
      <c r="G24" s="2" t="s">
        <v>719</v>
      </c>
      <c r="H24" s="2" t="s">
        <v>692</v>
      </c>
      <c r="I24" t="s">
        <v>764</v>
      </c>
      <c r="J24" s="8"/>
      <c r="K24" s="2"/>
      <c r="L24" s="2"/>
      <c r="M24" t="s">
        <v>764</v>
      </c>
      <c r="N24" s="8"/>
      <c r="O24" s="2" t="s">
        <v>1000</v>
      </c>
      <c r="P24" s="2" t="s">
        <v>939</v>
      </c>
      <c r="Q24" t="s">
        <v>764</v>
      </c>
      <c r="R24" s="8"/>
      <c r="S24" s="2"/>
      <c r="T24" s="2"/>
    </row>
    <row r="25" spans="2:20" x14ac:dyDescent="0.3">
      <c r="B25" s="8"/>
      <c r="C25" s="2" t="s">
        <v>656</v>
      </c>
      <c r="D25" s="2" t="s">
        <v>693</v>
      </c>
      <c r="E25" t="s">
        <v>764</v>
      </c>
      <c r="F25" s="8"/>
      <c r="G25" s="2" t="s">
        <v>720</v>
      </c>
      <c r="H25" s="2" t="s">
        <v>693</v>
      </c>
      <c r="I25" t="s">
        <v>764</v>
      </c>
      <c r="J25" s="8"/>
      <c r="K25" s="2"/>
      <c r="L25" s="2"/>
      <c r="M25" t="s">
        <v>764</v>
      </c>
      <c r="N25" s="8"/>
      <c r="O25" s="2" t="s">
        <v>1001</v>
      </c>
      <c r="P25" s="2" t="s">
        <v>940</v>
      </c>
      <c r="Q25" t="s">
        <v>764</v>
      </c>
      <c r="R25" s="8"/>
      <c r="S25" s="2"/>
      <c r="T25" s="2"/>
    </row>
    <row r="26" spans="2:20" x14ac:dyDescent="0.3">
      <c r="B26" s="8"/>
      <c r="C26" s="2" t="s">
        <v>657</v>
      </c>
      <c r="D26" s="2" t="s">
        <v>694</v>
      </c>
      <c r="E26" t="s">
        <v>764</v>
      </c>
      <c r="F26" s="8"/>
      <c r="G26" s="2" t="s">
        <v>721</v>
      </c>
      <c r="H26" s="2" t="s">
        <v>694</v>
      </c>
      <c r="I26" t="s">
        <v>764</v>
      </c>
      <c r="J26" s="8"/>
      <c r="K26" s="2"/>
      <c r="L26" s="2"/>
      <c r="M26" t="s">
        <v>764</v>
      </c>
      <c r="N26" s="8"/>
      <c r="O26" s="2" t="s">
        <v>1002</v>
      </c>
      <c r="P26" s="2" t="s">
        <v>941</v>
      </c>
      <c r="Q26" t="s">
        <v>764</v>
      </c>
      <c r="R26" s="8"/>
      <c r="S26" s="2"/>
      <c r="T26" s="2"/>
    </row>
    <row r="27" spans="2:20" x14ac:dyDescent="0.3">
      <c r="B27" s="8"/>
      <c r="C27" s="2" t="s">
        <v>949</v>
      </c>
      <c r="D27" s="2" t="s">
        <v>959</v>
      </c>
      <c r="E27" t="s">
        <v>764</v>
      </c>
      <c r="F27" s="8"/>
      <c r="G27" s="2" t="s">
        <v>979</v>
      </c>
      <c r="H27" s="2" t="s">
        <v>959</v>
      </c>
      <c r="I27" t="s">
        <v>764</v>
      </c>
      <c r="J27" s="8"/>
      <c r="K27" s="2"/>
      <c r="L27" s="2"/>
      <c r="M27" t="s">
        <v>764</v>
      </c>
      <c r="N27" s="8"/>
      <c r="O27" s="2" t="s">
        <v>1003</v>
      </c>
      <c r="P27" s="2" t="s">
        <v>942</v>
      </c>
      <c r="Q27" t="s">
        <v>764</v>
      </c>
      <c r="R27" s="8"/>
      <c r="S27" s="2"/>
      <c r="T27" s="2"/>
    </row>
    <row r="28" spans="2:20" x14ac:dyDescent="0.3">
      <c r="B28" s="8"/>
      <c r="C28" s="2" t="s">
        <v>815</v>
      </c>
      <c r="D28" s="2" t="s">
        <v>960</v>
      </c>
      <c r="E28" t="s">
        <v>764</v>
      </c>
      <c r="F28" s="8"/>
      <c r="G28" s="2" t="s">
        <v>772</v>
      </c>
      <c r="H28" s="2" t="s">
        <v>960</v>
      </c>
      <c r="I28" t="s">
        <v>764</v>
      </c>
      <c r="J28" s="8"/>
      <c r="K28" s="2"/>
      <c r="L28" s="2"/>
      <c r="M28" t="s">
        <v>764</v>
      </c>
      <c r="N28" s="8"/>
      <c r="O28" s="2" t="s">
        <v>1004</v>
      </c>
      <c r="P28" s="2" t="s">
        <v>943</v>
      </c>
      <c r="Q28" t="s">
        <v>764</v>
      </c>
      <c r="R28" s="8"/>
      <c r="S28" s="2"/>
      <c r="T28" s="2"/>
    </row>
    <row r="29" spans="2:20" x14ac:dyDescent="0.3">
      <c r="B29" s="8"/>
      <c r="C29" s="2" t="s">
        <v>816</v>
      </c>
      <c r="D29" s="2" t="s">
        <v>961</v>
      </c>
      <c r="E29" t="s">
        <v>764</v>
      </c>
      <c r="F29" s="8"/>
      <c r="G29" s="2" t="s">
        <v>773</v>
      </c>
      <c r="H29" s="2" t="s">
        <v>961</v>
      </c>
      <c r="I29" t="s">
        <v>764</v>
      </c>
      <c r="J29" s="8"/>
      <c r="K29" s="2"/>
      <c r="L29" s="2"/>
      <c r="M29" t="s">
        <v>764</v>
      </c>
      <c r="N29" s="8"/>
      <c r="O29" s="2"/>
      <c r="P29" s="2"/>
      <c r="Q29" t="s">
        <v>764</v>
      </c>
      <c r="R29" s="8"/>
      <c r="S29" s="2"/>
      <c r="T29" s="2"/>
    </row>
    <row r="30" spans="2:20" x14ac:dyDescent="0.3">
      <c r="B30" s="8"/>
      <c r="C30" s="2" t="s">
        <v>658</v>
      </c>
      <c r="D30" s="2" t="s">
        <v>872</v>
      </c>
      <c r="E30" t="s">
        <v>764</v>
      </c>
      <c r="F30" s="8"/>
      <c r="G30" s="2" t="s">
        <v>722</v>
      </c>
      <c r="H30" s="2" t="s">
        <v>872</v>
      </c>
      <c r="I30" t="s">
        <v>764</v>
      </c>
      <c r="J30" s="8"/>
      <c r="K30" s="2"/>
      <c r="L30" s="2"/>
      <c r="M30" t="s">
        <v>764</v>
      </c>
      <c r="N30" s="8"/>
      <c r="O30" s="2"/>
      <c r="P30" s="2"/>
      <c r="Q30" t="s">
        <v>764</v>
      </c>
      <c r="R30" s="8"/>
      <c r="S30" s="2"/>
      <c r="T30" s="2"/>
    </row>
    <row r="31" spans="2:20" x14ac:dyDescent="0.3">
      <c r="B31" s="8"/>
      <c r="C31" s="2" t="s">
        <v>817</v>
      </c>
      <c r="D31" s="2" t="s">
        <v>873</v>
      </c>
      <c r="E31" t="s">
        <v>764</v>
      </c>
      <c r="F31" s="8"/>
      <c r="G31" s="2" t="s">
        <v>774</v>
      </c>
      <c r="H31" s="2" t="s">
        <v>873</v>
      </c>
      <c r="I31" t="s">
        <v>764</v>
      </c>
      <c r="J31" s="8"/>
      <c r="K31" s="2"/>
      <c r="L31" s="2"/>
      <c r="M31" t="s">
        <v>764</v>
      </c>
      <c r="N31" s="8"/>
      <c r="O31" s="2"/>
      <c r="P31" s="2"/>
      <c r="Q31" t="s">
        <v>764</v>
      </c>
      <c r="R31" s="8"/>
      <c r="S31" s="2"/>
      <c r="T31" s="2"/>
    </row>
    <row r="32" spans="2:20" x14ac:dyDescent="0.3">
      <c r="B32" s="8"/>
      <c r="C32" s="2" t="s">
        <v>659</v>
      </c>
      <c r="D32" s="2" t="s">
        <v>874</v>
      </c>
      <c r="E32" t="s">
        <v>764</v>
      </c>
      <c r="F32" s="8"/>
      <c r="G32" s="2" t="s">
        <v>723</v>
      </c>
      <c r="H32" s="2" t="s">
        <v>874</v>
      </c>
      <c r="I32" t="s">
        <v>764</v>
      </c>
      <c r="J32" s="8"/>
      <c r="K32" s="2"/>
      <c r="L32" s="2"/>
      <c r="M32" t="s">
        <v>764</v>
      </c>
      <c r="N32" s="8"/>
      <c r="O32" s="2"/>
      <c r="P32" s="2"/>
      <c r="Q32" t="s">
        <v>764</v>
      </c>
      <c r="R32" s="22"/>
      <c r="S32" s="22"/>
      <c r="T32" s="22"/>
    </row>
    <row r="33" spans="2:17" x14ac:dyDescent="0.3">
      <c r="B33" s="8"/>
      <c r="C33" s="2" t="s">
        <v>818</v>
      </c>
      <c r="D33" s="2" t="s">
        <v>875</v>
      </c>
      <c r="E33" t="s">
        <v>764</v>
      </c>
      <c r="F33" s="8"/>
      <c r="G33" s="2" t="s">
        <v>775</v>
      </c>
      <c r="H33" s="2" t="s">
        <v>875</v>
      </c>
      <c r="I33" t="s">
        <v>764</v>
      </c>
      <c r="J33" s="8"/>
      <c r="K33" s="2"/>
      <c r="L33" s="2"/>
      <c r="M33" t="s">
        <v>764</v>
      </c>
      <c r="N33" s="8"/>
      <c r="O33" s="2"/>
      <c r="P33" s="2"/>
      <c r="Q33" t="s">
        <v>764</v>
      </c>
    </row>
    <row r="34" spans="2:17" x14ac:dyDescent="0.3">
      <c r="B34" s="8"/>
      <c r="C34" s="2" t="s">
        <v>819</v>
      </c>
      <c r="D34" s="2" t="s">
        <v>876</v>
      </c>
      <c r="E34" t="s">
        <v>764</v>
      </c>
      <c r="F34" s="8"/>
      <c r="G34" s="2" t="s">
        <v>776</v>
      </c>
      <c r="H34" s="2" t="s">
        <v>876</v>
      </c>
      <c r="I34" t="s">
        <v>764</v>
      </c>
      <c r="J34" s="8"/>
      <c r="K34" s="2"/>
      <c r="L34" s="2"/>
      <c r="M34" t="s">
        <v>764</v>
      </c>
      <c r="N34" s="8"/>
      <c r="O34" s="2"/>
      <c r="P34" s="2"/>
      <c r="Q34" t="s">
        <v>764</v>
      </c>
    </row>
    <row r="35" spans="2:17" x14ac:dyDescent="0.3">
      <c r="B35" s="8"/>
      <c r="C35" s="2" t="s">
        <v>820</v>
      </c>
      <c r="D35" s="2" t="s">
        <v>877</v>
      </c>
      <c r="E35" t="s">
        <v>764</v>
      </c>
      <c r="F35" s="8"/>
      <c r="G35" s="2" t="s">
        <v>777</v>
      </c>
      <c r="H35" s="2" t="s">
        <v>877</v>
      </c>
      <c r="I35" t="s">
        <v>764</v>
      </c>
      <c r="J35" s="8"/>
      <c r="K35" s="2"/>
      <c r="L35" s="2"/>
      <c r="M35" t="s">
        <v>764</v>
      </c>
      <c r="N35" s="8"/>
      <c r="O35" s="2"/>
      <c r="P35" s="2"/>
      <c r="Q35" t="s">
        <v>764</v>
      </c>
    </row>
    <row r="36" spans="2:17" x14ac:dyDescent="0.3">
      <c r="B36" s="8"/>
      <c r="C36" s="2" t="s">
        <v>660</v>
      </c>
      <c r="D36" s="2" t="s">
        <v>695</v>
      </c>
      <c r="E36" t="s">
        <v>764</v>
      </c>
      <c r="F36" s="8"/>
      <c r="G36" s="2" t="s">
        <v>724</v>
      </c>
      <c r="H36" s="2" t="s">
        <v>695</v>
      </c>
      <c r="I36" t="s">
        <v>764</v>
      </c>
      <c r="J36" s="8"/>
      <c r="K36" s="2"/>
      <c r="L36" s="2"/>
      <c r="M36" t="s">
        <v>764</v>
      </c>
      <c r="N36" s="8"/>
      <c r="O36" s="2"/>
      <c r="P36" s="2"/>
      <c r="Q36" t="s">
        <v>764</v>
      </c>
    </row>
    <row r="37" spans="2:17" x14ac:dyDescent="0.3">
      <c r="B37" s="8"/>
      <c r="C37" s="2" t="s">
        <v>661</v>
      </c>
      <c r="D37" s="2" t="s">
        <v>878</v>
      </c>
      <c r="E37" t="s">
        <v>764</v>
      </c>
      <c r="F37" s="8"/>
      <c r="G37" s="2" t="s">
        <v>725</v>
      </c>
      <c r="H37" s="2" t="s">
        <v>878</v>
      </c>
      <c r="I37" t="s">
        <v>764</v>
      </c>
      <c r="J37" s="8"/>
      <c r="K37" s="2"/>
      <c r="L37" s="2"/>
      <c r="M37" t="s">
        <v>764</v>
      </c>
      <c r="N37" s="8"/>
      <c r="O37" s="2"/>
      <c r="P37" s="2"/>
      <c r="Q37" t="s">
        <v>764</v>
      </c>
    </row>
    <row r="38" spans="2:17" x14ac:dyDescent="0.3">
      <c r="B38" s="8"/>
      <c r="C38" s="2" t="s">
        <v>821</v>
      </c>
      <c r="D38" s="2" t="s">
        <v>879</v>
      </c>
      <c r="E38" t="s">
        <v>764</v>
      </c>
      <c r="F38" s="8"/>
      <c r="G38" s="2" t="s">
        <v>778</v>
      </c>
      <c r="H38" s="2" t="s">
        <v>879</v>
      </c>
      <c r="I38" t="s">
        <v>764</v>
      </c>
      <c r="J38" s="8"/>
      <c r="K38" s="2"/>
      <c r="L38" s="2"/>
      <c r="M38" t="s">
        <v>764</v>
      </c>
      <c r="N38" s="8"/>
      <c r="O38" s="2"/>
      <c r="P38" s="2"/>
      <c r="Q38" t="s">
        <v>764</v>
      </c>
    </row>
    <row r="39" spans="2:17" x14ac:dyDescent="0.3">
      <c r="B39" s="8"/>
      <c r="C39" s="2" t="s">
        <v>662</v>
      </c>
      <c r="D39" s="2" t="s">
        <v>880</v>
      </c>
      <c r="E39" t="s">
        <v>764</v>
      </c>
      <c r="F39" s="8"/>
      <c r="G39" s="2" t="s">
        <v>726</v>
      </c>
      <c r="H39" s="2" t="s">
        <v>880</v>
      </c>
      <c r="I39" t="s">
        <v>764</v>
      </c>
      <c r="J39" s="8"/>
      <c r="K39" s="2"/>
      <c r="L39" s="2"/>
      <c r="M39" t="s">
        <v>764</v>
      </c>
      <c r="N39" s="8"/>
      <c r="O39" s="2"/>
      <c r="P39" s="2"/>
      <c r="Q39" t="s">
        <v>764</v>
      </c>
    </row>
    <row r="40" spans="2:17" x14ac:dyDescent="0.3">
      <c r="B40" s="8"/>
      <c r="C40" s="2" t="s">
        <v>822</v>
      </c>
      <c r="D40" s="2" t="s">
        <v>881</v>
      </c>
      <c r="E40" t="s">
        <v>764</v>
      </c>
      <c r="F40" s="8"/>
      <c r="G40" s="2" t="s">
        <v>779</v>
      </c>
      <c r="H40" s="2" t="s">
        <v>881</v>
      </c>
      <c r="I40" t="s">
        <v>764</v>
      </c>
      <c r="J40" s="8"/>
      <c r="K40" s="2"/>
      <c r="L40" s="2"/>
      <c r="M40" t="s">
        <v>764</v>
      </c>
      <c r="N40" s="8"/>
      <c r="O40" s="2"/>
      <c r="P40" s="2"/>
      <c r="Q40" t="s">
        <v>764</v>
      </c>
    </row>
    <row r="41" spans="2:17" x14ac:dyDescent="0.3">
      <c r="B41" s="8"/>
      <c r="C41" s="2" t="s">
        <v>823</v>
      </c>
      <c r="D41" s="2" t="s">
        <v>882</v>
      </c>
      <c r="E41" t="s">
        <v>764</v>
      </c>
      <c r="F41" s="8"/>
      <c r="G41" s="2" t="s">
        <v>780</v>
      </c>
      <c r="H41" s="2" t="s">
        <v>882</v>
      </c>
      <c r="I41" t="s">
        <v>764</v>
      </c>
      <c r="J41" s="8"/>
      <c r="K41" s="2"/>
      <c r="L41" s="2"/>
      <c r="M41" t="s">
        <v>764</v>
      </c>
      <c r="N41" s="8"/>
      <c r="O41" s="2"/>
      <c r="P41" s="2"/>
      <c r="Q41" t="s">
        <v>764</v>
      </c>
    </row>
    <row r="42" spans="2:17" x14ac:dyDescent="0.3">
      <c r="B42" s="8"/>
      <c r="C42" s="2" t="s">
        <v>663</v>
      </c>
      <c r="D42" s="2" t="s">
        <v>696</v>
      </c>
      <c r="E42" t="s">
        <v>764</v>
      </c>
      <c r="F42" s="8"/>
      <c r="G42" s="2" t="s">
        <v>727</v>
      </c>
      <c r="H42" s="2" t="s">
        <v>696</v>
      </c>
      <c r="I42" t="s">
        <v>764</v>
      </c>
      <c r="J42" s="8"/>
      <c r="K42" s="2"/>
      <c r="L42" s="2"/>
      <c r="M42" t="s">
        <v>764</v>
      </c>
      <c r="N42" s="8"/>
      <c r="O42" s="2"/>
      <c r="P42" s="2"/>
      <c r="Q42" t="s">
        <v>764</v>
      </c>
    </row>
    <row r="43" spans="2:17" x14ac:dyDescent="0.3">
      <c r="B43" s="8"/>
      <c r="C43" s="2" t="s">
        <v>664</v>
      </c>
      <c r="D43" s="2" t="s">
        <v>697</v>
      </c>
      <c r="E43" t="s">
        <v>764</v>
      </c>
      <c r="F43" s="8"/>
      <c r="G43" s="2" t="s">
        <v>728</v>
      </c>
      <c r="H43" s="2" t="s">
        <v>697</v>
      </c>
      <c r="I43" t="s">
        <v>764</v>
      </c>
      <c r="J43" s="8"/>
      <c r="K43" s="2"/>
      <c r="L43" s="2"/>
      <c r="M43" t="s">
        <v>764</v>
      </c>
      <c r="N43" s="8"/>
      <c r="O43" s="2"/>
      <c r="P43" s="2"/>
      <c r="Q43" t="s">
        <v>764</v>
      </c>
    </row>
    <row r="44" spans="2:17" x14ac:dyDescent="0.3">
      <c r="B44" s="8"/>
      <c r="C44" s="2" t="s">
        <v>824</v>
      </c>
      <c r="D44" s="2" t="s">
        <v>883</v>
      </c>
      <c r="E44" t="s">
        <v>764</v>
      </c>
      <c r="F44" s="8"/>
      <c r="G44" s="2" t="s">
        <v>781</v>
      </c>
      <c r="H44" s="2" t="s">
        <v>883</v>
      </c>
      <c r="I44" t="s">
        <v>764</v>
      </c>
      <c r="J44" s="8"/>
      <c r="K44" s="2"/>
      <c r="L44" s="2"/>
      <c r="M44" t="s">
        <v>764</v>
      </c>
      <c r="N44" s="8"/>
      <c r="O44" s="2"/>
      <c r="P44" s="2"/>
      <c r="Q44" t="s">
        <v>764</v>
      </c>
    </row>
    <row r="45" spans="2:17" x14ac:dyDescent="0.3">
      <c r="B45" s="8"/>
      <c r="C45" s="2" t="s">
        <v>665</v>
      </c>
      <c r="D45" s="2" t="s">
        <v>884</v>
      </c>
      <c r="E45" t="s">
        <v>764</v>
      </c>
      <c r="F45" s="8"/>
      <c r="G45" s="2" t="s">
        <v>729</v>
      </c>
      <c r="H45" s="2" t="s">
        <v>884</v>
      </c>
      <c r="I45" t="s">
        <v>764</v>
      </c>
      <c r="J45" s="8"/>
      <c r="K45" s="2"/>
      <c r="L45" s="2"/>
      <c r="M45" t="s">
        <v>764</v>
      </c>
      <c r="N45" s="8"/>
      <c r="O45" s="2"/>
      <c r="P45" s="2"/>
      <c r="Q45" t="s">
        <v>764</v>
      </c>
    </row>
    <row r="46" spans="2:17" x14ac:dyDescent="0.3">
      <c r="B46" s="8"/>
      <c r="C46" s="2" t="s">
        <v>825</v>
      </c>
      <c r="D46" s="2" t="s">
        <v>885</v>
      </c>
      <c r="E46" t="s">
        <v>764</v>
      </c>
      <c r="F46" s="8"/>
      <c r="G46" s="2" t="s">
        <v>782</v>
      </c>
      <c r="H46" s="2" t="s">
        <v>885</v>
      </c>
      <c r="I46" t="s">
        <v>764</v>
      </c>
      <c r="J46" s="8"/>
      <c r="K46" s="2"/>
      <c r="L46" s="2"/>
      <c r="M46" t="s">
        <v>764</v>
      </c>
      <c r="N46" s="8"/>
      <c r="O46" s="2"/>
      <c r="P46" s="2"/>
      <c r="Q46" t="s">
        <v>764</v>
      </c>
    </row>
    <row r="47" spans="2:17" x14ac:dyDescent="0.3">
      <c r="B47" s="8"/>
      <c r="C47" s="2" t="s">
        <v>826</v>
      </c>
      <c r="D47" s="2" t="s">
        <v>886</v>
      </c>
      <c r="E47" t="s">
        <v>764</v>
      </c>
      <c r="F47" s="8"/>
      <c r="G47" s="2" t="s">
        <v>783</v>
      </c>
      <c r="H47" s="2" t="s">
        <v>886</v>
      </c>
      <c r="I47" t="s">
        <v>764</v>
      </c>
      <c r="J47" s="8"/>
      <c r="K47" s="2"/>
      <c r="L47" s="2"/>
      <c r="M47" t="s">
        <v>764</v>
      </c>
      <c r="N47" s="8"/>
      <c r="O47" s="2"/>
      <c r="P47" s="2"/>
      <c r="Q47" t="s">
        <v>764</v>
      </c>
    </row>
    <row r="48" spans="2:17" x14ac:dyDescent="0.3">
      <c r="B48" s="8"/>
      <c r="C48" s="2" t="s">
        <v>827</v>
      </c>
      <c r="D48" s="2" t="s">
        <v>887</v>
      </c>
      <c r="E48" t="s">
        <v>764</v>
      </c>
      <c r="F48" s="8"/>
      <c r="G48" s="2" t="s">
        <v>784</v>
      </c>
      <c r="H48" s="2" t="s">
        <v>887</v>
      </c>
      <c r="I48" t="s">
        <v>764</v>
      </c>
      <c r="J48" s="8"/>
      <c r="K48" s="2"/>
      <c r="L48" s="2"/>
      <c r="M48" t="s">
        <v>764</v>
      </c>
      <c r="N48" s="8"/>
      <c r="O48" s="2"/>
      <c r="P48" s="2"/>
      <c r="Q48" t="s">
        <v>764</v>
      </c>
    </row>
    <row r="49" spans="2:17" x14ac:dyDescent="0.3">
      <c r="B49" s="8"/>
      <c r="C49" s="2" t="s">
        <v>828</v>
      </c>
      <c r="D49" s="2" t="s">
        <v>888</v>
      </c>
      <c r="E49" t="s">
        <v>764</v>
      </c>
      <c r="F49" s="8"/>
      <c r="G49" s="2" t="s">
        <v>785</v>
      </c>
      <c r="H49" s="2" t="s">
        <v>888</v>
      </c>
      <c r="I49" t="s">
        <v>764</v>
      </c>
      <c r="J49" s="8"/>
      <c r="K49" s="2"/>
      <c r="L49" s="2"/>
      <c r="M49" t="s">
        <v>764</v>
      </c>
      <c r="N49" s="8"/>
      <c r="O49" s="2"/>
      <c r="P49" s="2"/>
      <c r="Q49" t="s">
        <v>764</v>
      </c>
    </row>
    <row r="50" spans="2:17" x14ac:dyDescent="0.3">
      <c r="B50" s="8"/>
      <c r="C50" s="2" t="s">
        <v>829</v>
      </c>
      <c r="D50" s="2" t="s">
        <v>962</v>
      </c>
      <c r="E50" t="s">
        <v>764</v>
      </c>
      <c r="F50" s="8"/>
      <c r="G50" s="2" t="s">
        <v>786</v>
      </c>
      <c r="H50" s="2" t="s">
        <v>962</v>
      </c>
      <c r="I50" t="s">
        <v>764</v>
      </c>
      <c r="J50" s="8"/>
      <c r="K50" s="2"/>
      <c r="L50" s="2"/>
      <c r="M50" t="s">
        <v>764</v>
      </c>
      <c r="N50" s="8"/>
      <c r="O50" s="2"/>
      <c r="P50" s="2"/>
      <c r="Q50" t="s">
        <v>764</v>
      </c>
    </row>
    <row r="51" spans="2:17" x14ac:dyDescent="0.3">
      <c r="B51" s="8"/>
      <c r="C51" s="2" t="s">
        <v>830</v>
      </c>
      <c r="D51" s="2" t="s">
        <v>889</v>
      </c>
      <c r="E51" t="s">
        <v>764</v>
      </c>
      <c r="F51" s="8"/>
      <c r="G51" s="2" t="s">
        <v>787</v>
      </c>
      <c r="H51" s="2" t="s">
        <v>889</v>
      </c>
      <c r="I51" t="s">
        <v>764</v>
      </c>
      <c r="J51" s="8"/>
      <c r="K51" s="2"/>
      <c r="L51" s="2"/>
      <c r="M51" t="s">
        <v>764</v>
      </c>
      <c r="N51" s="8"/>
      <c r="O51" s="2"/>
      <c r="P51" s="2"/>
      <c r="Q51" t="s">
        <v>764</v>
      </c>
    </row>
    <row r="52" spans="2:17" x14ac:dyDescent="0.3">
      <c r="B52" s="8"/>
      <c r="C52" s="2" t="s">
        <v>831</v>
      </c>
      <c r="D52" s="2" t="s">
        <v>892</v>
      </c>
      <c r="E52" t="s">
        <v>764</v>
      </c>
      <c r="F52" s="8"/>
      <c r="G52" s="2" t="s">
        <v>788</v>
      </c>
      <c r="H52" s="2" t="s">
        <v>892</v>
      </c>
      <c r="I52" t="s">
        <v>764</v>
      </c>
      <c r="J52" s="8"/>
      <c r="K52" s="2"/>
      <c r="L52" s="2"/>
      <c r="M52" t="s">
        <v>764</v>
      </c>
      <c r="N52" s="8"/>
      <c r="O52" s="2"/>
      <c r="P52" s="2"/>
      <c r="Q52" t="s">
        <v>764</v>
      </c>
    </row>
    <row r="53" spans="2:17" x14ac:dyDescent="0.3">
      <c r="B53" s="8"/>
      <c r="C53" s="2" t="s">
        <v>832</v>
      </c>
      <c r="D53" s="2" t="s">
        <v>890</v>
      </c>
      <c r="E53" t="s">
        <v>764</v>
      </c>
      <c r="F53" s="8"/>
      <c r="G53" s="2" t="s">
        <v>789</v>
      </c>
      <c r="H53" s="2" t="s">
        <v>890</v>
      </c>
      <c r="I53" t="s">
        <v>764</v>
      </c>
      <c r="J53" s="8"/>
      <c r="K53" s="2"/>
      <c r="L53" s="2"/>
      <c r="M53" t="s">
        <v>764</v>
      </c>
      <c r="N53" s="8"/>
      <c r="O53" s="2"/>
      <c r="P53" s="2"/>
      <c r="Q53" t="s">
        <v>764</v>
      </c>
    </row>
    <row r="54" spans="2:17" x14ac:dyDescent="0.3">
      <c r="B54" s="8"/>
      <c r="C54" s="2" t="s">
        <v>833</v>
      </c>
      <c r="D54" s="2" t="s">
        <v>891</v>
      </c>
      <c r="E54" t="s">
        <v>764</v>
      </c>
      <c r="F54" s="8"/>
      <c r="G54" s="2" t="s">
        <v>790</v>
      </c>
      <c r="H54" s="2" t="s">
        <v>891</v>
      </c>
      <c r="I54" t="s">
        <v>764</v>
      </c>
      <c r="J54" s="8"/>
      <c r="K54" s="2"/>
      <c r="L54" s="2"/>
      <c r="M54" t="s">
        <v>764</v>
      </c>
      <c r="N54" s="8"/>
      <c r="O54" s="2"/>
      <c r="P54" s="2"/>
      <c r="Q54" t="s">
        <v>764</v>
      </c>
    </row>
    <row r="55" spans="2:17" x14ac:dyDescent="0.3">
      <c r="B55" s="8"/>
      <c r="C55" s="2" t="s">
        <v>834</v>
      </c>
      <c r="D55" s="2" t="s">
        <v>963</v>
      </c>
      <c r="E55" t="s">
        <v>764</v>
      </c>
      <c r="F55" s="8"/>
      <c r="G55" s="2" t="s">
        <v>791</v>
      </c>
      <c r="H55" s="2" t="s">
        <v>963</v>
      </c>
      <c r="I55" t="s">
        <v>764</v>
      </c>
      <c r="J55" s="8"/>
      <c r="K55" s="2"/>
      <c r="L55" s="2"/>
      <c r="M55" t="s">
        <v>764</v>
      </c>
      <c r="N55" s="8"/>
      <c r="O55" s="2"/>
      <c r="P55" s="2"/>
      <c r="Q55" t="s">
        <v>764</v>
      </c>
    </row>
    <row r="56" spans="2:17" x14ac:dyDescent="0.3">
      <c r="B56" s="8"/>
      <c r="C56" s="2" t="s">
        <v>835</v>
      </c>
      <c r="D56" s="2" t="s">
        <v>964</v>
      </c>
      <c r="E56" t="s">
        <v>764</v>
      </c>
      <c r="F56" s="8"/>
      <c r="G56" s="2" t="s">
        <v>792</v>
      </c>
      <c r="H56" s="2" t="s">
        <v>964</v>
      </c>
      <c r="I56" t="s">
        <v>764</v>
      </c>
      <c r="J56" s="8"/>
      <c r="K56" s="2"/>
      <c r="L56" s="2"/>
      <c r="M56" t="s">
        <v>764</v>
      </c>
      <c r="N56" s="8"/>
      <c r="O56" s="2"/>
      <c r="P56" s="2"/>
      <c r="Q56" t="s">
        <v>764</v>
      </c>
    </row>
    <row r="57" spans="2:17" x14ac:dyDescent="0.3">
      <c r="B57" s="8"/>
      <c r="C57" s="2" t="s">
        <v>836</v>
      </c>
      <c r="D57" s="2" t="s">
        <v>965</v>
      </c>
      <c r="E57" t="s">
        <v>764</v>
      </c>
      <c r="F57" s="8"/>
      <c r="G57" s="2" t="s">
        <v>793</v>
      </c>
      <c r="H57" s="2" t="s">
        <v>965</v>
      </c>
      <c r="I57" t="s">
        <v>764</v>
      </c>
      <c r="J57" s="8"/>
      <c r="K57" s="2"/>
      <c r="L57" s="2"/>
      <c r="M57" t="s">
        <v>764</v>
      </c>
      <c r="N57" s="8"/>
      <c r="O57" s="2"/>
      <c r="P57" s="2"/>
      <c r="Q57" t="s">
        <v>764</v>
      </c>
    </row>
    <row r="58" spans="2:17" x14ac:dyDescent="0.3">
      <c r="B58" s="8"/>
      <c r="C58" s="2" t="s">
        <v>950</v>
      </c>
      <c r="D58" s="2" t="s">
        <v>966</v>
      </c>
      <c r="E58" t="s">
        <v>764</v>
      </c>
      <c r="F58" s="8"/>
      <c r="G58" s="2" t="s">
        <v>980</v>
      </c>
      <c r="H58" s="2" t="s">
        <v>966</v>
      </c>
      <c r="I58" t="s">
        <v>764</v>
      </c>
      <c r="J58" s="8"/>
      <c r="K58" s="2"/>
      <c r="L58" s="2"/>
      <c r="M58" t="s">
        <v>764</v>
      </c>
      <c r="N58" s="8"/>
      <c r="O58" s="2"/>
      <c r="P58" s="2"/>
      <c r="Q58" t="s">
        <v>764</v>
      </c>
    </row>
    <row r="59" spans="2:17" x14ac:dyDescent="0.3">
      <c r="B59" s="8"/>
      <c r="C59" s="2" t="s">
        <v>951</v>
      </c>
      <c r="D59" s="2" t="s">
        <v>967</v>
      </c>
      <c r="E59" t="s">
        <v>764</v>
      </c>
      <c r="F59" s="8"/>
      <c r="G59" s="2" t="s">
        <v>981</v>
      </c>
      <c r="H59" s="2" t="s">
        <v>967</v>
      </c>
      <c r="I59" t="s">
        <v>764</v>
      </c>
      <c r="J59" s="8"/>
      <c r="K59" s="2"/>
      <c r="L59" s="2"/>
      <c r="M59" t="s">
        <v>764</v>
      </c>
      <c r="N59" s="8"/>
      <c r="O59" s="2"/>
      <c r="P59" s="2"/>
      <c r="Q59" t="s">
        <v>764</v>
      </c>
    </row>
    <row r="60" spans="2:17" x14ac:dyDescent="0.3">
      <c r="B60" s="8"/>
      <c r="C60" s="2" t="s">
        <v>837</v>
      </c>
      <c r="D60" s="2" t="s">
        <v>968</v>
      </c>
      <c r="E60" t="s">
        <v>764</v>
      </c>
      <c r="F60" s="8"/>
      <c r="G60" s="2" t="s">
        <v>794</v>
      </c>
      <c r="H60" s="2" t="s">
        <v>968</v>
      </c>
      <c r="I60" t="s">
        <v>764</v>
      </c>
      <c r="J60" s="8"/>
      <c r="K60" s="2"/>
      <c r="L60" s="2"/>
      <c r="M60" t="s">
        <v>764</v>
      </c>
      <c r="N60" s="8"/>
      <c r="O60" s="2"/>
      <c r="P60" s="2"/>
      <c r="Q60" t="s">
        <v>764</v>
      </c>
    </row>
    <row r="61" spans="2:17" x14ac:dyDescent="0.3">
      <c r="B61" s="8"/>
      <c r="C61" s="2" t="s">
        <v>838</v>
      </c>
      <c r="D61" s="2" t="s">
        <v>969</v>
      </c>
      <c r="E61" t="s">
        <v>764</v>
      </c>
      <c r="F61" s="8"/>
      <c r="G61" s="2" t="s">
        <v>795</v>
      </c>
      <c r="H61" s="2" t="s">
        <v>969</v>
      </c>
      <c r="I61" t="s">
        <v>764</v>
      </c>
      <c r="J61" s="8"/>
      <c r="K61" s="2"/>
      <c r="L61" s="2"/>
      <c r="M61" t="s">
        <v>764</v>
      </c>
      <c r="N61" s="8"/>
      <c r="O61" s="2"/>
      <c r="P61" s="2"/>
      <c r="Q61" t="s">
        <v>764</v>
      </c>
    </row>
    <row r="62" spans="2:17" x14ac:dyDescent="0.3">
      <c r="B62" s="8"/>
      <c r="C62" s="2" t="s">
        <v>839</v>
      </c>
      <c r="D62" s="2" t="s">
        <v>893</v>
      </c>
      <c r="E62" t="s">
        <v>764</v>
      </c>
      <c r="F62" s="8"/>
      <c r="G62" s="2" t="s">
        <v>796</v>
      </c>
      <c r="H62" s="2" t="s">
        <v>893</v>
      </c>
      <c r="I62" t="s">
        <v>764</v>
      </c>
      <c r="J62" s="8"/>
      <c r="K62" s="2"/>
      <c r="L62" s="2"/>
      <c r="M62" t="s">
        <v>764</v>
      </c>
      <c r="N62" s="8"/>
      <c r="O62" s="2"/>
      <c r="P62" s="2"/>
      <c r="Q62" t="s">
        <v>764</v>
      </c>
    </row>
    <row r="63" spans="2:17" x14ac:dyDescent="0.3">
      <c r="B63" s="8"/>
      <c r="C63" s="2" t="s">
        <v>840</v>
      </c>
      <c r="D63" s="2" t="s">
        <v>894</v>
      </c>
      <c r="E63" t="s">
        <v>764</v>
      </c>
      <c r="F63" s="8"/>
      <c r="G63" s="2" t="s">
        <v>797</v>
      </c>
      <c r="H63" s="2" t="s">
        <v>894</v>
      </c>
      <c r="I63" t="s">
        <v>764</v>
      </c>
      <c r="J63" s="8"/>
      <c r="K63" s="2"/>
      <c r="L63" s="2"/>
      <c r="M63" t="s">
        <v>764</v>
      </c>
      <c r="N63" s="8"/>
      <c r="O63" s="2"/>
      <c r="P63" s="2"/>
      <c r="Q63" t="s">
        <v>764</v>
      </c>
    </row>
    <row r="64" spans="2:17" x14ac:dyDescent="0.3">
      <c r="B64" s="8"/>
      <c r="C64" s="2" t="s">
        <v>841</v>
      </c>
      <c r="D64" s="2" t="s">
        <v>895</v>
      </c>
      <c r="E64" t="s">
        <v>764</v>
      </c>
      <c r="F64" s="8"/>
      <c r="G64" s="2" t="s">
        <v>798</v>
      </c>
      <c r="H64" s="2" t="s">
        <v>895</v>
      </c>
      <c r="I64" t="s">
        <v>764</v>
      </c>
      <c r="J64" s="8"/>
      <c r="K64" s="2"/>
      <c r="L64" s="2"/>
      <c r="M64" t="s">
        <v>764</v>
      </c>
      <c r="N64" s="8"/>
      <c r="O64" s="2"/>
      <c r="P64" s="2"/>
      <c r="Q64" t="s">
        <v>764</v>
      </c>
    </row>
    <row r="65" spans="2:17" x14ac:dyDescent="0.3">
      <c r="B65" s="8"/>
      <c r="C65" s="2" t="s">
        <v>666</v>
      </c>
      <c r="D65" s="2" t="s">
        <v>896</v>
      </c>
      <c r="E65" t="s">
        <v>764</v>
      </c>
      <c r="F65" s="8"/>
      <c r="G65" s="2" t="s">
        <v>730</v>
      </c>
      <c r="H65" s="2" t="s">
        <v>896</v>
      </c>
      <c r="I65" t="s">
        <v>764</v>
      </c>
      <c r="J65" s="8"/>
      <c r="K65" s="2"/>
      <c r="L65" s="2"/>
      <c r="M65" t="s">
        <v>764</v>
      </c>
      <c r="N65" s="8"/>
      <c r="O65" s="2"/>
      <c r="P65" s="2"/>
      <c r="Q65" t="s">
        <v>764</v>
      </c>
    </row>
    <row r="66" spans="2:17" x14ac:dyDescent="0.3">
      <c r="B66" s="8"/>
      <c r="C66" s="2" t="s">
        <v>842</v>
      </c>
      <c r="D66" s="2" t="s">
        <v>897</v>
      </c>
      <c r="E66" t="s">
        <v>764</v>
      </c>
      <c r="F66" s="8"/>
      <c r="G66" s="2" t="s">
        <v>799</v>
      </c>
      <c r="H66" s="2" t="s">
        <v>897</v>
      </c>
      <c r="I66" t="s">
        <v>764</v>
      </c>
      <c r="J66" s="8"/>
      <c r="K66" s="2"/>
      <c r="L66" s="2"/>
      <c r="M66" t="s">
        <v>764</v>
      </c>
      <c r="N66" s="8"/>
      <c r="O66" s="2"/>
      <c r="P66" s="2"/>
      <c r="Q66" t="s">
        <v>764</v>
      </c>
    </row>
    <row r="67" spans="2:17" x14ac:dyDescent="0.3">
      <c r="B67" s="8"/>
      <c r="C67" s="2" t="s">
        <v>667</v>
      </c>
      <c r="D67" s="2" t="s">
        <v>898</v>
      </c>
      <c r="E67" t="s">
        <v>764</v>
      </c>
      <c r="F67" s="8"/>
      <c r="G67" s="2" t="s">
        <v>731</v>
      </c>
      <c r="H67" s="2" t="s">
        <v>898</v>
      </c>
      <c r="I67" t="s">
        <v>764</v>
      </c>
      <c r="J67" s="8"/>
      <c r="K67" s="2"/>
      <c r="L67" s="2"/>
      <c r="M67" t="s">
        <v>764</v>
      </c>
      <c r="N67" s="8"/>
      <c r="O67" s="2"/>
      <c r="P67" s="2"/>
      <c r="Q67" t="s">
        <v>764</v>
      </c>
    </row>
    <row r="68" spans="2:17" x14ac:dyDescent="0.3">
      <c r="B68" s="8"/>
      <c r="C68" s="2" t="s">
        <v>843</v>
      </c>
      <c r="D68" s="2" t="s">
        <v>899</v>
      </c>
      <c r="E68" t="s">
        <v>764</v>
      </c>
      <c r="F68" s="8"/>
      <c r="G68" s="2" t="s">
        <v>800</v>
      </c>
      <c r="H68" s="2" t="s">
        <v>899</v>
      </c>
      <c r="I68" t="s">
        <v>764</v>
      </c>
      <c r="J68" s="8"/>
      <c r="K68" s="2"/>
      <c r="L68" s="2"/>
      <c r="M68" t="s">
        <v>764</v>
      </c>
      <c r="N68" s="8"/>
      <c r="O68" s="2"/>
      <c r="P68" s="2"/>
      <c r="Q68" t="s">
        <v>764</v>
      </c>
    </row>
    <row r="69" spans="2:17" x14ac:dyDescent="0.3">
      <c r="B69" s="8"/>
      <c r="C69" s="2" t="s">
        <v>952</v>
      </c>
      <c r="D69" s="2" t="s">
        <v>970</v>
      </c>
      <c r="E69" t="s">
        <v>764</v>
      </c>
      <c r="F69" s="8"/>
      <c r="G69" s="2" t="s">
        <v>982</v>
      </c>
      <c r="H69" s="2" t="s">
        <v>970</v>
      </c>
      <c r="I69" t="s">
        <v>764</v>
      </c>
      <c r="J69" s="8"/>
      <c r="K69" s="2"/>
      <c r="L69" s="2"/>
      <c r="M69" t="s">
        <v>764</v>
      </c>
      <c r="N69" s="8"/>
      <c r="O69" s="2"/>
      <c r="P69" s="2"/>
      <c r="Q69" t="s">
        <v>764</v>
      </c>
    </row>
    <row r="70" spans="2:17" x14ac:dyDescent="0.3">
      <c r="B70" s="8"/>
      <c r="C70" s="2" t="s">
        <v>953</v>
      </c>
      <c r="D70" s="2" t="s">
        <v>971</v>
      </c>
      <c r="E70" t="s">
        <v>764</v>
      </c>
      <c r="F70" s="8"/>
      <c r="G70" s="2" t="s">
        <v>983</v>
      </c>
      <c r="H70" s="2" t="s">
        <v>971</v>
      </c>
      <c r="I70" t="s">
        <v>764</v>
      </c>
      <c r="J70" s="8"/>
      <c r="K70" s="2"/>
      <c r="L70" s="2"/>
      <c r="M70" t="s">
        <v>764</v>
      </c>
      <c r="N70" s="8"/>
      <c r="O70" s="2"/>
      <c r="P70" s="2"/>
      <c r="Q70" t="s">
        <v>764</v>
      </c>
    </row>
    <row r="71" spans="2:17" x14ac:dyDescent="0.3">
      <c r="B71" s="8"/>
      <c r="C71" s="2" t="s">
        <v>954</v>
      </c>
      <c r="D71" s="2" t="s">
        <v>972</v>
      </c>
      <c r="E71" t="s">
        <v>764</v>
      </c>
      <c r="F71" s="8"/>
      <c r="G71" s="2" t="s">
        <v>984</v>
      </c>
      <c r="H71" s="2" t="s">
        <v>972</v>
      </c>
      <c r="I71" t="s">
        <v>764</v>
      </c>
      <c r="J71" s="8"/>
      <c r="K71" s="2"/>
      <c r="L71" s="2"/>
      <c r="M71" t="s">
        <v>764</v>
      </c>
      <c r="N71" s="8"/>
      <c r="O71" s="2"/>
      <c r="P71" s="2"/>
      <c r="Q71" t="s">
        <v>764</v>
      </c>
    </row>
    <row r="72" spans="2:17" x14ac:dyDescent="0.3">
      <c r="B72" s="8"/>
      <c r="C72" s="2" t="s">
        <v>668</v>
      </c>
      <c r="D72" s="2" t="s">
        <v>900</v>
      </c>
      <c r="E72" t="s">
        <v>764</v>
      </c>
      <c r="F72" s="8"/>
      <c r="G72" s="2" t="s">
        <v>732</v>
      </c>
      <c r="H72" s="2" t="s">
        <v>900</v>
      </c>
      <c r="I72" t="s">
        <v>764</v>
      </c>
      <c r="J72" s="8"/>
      <c r="K72" s="2"/>
      <c r="L72" s="2"/>
      <c r="M72" t="s">
        <v>764</v>
      </c>
      <c r="N72" s="8"/>
      <c r="O72" s="2"/>
      <c r="P72" s="2"/>
      <c r="Q72" t="s">
        <v>764</v>
      </c>
    </row>
    <row r="73" spans="2:17" x14ac:dyDescent="0.3">
      <c r="B73" s="8"/>
      <c r="C73" s="2" t="s">
        <v>844</v>
      </c>
      <c r="D73" s="2" t="s">
        <v>901</v>
      </c>
      <c r="E73" t="s">
        <v>764</v>
      </c>
      <c r="F73" s="8"/>
      <c r="G73" s="2" t="s">
        <v>801</v>
      </c>
      <c r="H73" s="2" t="s">
        <v>901</v>
      </c>
      <c r="I73" t="s">
        <v>764</v>
      </c>
      <c r="J73" s="8"/>
      <c r="K73" s="2"/>
      <c r="L73" s="2"/>
      <c r="M73" t="s">
        <v>764</v>
      </c>
      <c r="N73" s="8"/>
      <c r="O73" s="2"/>
      <c r="P73" s="2"/>
      <c r="Q73" t="s">
        <v>764</v>
      </c>
    </row>
    <row r="74" spans="2:17" x14ac:dyDescent="0.3">
      <c r="B74" s="8"/>
      <c r="C74" s="2" t="s">
        <v>845</v>
      </c>
      <c r="D74" s="2" t="s">
        <v>902</v>
      </c>
      <c r="E74" t="s">
        <v>764</v>
      </c>
      <c r="F74" s="8"/>
      <c r="G74" s="2" t="s">
        <v>802</v>
      </c>
      <c r="H74" s="2" t="s">
        <v>902</v>
      </c>
      <c r="I74" t="s">
        <v>764</v>
      </c>
      <c r="J74" s="8"/>
      <c r="K74" s="2"/>
      <c r="L74" s="2"/>
      <c r="M74" t="s">
        <v>764</v>
      </c>
      <c r="N74" s="8"/>
      <c r="O74" s="2"/>
      <c r="P74" s="2"/>
      <c r="Q74" t="s">
        <v>764</v>
      </c>
    </row>
    <row r="75" spans="2:17" x14ac:dyDescent="0.3">
      <c r="B75" s="8"/>
      <c r="C75" s="2" t="s">
        <v>669</v>
      </c>
      <c r="D75" s="2" t="s">
        <v>903</v>
      </c>
      <c r="E75" t="s">
        <v>764</v>
      </c>
      <c r="F75" s="8"/>
      <c r="G75" s="2" t="s">
        <v>733</v>
      </c>
      <c r="H75" s="2" t="s">
        <v>903</v>
      </c>
      <c r="I75" t="s">
        <v>764</v>
      </c>
      <c r="J75" s="8"/>
      <c r="K75" s="2"/>
      <c r="L75" s="2"/>
      <c r="M75" t="s">
        <v>764</v>
      </c>
      <c r="N75" s="8"/>
      <c r="O75" s="2"/>
      <c r="P75" s="2"/>
      <c r="Q75" t="s">
        <v>764</v>
      </c>
    </row>
    <row r="76" spans="2:17" x14ac:dyDescent="0.3">
      <c r="B76" s="8"/>
      <c r="C76" s="2" t="s">
        <v>846</v>
      </c>
      <c r="D76" s="2" t="s">
        <v>973</v>
      </c>
      <c r="E76" t="s">
        <v>764</v>
      </c>
      <c r="F76" s="8"/>
      <c r="G76" s="2" t="s">
        <v>803</v>
      </c>
      <c r="H76" s="2" t="s">
        <v>973</v>
      </c>
      <c r="I76" t="s">
        <v>764</v>
      </c>
      <c r="J76" s="8"/>
      <c r="K76" s="2"/>
      <c r="L76" s="2"/>
      <c r="M76" t="s">
        <v>764</v>
      </c>
      <c r="N76" s="8"/>
      <c r="O76" s="2"/>
      <c r="P76" s="2"/>
      <c r="Q76" t="s">
        <v>764</v>
      </c>
    </row>
    <row r="77" spans="2:17" x14ac:dyDescent="0.3">
      <c r="B77" s="8"/>
      <c r="C77" s="2" t="s">
        <v>847</v>
      </c>
      <c r="D77" s="2" t="s">
        <v>904</v>
      </c>
      <c r="E77" t="s">
        <v>764</v>
      </c>
      <c r="F77" s="8"/>
      <c r="G77" s="2" t="s">
        <v>804</v>
      </c>
      <c r="H77" s="2" t="s">
        <v>904</v>
      </c>
      <c r="I77" t="s">
        <v>764</v>
      </c>
      <c r="J77" s="8"/>
      <c r="K77" s="2"/>
      <c r="L77" s="2"/>
      <c r="M77" t="s">
        <v>764</v>
      </c>
      <c r="N77" s="8"/>
      <c r="O77" s="2"/>
      <c r="P77" s="2"/>
      <c r="Q77" t="s">
        <v>764</v>
      </c>
    </row>
    <row r="78" spans="2:17" x14ac:dyDescent="0.3">
      <c r="B78" s="8"/>
      <c r="C78" s="2" t="s">
        <v>848</v>
      </c>
      <c r="D78" s="2" t="s">
        <v>905</v>
      </c>
      <c r="E78" t="s">
        <v>764</v>
      </c>
      <c r="F78" s="8"/>
      <c r="G78" s="2" t="s">
        <v>805</v>
      </c>
      <c r="H78" s="2" t="s">
        <v>905</v>
      </c>
      <c r="I78" t="s">
        <v>764</v>
      </c>
      <c r="J78" s="8"/>
      <c r="K78" s="2"/>
      <c r="L78" s="2"/>
      <c r="M78" t="s">
        <v>764</v>
      </c>
      <c r="N78" s="8"/>
      <c r="O78" s="2"/>
      <c r="P78" s="2"/>
      <c r="Q78" t="s">
        <v>764</v>
      </c>
    </row>
    <row r="79" spans="2:17" x14ac:dyDescent="0.3">
      <c r="B79" s="8"/>
      <c r="C79" s="2" t="s">
        <v>670</v>
      </c>
      <c r="D79" s="2" t="s">
        <v>906</v>
      </c>
      <c r="E79" t="s">
        <v>764</v>
      </c>
      <c r="F79" s="8"/>
      <c r="G79" s="2" t="s">
        <v>734</v>
      </c>
      <c r="H79" s="2" t="s">
        <v>906</v>
      </c>
      <c r="I79" t="s">
        <v>764</v>
      </c>
      <c r="J79" s="8"/>
      <c r="K79" s="2"/>
      <c r="L79" s="2"/>
      <c r="M79" t="s">
        <v>764</v>
      </c>
      <c r="N79" s="8"/>
      <c r="O79" s="2"/>
      <c r="P79" s="2"/>
      <c r="Q79" t="s">
        <v>764</v>
      </c>
    </row>
    <row r="80" spans="2:17" x14ac:dyDescent="0.3">
      <c r="B80" s="8"/>
      <c r="C80" s="2" t="s">
        <v>671</v>
      </c>
      <c r="D80" s="2" t="s">
        <v>698</v>
      </c>
      <c r="E80" t="s">
        <v>764</v>
      </c>
      <c r="F80" s="8"/>
      <c r="G80" s="2" t="s">
        <v>735</v>
      </c>
      <c r="H80" s="2" t="s">
        <v>698</v>
      </c>
      <c r="I80" t="s">
        <v>764</v>
      </c>
      <c r="J80" s="8"/>
      <c r="K80" s="2"/>
      <c r="L80" s="2"/>
      <c r="M80" t="s">
        <v>764</v>
      </c>
      <c r="N80" s="8"/>
      <c r="O80" s="2"/>
      <c r="P80" s="2"/>
      <c r="Q80" t="s">
        <v>764</v>
      </c>
    </row>
    <row r="81" spans="2:17" x14ac:dyDescent="0.3">
      <c r="B81" s="8"/>
      <c r="C81" s="2" t="s">
        <v>672</v>
      </c>
      <c r="D81" s="2" t="s">
        <v>974</v>
      </c>
      <c r="E81" t="s">
        <v>764</v>
      </c>
      <c r="F81" s="8"/>
      <c r="G81" s="2" t="s">
        <v>736</v>
      </c>
      <c r="H81" s="2" t="s">
        <v>974</v>
      </c>
      <c r="I81" t="s">
        <v>764</v>
      </c>
      <c r="J81" s="8"/>
      <c r="K81" s="2"/>
      <c r="L81" s="2"/>
      <c r="M81" t="s">
        <v>764</v>
      </c>
      <c r="N81" s="8"/>
      <c r="O81" s="2"/>
      <c r="P81" s="2"/>
      <c r="Q81" t="s">
        <v>764</v>
      </c>
    </row>
    <row r="82" spans="2:17" x14ac:dyDescent="0.3">
      <c r="B82" s="8"/>
      <c r="C82" s="2" t="s">
        <v>673</v>
      </c>
      <c r="D82" s="2" t="s">
        <v>908</v>
      </c>
      <c r="E82" t="s">
        <v>764</v>
      </c>
      <c r="F82" s="8"/>
      <c r="G82" s="2" t="s">
        <v>737</v>
      </c>
      <c r="H82" s="2" t="s">
        <v>908</v>
      </c>
      <c r="I82" t="s">
        <v>764</v>
      </c>
      <c r="J82" s="8"/>
      <c r="K82" s="2"/>
      <c r="L82" s="2"/>
      <c r="M82" t="s">
        <v>764</v>
      </c>
      <c r="N82" s="8"/>
      <c r="O82" s="2"/>
      <c r="P82" s="2"/>
      <c r="Q82" t="s">
        <v>764</v>
      </c>
    </row>
    <row r="83" spans="2:17" x14ac:dyDescent="0.3">
      <c r="B83" s="8"/>
      <c r="C83" s="2" t="s">
        <v>849</v>
      </c>
      <c r="D83" s="2" t="s">
        <v>907</v>
      </c>
      <c r="E83" t="s">
        <v>764</v>
      </c>
      <c r="F83" s="8"/>
      <c r="G83" s="2" t="s">
        <v>806</v>
      </c>
      <c r="H83" s="2" t="s">
        <v>907</v>
      </c>
      <c r="I83" t="s">
        <v>764</v>
      </c>
      <c r="J83" s="8"/>
      <c r="K83" s="2"/>
      <c r="L83" s="2"/>
      <c r="M83" t="s">
        <v>764</v>
      </c>
      <c r="N83" s="8"/>
      <c r="O83" s="2"/>
      <c r="P83" s="2"/>
      <c r="Q83" t="s">
        <v>764</v>
      </c>
    </row>
    <row r="84" spans="2:17" x14ac:dyDescent="0.3">
      <c r="B84" s="8"/>
      <c r="C84" s="2" t="s">
        <v>850</v>
      </c>
      <c r="D84" s="2" t="s">
        <v>975</v>
      </c>
      <c r="E84" t="s">
        <v>764</v>
      </c>
      <c r="F84" s="8"/>
      <c r="G84" s="2" t="s">
        <v>807</v>
      </c>
      <c r="H84" s="2" t="s">
        <v>975</v>
      </c>
      <c r="I84" t="s">
        <v>764</v>
      </c>
      <c r="J84" s="8"/>
      <c r="K84" s="2"/>
      <c r="L84" s="2"/>
      <c r="M84" t="s">
        <v>764</v>
      </c>
      <c r="N84" s="8"/>
      <c r="O84" s="2"/>
      <c r="P84" s="2"/>
      <c r="Q84" t="s">
        <v>764</v>
      </c>
    </row>
    <row r="85" spans="2:17" x14ac:dyDescent="0.3">
      <c r="B85" s="8"/>
      <c r="C85" s="2" t="s">
        <v>674</v>
      </c>
      <c r="D85" s="2" t="s">
        <v>699</v>
      </c>
      <c r="E85" t="s">
        <v>764</v>
      </c>
      <c r="F85" s="8"/>
      <c r="G85" s="2" t="s">
        <v>738</v>
      </c>
      <c r="H85" s="2" t="s">
        <v>699</v>
      </c>
      <c r="I85" t="s">
        <v>764</v>
      </c>
      <c r="J85" s="8"/>
      <c r="K85" s="2"/>
      <c r="L85" s="2"/>
      <c r="M85" t="s">
        <v>764</v>
      </c>
      <c r="N85" s="8"/>
      <c r="O85" s="2"/>
      <c r="P85" s="2"/>
      <c r="Q85" t="s">
        <v>764</v>
      </c>
    </row>
    <row r="86" spans="2:17" x14ac:dyDescent="0.3">
      <c r="B86" s="8"/>
      <c r="C86" s="2" t="s">
        <v>675</v>
      </c>
      <c r="D86" s="2" t="s">
        <v>700</v>
      </c>
      <c r="E86" t="s">
        <v>764</v>
      </c>
      <c r="F86" s="8"/>
      <c r="G86" s="2" t="s">
        <v>739</v>
      </c>
      <c r="H86" s="2" t="s">
        <v>700</v>
      </c>
      <c r="I86" t="s">
        <v>764</v>
      </c>
      <c r="J86" s="8"/>
      <c r="K86" s="2"/>
      <c r="L86" s="2"/>
      <c r="M86" t="s">
        <v>764</v>
      </c>
      <c r="N86" s="8"/>
      <c r="O86" s="2"/>
      <c r="P86" s="2"/>
      <c r="Q86" t="s">
        <v>764</v>
      </c>
    </row>
    <row r="87" spans="2:17" x14ac:dyDescent="0.3">
      <c r="B87" s="8"/>
      <c r="C87" s="2" t="s">
        <v>676</v>
      </c>
      <c r="D87" s="2" t="s">
        <v>701</v>
      </c>
      <c r="E87" t="s">
        <v>764</v>
      </c>
      <c r="F87" s="8"/>
      <c r="G87" s="2" t="s">
        <v>740</v>
      </c>
      <c r="H87" s="2" t="s">
        <v>701</v>
      </c>
      <c r="I87" t="s">
        <v>764</v>
      </c>
      <c r="J87" s="8"/>
      <c r="K87" s="2"/>
      <c r="L87" s="2"/>
      <c r="M87" t="s">
        <v>764</v>
      </c>
      <c r="N87" s="8"/>
      <c r="O87" s="2"/>
      <c r="P87" s="2"/>
      <c r="Q87" t="s">
        <v>764</v>
      </c>
    </row>
    <row r="88" spans="2:17" x14ac:dyDescent="0.3">
      <c r="B88" s="8"/>
      <c r="C88" s="2" t="s">
        <v>677</v>
      </c>
      <c r="D88" s="2" t="s">
        <v>702</v>
      </c>
      <c r="E88" t="s">
        <v>764</v>
      </c>
      <c r="F88" s="8"/>
      <c r="G88" s="2" t="s">
        <v>741</v>
      </c>
      <c r="H88" s="2" t="s">
        <v>702</v>
      </c>
      <c r="I88" t="s">
        <v>764</v>
      </c>
      <c r="J88" s="8"/>
      <c r="K88" s="2"/>
      <c r="L88" s="2"/>
      <c r="M88" t="s">
        <v>764</v>
      </c>
      <c r="N88" s="8"/>
      <c r="O88" s="2"/>
      <c r="P88" s="2"/>
      <c r="Q88" t="s">
        <v>764</v>
      </c>
    </row>
    <row r="89" spans="2:17" x14ac:dyDescent="0.3">
      <c r="B89" s="8"/>
      <c r="C89" s="2" t="s">
        <v>678</v>
      </c>
      <c r="D89" s="2" t="s">
        <v>703</v>
      </c>
      <c r="E89" t="s">
        <v>764</v>
      </c>
      <c r="F89" s="8"/>
      <c r="G89" s="2" t="s">
        <v>742</v>
      </c>
      <c r="H89" s="2" t="s">
        <v>703</v>
      </c>
      <c r="I89" t="s">
        <v>764</v>
      </c>
      <c r="J89" s="8"/>
      <c r="K89" s="2"/>
      <c r="L89" s="2"/>
      <c r="M89" t="s">
        <v>764</v>
      </c>
      <c r="N89" s="8"/>
      <c r="O89" s="2"/>
      <c r="P89" s="2"/>
      <c r="Q89" t="s">
        <v>764</v>
      </c>
    </row>
    <row r="90" spans="2:17" x14ac:dyDescent="0.3">
      <c r="B90" s="8"/>
      <c r="C90" s="2" t="s">
        <v>679</v>
      </c>
      <c r="D90" s="2" t="s">
        <v>704</v>
      </c>
      <c r="E90" t="s">
        <v>764</v>
      </c>
      <c r="F90" s="8"/>
      <c r="G90" s="2" t="s">
        <v>743</v>
      </c>
      <c r="H90" s="2" t="s">
        <v>704</v>
      </c>
      <c r="I90" t="s">
        <v>764</v>
      </c>
      <c r="J90" s="8"/>
      <c r="K90" s="2"/>
      <c r="L90" s="2"/>
      <c r="M90" t="s">
        <v>764</v>
      </c>
      <c r="N90" s="8"/>
      <c r="O90" s="2"/>
      <c r="P90" s="2"/>
      <c r="Q90" t="s">
        <v>764</v>
      </c>
    </row>
    <row r="91" spans="2:17" x14ac:dyDescent="0.3">
      <c r="B91" s="8"/>
      <c r="C91" s="2" t="s">
        <v>680</v>
      </c>
      <c r="D91" s="2" t="s">
        <v>909</v>
      </c>
      <c r="E91" t="s">
        <v>764</v>
      </c>
      <c r="F91" s="8"/>
      <c r="G91" s="2" t="s">
        <v>744</v>
      </c>
      <c r="H91" s="2" t="s">
        <v>909</v>
      </c>
      <c r="I91" t="s">
        <v>764</v>
      </c>
      <c r="J91" s="8"/>
      <c r="K91" s="2"/>
      <c r="L91" s="2"/>
      <c r="M91" t="s">
        <v>764</v>
      </c>
      <c r="N91" s="8"/>
      <c r="O91" s="2"/>
      <c r="P91" s="2"/>
      <c r="Q91" t="s">
        <v>764</v>
      </c>
    </row>
    <row r="92" spans="2:17" x14ac:dyDescent="0.3">
      <c r="B92" s="8"/>
      <c r="C92" s="2" t="s">
        <v>851</v>
      </c>
      <c r="D92" s="2" t="s">
        <v>910</v>
      </c>
      <c r="E92" t="s">
        <v>764</v>
      </c>
      <c r="F92" s="8"/>
      <c r="G92" s="2" t="s">
        <v>808</v>
      </c>
      <c r="H92" s="2" t="s">
        <v>910</v>
      </c>
      <c r="I92" t="s">
        <v>764</v>
      </c>
      <c r="J92" s="8"/>
      <c r="K92" s="2"/>
      <c r="L92" s="2"/>
      <c r="M92" t="s">
        <v>764</v>
      </c>
      <c r="N92" s="8"/>
      <c r="O92" s="2"/>
      <c r="P92" s="2"/>
      <c r="Q92" t="s">
        <v>764</v>
      </c>
    </row>
    <row r="93" spans="2:17" x14ac:dyDescent="0.3">
      <c r="B93" s="8"/>
      <c r="C93" s="2" t="s">
        <v>681</v>
      </c>
      <c r="D93" s="2" t="s">
        <v>705</v>
      </c>
      <c r="E93" t="s">
        <v>764</v>
      </c>
      <c r="F93" s="8"/>
      <c r="G93" s="2" t="s">
        <v>745</v>
      </c>
      <c r="H93" s="2" t="s">
        <v>705</v>
      </c>
      <c r="I93" t="s">
        <v>764</v>
      </c>
      <c r="J93" s="8"/>
      <c r="K93" s="2"/>
      <c r="L93" s="2"/>
      <c r="M93" t="s">
        <v>764</v>
      </c>
      <c r="N93" s="8"/>
      <c r="O93" s="2"/>
      <c r="P93" s="2"/>
      <c r="Q93" t="s">
        <v>764</v>
      </c>
    </row>
    <row r="94" spans="2:17" x14ac:dyDescent="0.3">
      <c r="B94" s="8"/>
      <c r="C94" s="2" t="s">
        <v>682</v>
      </c>
      <c r="D94" s="2" t="s">
        <v>706</v>
      </c>
      <c r="E94" t="s">
        <v>764</v>
      </c>
      <c r="F94" s="8"/>
      <c r="G94" s="2" t="s">
        <v>746</v>
      </c>
      <c r="H94" s="2" t="s">
        <v>706</v>
      </c>
      <c r="I94" t="s">
        <v>764</v>
      </c>
      <c r="J94" s="8"/>
      <c r="K94" s="2"/>
      <c r="L94" s="2"/>
      <c r="M94" t="s">
        <v>764</v>
      </c>
      <c r="N94" s="8"/>
      <c r="O94" s="2"/>
      <c r="P94" s="2"/>
      <c r="Q94" t="s">
        <v>764</v>
      </c>
    </row>
    <row r="95" spans="2:17" x14ac:dyDescent="0.3">
      <c r="B95" s="8"/>
      <c r="C95" s="2" t="s">
        <v>683</v>
      </c>
      <c r="D95" s="2" t="s">
        <v>707</v>
      </c>
      <c r="E95" t="s">
        <v>764</v>
      </c>
      <c r="F95" s="8"/>
      <c r="G95" s="2" t="s">
        <v>747</v>
      </c>
      <c r="H95" s="2" t="s">
        <v>707</v>
      </c>
      <c r="I95" t="s">
        <v>764</v>
      </c>
      <c r="J95" s="8"/>
      <c r="K95" s="2"/>
      <c r="L95" s="2"/>
      <c r="M95" t="s">
        <v>764</v>
      </c>
      <c r="N95" s="8"/>
      <c r="O95" s="2"/>
      <c r="P95" s="2"/>
      <c r="Q95" t="s">
        <v>764</v>
      </c>
    </row>
    <row r="96" spans="2:17" x14ac:dyDescent="0.3">
      <c r="B96" s="8"/>
      <c r="C96" s="2" t="s">
        <v>684</v>
      </c>
      <c r="D96" s="2" t="s">
        <v>708</v>
      </c>
      <c r="E96" t="s">
        <v>764</v>
      </c>
      <c r="F96" s="8"/>
      <c r="G96" s="2" t="s">
        <v>748</v>
      </c>
      <c r="H96" s="2" t="s">
        <v>708</v>
      </c>
      <c r="I96" t="s">
        <v>764</v>
      </c>
      <c r="J96" s="8"/>
      <c r="K96" s="2"/>
      <c r="L96" s="2"/>
      <c r="M96" t="s">
        <v>764</v>
      </c>
      <c r="N96" s="8"/>
      <c r="O96" s="2"/>
      <c r="P96" s="2"/>
      <c r="Q96" t="s">
        <v>764</v>
      </c>
    </row>
    <row r="97" spans="2:17" x14ac:dyDescent="0.3">
      <c r="B97" s="8"/>
      <c r="C97" s="2" t="s">
        <v>685</v>
      </c>
      <c r="D97" s="2" t="s">
        <v>709</v>
      </c>
      <c r="E97" t="s">
        <v>764</v>
      </c>
      <c r="F97" s="8"/>
      <c r="G97" s="2" t="s">
        <v>749</v>
      </c>
      <c r="H97" s="2" t="s">
        <v>709</v>
      </c>
      <c r="I97" t="s">
        <v>764</v>
      </c>
      <c r="J97" s="8"/>
      <c r="K97" s="2"/>
      <c r="L97" s="2"/>
      <c r="M97" t="s">
        <v>764</v>
      </c>
      <c r="N97" s="8"/>
      <c r="O97" s="2"/>
      <c r="P97" s="2"/>
      <c r="Q97" t="s">
        <v>764</v>
      </c>
    </row>
    <row r="98" spans="2:17" x14ac:dyDescent="0.3">
      <c r="B98" s="8"/>
      <c r="C98" s="2" t="s">
        <v>686</v>
      </c>
      <c r="D98" s="2" t="s">
        <v>710</v>
      </c>
      <c r="E98" t="s">
        <v>764</v>
      </c>
      <c r="F98" s="8"/>
      <c r="G98" s="2" t="s">
        <v>750</v>
      </c>
      <c r="H98" s="2" t="s">
        <v>710</v>
      </c>
      <c r="I98" t="s">
        <v>764</v>
      </c>
      <c r="J98" s="8"/>
      <c r="K98" s="2"/>
      <c r="L98" s="2"/>
      <c r="M98" t="s">
        <v>764</v>
      </c>
      <c r="N98" s="8"/>
      <c r="O98" s="2"/>
      <c r="P98" s="2"/>
      <c r="Q98" t="s">
        <v>764</v>
      </c>
    </row>
    <row r="99" spans="2:17" x14ac:dyDescent="0.3">
      <c r="B99" s="8"/>
      <c r="C99" s="2" t="s">
        <v>687</v>
      </c>
      <c r="D99" s="2" t="s">
        <v>711</v>
      </c>
      <c r="E99" t="s">
        <v>764</v>
      </c>
      <c r="F99" s="8"/>
      <c r="G99" s="2" t="s">
        <v>751</v>
      </c>
      <c r="H99" s="2" t="s">
        <v>711</v>
      </c>
      <c r="I99" t="s">
        <v>764</v>
      </c>
      <c r="J99" s="8"/>
      <c r="K99" s="2"/>
      <c r="L99" s="2"/>
      <c r="M99" t="s">
        <v>764</v>
      </c>
      <c r="N99" s="8"/>
      <c r="O99" s="2"/>
      <c r="P99" s="2"/>
      <c r="Q99" t="s">
        <v>764</v>
      </c>
    </row>
    <row r="100" spans="2:17" x14ac:dyDescent="0.3">
      <c r="B100" s="8"/>
      <c r="C100" s="2" t="s">
        <v>688</v>
      </c>
      <c r="D100" s="2" t="s">
        <v>712</v>
      </c>
      <c r="E100" t="s">
        <v>764</v>
      </c>
      <c r="F100" s="8"/>
      <c r="G100" s="2" t="s">
        <v>752</v>
      </c>
      <c r="H100" s="2" t="s">
        <v>712</v>
      </c>
      <c r="I100" t="s">
        <v>764</v>
      </c>
      <c r="J100" s="8"/>
      <c r="K100" s="2"/>
      <c r="L100" s="2"/>
      <c r="M100" t="s">
        <v>764</v>
      </c>
      <c r="N100" s="8"/>
      <c r="O100" s="2"/>
      <c r="P100" s="2"/>
      <c r="Q100" t="s">
        <v>764</v>
      </c>
    </row>
    <row r="101" spans="2:17" x14ac:dyDescent="0.3">
      <c r="B101" s="8"/>
      <c r="C101" s="2"/>
      <c r="D101" s="2"/>
      <c r="E101" t="s">
        <v>764</v>
      </c>
      <c r="F101" s="8"/>
      <c r="G101" s="2"/>
      <c r="H101" s="2"/>
      <c r="I101" t="s">
        <v>764</v>
      </c>
      <c r="J101" s="8"/>
      <c r="K101" s="2"/>
      <c r="L101" s="2"/>
      <c r="M101" t="s">
        <v>764</v>
      </c>
      <c r="N101" s="8"/>
      <c r="O101" s="2"/>
      <c r="P101" s="2"/>
      <c r="Q101" t="s">
        <v>764</v>
      </c>
    </row>
    <row r="102" spans="2:17" x14ac:dyDescent="0.3">
      <c r="B102" s="8"/>
      <c r="C102" s="2"/>
      <c r="D102" s="2"/>
      <c r="E102" t="s">
        <v>764</v>
      </c>
      <c r="F102" s="8"/>
      <c r="G102" s="2"/>
      <c r="H102" s="2"/>
      <c r="I102" t="s">
        <v>764</v>
      </c>
      <c r="J102" s="8"/>
      <c r="K102" s="2"/>
      <c r="L102" s="2"/>
      <c r="M102" t="s">
        <v>764</v>
      </c>
      <c r="N102" s="8"/>
      <c r="O102" s="2"/>
      <c r="P102" s="2"/>
      <c r="Q102" t="s">
        <v>764</v>
      </c>
    </row>
    <row r="103" spans="2:17" x14ac:dyDescent="0.3">
      <c r="B103" s="8"/>
      <c r="C103" s="2"/>
      <c r="D103" s="2"/>
      <c r="E103" t="s">
        <v>764</v>
      </c>
      <c r="F103" s="8"/>
      <c r="G103" s="2"/>
      <c r="H103" s="2"/>
      <c r="I103" t="s">
        <v>764</v>
      </c>
      <c r="J103" s="8"/>
      <c r="K103" s="2"/>
      <c r="L103" s="2"/>
      <c r="M103" t="s">
        <v>764</v>
      </c>
      <c r="N103" s="8"/>
      <c r="O103" s="2"/>
      <c r="P103" s="2"/>
      <c r="Q103" t="s">
        <v>764</v>
      </c>
    </row>
    <row r="104" spans="2:17" x14ac:dyDescent="0.3">
      <c r="B104" s="8"/>
      <c r="C104" s="2"/>
      <c r="D104" s="2"/>
      <c r="E104" t="s">
        <v>764</v>
      </c>
      <c r="F104" s="8"/>
      <c r="G104" s="2"/>
      <c r="H104" s="2"/>
      <c r="I104" t="s">
        <v>764</v>
      </c>
      <c r="J104" s="8"/>
      <c r="K104" s="2"/>
      <c r="L104" s="2"/>
      <c r="M104" t="s">
        <v>764</v>
      </c>
      <c r="N104" s="8"/>
      <c r="O104" s="2"/>
      <c r="P104" s="2"/>
      <c r="Q104" t="s">
        <v>764</v>
      </c>
    </row>
    <row r="105" spans="2:17" x14ac:dyDescent="0.3">
      <c r="B105" s="8"/>
      <c r="C105" s="2"/>
      <c r="D105" s="2"/>
      <c r="E105" t="s">
        <v>764</v>
      </c>
      <c r="F105" s="8"/>
      <c r="G105" s="2"/>
      <c r="H105" s="2"/>
      <c r="I105" t="s">
        <v>764</v>
      </c>
      <c r="J105" s="8"/>
      <c r="K105" s="2"/>
      <c r="L105" s="2"/>
      <c r="M105" t="s">
        <v>764</v>
      </c>
      <c r="N105" s="8"/>
      <c r="O105" s="2"/>
      <c r="P105" s="2"/>
      <c r="Q105" t="s">
        <v>764</v>
      </c>
    </row>
    <row r="106" spans="2:17" x14ac:dyDescent="0.3">
      <c r="B106" s="8"/>
      <c r="C106" s="2"/>
      <c r="D106" s="2"/>
      <c r="E106" t="s">
        <v>764</v>
      </c>
      <c r="F106" s="8"/>
      <c r="G106" s="2"/>
      <c r="H106" s="2"/>
      <c r="I106" t="s">
        <v>764</v>
      </c>
      <c r="J106" s="8"/>
      <c r="K106" s="2"/>
      <c r="L106" s="2"/>
      <c r="M106" t="s">
        <v>764</v>
      </c>
      <c r="N106" s="8"/>
      <c r="O106" s="2"/>
      <c r="P106" s="2"/>
      <c r="Q106" t="s">
        <v>764</v>
      </c>
    </row>
    <row r="107" spans="2:17" x14ac:dyDescent="0.3">
      <c r="B107" s="8"/>
      <c r="C107" s="2"/>
      <c r="D107" s="2"/>
      <c r="E107" t="s">
        <v>764</v>
      </c>
      <c r="F107" s="8"/>
      <c r="G107" s="2"/>
      <c r="H107" s="2"/>
      <c r="I107" t="s">
        <v>764</v>
      </c>
      <c r="J107" s="8"/>
      <c r="K107" s="2"/>
      <c r="L107" s="2"/>
      <c r="M107" t="s">
        <v>764</v>
      </c>
      <c r="N107" s="8"/>
      <c r="O107" s="2"/>
      <c r="P107" s="2"/>
      <c r="Q107" t="s">
        <v>764</v>
      </c>
    </row>
    <row r="108" spans="2:17" x14ac:dyDescent="0.3">
      <c r="B108" s="8"/>
      <c r="C108" s="2"/>
      <c r="D108" s="2"/>
      <c r="E108" t="s">
        <v>764</v>
      </c>
      <c r="F108" s="8"/>
      <c r="G108" s="2"/>
      <c r="H108" s="2"/>
      <c r="I108" t="s">
        <v>764</v>
      </c>
      <c r="J108" s="8"/>
      <c r="K108" s="2"/>
      <c r="L108" s="2"/>
      <c r="M108" t="s">
        <v>764</v>
      </c>
      <c r="N108" s="8"/>
      <c r="O108" s="2"/>
      <c r="P108" s="2"/>
      <c r="Q108" t="s">
        <v>764</v>
      </c>
    </row>
    <row r="109" spans="2:17" x14ac:dyDescent="0.3">
      <c r="B109" s="8"/>
      <c r="C109" s="2"/>
      <c r="D109" s="2"/>
      <c r="E109" t="s">
        <v>764</v>
      </c>
      <c r="F109" s="8"/>
      <c r="G109" s="2"/>
      <c r="H109" s="2"/>
      <c r="I109" t="s">
        <v>764</v>
      </c>
      <c r="J109" s="8"/>
      <c r="K109" s="2"/>
      <c r="L109" s="2"/>
      <c r="M109" t="s">
        <v>764</v>
      </c>
      <c r="N109" s="8"/>
      <c r="O109" s="2"/>
      <c r="P109" s="2"/>
      <c r="Q109" t="s">
        <v>764</v>
      </c>
    </row>
    <row r="110" spans="2:17" x14ac:dyDescent="0.3">
      <c r="B110" s="8"/>
      <c r="C110" s="2"/>
      <c r="D110" s="2"/>
      <c r="E110" t="s">
        <v>764</v>
      </c>
      <c r="F110" s="8"/>
      <c r="G110" s="2"/>
      <c r="H110" s="2"/>
      <c r="I110" t="s">
        <v>764</v>
      </c>
      <c r="J110" s="8"/>
      <c r="K110" s="2"/>
      <c r="L110" s="2"/>
      <c r="M110" t="s">
        <v>764</v>
      </c>
      <c r="N110" s="8"/>
      <c r="O110" s="2"/>
      <c r="P110" s="2"/>
      <c r="Q110" t="s">
        <v>764</v>
      </c>
    </row>
    <row r="111" spans="2:17" x14ac:dyDescent="0.3">
      <c r="B111" s="8"/>
      <c r="C111" s="2"/>
      <c r="D111" s="2"/>
      <c r="E111" t="s">
        <v>764</v>
      </c>
      <c r="F111" s="8"/>
      <c r="G111" s="2"/>
      <c r="H111" s="2"/>
      <c r="I111" t="s">
        <v>764</v>
      </c>
      <c r="J111" s="8"/>
      <c r="K111" s="2"/>
      <c r="L111" s="2"/>
      <c r="M111" t="s">
        <v>764</v>
      </c>
      <c r="N111" s="8"/>
      <c r="O111" s="2"/>
      <c r="P111" s="2"/>
      <c r="Q111" t="s">
        <v>764</v>
      </c>
    </row>
    <row r="112" spans="2:17" x14ac:dyDescent="0.3">
      <c r="B112" s="8"/>
      <c r="C112" s="2"/>
      <c r="D112" s="2"/>
      <c r="E112" t="s">
        <v>764</v>
      </c>
      <c r="F112" s="8"/>
      <c r="G112" s="2"/>
      <c r="H112" s="2"/>
      <c r="I112" t="s">
        <v>764</v>
      </c>
      <c r="J112" s="8"/>
      <c r="K112" s="2"/>
      <c r="L112" s="2"/>
      <c r="M112" t="s">
        <v>764</v>
      </c>
      <c r="N112" s="8"/>
      <c r="O112" s="2"/>
      <c r="P112" s="2"/>
      <c r="Q112" t="s">
        <v>764</v>
      </c>
    </row>
    <row r="113" spans="2:17" x14ac:dyDescent="0.3">
      <c r="B113" s="8"/>
      <c r="C113" s="2"/>
      <c r="D113" s="2"/>
      <c r="E113" t="s">
        <v>764</v>
      </c>
      <c r="F113" s="8"/>
      <c r="G113" s="2"/>
      <c r="H113" s="2"/>
      <c r="I113" t="s">
        <v>764</v>
      </c>
      <c r="J113" s="8"/>
      <c r="K113" s="2"/>
      <c r="L113" s="2"/>
      <c r="M113" t="s">
        <v>764</v>
      </c>
      <c r="N113" s="8"/>
      <c r="O113" s="2"/>
      <c r="P113" s="2"/>
      <c r="Q113" t="s">
        <v>764</v>
      </c>
    </row>
    <row r="114" spans="2:17" x14ac:dyDescent="0.3">
      <c r="B114" s="8"/>
      <c r="C114" s="2"/>
      <c r="D114" s="2"/>
      <c r="E114" t="s">
        <v>764</v>
      </c>
      <c r="F114" s="8"/>
      <c r="G114" s="2"/>
      <c r="H114" s="2"/>
      <c r="I114" t="s">
        <v>764</v>
      </c>
      <c r="J114" s="8"/>
      <c r="K114" s="2"/>
      <c r="L114" s="2"/>
      <c r="M114" t="s">
        <v>764</v>
      </c>
      <c r="N114" s="8"/>
      <c r="O114" s="2"/>
      <c r="P114" s="2"/>
      <c r="Q114" t="s">
        <v>764</v>
      </c>
    </row>
    <row r="115" spans="2:17" x14ac:dyDescent="0.3">
      <c r="B115" s="8"/>
      <c r="C115" s="2"/>
      <c r="D115" s="2"/>
      <c r="E115" t="s">
        <v>764</v>
      </c>
      <c r="F115" s="8"/>
      <c r="G115" s="2"/>
      <c r="H115" s="2"/>
      <c r="I115" t="s">
        <v>764</v>
      </c>
      <c r="J115" s="8"/>
      <c r="K115" s="2"/>
      <c r="L115" s="2"/>
      <c r="M115" t="s">
        <v>764</v>
      </c>
      <c r="N115" s="8"/>
      <c r="O115" s="2"/>
      <c r="P115" s="2"/>
      <c r="Q115" t="s">
        <v>764</v>
      </c>
    </row>
    <row r="116" spans="2:17" x14ac:dyDescent="0.3">
      <c r="B116" s="8"/>
      <c r="C116" s="2"/>
      <c r="D116" s="2"/>
      <c r="E116" t="s">
        <v>764</v>
      </c>
      <c r="F116" s="8"/>
      <c r="G116" s="2"/>
      <c r="H116" s="2"/>
      <c r="I116" t="s">
        <v>764</v>
      </c>
      <c r="J116" s="8"/>
      <c r="K116" s="2"/>
      <c r="L116" s="2"/>
      <c r="M116" t="s">
        <v>764</v>
      </c>
      <c r="N116" s="8"/>
      <c r="O116" s="2"/>
      <c r="P116" s="2"/>
      <c r="Q116" t="s">
        <v>764</v>
      </c>
    </row>
    <row r="117" spans="2:17" x14ac:dyDescent="0.3">
      <c r="B117" s="8"/>
      <c r="C117" s="2"/>
      <c r="D117" s="2"/>
      <c r="E117" t="s">
        <v>764</v>
      </c>
      <c r="F117" s="8"/>
      <c r="G117" s="2"/>
      <c r="H117" s="2"/>
      <c r="I117" t="s">
        <v>764</v>
      </c>
      <c r="J117" s="8"/>
      <c r="K117" s="2"/>
      <c r="L117" s="2"/>
      <c r="M117" t="s">
        <v>764</v>
      </c>
      <c r="N117" s="8"/>
      <c r="O117" s="2"/>
      <c r="P117" s="2"/>
      <c r="Q117" t="s">
        <v>764</v>
      </c>
    </row>
    <row r="118" spans="2:17" x14ac:dyDescent="0.3">
      <c r="B118" s="8"/>
      <c r="C118" s="2"/>
      <c r="D118" s="2"/>
      <c r="E118" t="s">
        <v>764</v>
      </c>
      <c r="F118" s="8"/>
      <c r="G118" s="2"/>
      <c r="H118" s="2"/>
      <c r="I118" t="s">
        <v>764</v>
      </c>
      <c r="J118" s="8"/>
      <c r="K118" s="2"/>
      <c r="L118" s="2"/>
      <c r="M118" t="s">
        <v>764</v>
      </c>
      <c r="N118" s="8"/>
      <c r="O118" s="2"/>
      <c r="P118" s="2"/>
      <c r="Q118" t="s">
        <v>764</v>
      </c>
    </row>
    <row r="119" spans="2:17" x14ac:dyDescent="0.3">
      <c r="B119" s="8"/>
      <c r="C119" s="2"/>
      <c r="D119" s="2"/>
      <c r="E119" t="s">
        <v>764</v>
      </c>
      <c r="F119" s="8"/>
      <c r="G119" s="2"/>
      <c r="H119" s="2"/>
      <c r="I119" t="s">
        <v>764</v>
      </c>
      <c r="J119" s="8"/>
      <c r="K119" s="2"/>
      <c r="L119" s="2"/>
      <c r="M119" t="s">
        <v>764</v>
      </c>
      <c r="N119" s="8"/>
      <c r="O119" s="2"/>
      <c r="P119" s="2"/>
      <c r="Q119" t="s">
        <v>764</v>
      </c>
    </row>
    <row r="120" spans="2:17" x14ac:dyDescent="0.3">
      <c r="B120" s="8"/>
      <c r="C120" s="2"/>
      <c r="D120" s="2"/>
      <c r="E120" t="s">
        <v>764</v>
      </c>
      <c r="F120" s="8"/>
      <c r="G120" s="2"/>
      <c r="H120" s="2"/>
      <c r="I120" t="s">
        <v>764</v>
      </c>
      <c r="J120" s="8"/>
      <c r="K120" s="2"/>
      <c r="L120" s="2"/>
      <c r="M120" t="s">
        <v>764</v>
      </c>
      <c r="N120" s="8"/>
      <c r="O120" s="2"/>
      <c r="P120" s="2"/>
      <c r="Q120" t="s">
        <v>764</v>
      </c>
    </row>
    <row r="121" spans="2:17" x14ac:dyDescent="0.3">
      <c r="B121" s="8"/>
      <c r="C121" s="2"/>
      <c r="D121" s="2"/>
      <c r="E121" t="s">
        <v>764</v>
      </c>
      <c r="F121" s="8"/>
      <c r="G121" s="2"/>
      <c r="H121" s="2"/>
      <c r="I121" t="s">
        <v>764</v>
      </c>
      <c r="J121" s="8"/>
      <c r="K121" s="2"/>
      <c r="L121" s="2"/>
      <c r="M121" t="s">
        <v>764</v>
      </c>
      <c r="N121" s="8"/>
      <c r="O121" s="2"/>
      <c r="P121" s="2"/>
      <c r="Q121" t="s">
        <v>764</v>
      </c>
    </row>
    <row r="122" spans="2:17" x14ac:dyDescent="0.3">
      <c r="B122" s="8"/>
      <c r="C122" s="2"/>
      <c r="D122" s="2"/>
      <c r="E122" t="s">
        <v>764</v>
      </c>
      <c r="F122" s="8"/>
      <c r="G122" s="2"/>
      <c r="H122" s="2"/>
      <c r="I122" t="s">
        <v>764</v>
      </c>
      <c r="J122" s="8"/>
      <c r="K122" s="2"/>
      <c r="L122" s="2"/>
      <c r="M122" t="s">
        <v>764</v>
      </c>
      <c r="N122" s="8"/>
      <c r="O122" s="2"/>
      <c r="P122" s="2"/>
      <c r="Q122" t="s">
        <v>764</v>
      </c>
    </row>
    <row r="123" spans="2:17" x14ac:dyDescent="0.3">
      <c r="B123" s="8"/>
      <c r="C123" s="2"/>
      <c r="D123" s="2"/>
      <c r="E123" t="s">
        <v>764</v>
      </c>
      <c r="F123" s="8"/>
      <c r="G123" s="2"/>
      <c r="H123" s="2"/>
      <c r="I123" t="s">
        <v>764</v>
      </c>
      <c r="J123" s="8"/>
      <c r="K123" s="2"/>
      <c r="L123" s="2"/>
      <c r="M123" t="s">
        <v>764</v>
      </c>
      <c r="N123" s="8"/>
      <c r="O123" s="2"/>
      <c r="P123" s="2"/>
      <c r="Q123" t="s">
        <v>764</v>
      </c>
    </row>
    <row r="124" spans="2:17" x14ac:dyDescent="0.3">
      <c r="B124" s="8"/>
      <c r="C124" s="2"/>
      <c r="D124" s="2"/>
      <c r="E124" t="s">
        <v>764</v>
      </c>
      <c r="F124" s="8"/>
      <c r="G124" s="2"/>
      <c r="H124" s="2"/>
      <c r="I124" t="s">
        <v>764</v>
      </c>
      <c r="J124" s="8"/>
      <c r="K124" s="2"/>
      <c r="L124" s="2"/>
      <c r="M124" t="s">
        <v>764</v>
      </c>
      <c r="N124" s="8"/>
      <c r="O124" s="2"/>
      <c r="P124" s="2"/>
      <c r="Q124" t="s">
        <v>764</v>
      </c>
    </row>
    <row r="125" spans="2:17" x14ac:dyDescent="0.3">
      <c r="B125" s="8"/>
      <c r="C125" s="2"/>
      <c r="D125" s="2"/>
      <c r="E125" t="s">
        <v>764</v>
      </c>
      <c r="F125" s="8"/>
      <c r="G125" s="2"/>
      <c r="H125" s="2"/>
      <c r="I125" t="s">
        <v>764</v>
      </c>
      <c r="J125" s="8"/>
      <c r="K125" s="2"/>
      <c r="L125" s="2"/>
      <c r="M125" t="s">
        <v>764</v>
      </c>
      <c r="N125" s="8"/>
      <c r="O125" s="2"/>
      <c r="P125" s="2"/>
      <c r="Q125" t="s">
        <v>764</v>
      </c>
    </row>
    <row r="126" spans="2:17" x14ac:dyDescent="0.3">
      <c r="B126" s="8"/>
      <c r="C126" s="2"/>
      <c r="D126" s="2"/>
      <c r="E126" t="s">
        <v>764</v>
      </c>
      <c r="F126" s="8"/>
      <c r="G126" s="2"/>
      <c r="H126" s="2"/>
      <c r="I126" t="s">
        <v>764</v>
      </c>
      <c r="J126" s="8"/>
      <c r="K126" s="2"/>
      <c r="L126" s="2"/>
      <c r="M126" t="s">
        <v>764</v>
      </c>
      <c r="N126" s="8"/>
      <c r="O126" s="2"/>
      <c r="P126" s="2"/>
      <c r="Q126" t="s">
        <v>764</v>
      </c>
    </row>
    <row r="127" spans="2:17" x14ac:dyDescent="0.3">
      <c r="B127" s="8"/>
      <c r="C127" s="2"/>
      <c r="D127" s="2"/>
      <c r="E127" t="s">
        <v>764</v>
      </c>
      <c r="F127" s="8"/>
      <c r="G127" s="2"/>
      <c r="H127" s="2"/>
      <c r="I127" t="s">
        <v>764</v>
      </c>
      <c r="J127" s="8"/>
      <c r="K127" s="2"/>
      <c r="L127" s="2"/>
      <c r="M127" t="s">
        <v>764</v>
      </c>
      <c r="N127" s="8"/>
      <c r="O127" s="2"/>
      <c r="P127" s="2"/>
      <c r="Q127" t="s">
        <v>764</v>
      </c>
    </row>
    <row r="128" spans="2:17" x14ac:dyDescent="0.3">
      <c r="B128" s="8"/>
      <c r="C128" s="2"/>
      <c r="D128" s="2"/>
      <c r="E128" t="s">
        <v>764</v>
      </c>
      <c r="F128" s="8"/>
      <c r="G128" s="2"/>
      <c r="H128" s="2"/>
      <c r="I128" t="s">
        <v>764</v>
      </c>
      <c r="J128" s="8"/>
      <c r="K128" s="2"/>
      <c r="L128" s="2"/>
      <c r="M128" t="s">
        <v>764</v>
      </c>
      <c r="N128" s="8"/>
      <c r="O128" s="2"/>
      <c r="P128" s="2"/>
      <c r="Q128" t="s">
        <v>764</v>
      </c>
    </row>
    <row r="129" spans="2:17" x14ac:dyDescent="0.3">
      <c r="B129" s="8"/>
      <c r="C129" s="2"/>
      <c r="D129" s="2"/>
      <c r="E129" t="s">
        <v>764</v>
      </c>
      <c r="F129" s="8"/>
      <c r="G129" s="2"/>
      <c r="H129" s="2"/>
      <c r="I129" t="s">
        <v>764</v>
      </c>
      <c r="J129" s="8"/>
      <c r="K129" s="2"/>
      <c r="L129" s="2"/>
      <c r="M129" t="s">
        <v>764</v>
      </c>
      <c r="N129" s="8"/>
      <c r="O129" s="2"/>
      <c r="P129" s="2"/>
      <c r="Q129" t="s">
        <v>764</v>
      </c>
    </row>
    <row r="130" spans="2:17" x14ac:dyDescent="0.3">
      <c r="B130" s="8"/>
      <c r="C130" s="2"/>
      <c r="D130" s="2"/>
      <c r="E130" t="s">
        <v>764</v>
      </c>
      <c r="F130" s="8"/>
      <c r="G130" s="2"/>
      <c r="H130" s="2"/>
      <c r="I130" t="s">
        <v>764</v>
      </c>
      <c r="J130" s="8"/>
      <c r="K130" s="2"/>
      <c r="L130" s="2"/>
      <c r="M130" t="s">
        <v>764</v>
      </c>
      <c r="N130" s="8"/>
      <c r="O130" s="2"/>
      <c r="P130" s="2"/>
      <c r="Q130" t="s">
        <v>764</v>
      </c>
    </row>
    <row r="131" spans="2:17" x14ac:dyDescent="0.3">
      <c r="B131" s="8"/>
      <c r="C131" s="2"/>
      <c r="D131" s="2"/>
      <c r="E131" t="s">
        <v>764</v>
      </c>
      <c r="F131" s="8"/>
      <c r="G131" s="2"/>
      <c r="H131" s="2"/>
      <c r="I131" t="s">
        <v>764</v>
      </c>
      <c r="J131" s="8"/>
      <c r="K131" s="2"/>
      <c r="L131" s="2"/>
      <c r="M131" t="s">
        <v>764</v>
      </c>
      <c r="N131" s="8"/>
      <c r="O131" s="2"/>
      <c r="P131" s="2"/>
      <c r="Q131" t="s">
        <v>764</v>
      </c>
    </row>
    <row r="132" spans="2:17" x14ac:dyDescent="0.3">
      <c r="B132" s="8"/>
      <c r="C132" s="2"/>
      <c r="D132" s="2"/>
      <c r="E132" t="s">
        <v>764</v>
      </c>
      <c r="F132" s="8"/>
      <c r="G132" s="2"/>
      <c r="H132" s="2"/>
      <c r="I132" t="s">
        <v>764</v>
      </c>
      <c r="J132" s="8"/>
      <c r="K132" s="2"/>
      <c r="L132" s="2"/>
      <c r="M132" t="s">
        <v>764</v>
      </c>
      <c r="N132" s="8"/>
      <c r="O132" s="2"/>
      <c r="P132" s="2"/>
      <c r="Q132" t="s">
        <v>764</v>
      </c>
    </row>
    <row r="133" spans="2:17" x14ac:dyDescent="0.3">
      <c r="B133" s="8"/>
      <c r="C133" s="2"/>
      <c r="D133" s="2"/>
      <c r="E133" t="s">
        <v>764</v>
      </c>
      <c r="F133" s="8"/>
      <c r="G133" s="2"/>
      <c r="H133" s="2"/>
      <c r="I133" t="s">
        <v>764</v>
      </c>
      <c r="J133" s="8"/>
      <c r="K133" s="2"/>
      <c r="L133" s="2"/>
      <c r="M133" t="s">
        <v>764</v>
      </c>
      <c r="N133" s="8"/>
      <c r="O133" s="2"/>
      <c r="P133" s="2"/>
      <c r="Q133" t="s">
        <v>764</v>
      </c>
    </row>
    <row r="134" spans="2:17" x14ac:dyDescent="0.3">
      <c r="B134" s="8"/>
      <c r="C134" s="2"/>
      <c r="D134" s="2"/>
      <c r="E134" t="s">
        <v>764</v>
      </c>
      <c r="F134" s="8"/>
      <c r="G134" s="2"/>
      <c r="H134" s="2"/>
      <c r="I134" t="s">
        <v>764</v>
      </c>
      <c r="J134" s="8"/>
      <c r="K134" s="2"/>
      <c r="L134" s="2"/>
      <c r="M134" t="s">
        <v>764</v>
      </c>
      <c r="N134" s="8"/>
      <c r="O134" s="2"/>
      <c r="P134" s="2"/>
      <c r="Q134" t="s">
        <v>764</v>
      </c>
    </row>
    <row r="135" spans="2:17" x14ac:dyDescent="0.3">
      <c r="B135" s="8"/>
      <c r="C135" s="2"/>
      <c r="D135" s="2"/>
      <c r="E135" t="s">
        <v>764</v>
      </c>
      <c r="F135" s="8"/>
      <c r="G135" s="2"/>
      <c r="H135" s="2"/>
      <c r="I135" t="s">
        <v>764</v>
      </c>
      <c r="J135" s="8"/>
      <c r="K135" s="2"/>
      <c r="L135" s="2"/>
      <c r="M135" t="s">
        <v>764</v>
      </c>
      <c r="N135" s="8"/>
      <c r="O135" s="2"/>
      <c r="P135" s="2"/>
      <c r="Q135" t="s">
        <v>764</v>
      </c>
    </row>
    <row r="136" spans="2:17" x14ac:dyDescent="0.3">
      <c r="B136" s="8"/>
      <c r="C136" s="2"/>
      <c r="D136" s="2"/>
      <c r="E136" t="s">
        <v>764</v>
      </c>
      <c r="F136" s="8"/>
      <c r="G136" s="2"/>
      <c r="H136" s="2"/>
      <c r="I136" t="s">
        <v>764</v>
      </c>
      <c r="J136" s="8"/>
      <c r="K136" s="2"/>
      <c r="L136" s="2"/>
      <c r="M136" t="s">
        <v>764</v>
      </c>
      <c r="N136" s="8"/>
      <c r="O136" s="2"/>
      <c r="P136" s="2"/>
      <c r="Q136" t="s">
        <v>764</v>
      </c>
    </row>
    <row r="137" spans="2:17" x14ac:dyDescent="0.3">
      <c r="B137" s="8"/>
      <c r="C137" s="2"/>
      <c r="D137" s="2"/>
      <c r="E137" t="s">
        <v>764</v>
      </c>
      <c r="F137" s="8"/>
      <c r="G137" s="2"/>
      <c r="H137" s="2"/>
      <c r="I137" t="s">
        <v>764</v>
      </c>
      <c r="J137" s="8"/>
      <c r="K137" s="2"/>
      <c r="L137" s="2"/>
      <c r="M137" t="s">
        <v>764</v>
      </c>
      <c r="N137" s="8"/>
      <c r="O137" s="2"/>
      <c r="P137" s="2"/>
      <c r="Q137" t="s">
        <v>764</v>
      </c>
    </row>
    <row r="138" spans="2:17" x14ac:dyDescent="0.3">
      <c r="B138" s="8"/>
      <c r="C138" s="2"/>
      <c r="D138" s="2"/>
      <c r="E138" t="s">
        <v>764</v>
      </c>
      <c r="F138" s="8"/>
      <c r="G138" s="2"/>
      <c r="H138" s="2"/>
      <c r="I138" t="s">
        <v>764</v>
      </c>
      <c r="J138" s="8"/>
      <c r="K138" s="2"/>
      <c r="L138" s="2"/>
      <c r="M138" t="s">
        <v>764</v>
      </c>
      <c r="N138" s="8"/>
      <c r="O138" s="2"/>
      <c r="P138" s="2"/>
      <c r="Q138" t="s">
        <v>764</v>
      </c>
    </row>
    <row r="139" spans="2:17" x14ac:dyDescent="0.3">
      <c r="B139" s="8"/>
      <c r="C139" s="2"/>
      <c r="D139" s="2"/>
      <c r="E139" t="s">
        <v>764</v>
      </c>
      <c r="F139" s="8"/>
      <c r="G139" s="2"/>
      <c r="H139" s="2"/>
      <c r="I139" t="s">
        <v>764</v>
      </c>
      <c r="J139" s="8"/>
      <c r="K139" s="2"/>
      <c r="L139" s="2"/>
      <c r="M139" t="s">
        <v>764</v>
      </c>
      <c r="N139" s="8"/>
      <c r="O139" s="2"/>
      <c r="P139" s="2"/>
      <c r="Q139" t="s">
        <v>764</v>
      </c>
    </row>
    <row r="140" spans="2:17" x14ac:dyDescent="0.3">
      <c r="B140" s="8"/>
      <c r="C140" s="2"/>
      <c r="D140" s="2"/>
      <c r="E140" t="s">
        <v>764</v>
      </c>
      <c r="F140" s="8"/>
      <c r="G140" s="2"/>
      <c r="H140" s="2"/>
      <c r="I140" t="s">
        <v>764</v>
      </c>
      <c r="J140" s="8"/>
      <c r="K140" s="2"/>
      <c r="L140" s="2"/>
      <c r="M140" t="s">
        <v>764</v>
      </c>
      <c r="N140" s="8"/>
      <c r="O140" s="2"/>
      <c r="P140" s="2"/>
      <c r="Q140" t="s">
        <v>764</v>
      </c>
    </row>
    <row r="141" spans="2:17" x14ac:dyDescent="0.3">
      <c r="B141" s="8"/>
      <c r="C141" s="2"/>
      <c r="D141" s="2"/>
      <c r="E141" t="s">
        <v>764</v>
      </c>
      <c r="F141" s="8"/>
      <c r="G141" s="2"/>
      <c r="H141" s="2"/>
      <c r="I141" t="s">
        <v>764</v>
      </c>
      <c r="J141" s="8"/>
      <c r="K141" s="2"/>
      <c r="L141" s="2"/>
      <c r="M141" t="s">
        <v>764</v>
      </c>
      <c r="N141" s="8"/>
      <c r="O141" s="2"/>
      <c r="P141" s="2"/>
      <c r="Q141" t="s">
        <v>764</v>
      </c>
    </row>
    <row r="142" spans="2:17" x14ac:dyDescent="0.3">
      <c r="B142" s="8"/>
      <c r="C142" s="2"/>
      <c r="D142" s="2"/>
      <c r="E142" t="s">
        <v>764</v>
      </c>
      <c r="F142" s="8"/>
      <c r="G142" s="2"/>
      <c r="H142" s="2"/>
      <c r="I142" t="s">
        <v>764</v>
      </c>
      <c r="J142" s="8"/>
      <c r="K142" s="2"/>
      <c r="L142" s="2"/>
      <c r="M142" t="s">
        <v>764</v>
      </c>
      <c r="N142" s="8"/>
      <c r="O142" s="2"/>
      <c r="P142" s="2"/>
      <c r="Q142" t="s">
        <v>764</v>
      </c>
    </row>
    <row r="143" spans="2:17" x14ac:dyDescent="0.3">
      <c r="B143" s="8"/>
      <c r="C143" s="2"/>
      <c r="D143" s="2"/>
      <c r="E143" t="s">
        <v>764</v>
      </c>
      <c r="F143" s="8"/>
      <c r="G143" s="2"/>
      <c r="H143" s="2"/>
      <c r="I143" t="s">
        <v>764</v>
      </c>
      <c r="J143" s="8"/>
      <c r="K143" s="2"/>
      <c r="L143" s="2"/>
      <c r="M143" t="s">
        <v>764</v>
      </c>
      <c r="N143" s="8"/>
      <c r="O143" s="2"/>
      <c r="P143" s="2"/>
      <c r="Q143" t="s">
        <v>764</v>
      </c>
    </row>
    <row r="144" spans="2:17" x14ac:dyDescent="0.3">
      <c r="B144" s="8"/>
      <c r="C144" s="2"/>
      <c r="D144" s="2"/>
      <c r="E144" t="s">
        <v>764</v>
      </c>
      <c r="F144" s="8"/>
      <c r="G144" s="2"/>
      <c r="H144" s="2"/>
      <c r="I144" t="s">
        <v>764</v>
      </c>
      <c r="J144" s="8"/>
      <c r="K144" s="2"/>
      <c r="L144" s="2"/>
      <c r="M144" t="s">
        <v>764</v>
      </c>
      <c r="N144" s="8"/>
      <c r="O144" s="2"/>
      <c r="P144" s="2"/>
      <c r="Q144" t="s">
        <v>764</v>
      </c>
    </row>
    <row r="145" spans="2:17" x14ac:dyDescent="0.3">
      <c r="B145" s="8"/>
      <c r="C145" s="2"/>
      <c r="D145" s="2"/>
      <c r="E145" t="s">
        <v>764</v>
      </c>
      <c r="F145" s="8"/>
      <c r="G145" s="2"/>
      <c r="H145" s="2"/>
      <c r="I145" t="s">
        <v>764</v>
      </c>
      <c r="J145" s="8"/>
      <c r="K145" s="2"/>
      <c r="L145" s="2"/>
      <c r="M145" t="s">
        <v>764</v>
      </c>
      <c r="N145" s="8"/>
      <c r="O145" s="2"/>
      <c r="P145" s="2"/>
      <c r="Q145" t="s">
        <v>764</v>
      </c>
    </row>
    <row r="146" spans="2:17" x14ac:dyDescent="0.3">
      <c r="B146" s="8"/>
      <c r="C146" s="2"/>
      <c r="D146" s="2"/>
      <c r="E146" t="s">
        <v>764</v>
      </c>
      <c r="F146" s="8"/>
      <c r="G146" s="2"/>
      <c r="H146" s="2"/>
      <c r="I146" t="s">
        <v>764</v>
      </c>
      <c r="J146" s="8"/>
      <c r="K146" s="2"/>
      <c r="L146" s="2"/>
      <c r="M146" t="s">
        <v>764</v>
      </c>
      <c r="N146" s="8"/>
      <c r="O146" s="2"/>
      <c r="P146" s="2"/>
      <c r="Q146" t="s">
        <v>764</v>
      </c>
    </row>
    <row r="147" spans="2:17" x14ac:dyDescent="0.3">
      <c r="B147" s="8"/>
      <c r="C147" s="2"/>
      <c r="D147" s="2"/>
      <c r="E147" t="s">
        <v>764</v>
      </c>
      <c r="F147" s="8"/>
      <c r="G147" s="2"/>
      <c r="H147" s="2"/>
      <c r="I147" t="s">
        <v>764</v>
      </c>
      <c r="J147" s="8"/>
      <c r="K147" s="2"/>
      <c r="L147" s="2"/>
      <c r="M147" t="s">
        <v>764</v>
      </c>
      <c r="N147" s="8"/>
      <c r="O147" s="2"/>
      <c r="P147" s="2"/>
      <c r="Q147" t="s">
        <v>764</v>
      </c>
    </row>
    <row r="148" spans="2:17" x14ac:dyDescent="0.3">
      <c r="B148" s="8"/>
      <c r="C148" s="2"/>
      <c r="D148" s="2"/>
      <c r="E148" t="s">
        <v>764</v>
      </c>
      <c r="F148" s="8"/>
      <c r="G148" s="2"/>
      <c r="H148" s="2"/>
      <c r="I148" t="s">
        <v>764</v>
      </c>
      <c r="J148" s="8"/>
      <c r="K148" s="2"/>
      <c r="L148" s="2"/>
      <c r="M148" t="s">
        <v>764</v>
      </c>
      <c r="N148" s="8"/>
      <c r="O148" s="2"/>
      <c r="P148" s="2"/>
      <c r="Q148" t="s">
        <v>764</v>
      </c>
    </row>
    <row r="149" spans="2:17" x14ac:dyDescent="0.3">
      <c r="B149" s="8"/>
      <c r="C149" s="2"/>
      <c r="D149" s="2"/>
      <c r="E149" t="s">
        <v>764</v>
      </c>
      <c r="F149" s="8"/>
      <c r="G149" s="2"/>
      <c r="H149" s="2"/>
      <c r="I149" t="s">
        <v>764</v>
      </c>
      <c r="J149" s="8"/>
      <c r="K149" s="2"/>
      <c r="L149" s="2"/>
      <c r="M149" t="s">
        <v>764</v>
      </c>
      <c r="N149" s="8"/>
      <c r="O149" s="2"/>
      <c r="P149" s="2"/>
      <c r="Q149" t="s">
        <v>764</v>
      </c>
    </row>
    <row r="150" spans="2:17" x14ac:dyDescent="0.3">
      <c r="B150" s="8"/>
      <c r="C150" s="2"/>
      <c r="D150" s="2"/>
      <c r="E150" t="s">
        <v>764</v>
      </c>
      <c r="F150" s="8"/>
      <c r="G150" s="2"/>
      <c r="H150" s="2"/>
      <c r="I150" t="s">
        <v>764</v>
      </c>
      <c r="J150" s="8"/>
      <c r="K150" s="2"/>
      <c r="L150" s="2"/>
      <c r="M150" t="s">
        <v>764</v>
      </c>
      <c r="N150" s="8"/>
      <c r="O150" s="2"/>
      <c r="P150" s="2"/>
      <c r="Q150" t="s">
        <v>764</v>
      </c>
    </row>
    <row r="151" spans="2:17" x14ac:dyDescent="0.3">
      <c r="B151" s="8"/>
      <c r="C151" s="2"/>
      <c r="D151" s="2"/>
      <c r="E151" t="s">
        <v>764</v>
      </c>
      <c r="F151" s="8"/>
      <c r="G151" s="2"/>
      <c r="H151" s="2"/>
      <c r="I151" t="s">
        <v>764</v>
      </c>
      <c r="J151" s="8"/>
      <c r="K151" s="2"/>
      <c r="L151" s="2"/>
      <c r="M151" t="s">
        <v>764</v>
      </c>
      <c r="N151" s="8"/>
      <c r="O151" s="2"/>
      <c r="P151" s="2"/>
      <c r="Q151" t="s">
        <v>764</v>
      </c>
    </row>
    <row r="152" spans="2:17" x14ac:dyDescent="0.3">
      <c r="B152" s="8"/>
      <c r="C152" s="2"/>
      <c r="D152" s="2"/>
      <c r="E152" t="s">
        <v>764</v>
      </c>
      <c r="F152" s="8"/>
      <c r="G152" s="2"/>
      <c r="H152" s="2"/>
      <c r="I152" t="s">
        <v>764</v>
      </c>
      <c r="J152" s="8"/>
      <c r="K152" s="2"/>
      <c r="L152" s="2"/>
      <c r="M152" t="s">
        <v>764</v>
      </c>
      <c r="N152" s="8"/>
      <c r="O152" s="2"/>
      <c r="P152" s="2"/>
      <c r="Q152" t="s">
        <v>764</v>
      </c>
    </row>
    <row r="153" spans="2:17" x14ac:dyDescent="0.3">
      <c r="B153" s="8"/>
      <c r="C153" s="2"/>
      <c r="D153" s="2"/>
      <c r="E153" t="s">
        <v>764</v>
      </c>
      <c r="F153" s="8"/>
      <c r="G153" s="2"/>
      <c r="H153" s="2"/>
      <c r="I153" t="s">
        <v>764</v>
      </c>
      <c r="J153" s="8"/>
      <c r="K153" s="2"/>
      <c r="L153" s="2"/>
      <c r="M153" t="s">
        <v>764</v>
      </c>
      <c r="N153" s="8"/>
      <c r="O153" s="2"/>
      <c r="P153" s="2"/>
      <c r="Q153" t="s">
        <v>764</v>
      </c>
    </row>
    <row r="154" spans="2:17" x14ac:dyDescent="0.3">
      <c r="B154" s="8"/>
      <c r="C154" s="2"/>
      <c r="D154" s="2"/>
      <c r="E154" t="s">
        <v>764</v>
      </c>
      <c r="F154" s="8"/>
      <c r="G154" s="2"/>
      <c r="H154" s="2"/>
      <c r="I154" t="s">
        <v>764</v>
      </c>
      <c r="J154" s="8"/>
      <c r="K154" s="2"/>
      <c r="L154" s="2"/>
      <c r="M154" t="s">
        <v>764</v>
      </c>
      <c r="N154" s="8"/>
      <c r="O154" s="2"/>
      <c r="P154" s="2"/>
      <c r="Q154" t="s">
        <v>764</v>
      </c>
    </row>
    <row r="155" spans="2:17" x14ac:dyDescent="0.3">
      <c r="B155" s="8"/>
      <c r="C155" s="2"/>
      <c r="D155" s="2"/>
      <c r="E155" t="s">
        <v>764</v>
      </c>
      <c r="F155" s="8"/>
      <c r="G155" s="2"/>
      <c r="H155" s="2"/>
      <c r="I155" t="s">
        <v>764</v>
      </c>
      <c r="J155" s="8"/>
      <c r="K155" s="2"/>
      <c r="L155" s="2"/>
      <c r="M155" t="s">
        <v>764</v>
      </c>
      <c r="N155" s="8"/>
      <c r="O155" s="2"/>
      <c r="P155" s="2"/>
      <c r="Q155" t="s">
        <v>764</v>
      </c>
    </row>
    <row r="156" spans="2:17" x14ac:dyDescent="0.3">
      <c r="B156" s="8"/>
      <c r="C156" s="2"/>
      <c r="D156" s="2"/>
      <c r="E156" t="s">
        <v>764</v>
      </c>
      <c r="F156" s="8"/>
      <c r="G156" s="2"/>
      <c r="H156" s="2"/>
      <c r="I156" t="s">
        <v>764</v>
      </c>
      <c r="J156" s="8"/>
      <c r="K156" s="2"/>
      <c r="L156" s="2"/>
      <c r="M156" t="s">
        <v>764</v>
      </c>
      <c r="N156" s="8"/>
      <c r="O156" s="2"/>
      <c r="P156" s="2"/>
      <c r="Q156" t="s">
        <v>764</v>
      </c>
    </row>
    <row r="157" spans="2:17" x14ac:dyDescent="0.3">
      <c r="B157" s="8"/>
      <c r="C157" s="2"/>
      <c r="D157" s="2"/>
      <c r="E157" t="s">
        <v>764</v>
      </c>
      <c r="F157" s="8"/>
      <c r="G157" s="2"/>
      <c r="H157" s="2"/>
      <c r="I157" t="s">
        <v>764</v>
      </c>
      <c r="J157" s="8"/>
      <c r="K157" s="2"/>
      <c r="L157" s="2"/>
      <c r="M157" t="s">
        <v>764</v>
      </c>
      <c r="N157" s="8"/>
      <c r="O157" s="2"/>
      <c r="P157" s="2"/>
      <c r="Q157" t="s">
        <v>764</v>
      </c>
    </row>
    <row r="158" spans="2:17" x14ac:dyDescent="0.3">
      <c r="B158" s="8"/>
      <c r="C158" s="2"/>
      <c r="D158" s="2"/>
      <c r="E158" t="s">
        <v>764</v>
      </c>
      <c r="F158" s="8"/>
      <c r="G158" s="2"/>
      <c r="H158" s="2"/>
      <c r="I158" t="s">
        <v>764</v>
      </c>
      <c r="J158" s="8"/>
      <c r="K158" s="2"/>
      <c r="L158" s="2"/>
      <c r="M158" t="s">
        <v>764</v>
      </c>
      <c r="N158" s="8"/>
      <c r="O158" s="2"/>
      <c r="P158" s="2"/>
      <c r="Q158" t="s">
        <v>764</v>
      </c>
    </row>
    <row r="159" spans="2:17" x14ac:dyDescent="0.3">
      <c r="B159" s="22"/>
      <c r="C159" s="22"/>
      <c r="D159" s="22"/>
      <c r="E159" s="2"/>
      <c r="F159" s="22"/>
      <c r="G159" s="22"/>
      <c r="H159" s="22"/>
      <c r="J159" s="22"/>
      <c r="K159" s="22"/>
      <c r="L159" s="22"/>
      <c r="N159" s="23"/>
      <c r="O159" s="23"/>
      <c r="P159" s="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D5215-9C1E-4608-B160-6D8C61919C00}">
  <sheetPr>
    <tabColor rgb="FFC00000"/>
  </sheetPr>
  <dimension ref="A1:AG163"/>
  <sheetViews>
    <sheetView zoomScale="85" zoomScaleNormal="85" workbookViewId="0">
      <pane ySplit="4" topLeftCell="A5" activePane="bottomLeft" state="frozen"/>
      <selection activeCell="A9" sqref="A9"/>
      <selection pane="bottomLeft" activeCell="J5" sqref="J5"/>
    </sheetView>
  </sheetViews>
  <sheetFormatPr defaultColWidth="0" defaultRowHeight="14.4" zeroHeight="1" x14ac:dyDescent="0.3"/>
  <cols>
    <col min="1" max="2" width="2.44140625" customWidth="1"/>
    <col min="3" max="4" width="9.109375" customWidth="1"/>
    <col min="5" max="5" width="15.44140625" customWidth="1"/>
    <col min="6" max="7" width="2.44140625" customWidth="1"/>
    <col min="8" max="9" width="9.109375" customWidth="1"/>
    <col min="10" max="11" width="2.44140625" customWidth="1"/>
    <col min="12" max="12" width="21.5546875" customWidth="1"/>
    <col min="13" max="28" width="9.109375" customWidth="1"/>
    <col min="29" max="30" width="2.44140625" customWidth="1"/>
    <col min="31" max="31" width="4.109375" customWidth="1"/>
    <col min="32" max="32" width="121.5546875" customWidth="1"/>
    <col min="33" max="33" width="2.44140625" customWidth="1"/>
    <col min="34" max="16384" width="9.109375" hidden="1"/>
  </cols>
  <sheetData>
    <row r="1" spans="1:33" ht="18" x14ac:dyDescent="0.35">
      <c r="A1" s="6" t="s">
        <v>35</v>
      </c>
      <c r="B1" s="6"/>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row>
    <row r="2" spans="1:33" x14ac:dyDescent="0.3"/>
    <row r="3" spans="1:33" ht="15.6" x14ac:dyDescent="0.3">
      <c r="B3" s="7"/>
      <c r="C3" s="17" t="s">
        <v>36</v>
      </c>
      <c r="D3" s="11"/>
      <c r="E3" s="11"/>
      <c r="G3" s="7"/>
      <c r="H3" s="17" t="s">
        <v>330</v>
      </c>
      <c r="I3" s="17"/>
      <c r="K3" s="7"/>
      <c r="L3" s="17" t="s">
        <v>102</v>
      </c>
      <c r="M3" s="17"/>
      <c r="N3" s="12"/>
      <c r="O3" s="13"/>
      <c r="P3" s="13"/>
      <c r="Q3" s="13"/>
      <c r="R3" s="13"/>
      <c r="S3" s="13"/>
      <c r="T3" s="13"/>
      <c r="U3" s="13"/>
      <c r="V3" s="13"/>
      <c r="W3" s="13"/>
      <c r="X3" s="13"/>
      <c r="Y3" s="13"/>
      <c r="Z3" s="13"/>
      <c r="AA3" s="13"/>
      <c r="AB3" s="13"/>
      <c r="AD3" s="7"/>
      <c r="AE3" s="21"/>
      <c r="AF3" s="21"/>
    </row>
    <row r="4" spans="1:33" x14ac:dyDescent="0.3">
      <c r="B4" s="14"/>
      <c r="C4" s="16" t="s">
        <v>104</v>
      </c>
      <c r="D4" s="9"/>
      <c r="E4" s="9"/>
      <c r="G4" s="14"/>
      <c r="H4" s="40" t="s">
        <v>333</v>
      </c>
      <c r="I4" s="40" t="s">
        <v>334</v>
      </c>
      <c r="K4" s="14"/>
      <c r="L4" s="9"/>
      <c r="M4" s="15" t="s">
        <v>37</v>
      </c>
      <c r="N4" s="15" t="str">
        <f t="array" ref="N4:AB4">TRANSPOSE(C7:C21)</f>
        <v>sim1</v>
      </c>
      <c r="O4" s="15" t="str">
        <v>sim2</v>
      </c>
      <c r="P4" s="15" t="str">
        <v>sim3</v>
      </c>
      <c r="Q4" s="15" t="str">
        <v>sim4</v>
      </c>
      <c r="R4" s="15" t="str">
        <v>sim5</v>
      </c>
      <c r="S4" s="15" t="str">
        <v>sim6</v>
      </c>
      <c r="T4" s="15" t="str">
        <v>sim7</v>
      </c>
      <c r="U4" s="15" t="str">
        <v>sim8</v>
      </c>
      <c r="V4" s="15" t="str">
        <v>sim9</v>
      </c>
      <c r="W4" s="15" t="str">
        <v>sim10</v>
      </c>
      <c r="X4" s="15" t="str">
        <v>sim11</v>
      </c>
      <c r="Y4" s="15" t="str">
        <v>sim12</v>
      </c>
      <c r="Z4" s="15" t="str">
        <v>sim13</v>
      </c>
      <c r="AA4" s="15" t="str">
        <v>sim14</v>
      </c>
      <c r="AB4" s="15" t="str">
        <v>sim15</v>
      </c>
      <c r="AD4" s="14"/>
      <c r="AE4" s="19" t="s">
        <v>52</v>
      </c>
      <c r="AF4" s="9"/>
    </row>
    <row r="5" spans="1:33" x14ac:dyDescent="0.3">
      <c r="B5" s="8"/>
      <c r="C5" s="65" t="s">
        <v>623</v>
      </c>
      <c r="D5" s="65"/>
      <c r="E5" s="65" t="s">
        <v>624</v>
      </c>
      <c r="F5" s="65"/>
      <c r="G5" s="66"/>
      <c r="H5" s="2">
        <v>2023</v>
      </c>
      <c r="I5" s="2">
        <v>2023</v>
      </c>
      <c r="K5" s="8"/>
      <c r="L5" t="s">
        <v>39</v>
      </c>
      <c r="M5" s="3">
        <v>2</v>
      </c>
      <c r="N5" s="3">
        <v>2</v>
      </c>
      <c r="O5" s="3">
        <v>2</v>
      </c>
      <c r="P5" s="3">
        <v>2</v>
      </c>
      <c r="Q5" s="3">
        <v>2</v>
      </c>
      <c r="R5" s="3">
        <v>2</v>
      </c>
      <c r="S5" s="3">
        <v>2</v>
      </c>
      <c r="T5" s="3">
        <v>2</v>
      </c>
      <c r="U5" s="3">
        <v>2</v>
      </c>
      <c r="V5" s="3">
        <v>2</v>
      </c>
      <c r="W5" s="3">
        <v>2</v>
      </c>
      <c r="X5" s="3">
        <v>2</v>
      </c>
      <c r="Y5" s="3">
        <v>2</v>
      </c>
      <c r="Z5" s="3">
        <v>2</v>
      </c>
      <c r="AA5" s="3">
        <v>2</v>
      </c>
      <c r="AB5" s="3">
        <v>2</v>
      </c>
      <c r="AD5" s="8"/>
      <c r="AE5">
        <v>1</v>
      </c>
      <c r="AF5" t="s">
        <v>113</v>
      </c>
    </row>
    <row r="6" spans="1:33" x14ac:dyDescent="0.3">
      <c r="B6" s="8"/>
      <c r="C6" s="2" t="s">
        <v>37</v>
      </c>
      <c r="D6" s="2">
        <v>1</v>
      </c>
      <c r="E6" s="2" t="s">
        <v>38</v>
      </c>
      <c r="F6" s="2"/>
      <c r="G6" s="66"/>
      <c r="H6" s="2">
        <v>2024</v>
      </c>
      <c r="I6" s="2">
        <v>2024</v>
      </c>
      <c r="K6" s="8"/>
      <c r="L6" t="s">
        <v>143</v>
      </c>
      <c r="M6" s="3">
        <v>3</v>
      </c>
      <c r="N6" s="3">
        <v>3</v>
      </c>
      <c r="O6" s="3">
        <v>3</v>
      </c>
      <c r="P6" s="3">
        <v>3</v>
      </c>
      <c r="Q6" s="3">
        <v>3</v>
      </c>
      <c r="R6" s="3">
        <v>3</v>
      </c>
      <c r="S6" s="3">
        <v>3</v>
      </c>
      <c r="T6" s="3">
        <v>3</v>
      </c>
      <c r="U6" s="3">
        <v>3</v>
      </c>
      <c r="V6" s="3">
        <v>3</v>
      </c>
      <c r="W6" s="3">
        <v>3</v>
      </c>
      <c r="X6" s="3">
        <v>3</v>
      </c>
      <c r="Y6" s="3">
        <v>3</v>
      </c>
      <c r="Z6" s="3">
        <v>3</v>
      </c>
      <c r="AA6" s="3">
        <v>3</v>
      </c>
      <c r="AB6" s="3">
        <v>3</v>
      </c>
      <c r="AD6" s="8"/>
      <c r="AE6">
        <v>2</v>
      </c>
      <c r="AF6" t="s">
        <v>114</v>
      </c>
    </row>
    <row r="7" spans="1:33" x14ac:dyDescent="0.3">
      <c r="B7" s="8"/>
      <c r="C7" s="2" t="s">
        <v>765</v>
      </c>
      <c r="D7" s="2"/>
      <c r="E7" s="2"/>
      <c r="F7" s="2"/>
      <c r="G7" s="66"/>
      <c r="H7" s="2">
        <v>2025</v>
      </c>
      <c r="I7" s="2">
        <v>2025</v>
      </c>
      <c r="K7" s="8"/>
      <c r="L7" t="s">
        <v>144</v>
      </c>
      <c r="M7" s="3">
        <v>1</v>
      </c>
      <c r="N7" s="3">
        <v>1</v>
      </c>
      <c r="O7" s="3">
        <v>1</v>
      </c>
      <c r="P7" s="3">
        <v>1</v>
      </c>
      <c r="Q7" s="3">
        <v>1</v>
      </c>
      <c r="R7" s="3">
        <v>1</v>
      </c>
      <c r="S7" s="3">
        <v>1</v>
      </c>
      <c r="T7" s="3">
        <v>1</v>
      </c>
      <c r="U7" s="3">
        <v>1</v>
      </c>
      <c r="V7" s="3">
        <v>1</v>
      </c>
      <c r="W7" s="3">
        <v>1</v>
      </c>
      <c r="X7" s="3">
        <v>1</v>
      </c>
      <c r="Y7" s="3">
        <v>1</v>
      </c>
      <c r="Z7" s="3">
        <v>1</v>
      </c>
      <c r="AA7" s="3">
        <v>1</v>
      </c>
      <c r="AB7" s="3">
        <v>1</v>
      </c>
      <c r="AD7" s="8"/>
    </row>
    <row r="8" spans="1:33" x14ac:dyDescent="0.3">
      <c r="B8" s="8"/>
      <c r="C8" s="2" t="s">
        <v>753</v>
      </c>
      <c r="D8" s="2"/>
      <c r="E8" s="2"/>
      <c r="F8" s="2"/>
      <c r="G8" s="8"/>
      <c r="H8" s="2">
        <v>2026</v>
      </c>
      <c r="I8" s="2">
        <v>2026</v>
      </c>
      <c r="K8" s="8"/>
      <c r="L8" t="s">
        <v>145</v>
      </c>
      <c r="M8" s="3">
        <v>1</v>
      </c>
      <c r="N8" s="3">
        <v>1</v>
      </c>
      <c r="O8" s="3">
        <v>1</v>
      </c>
      <c r="P8" s="3">
        <v>1</v>
      </c>
      <c r="Q8" s="3">
        <v>1</v>
      </c>
      <c r="R8" s="3">
        <v>1</v>
      </c>
      <c r="S8" s="3">
        <v>1</v>
      </c>
      <c r="T8" s="3">
        <v>1</v>
      </c>
      <c r="U8" s="3">
        <v>1</v>
      </c>
      <c r="V8" s="3">
        <v>1</v>
      </c>
      <c r="W8" s="3">
        <v>1</v>
      </c>
      <c r="X8" s="3">
        <v>1</v>
      </c>
      <c r="Y8" s="3">
        <v>1</v>
      </c>
      <c r="Z8" s="3">
        <v>1</v>
      </c>
      <c r="AA8" s="3">
        <v>1</v>
      </c>
      <c r="AB8" s="3">
        <v>1</v>
      </c>
      <c r="AD8" s="8"/>
      <c r="AE8" s="1" t="s">
        <v>50</v>
      </c>
    </row>
    <row r="9" spans="1:33" x14ac:dyDescent="0.3">
      <c r="B9" s="8"/>
      <c r="C9" s="2" t="s">
        <v>754</v>
      </c>
      <c r="D9" s="2"/>
      <c r="E9" s="2"/>
      <c r="F9" s="2"/>
      <c r="G9" s="8"/>
      <c r="H9" s="2">
        <v>2027</v>
      </c>
      <c r="I9" s="2">
        <v>2027</v>
      </c>
      <c r="K9" s="8"/>
      <c r="AD9" s="8"/>
      <c r="AE9">
        <v>1</v>
      </c>
      <c r="AF9" t="s">
        <v>47</v>
      </c>
    </row>
    <row r="10" spans="1:33" x14ac:dyDescent="0.3">
      <c r="B10" s="8"/>
      <c r="C10" s="2" t="s">
        <v>755</v>
      </c>
      <c r="D10" s="2"/>
      <c r="E10" s="2"/>
      <c r="F10" s="2"/>
      <c r="G10" s="8"/>
      <c r="H10" s="2">
        <v>2028</v>
      </c>
      <c r="I10" s="2">
        <v>2028</v>
      </c>
      <c r="AD10" s="8"/>
      <c r="AE10">
        <v>2</v>
      </c>
      <c r="AF10" t="s">
        <v>48</v>
      </c>
    </row>
    <row r="11" spans="1:33" ht="15.6" x14ac:dyDescent="0.3">
      <c r="B11" s="8"/>
      <c r="C11" s="2" t="s">
        <v>756</v>
      </c>
      <c r="D11" s="2"/>
      <c r="E11" s="2"/>
      <c r="F11" s="2"/>
      <c r="G11" s="8"/>
      <c r="H11" s="2">
        <v>2029</v>
      </c>
      <c r="I11" s="2">
        <v>2029</v>
      </c>
      <c r="K11" s="7"/>
      <c r="L11" s="17" t="s">
        <v>40</v>
      </c>
      <c r="M11" s="17"/>
      <c r="N11" s="12"/>
      <c r="O11" s="13"/>
      <c r="P11" s="13"/>
      <c r="Q11" s="13"/>
      <c r="R11" s="13"/>
      <c r="S11" s="13"/>
      <c r="T11" s="13"/>
      <c r="U11" s="13"/>
      <c r="V11" s="13"/>
      <c r="W11" s="13"/>
      <c r="X11" s="13"/>
      <c r="Y11" s="13"/>
      <c r="Z11" s="13"/>
      <c r="AA11" s="13"/>
      <c r="AB11" s="13"/>
      <c r="AD11" s="8"/>
      <c r="AE11">
        <v>3</v>
      </c>
      <c r="AF11" t="s">
        <v>49</v>
      </c>
    </row>
    <row r="12" spans="1:33" x14ac:dyDescent="0.3">
      <c r="B12" s="8"/>
      <c r="C12" s="2" t="s">
        <v>757</v>
      </c>
      <c r="D12" s="2"/>
      <c r="E12" s="2"/>
      <c r="F12" s="2"/>
      <c r="G12" s="8"/>
      <c r="H12" s="2">
        <v>2030</v>
      </c>
      <c r="I12" s="2">
        <v>2030</v>
      </c>
      <c r="K12" s="14"/>
      <c r="L12" s="9"/>
      <c r="M12" s="15" t="s">
        <v>37</v>
      </c>
      <c r="N12" s="15" t="str">
        <f t="array" ref="N12:AB12">TRANSPOSE(C7:C21)</f>
        <v>sim1</v>
      </c>
      <c r="O12" s="15" t="str">
        <v>sim2</v>
      </c>
      <c r="P12" s="15" t="str">
        <v>sim3</v>
      </c>
      <c r="Q12" s="15" t="str">
        <v>sim4</v>
      </c>
      <c r="R12" s="15" t="str">
        <v>sim5</v>
      </c>
      <c r="S12" s="15" t="str">
        <v>sim6</v>
      </c>
      <c r="T12" s="15" t="str">
        <v>sim7</v>
      </c>
      <c r="U12" s="15" t="str">
        <v>sim8</v>
      </c>
      <c r="V12" s="15" t="str">
        <v>sim9</v>
      </c>
      <c r="W12" s="15" t="str">
        <v>sim10</v>
      </c>
      <c r="X12" s="15" t="str">
        <v>sim11</v>
      </c>
      <c r="Y12" s="15" t="str">
        <v>sim12</v>
      </c>
      <c r="Z12" s="15" t="str">
        <v>sim13</v>
      </c>
      <c r="AA12" s="15" t="str">
        <v>sim14</v>
      </c>
      <c r="AB12" s="15" t="str">
        <v>sim15</v>
      </c>
      <c r="AD12" s="8"/>
    </row>
    <row r="13" spans="1:33" x14ac:dyDescent="0.3">
      <c r="B13" s="8"/>
      <c r="C13" s="2" t="s">
        <v>758</v>
      </c>
      <c r="D13" s="2"/>
      <c r="E13" s="2"/>
      <c r="F13" s="2"/>
      <c r="G13" s="8"/>
      <c r="H13" s="2">
        <v>2031</v>
      </c>
      <c r="I13" s="2"/>
      <c r="K13" s="8"/>
      <c r="L13" s="2" t="s">
        <v>852</v>
      </c>
      <c r="M13" s="3">
        <v>1</v>
      </c>
      <c r="N13" s="3">
        <v>1</v>
      </c>
      <c r="O13" s="3">
        <v>1</v>
      </c>
      <c r="P13" s="3">
        <v>1</v>
      </c>
      <c r="Q13" s="3">
        <v>1</v>
      </c>
      <c r="R13" s="3">
        <v>1</v>
      </c>
      <c r="S13" s="3">
        <v>1</v>
      </c>
      <c r="T13" s="3">
        <v>1</v>
      </c>
      <c r="U13" s="3">
        <v>1</v>
      </c>
      <c r="V13" s="3">
        <v>1</v>
      </c>
      <c r="W13" s="3">
        <v>1</v>
      </c>
      <c r="X13" s="3">
        <v>1</v>
      </c>
      <c r="Y13" s="3">
        <v>1</v>
      </c>
      <c r="Z13" s="3">
        <v>1</v>
      </c>
      <c r="AA13" s="3">
        <v>1</v>
      </c>
      <c r="AB13" s="3">
        <v>1</v>
      </c>
      <c r="AD13" s="8"/>
      <c r="AE13" s="1" t="s">
        <v>51</v>
      </c>
    </row>
    <row r="14" spans="1:33" x14ac:dyDescent="0.3">
      <c r="B14" s="8"/>
      <c r="C14" s="2" t="s">
        <v>759</v>
      </c>
      <c r="D14" s="2"/>
      <c r="E14" s="2"/>
      <c r="F14" s="2"/>
      <c r="G14" s="8"/>
      <c r="H14" s="2">
        <v>2032</v>
      </c>
      <c r="I14" s="2"/>
      <c r="K14" s="8"/>
      <c r="L14" s="2" t="s">
        <v>853</v>
      </c>
      <c r="M14" s="3">
        <v>1</v>
      </c>
      <c r="N14" s="3">
        <v>1</v>
      </c>
      <c r="O14" s="3">
        <v>1</v>
      </c>
      <c r="P14" s="3">
        <v>1</v>
      </c>
      <c r="Q14" s="3">
        <v>1</v>
      </c>
      <c r="R14" s="3">
        <v>1</v>
      </c>
      <c r="S14" s="3">
        <v>1</v>
      </c>
      <c r="T14" s="3">
        <v>1</v>
      </c>
      <c r="U14" s="3">
        <v>1</v>
      </c>
      <c r="V14" s="3">
        <v>1</v>
      </c>
      <c r="W14" s="3">
        <v>1</v>
      </c>
      <c r="X14" s="3">
        <v>1</v>
      </c>
      <c r="Y14" s="3">
        <v>1</v>
      </c>
      <c r="Z14" s="3">
        <v>1</v>
      </c>
      <c r="AA14" s="3">
        <v>1</v>
      </c>
      <c r="AB14" s="3">
        <v>1</v>
      </c>
      <c r="AD14" s="8"/>
      <c r="AE14">
        <v>1</v>
      </c>
      <c r="AF14" t="s">
        <v>115</v>
      </c>
    </row>
    <row r="15" spans="1:33" x14ac:dyDescent="0.3">
      <c r="B15" s="8"/>
      <c r="C15" s="2" t="s">
        <v>760</v>
      </c>
      <c r="D15" s="2"/>
      <c r="E15" s="2"/>
      <c r="F15" s="2"/>
      <c r="G15" s="8"/>
      <c r="H15" s="2">
        <v>2033</v>
      </c>
      <c r="I15" s="2"/>
      <c r="K15" s="8"/>
      <c r="L15" s="2" t="s">
        <v>854</v>
      </c>
      <c r="M15" s="3">
        <v>1</v>
      </c>
      <c r="N15" s="3">
        <v>1</v>
      </c>
      <c r="O15" s="3">
        <v>1</v>
      </c>
      <c r="P15" s="3">
        <v>1</v>
      </c>
      <c r="Q15" s="3">
        <v>1</v>
      </c>
      <c r="R15" s="3">
        <v>1</v>
      </c>
      <c r="S15" s="3">
        <v>1</v>
      </c>
      <c r="T15" s="3">
        <v>1</v>
      </c>
      <c r="U15" s="3">
        <v>1</v>
      </c>
      <c r="V15" s="3">
        <v>1</v>
      </c>
      <c r="W15" s="3">
        <v>1</v>
      </c>
      <c r="X15" s="3">
        <v>1</v>
      </c>
      <c r="Y15" s="3">
        <v>1</v>
      </c>
      <c r="Z15" s="3">
        <v>1</v>
      </c>
      <c r="AA15" s="3">
        <v>1</v>
      </c>
      <c r="AB15" s="3">
        <v>1</v>
      </c>
      <c r="AD15" s="8"/>
      <c r="AE15">
        <v>2</v>
      </c>
      <c r="AF15" t="s">
        <v>116</v>
      </c>
    </row>
    <row r="16" spans="1:33" x14ac:dyDescent="0.3">
      <c r="B16" s="8"/>
      <c r="C16" s="2" t="s">
        <v>761</v>
      </c>
      <c r="D16" s="2"/>
      <c r="E16" s="2"/>
      <c r="F16" s="2"/>
      <c r="G16" s="8"/>
      <c r="H16" s="2">
        <v>2034</v>
      </c>
      <c r="I16" s="2"/>
      <c r="K16" s="8"/>
      <c r="L16" s="2" t="s">
        <v>855</v>
      </c>
      <c r="M16" s="3">
        <v>1</v>
      </c>
      <c r="N16" s="3">
        <v>1</v>
      </c>
      <c r="O16" s="3">
        <v>1</v>
      </c>
      <c r="P16" s="3">
        <v>1</v>
      </c>
      <c r="Q16" s="3">
        <v>1</v>
      </c>
      <c r="R16" s="3">
        <v>1</v>
      </c>
      <c r="S16" s="3">
        <v>1</v>
      </c>
      <c r="T16" s="3">
        <v>1</v>
      </c>
      <c r="U16" s="3">
        <v>1</v>
      </c>
      <c r="V16" s="3">
        <v>1</v>
      </c>
      <c r="W16" s="3">
        <v>1</v>
      </c>
      <c r="X16" s="3">
        <v>1</v>
      </c>
      <c r="Y16" s="3">
        <v>1</v>
      </c>
      <c r="Z16" s="3">
        <v>1</v>
      </c>
      <c r="AA16" s="3">
        <v>1</v>
      </c>
      <c r="AB16" s="3">
        <v>1</v>
      </c>
      <c r="AD16" s="8"/>
      <c r="AE16">
        <v>3</v>
      </c>
      <c r="AF16" t="s">
        <v>46</v>
      </c>
    </row>
    <row r="17" spans="2:32" x14ac:dyDescent="0.3">
      <c r="B17" s="8"/>
      <c r="C17" s="2" t="s">
        <v>41</v>
      </c>
      <c r="D17" s="2"/>
      <c r="E17" s="2"/>
      <c r="F17" s="2"/>
      <c r="G17" s="8"/>
      <c r="H17" s="2">
        <v>2035</v>
      </c>
      <c r="I17" s="2"/>
      <c r="K17" s="8"/>
      <c r="L17" s="2" t="s">
        <v>856</v>
      </c>
      <c r="M17" s="3">
        <v>1</v>
      </c>
      <c r="N17" s="3">
        <v>1</v>
      </c>
      <c r="O17" s="3">
        <v>1</v>
      </c>
      <c r="P17" s="3">
        <v>1</v>
      </c>
      <c r="Q17" s="3">
        <v>1</v>
      </c>
      <c r="R17" s="3">
        <v>1</v>
      </c>
      <c r="S17" s="3">
        <v>1</v>
      </c>
      <c r="T17" s="3">
        <v>1</v>
      </c>
      <c r="U17" s="3">
        <v>1</v>
      </c>
      <c r="V17" s="3">
        <v>1</v>
      </c>
      <c r="W17" s="3">
        <v>1</v>
      </c>
      <c r="X17" s="3">
        <v>1</v>
      </c>
      <c r="Y17" s="3">
        <v>1</v>
      </c>
      <c r="Z17" s="3">
        <v>1</v>
      </c>
      <c r="AA17" s="3">
        <v>1</v>
      </c>
      <c r="AB17" s="3">
        <v>1</v>
      </c>
      <c r="AD17" s="8"/>
      <c r="AE17">
        <v>4</v>
      </c>
      <c r="AF17" t="s">
        <v>117</v>
      </c>
    </row>
    <row r="18" spans="2:32" x14ac:dyDescent="0.3">
      <c r="B18" s="8"/>
      <c r="C18" s="2" t="s">
        <v>42</v>
      </c>
      <c r="D18" s="2"/>
      <c r="E18" s="2"/>
      <c r="F18" s="2"/>
      <c r="G18" s="8"/>
      <c r="H18" s="2">
        <v>2036</v>
      </c>
      <c r="I18" s="2"/>
      <c r="K18" s="8"/>
      <c r="L18" s="2" t="s">
        <v>857</v>
      </c>
      <c r="M18" s="3">
        <v>1</v>
      </c>
      <c r="N18" s="3">
        <v>1</v>
      </c>
      <c r="O18" s="3">
        <v>1</v>
      </c>
      <c r="P18" s="3">
        <v>1</v>
      </c>
      <c r="Q18" s="3">
        <v>1</v>
      </c>
      <c r="R18" s="3">
        <v>1</v>
      </c>
      <c r="S18" s="3">
        <v>1</v>
      </c>
      <c r="T18" s="3">
        <v>1</v>
      </c>
      <c r="U18" s="3">
        <v>1</v>
      </c>
      <c r="V18" s="3">
        <v>1</v>
      </c>
      <c r="W18" s="3">
        <v>1</v>
      </c>
      <c r="X18" s="3">
        <v>1</v>
      </c>
      <c r="Y18" s="3">
        <v>1</v>
      </c>
      <c r="Z18" s="3">
        <v>1</v>
      </c>
      <c r="AA18" s="3">
        <v>1</v>
      </c>
      <c r="AB18" s="3">
        <v>1</v>
      </c>
      <c r="AD18" s="8"/>
      <c r="AE18">
        <v>5</v>
      </c>
      <c r="AF18" t="s">
        <v>118</v>
      </c>
    </row>
    <row r="19" spans="2:32" x14ac:dyDescent="0.3">
      <c r="B19" s="8"/>
      <c r="C19" s="2" t="s">
        <v>43</v>
      </c>
      <c r="D19" s="2"/>
      <c r="E19" s="2"/>
      <c r="F19" s="2"/>
      <c r="G19" s="8"/>
      <c r="H19" s="2">
        <v>2037</v>
      </c>
      <c r="I19" s="2"/>
      <c r="K19" s="8"/>
      <c r="L19" s="2" t="s">
        <v>858</v>
      </c>
      <c r="M19" s="3">
        <v>1</v>
      </c>
      <c r="N19" s="3">
        <v>1</v>
      </c>
      <c r="O19" s="3">
        <v>1</v>
      </c>
      <c r="P19" s="3">
        <v>1</v>
      </c>
      <c r="Q19" s="3">
        <v>1</v>
      </c>
      <c r="R19" s="3">
        <v>1</v>
      </c>
      <c r="S19" s="3">
        <v>1</v>
      </c>
      <c r="T19" s="3">
        <v>1</v>
      </c>
      <c r="U19" s="3">
        <v>1</v>
      </c>
      <c r="V19" s="3">
        <v>1</v>
      </c>
      <c r="W19" s="3">
        <v>1</v>
      </c>
      <c r="X19" s="3">
        <v>1</v>
      </c>
      <c r="Y19" s="3">
        <v>1</v>
      </c>
      <c r="Z19" s="3">
        <v>1</v>
      </c>
      <c r="AA19" s="3">
        <v>1</v>
      </c>
      <c r="AB19" s="3">
        <v>1</v>
      </c>
      <c r="AD19" s="8"/>
    </row>
    <row r="20" spans="2:32" x14ac:dyDescent="0.3">
      <c r="B20" s="8"/>
      <c r="C20" s="2" t="s">
        <v>44</v>
      </c>
      <c r="D20" s="2"/>
      <c r="E20" s="2"/>
      <c r="F20" s="2"/>
      <c r="G20" s="8"/>
      <c r="H20" s="2">
        <v>2038</v>
      </c>
      <c r="I20" s="2"/>
      <c r="K20" s="8"/>
      <c r="L20" s="2" t="s">
        <v>859</v>
      </c>
      <c r="M20" s="3">
        <v>1</v>
      </c>
      <c r="N20" s="3">
        <v>1</v>
      </c>
      <c r="O20" s="3">
        <v>1</v>
      </c>
      <c r="P20" s="3">
        <v>1</v>
      </c>
      <c r="Q20" s="3">
        <v>1</v>
      </c>
      <c r="R20" s="3">
        <v>1</v>
      </c>
      <c r="S20" s="3">
        <v>1</v>
      </c>
      <c r="T20" s="3">
        <v>1</v>
      </c>
      <c r="U20" s="3">
        <v>1</v>
      </c>
      <c r="V20" s="3">
        <v>1</v>
      </c>
      <c r="W20" s="3">
        <v>1</v>
      </c>
      <c r="X20" s="3">
        <v>1</v>
      </c>
      <c r="Y20" s="3">
        <v>1</v>
      </c>
      <c r="Z20" s="3">
        <v>1</v>
      </c>
      <c r="AA20" s="3">
        <v>1</v>
      </c>
      <c r="AB20" s="3">
        <v>1</v>
      </c>
      <c r="AD20" s="8"/>
      <c r="AE20" s="1" t="s">
        <v>53</v>
      </c>
    </row>
    <row r="21" spans="2:32" x14ac:dyDescent="0.3">
      <c r="B21" s="8"/>
      <c r="C21" s="2" t="s">
        <v>45</v>
      </c>
      <c r="D21" s="2"/>
      <c r="E21" s="2"/>
      <c r="F21" s="2"/>
      <c r="G21" s="8"/>
      <c r="H21" s="2">
        <v>2039</v>
      </c>
      <c r="I21" s="2"/>
      <c r="K21" s="8"/>
      <c r="L21" s="2" t="s">
        <v>10</v>
      </c>
      <c r="M21" s="3">
        <v>1</v>
      </c>
      <c r="N21" s="3">
        <v>1</v>
      </c>
      <c r="O21" s="3">
        <v>1</v>
      </c>
      <c r="P21" s="3">
        <v>1</v>
      </c>
      <c r="Q21" s="3">
        <v>1</v>
      </c>
      <c r="R21" s="3">
        <v>1</v>
      </c>
      <c r="S21" s="3">
        <v>1</v>
      </c>
      <c r="T21" s="3">
        <v>1</v>
      </c>
      <c r="U21" s="3">
        <v>1</v>
      </c>
      <c r="V21" s="3">
        <v>1</v>
      </c>
      <c r="W21" s="3">
        <v>1</v>
      </c>
      <c r="X21" s="3">
        <v>1</v>
      </c>
      <c r="Y21" s="3">
        <v>1</v>
      </c>
      <c r="Z21" s="3">
        <v>1</v>
      </c>
      <c r="AA21" s="3">
        <v>1</v>
      </c>
      <c r="AB21" s="3">
        <v>1</v>
      </c>
      <c r="AD21" s="8"/>
      <c r="AE21">
        <v>1</v>
      </c>
      <c r="AF21" t="s">
        <v>119</v>
      </c>
    </row>
    <row r="22" spans="2:32" x14ac:dyDescent="0.3">
      <c r="B22" s="8"/>
      <c r="G22" s="8"/>
      <c r="H22" s="2">
        <v>2040</v>
      </c>
      <c r="I22" s="2"/>
      <c r="K22" s="8"/>
      <c r="L22" s="2" t="s">
        <v>860</v>
      </c>
      <c r="M22" s="3">
        <v>2</v>
      </c>
      <c r="N22" s="3">
        <v>2</v>
      </c>
      <c r="O22" s="3">
        <v>2</v>
      </c>
      <c r="P22" s="3">
        <v>2</v>
      </c>
      <c r="Q22" s="3">
        <v>2</v>
      </c>
      <c r="R22" s="3">
        <v>2</v>
      </c>
      <c r="S22" s="3">
        <v>2</v>
      </c>
      <c r="T22" s="3">
        <v>2</v>
      </c>
      <c r="U22" s="3">
        <v>2</v>
      </c>
      <c r="V22" s="3">
        <v>2</v>
      </c>
      <c r="W22" s="3">
        <v>2</v>
      </c>
      <c r="X22" s="3">
        <v>2</v>
      </c>
      <c r="Y22" s="3">
        <v>2</v>
      </c>
      <c r="Z22" s="3">
        <v>2</v>
      </c>
      <c r="AA22" s="3">
        <v>2</v>
      </c>
      <c r="AB22" s="3">
        <v>2</v>
      </c>
      <c r="AD22" s="8"/>
      <c r="AE22">
        <v>2</v>
      </c>
      <c r="AF22" t="s">
        <v>120</v>
      </c>
    </row>
    <row r="23" spans="2:32" x14ac:dyDescent="0.3">
      <c r="B23" s="22"/>
      <c r="C23" s="22"/>
      <c r="D23" s="22"/>
      <c r="E23" s="22"/>
      <c r="G23" s="8"/>
      <c r="K23" s="8"/>
      <c r="L23" s="2" t="s">
        <v>861</v>
      </c>
      <c r="M23" s="3">
        <v>2</v>
      </c>
      <c r="N23" s="3">
        <v>2</v>
      </c>
      <c r="O23" s="3">
        <v>2</v>
      </c>
      <c r="P23" s="3">
        <v>2</v>
      </c>
      <c r="Q23" s="3">
        <v>2</v>
      </c>
      <c r="R23" s="3">
        <v>2</v>
      </c>
      <c r="S23" s="3">
        <v>2</v>
      </c>
      <c r="T23" s="3">
        <v>2</v>
      </c>
      <c r="U23" s="3">
        <v>2</v>
      </c>
      <c r="V23" s="3">
        <v>2</v>
      </c>
      <c r="W23" s="3">
        <v>2</v>
      </c>
      <c r="X23" s="3">
        <v>2</v>
      </c>
      <c r="Y23" s="3">
        <v>2</v>
      </c>
      <c r="Z23" s="3">
        <v>2</v>
      </c>
      <c r="AA23" s="3">
        <v>2</v>
      </c>
      <c r="AB23" s="3">
        <v>2</v>
      </c>
      <c r="AD23" s="8"/>
      <c r="AE23" s="3"/>
    </row>
    <row r="24" spans="2:32" x14ac:dyDescent="0.3">
      <c r="G24" s="8"/>
      <c r="H24" s="2"/>
      <c r="I24" s="2"/>
      <c r="K24" s="8"/>
      <c r="L24" s="2" t="s">
        <v>862</v>
      </c>
      <c r="M24" s="3">
        <v>2</v>
      </c>
      <c r="N24" s="3">
        <v>2</v>
      </c>
      <c r="O24" s="3">
        <v>2</v>
      </c>
      <c r="P24" s="3">
        <v>2</v>
      </c>
      <c r="Q24" s="3">
        <v>2</v>
      </c>
      <c r="R24" s="3">
        <v>2</v>
      </c>
      <c r="S24" s="3">
        <v>2</v>
      </c>
      <c r="T24" s="3">
        <v>2</v>
      </c>
      <c r="U24" s="3">
        <v>2</v>
      </c>
      <c r="V24" s="3">
        <v>2</v>
      </c>
      <c r="W24" s="3">
        <v>2</v>
      </c>
      <c r="X24" s="3">
        <v>2</v>
      </c>
      <c r="Y24" s="3">
        <v>2</v>
      </c>
      <c r="Z24" s="3">
        <v>2</v>
      </c>
      <c r="AA24" s="3">
        <v>2</v>
      </c>
      <c r="AB24" s="3">
        <v>2</v>
      </c>
      <c r="AD24" s="8"/>
      <c r="AE24" s="1" t="s">
        <v>54</v>
      </c>
    </row>
    <row r="25" spans="2:32" x14ac:dyDescent="0.3">
      <c r="G25" s="8"/>
      <c r="H25" s="2"/>
      <c r="I25" s="2"/>
      <c r="K25" s="8"/>
      <c r="L25" s="2" t="s">
        <v>863</v>
      </c>
      <c r="M25" s="3">
        <v>2</v>
      </c>
      <c r="N25" s="3">
        <v>2</v>
      </c>
      <c r="O25" s="3">
        <v>2</v>
      </c>
      <c r="P25" s="3">
        <v>2</v>
      </c>
      <c r="Q25" s="3">
        <v>2</v>
      </c>
      <c r="R25" s="3">
        <v>2</v>
      </c>
      <c r="S25" s="3">
        <v>2</v>
      </c>
      <c r="T25" s="3">
        <v>2</v>
      </c>
      <c r="U25" s="3">
        <v>2</v>
      </c>
      <c r="V25" s="3">
        <v>2</v>
      </c>
      <c r="W25" s="3">
        <v>2</v>
      </c>
      <c r="X25" s="3">
        <v>2</v>
      </c>
      <c r="Y25" s="3">
        <v>2</v>
      </c>
      <c r="Z25" s="3">
        <v>2</v>
      </c>
      <c r="AA25" s="3">
        <v>2</v>
      </c>
      <c r="AB25" s="3">
        <v>2</v>
      </c>
      <c r="AD25" s="8"/>
      <c r="AE25">
        <v>1</v>
      </c>
      <c r="AF25" t="s">
        <v>287</v>
      </c>
    </row>
    <row r="26" spans="2:32" x14ac:dyDescent="0.3">
      <c r="G26" s="8"/>
      <c r="H26" s="2"/>
      <c r="I26" s="2"/>
      <c r="K26" s="8"/>
      <c r="L26" s="2"/>
      <c r="M26" s="2"/>
      <c r="N26" s="3"/>
      <c r="O26" s="3"/>
      <c r="P26" s="3"/>
      <c r="Q26" s="3"/>
      <c r="R26" s="3"/>
      <c r="S26" s="3"/>
      <c r="T26" s="3"/>
      <c r="U26" s="3"/>
      <c r="V26" s="3"/>
      <c r="W26" s="3"/>
      <c r="X26" s="3"/>
      <c r="Y26" s="3"/>
      <c r="Z26" s="3"/>
      <c r="AA26" s="3"/>
      <c r="AB26" s="3"/>
      <c r="AD26" s="8"/>
      <c r="AE26">
        <v>2</v>
      </c>
      <c r="AF26" t="s">
        <v>617</v>
      </c>
    </row>
    <row r="27" spans="2:32" x14ac:dyDescent="0.3">
      <c r="G27" s="8"/>
      <c r="H27" s="2"/>
      <c r="I27" s="2"/>
      <c r="K27" s="8"/>
      <c r="L27" s="2"/>
      <c r="M27" s="2"/>
      <c r="N27" s="3"/>
      <c r="O27" s="3"/>
      <c r="P27" s="3"/>
      <c r="Q27" s="3"/>
      <c r="R27" s="3"/>
      <c r="S27" s="3"/>
      <c r="T27" s="3"/>
      <c r="U27" s="3"/>
      <c r="V27" s="3"/>
      <c r="W27" s="3"/>
      <c r="X27" s="3"/>
      <c r="Y27" s="3"/>
      <c r="Z27" s="3"/>
      <c r="AA27" s="3"/>
      <c r="AB27" s="3"/>
      <c r="AD27" s="8"/>
      <c r="AE27">
        <v>3</v>
      </c>
      <c r="AF27" t="s">
        <v>618</v>
      </c>
    </row>
    <row r="28" spans="2:32" x14ac:dyDescent="0.3">
      <c r="G28" s="8"/>
      <c r="H28" s="2"/>
      <c r="I28" s="2"/>
      <c r="K28" s="8"/>
      <c r="L28" s="2"/>
      <c r="M28" s="2"/>
      <c r="N28" s="3"/>
      <c r="O28" s="3"/>
      <c r="P28" s="3"/>
      <c r="Q28" s="3"/>
      <c r="R28" s="3"/>
      <c r="S28" s="3"/>
      <c r="T28" s="3"/>
      <c r="U28" s="3"/>
      <c r="V28" s="3"/>
      <c r="W28" s="3"/>
      <c r="X28" s="3"/>
      <c r="Y28" s="3"/>
      <c r="Z28" s="3"/>
      <c r="AA28" s="3"/>
      <c r="AB28" s="3"/>
      <c r="AD28" s="8"/>
      <c r="AE28">
        <v>4</v>
      </c>
      <c r="AF28" t="s">
        <v>105</v>
      </c>
    </row>
    <row r="29" spans="2:32" x14ac:dyDescent="0.3">
      <c r="G29" s="8"/>
      <c r="H29" s="2"/>
      <c r="I29" s="2"/>
      <c r="K29" s="8"/>
      <c r="L29" s="2"/>
      <c r="M29" s="2"/>
      <c r="N29" s="3"/>
      <c r="O29" s="3"/>
      <c r="P29" s="3"/>
      <c r="Q29" s="3"/>
      <c r="R29" s="3"/>
      <c r="S29" s="3"/>
      <c r="T29" s="3"/>
      <c r="U29" s="3"/>
      <c r="V29" s="3"/>
      <c r="W29" s="3"/>
      <c r="X29" s="3"/>
      <c r="Y29" s="3"/>
      <c r="Z29" s="3"/>
      <c r="AA29" s="3"/>
      <c r="AB29" s="3"/>
      <c r="AD29" s="8"/>
      <c r="AE29">
        <v>5</v>
      </c>
      <c r="AF29" t="s">
        <v>106</v>
      </c>
    </row>
    <row r="30" spans="2:32" x14ac:dyDescent="0.3">
      <c r="G30" s="8"/>
      <c r="H30" s="2"/>
      <c r="I30" s="2"/>
      <c r="K30" s="8"/>
      <c r="L30" s="2"/>
      <c r="M30" s="2"/>
      <c r="N30" s="3"/>
      <c r="O30" s="3"/>
      <c r="P30" s="3"/>
      <c r="Q30" s="3"/>
      <c r="R30" s="3"/>
      <c r="S30" s="3"/>
      <c r="T30" s="3"/>
      <c r="U30" s="3"/>
      <c r="V30" s="3"/>
      <c r="W30" s="3"/>
      <c r="X30" s="3"/>
      <c r="Y30" s="3"/>
      <c r="Z30" s="3"/>
      <c r="AA30" s="3"/>
      <c r="AB30" s="3"/>
      <c r="AD30" s="8"/>
      <c r="AE30">
        <v>6</v>
      </c>
      <c r="AF30" t="s">
        <v>107</v>
      </c>
    </row>
    <row r="31" spans="2:32" x14ac:dyDescent="0.3">
      <c r="G31" s="8"/>
      <c r="H31" s="2"/>
      <c r="I31" s="2"/>
      <c r="K31" s="8"/>
      <c r="L31" s="2"/>
      <c r="M31" s="2"/>
      <c r="N31" s="3"/>
      <c r="O31" s="3"/>
      <c r="P31" s="3"/>
      <c r="Q31" s="3"/>
      <c r="R31" s="3"/>
      <c r="S31" s="3"/>
      <c r="T31" s="3"/>
      <c r="U31" s="3"/>
      <c r="V31" s="3"/>
      <c r="W31" s="3"/>
      <c r="X31" s="3"/>
      <c r="Y31" s="3"/>
      <c r="Z31" s="3"/>
      <c r="AA31" s="3"/>
      <c r="AB31" s="3"/>
      <c r="AD31" s="8"/>
      <c r="AE31">
        <v>7</v>
      </c>
      <c r="AF31" t="s">
        <v>108</v>
      </c>
    </row>
    <row r="32" spans="2:32" x14ac:dyDescent="0.3">
      <c r="G32" s="8"/>
      <c r="H32" s="2"/>
      <c r="I32" s="2"/>
      <c r="K32" s="8"/>
      <c r="L32" s="2"/>
      <c r="M32" s="2"/>
      <c r="N32" s="3"/>
      <c r="O32" s="3"/>
      <c r="P32" s="3"/>
      <c r="Q32" s="3"/>
      <c r="R32" s="3"/>
      <c r="S32" s="3"/>
      <c r="T32" s="3"/>
      <c r="U32" s="3"/>
      <c r="V32" s="3"/>
      <c r="W32" s="3"/>
      <c r="X32" s="3"/>
      <c r="Y32" s="3"/>
      <c r="Z32" s="3"/>
      <c r="AA32" s="3"/>
      <c r="AB32" s="3"/>
      <c r="AD32" s="8"/>
      <c r="AE32">
        <v>8</v>
      </c>
      <c r="AF32" t="s">
        <v>109</v>
      </c>
    </row>
    <row r="33" spans="7:32" x14ac:dyDescent="0.3">
      <c r="G33" s="8"/>
      <c r="H33" s="2"/>
      <c r="I33" s="2"/>
      <c r="K33" s="8"/>
      <c r="L33" s="2"/>
      <c r="M33" s="2"/>
      <c r="N33" s="3"/>
      <c r="O33" s="3"/>
      <c r="P33" s="3"/>
      <c r="Q33" s="3"/>
      <c r="R33" s="3"/>
      <c r="S33" s="3"/>
      <c r="T33" s="3"/>
      <c r="U33" s="3"/>
      <c r="V33" s="3"/>
      <c r="W33" s="3"/>
      <c r="X33" s="3"/>
      <c r="Y33" s="3"/>
      <c r="Z33" s="3"/>
      <c r="AA33" s="3"/>
      <c r="AB33" s="3"/>
      <c r="AD33" s="8"/>
      <c r="AE33">
        <v>9</v>
      </c>
      <c r="AF33" t="s">
        <v>110</v>
      </c>
    </row>
    <row r="34" spans="7:32" x14ac:dyDescent="0.3">
      <c r="G34" s="8"/>
      <c r="H34" s="2"/>
      <c r="I34" s="2"/>
      <c r="K34" s="8"/>
      <c r="L34" s="2"/>
      <c r="M34" s="2"/>
      <c r="N34" s="3"/>
      <c r="O34" s="3"/>
      <c r="P34" s="3"/>
      <c r="Q34" s="3"/>
      <c r="R34" s="3"/>
      <c r="S34" s="3"/>
      <c r="T34" s="3"/>
      <c r="U34" s="3"/>
      <c r="V34" s="3"/>
      <c r="W34" s="3"/>
      <c r="X34" s="3"/>
      <c r="Y34" s="3"/>
      <c r="Z34" s="3"/>
      <c r="AA34" s="3"/>
      <c r="AB34" s="3"/>
      <c r="AD34" s="8"/>
      <c r="AE34">
        <v>10</v>
      </c>
      <c r="AF34" t="s">
        <v>111</v>
      </c>
    </row>
    <row r="35" spans="7:32" x14ac:dyDescent="0.3">
      <c r="G35" s="8"/>
      <c r="H35" s="2"/>
      <c r="I35" s="2"/>
      <c r="K35" s="8"/>
      <c r="L35" s="2"/>
      <c r="M35" s="2"/>
      <c r="N35" s="3"/>
      <c r="O35" s="3"/>
      <c r="P35" s="3"/>
      <c r="Q35" s="3"/>
      <c r="R35" s="3"/>
      <c r="S35" s="3"/>
      <c r="T35" s="3"/>
      <c r="U35" s="3"/>
      <c r="V35" s="3"/>
      <c r="W35" s="3"/>
      <c r="X35" s="3"/>
      <c r="Y35" s="3"/>
      <c r="Z35" s="3"/>
      <c r="AA35" s="3"/>
      <c r="AB35" s="3"/>
      <c r="AD35" s="8"/>
      <c r="AE35">
        <v>11</v>
      </c>
      <c r="AF35" t="s">
        <v>112</v>
      </c>
    </row>
    <row r="36" spans="7:32" x14ac:dyDescent="0.3">
      <c r="G36" s="8"/>
      <c r="K36" s="8"/>
      <c r="L36" s="2"/>
      <c r="M36" s="2"/>
      <c r="N36" s="3"/>
      <c r="O36" s="3"/>
      <c r="P36" s="3"/>
      <c r="Q36" s="3"/>
      <c r="R36" s="3"/>
      <c r="S36" s="3"/>
      <c r="T36" s="3"/>
      <c r="U36" s="3"/>
      <c r="V36" s="3"/>
      <c r="W36" s="3"/>
      <c r="X36" s="3"/>
      <c r="Y36" s="3"/>
      <c r="Z36" s="3"/>
      <c r="AA36" s="3"/>
      <c r="AB36" s="3"/>
      <c r="AD36" s="8"/>
      <c r="AE36">
        <v>12</v>
      </c>
      <c r="AF36" t="s">
        <v>619</v>
      </c>
    </row>
    <row r="37" spans="7:32" x14ac:dyDescent="0.3">
      <c r="G37" s="8"/>
      <c r="K37" s="8"/>
      <c r="L37" s="2"/>
      <c r="M37" s="2"/>
      <c r="N37" s="3"/>
      <c r="O37" s="3"/>
      <c r="P37" s="3"/>
      <c r="Q37" s="3"/>
      <c r="R37" s="3"/>
      <c r="S37" s="3"/>
      <c r="T37" s="3"/>
      <c r="U37" s="3"/>
      <c r="V37" s="3"/>
      <c r="W37" s="3"/>
      <c r="X37" s="3"/>
      <c r="Y37" s="3"/>
      <c r="Z37" s="3"/>
      <c r="AA37" s="3"/>
      <c r="AB37" s="3"/>
      <c r="AD37" s="8"/>
      <c r="AE37">
        <v>13</v>
      </c>
      <c r="AF37" t="s">
        <v>620</v>
      </c>
    </row>
    <row r="38" spans="7:32" x14ac:dyDescent="0.3">
      <c r="G38" s="8"/>
      <c r="K38" s="8"/>
      <c r="L38" s="2"/>
      <c r="M38" s="2"/>
      <c r="N38" s="3"/>
      <c r="O38" s="3"/>
      <c r="P38" s="3"/>
      <c r="Q38" s="3"/>
      <c r="R38" s="3"/>
      <c r="S38" s="3"/>
      <c r="T38" s="3"/>
      <c r="U38" s="3"/>
      <c r="V38" s="3"/>
      <c r="W38" s="3"/>
      <c r="X38" s="3"/>
      <c r="Y38" s="3"/>
      <c r="Z38" s="3"/>
      <c r="AA38" s="3"/>
      <c r="AB38" s="3"/>
      <c r="AD38" s="8"/>
      <c r="AE38">
        <v>14</v>
      </c>
      <c r="AF38" t="s">
        <v>121</v>
      </c>
    </row>
    <row r="39" spans="7:32" x14ac:dyDescent="0.3">
      <c r="G39" s="8"/>
      <c r="H39" s="2"/>
      <c r="I39" s="2"/>
      <c r="K39" s="8"/>
      <c r="L39" s="2"/>
      <c r="M39" s="2"/>
      <c r="N39" s="3"/>
      <c r="O39" s="3"/>
      <c r="P39" s="3"/>
      <c r="Q39" s="3"/>
      <c r="R39" s="3"/>
      <c r="S39" s="3"/>
      <c r="T39" s="3"/>
      <c r="U39" s="3"/>
      <c r="V39" s="3"/>
      <c r="W39" s="3"/>
      <c r="X39" s="3"/>
      <c r="Y39" s="3"/>
      <c r="Z39" s="3"/>
      <c r="AA39" s="3"/>
      <c r="AB39" s="3"/>
      <c r="AD39" s="8"/>
      <c r="AE39">
        <v>15</v>
      </c>
      <c r="AF39" t="s">
        <v>122</v>
      </c>
    </row>
    <row r="40" spans="7:32" x14ac:dyDescent="0.3">
      <c r="G40" s="8"/>
      <c r="H40" s="2"/>
      <c r="I40" s="2"/>
      <c r="K40" s="8"/>
      <c r="L40" s="2"/>
      <c r="M40" s="2"/>
      <c r="N40" s="3"/>
      <c r="O40" s="3"/>
      <c r="P40" s="3"/>
      <c r="Q40" s="3"/>
      <c r="R40" s="3"/>
      <c r="S40" s="3"/>
      <c r="T40" s="3"/>
      <c r="U40" s="3"/>
      <c r="V40" s="3"/>
      <c r="W40" s="3"/>
      <c r="X40" s="3"/>
      <c r="Y40" s="3"/>
      <c r="Z40" s="3"/>
      <c r="AA40" s="3"/>
      <c r="AB40" s="3"/>
      <c r="AD40" s="24"/>
    </row>
    <row r="41" spans="7:32" x14ac:dyDescent="0.3">
      <c r="G41" s="8"/>
      <c r="H41" s="2"/>
      <c r="I41" s="2"/>
      <c r="K41" s="8"/>
      <c r="L41" s="2"/>
      <c r="M41" s="2"/>
      <c r="N41" s="3"/>
      <c r="O41" s="3"/>
      <c r="P41" s="3"/>
      <c r="Q41" s="3"/>
      <c r="R41" s="3"/>
      <c r="S41" s="3"/>
      <c r="T41" s="3"/>
      <c r="U41" s="3"/>
      <c r="V41" s="3"/>
      <c r="W41" s="3"/>
      <c r="X41" s="3"/>
      <c r="Y41" s="3"/>
      <c r="Z41" s="3"/>
      <c r="AA41" s="3"/>
      <c r="AB41" s="3"/>
      <c r="AD41" s="22"/>
      <c r="AE41" s="22"/>
      <c r="AF41" s="22"/>
    </row>
    <row r="42" spans="7:32" x14ac:dyDescent="0.3">
      <c r="G42" s="8"/>
      <c r="H42" s="2"/>
      <c r="I42" s="2"/>
      <c r="K42" s="8"/>
      <c r="L42" s="2"/>
      <c r="M42" s="2"/>
      <c r="N42" s="3"/>
      <c r="O42" s="3"/>
      <c r="P42" s="3"/>
      <c r="Q42" s="3"/>
      <c r="R42" s="3"/>
      <c r="S42" s="3"/>
      <c r="T42" s="3"/>
      <c r="U42" s="3"/>
      <c r="V42" s="3"/>
      <c r="W42" s="3"/>
      <c r="X42" s="3"/>
      <c r="Y42" s="3"/>
      <c r="Z42" s="3"/>
      <c r="AA42" s="3"/>
      <c r="AB42" s="3"/>
    </row>
    <row r="43" spans="7:32" x14ac:dyDescent="0.3">
      <c r="G43" s="8"/>
      <c r="H43" s="2"/>
      <c r="I43" s="2"/>
      <c r="K43" s="8"/>
      <c r="L43" s="2"/>
      <c r="M43" s="2"/>
      <c r="N43" s="3"/>
      <c r="O43" s="3"/>
      <c r="P43" s="3"/>
      <c r="Q43" s="3"/>
      <c r="R43" s="3"/>
      <c r="S43" s="3"/>
      <c r="T43" s="3"/>
      <c r="U43" s="3"/>
      <c r="V43" s="3"/>
      <c r="W43" s="3"/>
      <c r="X43" s="3"/>
      <c r="Y43" s="3"/>
      <c r="Z43" s="3"/>
      <c r="AA43" s="3"/>
      <c r="AB43" s="3"/>
    </row>
    <row r="44" spans="7:32" x14ac:dyDescent="0.3">
      <c r="G44" s="8"/>
      <c r="H44" s="2"/>
      <c r="I44" s="2"/>
      <c r="K44" s="8"/>
      <c r="L44" s="2"/>
      <c r="M44" s="2"/>
      <c r="N44" s="3"/>
      <c r="O44" s="3"/>
      <c r="P44" s="3"/>
      <c r="Q44" s="3"/>
      <c r="R44" s="3"/>
      <c r="S44" s="3"/>
      <c r="T44" s="3"/>
      <c r="U44" s="3"/>
      <c r="V44" s="3"/>
      <c r="W44" s="3"/>
      <c r="X44" s="3"/>
      <c r="Y44" s="3"/>
      <c r="Z44" s="3"/>
      <c r="AA44" s="3"/>
      <c r="AB44" s="3"/>
    </row>
    <row r="45" spans="7:32" x14ac:dyDescent="0.3">
      <c r="G45" s="8"/>
      <c r="H45" s="2"/>
      <c r="I45" s="2"/>
      <c r="K45" s="8"/>
      <c r="L45" s="2"/>
      <c r="M45" s="2"/>
      <c r="N45" s="3"/>
      <c r="O45" s="3"/>
      <c r="P45" s="3"/>
      <c r="Q45" s="3"/>
      <c r="R45" s="3"/>
      <c r="S45" s="3"/>
      <c r="T45" s="3"/>
      <c r="U45" s="3"/>
      <c r="V45" s="3"/>
      <c r="W45" s="3"/>
      <c r="X45" s="3"/>
      <c r="Y45" s="3"/>
      <c r="Z45" s="3"/>
      <c r="AA45" s="3"/>
      <c r="AB45" s="3"/>
    </row>
    <row r="46" spans="7:32" x14ac:dyDescent="0.3">
      <c r="G46" s="8"/>
      <c r="H46" s="2"/>
      <c r="I46" s="2"/>
      <c r="K46" s="8"/>
      <c r="L46" s="2"/>
      <c r="M46" s="2"/>
      <c r="N46" s="3"/>
      <c r="O46" s="3"/>
      <c r="P46" s="3"/>
      <c r="Q46" s="3"/>
      <c r="R46" s="3"/>
      <c r="S46" s="3"/>
      <c r="T46" s="3"/>
      <c r="U46" s="3"/>
      <c r="V46" s="3"/>
      <c r="W46" s="3"/>
      <c r="X46" s="3"/>
      <c r="Y46" s="3"/>
      <c r="Z46" s="3"/>
      <c r="AA46" s="3"/>
      <c r="AB46" s="3"/>
    </row>
    <row r="47" spans="7:32" x14ac:dyDescent="0.3">
      <c r="G47" s="8"/>
      <c r="H47" s="2"/>
      <c r="I47" s="2"/>
      <c r="K47" s="8"/>
      <c r="L47" s="2"/>
      <c r="M47" s="2"/>
      <c r="N47" s="3"/>
      <c r="O47" s="3"/>
      <c r="P47" s="3"/>
      <c r="Q47" s="3"/>
      <c r="R47" s="3"/>
      <c r="S47" s="3"/>
      <c r="T47" s="3"/>
      <c r="U47" s="3"/>
      <c r="V47" s="3"/>
      <c r="W47" s="3"/>
      <c r="X47" s="3"/>
      <c r="Y47" s="3"/>
      <c r="Z47" s="3"/>
      <c r="AA47" s="3"/>
      <c r="AB47" s="3"/>
    </row>
    <row r="48" spans="7:32" x14ac:dyDescent="0.3">
      <c r="G48" s="8"/>
      <c r="H48" s="2"/>
      <c r="I48" s="2"/>
      <c r="K48" s="8"/>
      <c r="L48" s="2"/>
      <c r="M48" s="2"/>
      <c r="N48" s="3"/>
      <c r="O48" s="3"/>
      <c r="P48" s="3"/>
      <c r="Q48" s="3"/>
      <c r="R48" s="3"/>
      <c r="S48" s="3"/>
      <c r="T48" s="3"/>
      <c r="U48" s="3"/>
      <c r="V48" s="3"/>
      <c r="W48" s="3"/>
      <c r="X48" s="3"/>
      <c r="Y48" s="3"/>
      <c r="Z48" s="3"/>
      <c r="AA48" s="3"/>
      <c r="AB48" s="3"/>
    </row>
    <row r="49" spans="7:28" x14ac:dyDescent="0.3">
      <c r="G49" s="8"/>
      <c r="H49" s="2"/>
      <c r="I49" s="2"/>
      <c r="K49" s="8"/>
      <c r="L49" s="2"/>
      <c r="M49" s="2"/>
      <c r="N49" s="3"/>
      <c r="O49" s="3"/>
      <c r="P49" s="3"/>
      <c r="Q49" s="3"/>
      <c r="R49" s="3"/>
      <c r="S49" s="3"/>
      <c r="T49" s="3"/>
      <c r="U49" s="3"/>
      <c r="V49" s="3"/>
      <c r="W49" s="3"/>
      <c r="X49" s="3"/>
      <c r="Y49" s="3"/>
      <c r="Z49" s="3"/>
      <c r="AA49" s="3"/>
      <c r="AB49" s="3"/>
    </row>
    <row r="50" spans="7:28" x14ac:dyDescent="0.3">
      <c r="G50" s="8"/>
      <c r="H50" s="2"/>
      <c r="I50" s="2"/>
      <c r="K50" s="8"/>
      <c r="L50" s="2"/>
      <c r="M50" s="2"/>
      <c r="N50" s="3"/>
      <c r="O50" s="3"/>
      <c r="P50" s="3"/>
      <c r="Q50" s="3"/>
      <c r="R50" s="3"/>
      <c r="S50" s="3"/>
      <c r="T50" s="3"/>
      <c r="U50" s="3"/>
      <c r="V50" s="3"/>
      <c r="W50" s="3"/>
      <c r="X50" s="3"/>
      <c r="Y50" s="3"/>
      <c r="Z50" s="3"/>
      <c r="AA50" s="3"/>
      <c r="AB50" s="3"/>
    </row>
    <row r="51" spans="7:28" x14ac:dyDescent="0.3">
      <c r="G51" s="8"/>
      <c r="H51" s="2"/>
      <c r="I51" s="2"/>
      <c r="K51" s="8"/>
      <c r="L51" s="2"/>
      <c r="M51" s="2"/>
      <c r="N51" s="2"/>
      <c r="O51" s="2"/>
      <c r="P51" s="2"/>
      <c r="Q51" s="2"/>
      <c r="R51" s="2"/>
      <c r="S51" s="2"/>
      <c r="T51" s="2"/>
      <c r="U51" s="2"/>
      <c r="V51" s="2"/>
      <c r="W51" s="2"/>
      <c r="X51" s="2"/>
      <c r="Y51" s="2"/>
      <c r="Z51" s="2"/>
      <c r="AA51" s="2"/>
      <c r="AB51" s="2"/>
    </row>
    <row r="52" spans="7:28" x14ac:dyDescent="0.3">
      <c r="G52" s="8"/>
      <c r="H52" s="2"/>
      <c r="I52" s="2"/>
      <c r="K52" s="8"/>
      <c r="L52" s="2"/>
      <c r="M52" s="2"/>
      <c r="N52" s="2"/>
      <c r="O52" s="2"/>
      <c r="P52" s="2"/>
      <c r="Q52" s="2"/>
      <c r="R52" s="2"/>
      <c r="S52" s="2"/>
      <c r="T52" s="2"/>
      <c r="U52" s="2"/>
      <c r="V52" s="2"/>
      <c r="W52" s="2"/>
      <c r="X52" s="2"/>
      <c r="Y52" s="2"/>
      <c r="Z52" s="2"/>
      <c r="AA52" s="2"/>
      <c r="AB52" s="2"/>
    </row>
    <row r="53" spans="7:28" x14ac:dyDescent="0.3">
      <c r="G53" s="8"/>
      <c r="H53" s="2"/>
      <c r="I53" s="2"/>
      <c r="K53" s="8"/>
      <c r="L53" s="2"/>
      <c r="M53" s="2"/>
      <c r="N53" s="2"/>
      <c r="O53" s="2"/>
      <c r="P53" s="2"/>
      <c r="Q53" s="2"/>
      <c r="R53" s="2"/>
      <c r="S53" s="2"/>
      <c r="T53" s="2"/>
      <c r="U53" s="2"/>
      <c r="V53" s="2"/>
      <c r="W53" s="2"/>
      <c r="X53" s="2"/>
      <c r="Y53" s="2"/>
      <c r="Z53" s="2"/>
      <c r="AA53" s="2"/>
      <c r="AB53" s="2"/>
    </row>
    <row r="54" spans="7:28" x14ac:dyDescent="0.3">
      <c r="G54" s="8"/>
      <c r="H54" s="2"/>
      <c r="I54" s="2"/>
      <c r="K54" s="8"/>
      <c r="L54" s="2"/>
      <c r="M54" s="2"/>
      <c r="N54" s="2"/>
      <c r="O54" s="2"/>
      <c r="P54" s="2"/>
      <c r="Q54" s="2"/>
      <c r="R54" s="2"/>
      <c r="S54" s="2"/>
      <c r="T54" s="2"/>
      <c r="U54" s="2"/>
      <c r="V54" s="2"/>
      <c r="W54" s="2"/>
      <c r="X54" s="2"/>
      <c r="Y54" s="2"/>
      <c r="Z54" s="2"/>
      <c r="AA54" s="2"/>
      <c r="AB54" s="2"/>
    </row>
    <row r="55" spans="7:28" x14ac:dyDescent="0.3">
      <c r="G55" s="8"/>
      <c r="H55" s="2"/>
      <c r="I55" s="2"/>
      <c r="K55" s="8"/>
      <c r="L55" s="2"/>
      <c r="M55" s="2"/>
      <c r="N55" s="2"/>
      <c r="O55" s="2"/>
      <c r="P55" s="2"/>
      <c r="Q55" s="2"/>
      <c r="R55" s="2"/>
      <c r="S55" s="2"/>
      <c r="T55" s="2"/>
      <c r="U55" s="2"/>
      <c r="V55" s="2"/>
      <c r="W55" s="2"/>
      <c r="X55" s="2"/>
      <c r="Y55" s="2"/>
      <c r="Z55" s="2"/>
      <c r="AA55" s="2"/>
      <c r="AB55" s="2"/>
    </row>
    <row r="56" spans="7:28" x14ac:dyDescent="0.3">
      <c r="G56" s="8"/>
      <c r="H56" s="2"/>
      <c r="I56" s="2"/>
      <c r="K56" s="8"/>
      <c r="L56" s="2"/>
      <c r="M56" s="2"/>
      <c r="N56" s="2"/>
      <c r="O56" s="2"/>
      <c r="P56" s="2"/>
      <c r="Q56" s="2"/>
      <c r="R56" s="2"/>
      <c r="S56" s="2"/>
      <c r="T56" s="2"/>
      <c r="U56" s="2"/>
      <c r="V56" s="2"/>
      <c r="W56" s="2"/>
      <c r="X56" s="2"/>
      <c r="Y56" s="2"/>
      <c r="Z56" s="2"/>
      <c r="AA56" s="2"/>
      <c r="AB56" s="2"/>
    </row>
    <row r="57" spans="7:28" x14ac:dyDescent="0.3">
      <c r="G57" s="8"/>
      <c r="H57" s="2"/>
      <c r="I57" s="2"/>
      <c r="K57" s="8"/>
      <c r="L57" s="2"/>
      <c r="M57" s="2"/>
      <c r="N57" s="2"/>
      <c r="O57" s="2"/>
      <c r="P57" s="2"/>
      <c r="Q57" s="2"/>
      <c r="R57" s="2"/>
      <c r="S57" s="2"/>
      <c r="T57" s="2"/>
      <c r="U57" s="2"/>
      <c r="V57" s="2"/>
      <c r="W57" s="2"/>
      <c r="X57" s="2"/>
      <c r="Y57" s="2"/>
      <c r="Z57" s="2"/>
      <c r="AA57" s="2"/>
      <c r="AB57" s="2"/>
    </row>
    <row r="58" spans="7:28" x14ac:dyDescent="0.3">
      <c r="G58" s="8"/>
      <c r="H58" s="2"/>
      <c r="I58" s="2"/>
      <c r="K58" s="8"/>
      <c r="L58" s="2"/>
      <c r="M58" s="2"/>
      <c r="N58" s="2"/>
      <c r="O58" s="2"/>
      <c r="P58" s="2"/>
      <c r="Q58" s="2"/>
      <c r="R58" s="2"/>
      <c r="S58" s="2"/>
      <c r="T58" s="2"/>
      <c r="U58" s="2"/>
      <c r="V58" s="2"/>
      <c r="W58" s="2"/>
      <c r="X58" s="2"/>
      <c r="Y58" s="2"/>
      <c r="Z58" s="2"/>
      <c r="AA58" s="2"/>
      <c r="AB58" s="2"/>
    </row>
    <row r="59" spans="7:28" x14ac:dyDescent="0.3">
      <c r="G59" s="8"/>
      <c r="K59" s="8"/>
      <c r="L59" s="2"/>
      <c r="M59" s="2"/>
      <c r="N59" s="2"/>
      <c r="O59" s="2"/>
      <c r="P59" s="2"/>
      <c r="Q59" s="2"/>
      <c r="R59" s="2"/>
      <c r="S59" s="2"/>
      <c r="T59" s="2"/>
      <c r="U59" s="2"/>
      <c r="V59" s="2"/>
      <c r="W59" s="2"/>
      <c r="X59" s="2"/>
      <c r="Y59" s="2"/>
      <c r="Z59" s="2"/>
      <c r="AA59" s="2"/>
      <c r="AB59" s="2"/>
    </row>
    <row r="60" spans="7:28" x14ac:dyDescent="0.3">
      <c r="G60" s="22"/>
      <c r="H60" s="22"/>
      <c r="I60" s="22"/>
      <c r="K60" s="8"/>
      <c r="L60" s="2"/>
      <c r="M60" s="2"/>
      <c r="N60" s="2"/>
      <c r="O60" s="2"/>
      <c r="P60" s="2"/>
      <c r="Q60" s="2"/>
      <c r="R60" s="2"/>
      <c r="S60" s="2"/>
      <c r="T60" s="2"/>
      <c r="U60" s="2"/>
      <c r="V60" s="2"/>
      <c r="W60" s="2"/>
      <c r="X60" s="2"/>
      <c r="Y60" s="2"/>
      <c r="Z60" s="2"/>
      <c r="AA60" s="2"/>
      <c r="AB60" s="2"/>
    </row>
    <row r="61" spans="7:28" x14ac:dyDescent="0.3">
      <c r="K61" s="8"/>
      <c r="L61" s="2"/>
      <c r="M61" s="2"/>
      <c r="N61" s="2"/>
      <c r="O61" s="2"/>
      <c r="P61" s="2"/>
      <c r="Q61" s="2"/>
      <c r="R61" s="2"/>
      <c r="S61" s="2"/>
      <c r="T61" s="2"/>
      <c r="U61" s="2"/>
      <c r="V61" s="2"/>
      <c r="W61" s="2"/>
      <c r="X61" s="2"/>
      <c r="Y61" s="2"/>
      <c r="Z61" s="2"/>
      <c r="AA61" s="2"/>
      <c r="AB61" s="2"/>
    </row>
    <row r="62" spans="7:28" x14ac:dyDescent="0.3">
      <c r="K62" s="8"/>
      <c r="L62" s="2"/>
      <c r="M62" s="2"/>
      <c r="N62" s="2"/>
      <c r="O62" s="2"/>
      <c r="P62" s="2"/>
      <c r="Q62" s="2"/>
      <c r="R62" s="2"/>
      <c r="S62" s="2"/>
      <c r="T62" s="2"/>
      <c r="U62" s="2"/>
      <c r="V62" s="2"/>
      <c r="W62" s="2"/>
      <c r="X62" s="2"/>
      <c r="Y62" s="2"/>
      <c r="Z62" s="2"/>
      <c r="AA62" s="2"/>
      <c r="AB62" s="2"/>
    </row>
    <row r="63" spans="7:28" x14ac:dyDescent="0.3">
      <c r="K63" s="8"/>
      <c r="L63" s="2"/>
      <c r="M63" s="2"/>
      <c r="N63" s="2"/>
      <c r="O63" s="2"/>
      <c r="P63" s="2"/>
      <c r="Q63" s="2"/>
      <c r="R63" s="2"/>
      <c r="S63" s="2"/>
      <c r="T63" s="2"/>
      <c r="U63" s="2"/>
      <c r="V63" s="2"/>
      <c r="W63" s="2"/>
      <c r="X63" s="2"/>
      <c r="Y63" s="2"/>
      <c r="Z63" s="2"/>
      <c r="AA63" s="2"/>
      <c r="AB63" s="2"/>
    </row>
    <row r="64" spans="7:28" x14ac:dyDescent="0.3">
      <c r="K64" s="8"/>
      <c r="L64" s="2"/>
      <c r="M64" s="2"/>
      <c r="N64" s="2"/>
      <c r="O64" s="2"/>
      <c r="P64" s="2"/>
      <c r="Q64" s="2"/>
      <c r="R64" s="2"/>
      <c r="S64" s="2"/>
      <c r="T64" s="2"/>
      <c r="U64" s="2"/>
      <c r="V64" s="2"/>
      <c r="W64" s="2"/>
      <c r="X64" s="2"/>
      <c r="Y64" s="2"/>
      <c r="Z64" s="2"/>
      <c r="AA64" s="2"/>
      <c r="AB64" s="2"/>
    </row>
    <row r="65" spans="11:28" x14ac:dyDescent="0.3">
      <c r="K65" s="8"/>
      <c r="L65" s="2"/>
      <c r="M65" s="2"/>
      <c r="N65" s="2"/>
      <c r="O65" s="2"/>
      <c r="P65" s="2"/>
      <c r="Q65" s="2"/>
      <c r="R65" s="2"/>
      <c r="S65" s="2"/>
      <c r="T65" s="2"/>
      <c r="U65" s="2"/>
      <c r="V65" s="2"/>
      <c r="W65" s="2"/>
      <c r="X65" s="2"/>
      <c r="Y65" s="2"/>
      <c r="Z65" s="2"/>
      <c r="AA65" s="2"/>
      <c r="AB65" s="2"/>
    </row>
    <row r="66" spans="11:28" x14ac:dyDescent="0.3">
      <c r="K66" s="8"/>
      <c r="L66" s="2"/>
      <c r="M66" s="2"/>
      <c r="N66" s="2"/>
      <c r="O66" s="2"/>
      <c r="P66" s="2"/>
      <c r="Q66" s="2"/>
      <c r="R66" s="2"/>
      <c r="S66" s="2"/>
      <c r="T66" s="2"/>
      <c r="U66" s="2"/>
      <c r="V66" s="2"/>
      <c r="W66" s="2"/>
      <c r="X66" s="2"/>
      <c r="Y66" s="2"/>
      <c r="Z66" s="2"/>
      <c r="AA66" s="2"/>
      <c r="AB66" s="2"/>
    </row>
    <row r="67" spans="11:28" x14ac:dyDescent="0.3">
      <c r="K67" s="8"/>
      <c r="L67" s="2"/>
      <c r="M67" s="2"/>
      <c r="N67" s="2"/>
      <c r="O67" s="2"/>
      <c r="P67" s="2"/>
      <c r="Q67" s="2"/>
      <c r="R67" s="2"/>
      <c r="S67" s="2"/>
      <c r="T67" s="2"/>
      <c r="U67" s="2"/>
      <c r="V67" s="2"/>
      <c r="W67" s="2"/>
      <c r="X67" s="2"/>
      <c r="Y67" s="2"/>
      <c r="Z67" s="2"/>
      <c r="AA67" s="2"/>
      <c r="AB67" s="2"/>
    </row>
    <row r="68" spans="11:28" x14ac:dyDescent="0.3">
      <c r="K68" s="8"/>
      <c r="L68" s="2"/>
      <c r="M68" s="2"/>
      <c r="N68" s="2"/>
      <c r="O68" s="2"/>
      <c r="P68" s="2"/>
      <c r="Q68" s="2"/>
      <c r="R68" s="2"/>
      <c r="S68" s="2"/>
      <c r="T68" s="2"/>
      <c r="U68" s="2"/>
      <c r="V68" s="2"/>
      <c r="W68" s="2"/>
      <c r="X68" s="2"/>
      <c r="Y68" s="2"/>
      <c r="Z68" s="2"/>
      <c r="AA68" s="2"/>
      <c r="AB68" s="2"/>
    </row>
    <row r="69" spans="11:28" x14ac:dyDescent="0.3">
      <c r="K69" s="8"/>
      <c r="L69" s="2"/>
      <c r="M69" s="2"/>
      <c r="N69" s="2"/>
      <c r="O69" s="2"/>
      <c r="P69" s="2"/>
      <c r="Q69" s="2"/>
      <c r="R69" s="2"/>
      <c r="S69" s="2"/>
      <c r="T69" s="2"/>
      <c r="U69" s="2"/>
      <c r="V69" s="2"/>
      <c r="W69" s="2"/>
      <c r="X69" s="2"/>
      <c r="Y69" s="2"/>
      <c r="Z69" s="2"/>
      <c r="AA69" s="2"/>
      <c r="AB69" s="2"/>
    </row>
    <row r="70" spans="11:28" x14ac:dyDescent="0.3">
      <c r="K70" s="8"/>
      <c r="L70" s="2"/>
      <c r="M70" s="2"/>
      <c r="N70" s="2"/>
      <c r="O70" s="2"/>
      <c r="P70" s="2"/>
      <c r="Q70" s="2"/>
      <c r="R70" s="2"/>
      <c r="S70" s="2"/>
      <c r="T70" s="2"/>
      <c r="U70" s="2"/>
      <c r="V70" s="2"/>
      <c r="W70" s="2"/>
      <c r="X70" s="2"/>
      <c r="Y70" s="2"/>
      <c r="Z70" s="2"/>
      <c r="AA70" s="2"/>
      <c r="AB70" s="2"/>
    </row>
    <row r="71" spans="11:28" x14ac:dyDescent="0.3">
      <c r="K71" s="8"/>
      <c r="L71" s="2"/>
      <c r="M71" s="2"/>
      <c r="N71" s="2"/>
      <c r="O71" s="2"/>
      <c r="P71" s="2"/>
      <c r="Q71" s="2"/>
      <c r="R71" s="2"/>
      <c r="S71" s="2"/>
      <c r="T71" s="2"/>
      <c r="U71" s="2"/>
      <c r="V71" s="2"/>
      <c r="W71" s="2"/>
      <c r="X71" s="2"/>
      <c r="Y71" s="2"/>
      <c r="Z71" s="2"/>
      <c r="AA71" s="2"/>
      <c r="AB71" s="2"/>
    </row>
    <row r="72" spans="11:28" x14ac:dyDescent="0.3">
      <c r="K72" s="8"/>
      <c r="L72" s="2"/>
      <c r="M72" s="2"/>
      <c r="N72" s="2"/>
      <c r="O72" s="2"/>
      <c r="P72" s="2"/>
      <c r="Q72" s="2"/>
      <c r="R72" s="2"/>
      <c r="S72" s="2"/>
      <c r="T72" s="2"/>
      <c r="U72" s="2"/>
      <c r="V72" s="2"/>
      <c r="W72" s="2"/>
      <c r="X72" s="2"/>
      <c r="Y72" s="2"/>
      <c r="Z72" s="2"/>
      <c r="AA72" s="2"/>
      <c r="AB72" s="2"/>
    </row>
    <row r="73" spans="11:28" x14ac:dyDescent="0.3">
      <c r="K73" s="8"/>
      <c r="L73" s="2"/>
      <c r="M73" s="2"/>
      <c r="N73" s="2"/>
      <c r="O73" s="2"/>
      <c r="P73" s="2"/>
      <c r="Q73" s="2"/>
      <c r="R73" s="2"/>
      <c r="S73" s="2"/>
      <c r="T73" s="2"/>
      <c r="U73" s="2"/>
      <c r="V73" s="2"/>
      <c r="W73" s="2"/>
      <c r="X73" s="2"/>
      <c r="Y73" s="2"/>
      <c r="Z73" s="2"/>
      <c r="AA73" s="2"/>
      <c r="AB73" s="2"/>
    </row>
    <row r="74" spans="11:28" x14ac:dyDescent="0.3">
      <c r="K74" s="8"/>
      <c r="L74" s="2"/>
      <c r="M74" s="2"/>
      <c r="N74" s="2"/>
      <c r="O74" s="2"/>
      <c r="P74" s="2"/>
      <c r="Q74" s="2"/>
      <c r="R74" s="2"/>
      <c r="S74" s="2"/>
      <c r="T74" s="2"/>
      <c r="U74" s="2"/>
      <c r="V74" s="2"/>
      <c r="W74" s="2"/>
      <c r="X74" s="2"/>
      <c r="Y74" s="2"/>
      <c r="Z74" s="2"/>
      <c r="AA74" s="2"/>
      <c r="AB74" s="2"/>
    </row>
    <row r="75" spans="11:28" x14ac:dyDescent="0.3">
      <c r="K75" s="8"/>
      <c r="L75" s="2"/>
      <c r="M75" s="2"/>
      <c r="N75" s="2"/>
      <c r="O75" s="2"/>
      <c r="P75" s="2"/>
      <c r="Q75" s="2"/>
      <c r="R75" s="2"/>
      <c r="S75" s="2"/>
      <c r="T75" s="2"/>
      <c r="U75" s="2"/>
      <c r="V75" s="2"/>
      <c r="W75" s="2"/>
      <c r="X75" s="2"/>
      <c r="Y75" s="2"/>
      <c r="Z75" s="2"/>
      <c r="AA75" s="2"/>
      <c r="AB75" s="2"/>
    </row>
    <row r="76" spans="11:28" x14ac:dyDescent="0.3">
      <c r="K76" s="8"/>
      <c r="L76" s="2"/>
      <c r="M76" s="2"/>
      <c r="N76" s="2"/>
      <c r="O76" s="2"/>
      <c r="P76" s="2"/>
      <c r="Q76" s="2"/>
      <c r="R76" s="2"/>
      <c r="S76" s="2"/>
      <c r="T76" s="2"/>
      <c r="U76" s="2"/>
      <c r="V76" s="2"/>
      <c r="W76" s="2"/>
      <c r="X76" s="2"/>
      <c r="Y76" s="2"/>
      <c r="Z76" s="2"/>
      <c r="AA76" s="2"/>
      <c r="AB76" s="2"/>
    </row>
    <row r="77" spans="11:28" x14ac:dyDescent="0.3">
      <c r="K77" s="8"/>
      <c r="L77" s="2"/>
      <c r="M77" s="2"/>
      <c r="N77" s="2"/>
      <c r="O77" s="2"/>
      <c r="P77" s="2"/>
      <c r="Q77" s="2"/>
      <c r="R77" s="2"/>
      <c r="S77" s="2"/>
      <c r="T77" s="2"/>
      <c r="U77" s="2"/>
      <c r="V77" s="2"/>
      <c r="W77" s="2"/>
      <c r="X77" s="2"/>
      <c r="Y77" s="2"/>
      <c r="Z77" s="2"/>
      <c r="AA77" s="2"/>
      <c r="AB77" s="2"/>
    </row>
    <row r="78" spans="11:28" x14ac:dyDescent="0.3">
      <c r="K78" s="8"/>
      <c r="L78" s="2"/>
      <c r="M78" s="2"/>
      <c r="N78" s="2"/>
      <c r="O78" s="2"/>
      <c r="P78" s="2"/>
      <c r="Q78" s="2"/>
      <c r="R78" s="2"/>
      <c r="S78" s="2"/>
      <c r="T78" s="2"/>
      <c r="U78" s="2"/>
      <c r="V78" s="2"/>
      <c r="W78" s="2"/>
      <c r="X78" s="2"/>
      <c r="Y78" s="2"/>
      <c r="Z78" s="2"/>
      <c r="AA78" s="2"/>
      <c r="AB78" s="2"/>
    </row>
    <row r="79" spans="11:28" x14ac:dyDescent="0.3">
      <c r="K79" s="8"/>
      <c r="L79" s="2"/>
      <c r="M79" s="2"/>
      <c r="N79" s="2"/>
      <c r="O79" s="2"/>
      <c r="P79" s="2"/>
      <c r="Q79" s="2"/>
      <c r="R79" s="2"/>
      <c r="S79" s="2"/>
      <c r="T79" s="2"/>
      <c r="U79" s="2"/>
      <c r="V79" s="2"/>
      <c r="W79" s="2"/>
      <c r="X79" s="2"/>
      <c r="Y79" s="2"/>
      <c r="Z79" s="2"/>
      <c r="AA79" s="2"/>
      <c r="AB79" s="2"/>
    </row>
    <row r="80" spans="11:28" x14ac:dyDescent="0.3">
      <c r="K80" s="8"/>
      <c r="L80" s="2"/>
      <c r="M80" s="2"/>
      <c r="N80" s="2"/>
      <c r="O80" s="2"/>
      <c r="P80" s="2"/>
      <c r="Q80" s="2"/>
      <c r="R80" s="2"/>
      <c r="S80" s="2"/>
      <c r="T80" s="2"/>
      <c r="U80" s="2"/>
      <c r="V80" s="2"/>
      <c r="W80" s="2"/>
      <c r="X80" s="2"/>
      <c r="Y80" s="2"/>
      <c r="Z80" s="2"/>
      <c r="AA80" s="2"/>
      <c r="AB80" s="2"/>
    </row>
    <row r="81" spans="11:28" x14ac:dyDescent="0.3">
      <c r="K81" s="8"/>
      <c r="L81" s="2"/>
      <c r="M81" s="2"/>
      <c r="N81" s="2"/>
      <c r="O81" s="2"/>
      <c r="P81" s="2"/>
      <c r="Q81" s="2"/>
      <c r="R81" s="2"/>
      <c r="S81" s="2"/>
      <c r="T81" s="2"/>
      <c r="U81" s="2"/>
      <c r="V81" s="2"/>
      <c r="W81" s="2"/>
      <c r="X81" s="2"/>
      <c r="Y81" s="2"/>
      <c r="Z81" s="2"/>
      <c r="AA81" s="2"/>
      <c r="AB81" s="2"/>
    </row>
    <row r="82" spans="11:28" x14ac:dyDescent="0.3">
      <c r="K82" s="8"/>
      <c r="L82" s="2"/>
      <c r="M82" s="2"/>
      <c r="N82" s="2"/>
      <c r="O82" s="2"/>
      <c r="P82" s="2"/>
      <c r="Q82" s="2"/>
      <c r="R82" s="2"/>
      <c r="S82" s="2"/>
      <c r="T82" s="2"/>
      <c r="U82" s="2"/>
      <c r="V82" s="2"/>
      <c r="W82" s="2"/>
      <c r="X82" s="2"/>
      <c r="Y82" s="2"/>
      <c r="Z82" s="2"/>
      <c r="AA82" s="2"/>
      <c r="AB82" s="2"/>
    </row>
    <row r="83" spans="11:28" x14ac:dyDescent="0.3">
      <c r="K83" s="8"/>
      <c r="L83" s="2"/>
      <c r="M83" s="2"/>
      <c r="N83" s="2"/>
      <c r="O83" s="2"/>
      <c r="P83" s="2"/>
      <c r="Q83" s="2"/>
      <c r="R83" s="2"/>
      <c r="S83" s="2"/>
      <c r="T83" s="2"/>
      <c r="U83" s="2"/>
      <c r="V83" s="2"/>
      <c r="W83" s="2"/>
      <c r="X83" s="2"/>
      <c r="Y83" s="2"/>
      <c r="Z83" s="2"/>
      <c r="AA83" s="2"/>
      <c r="AB83" s="2"/>
    </row>
    <row r="84" spans="11:28" x14ac:dyDescent="0.3">
      <c r="K84" s="8"/>
      <c r="L84" s="2"/>
      <c r="M84" s="2"/>
      <c r="N84" s="2"/>
      <c r="O84" s="2"/>
      <c r="P84" s="2"/>
      <c r="Q84" s="2"/>
      <c r="R84" s="2"/>
      <c r="S84" s="2"/>
      <c r="T84" s="2"/>
      <c r="U84" s="2"/>
      <c r="V84" s="2"/>
      <c r="W84" s="2"/>
      <c r="X84" s="2"/>
      <c r="Y84" s="2"/>
      <c r="Z84" s="2"/>
      <c r="AA84" s="2"/>
      <c r="AB84" s="2"/>
    </row>
    <row r="85" spans="11:28" x14ac:dyDescent="0.3">
      <c r="K85" s="8"/>
      <c r="L85" s="2"/>
      <c r="M85" s="2"/>
      <c r="N85" s="2"/>
      <c r="O85" s="2"/>
      <c r="P85" s="2"/>
      <c r="Q85" s="2"/>
      <c r="R85" s="2"/>
      <c r="S85" s="2"/>
      <c r="T85" s="2"/>
      <c r="U85" s="2"/>
      <c r="V85" s="2"/>
      <c r="W85" s="2"/>
      <c r="X85" s="2"/>
      <c r="Y85" s="2"/>
      <c r="Z85" s="2"/>
      <c r="AA85" s="2"/>
      <c r="AB85" s="2"/>
    </row>
    <row r="86" spans="11:28" x14ac:dyDescent="0.3">
      <c r="K86" s="8"/>
      <c r="L86" s="2"/>
      <c r="M86" s="2"/>
      <c r="N86" s="2"/>
      <c r="O86" s="2"/>
      <c r="P86" s="2"/>
      <c r="Q86" s="2"/>
      <c r="R86" s="2"/>
      <c r="S86" s="2"/>
      <c r="T86" s="2"/>
      <c r="U86" s="2"/>
      <c r="V86" s="2"/>
      <c r="W86" s="2"/>
      <c r="X86" s="2"/>
      <c r="Y86" s="2"/>
      <c r="Z86" s="2"/>
      <c r="AA86" s="2"/>
      <c r="AB86" s="2"/>
    </row>
    <row r="87" spans="11:28" x14ac:dyDescent="0.3">
      <c r="K87" s="8"/>
      <c r="L87" s="2"/>
      <c r="M87" s="2"/>
      <c r="N87" s="2"/>
      <c r="O87" s="2"/>
      <c r="P87" s="2"/>
      <c r="Q87" s="2"/>
      <c r="R87" s="2"/>
      <c r="S87" s="2"/>
      <c r="T87" s="2"/>
      <c r="U87" s="2"/>
      <c r="V87" s="2"/>
      <c r="W87" s="2"/>
      <c r="X87" s="2"/>
      <c r="Y87" s="2"/>
      <c r="Z87" s="2"/>
      <c r="AA87" s="2"/>
      <c r="AB87" s="2"/>
    </row>
    <row r="88" spans="11:28" x14ac:dyDescent="0.3">
      <c r="K88" s="8"/>
      <c r="L88" s="2"/>
      <c r="M88" s="2"/>
      <c r="N88" s="2"/>
      <c r="O88" s="2"/>
      <c r="P88" s="2"/>
      <c r="Q88" s="2"/>
      <c r="R88" s="2"/>
      <c r="S88" s="2"/>
      <c r="T88" s="2"/>
      <c r="U88" s="2"/>
      <c r="V88" s="2"/>
      <c r="W88" s="2"/>
      <c r="X88" s="2"/>
      <c r="Y88" s="2"/>
      <c r="Z88" s="2"/>
      <c r="AA88" s="2"/>
      <c r="AB88" s="2"/>
    </row>
    <row r="89" spans="11:28" x14ac:dyDescent="0.3">
      <c r="K89" s="8"/>
      <c r="L89" s="2"/>
      <c r="M89" s="2"/>
      <c r="N89" s="2"/>
      <c r="O89" s="2"/>
      <c r="P89" s="2"/>
      <c r="Q89" s="2"/>
      <c r="R89" s="2"/>
      <c r="S89" s="2"/>
      <c r="T89" s="2"/>
      <c r="U89" s="2"/>
      <c r="V89" s="2"/>
      <c r="W89" s="2"/>
      <c r="X89" s="2"/>
      <c r="Y89" s="2"/>
      <c r="Z89" s="2"/>
      <c r="AA89" s="2"/>
      <c r="AB89" s="2"/>
    </row>
    <row r="90" spans="11:28" x14ac:dyDescent="0.3">
      <c r="K90" s="8"/>
      <c r="L90" s="2"/>
      <c r="M90" s="2"/>
      <c r="N90" s="2"/>
      <c r="O90" s="2"/>
      <c r="P90" s="2"/>
      <c r="Q90" s="2"/>
      <c r="R90" s="2"/>
      <c r="S90" s="2"/>
      <c r="T90" s="2"/>
      <c r="U90" s="2"/>
      <c r="V90" s="2"/>
      <c r="W90" s="2"/>
      <c r="X90" s="2"/>
      <c r="Y90" s="2"/>
      <c r="Z90" s="2"/>
      <c r="AA90" s="2"/>
      <c r="AB90" s="2"/>
    </row>
    <row r="91" spans="11:28" x14ac:dyDescent="0.3">
      <c r="K91" s="8"/>
      <c r="L91" s="2"/>
      <c r="M91" s="2"/>
      <c r="N91" s="2"/>
      <c r="O91" s="2"/>
      <c r="P91" s="2"/>
      <c r="Q91" s="2"/>
      <c r="R91" s="2"/>
      <c r="S91" s="2"/>
      <c r="T91" s="2"/>
      <c r="U91" s="2"/>
      <c r="V91" s="2"/>
      <c r="W91" s="2"/>
      <c r="X91" s="2"/>
      <c r="Y91" s="2"/>
      <c r="Z91" s="2"/>
      <c r="AA91" s="2"/>
      <c r="AB91" s="2"/>
    </row>
    <row r="92" spans="11:28" x14ac:dyDescent="0.3">
      <c r="K92" s="8"/>
      <c r="L92" s="2"/>
      <c r="M92" s="2"/>
      <c r="N92" s="2"/>
      <c r="O92" s="2"/>
      <c r="P92" s="2"/>
      <c r="Q92" s="2"/>
      <c r="R92" s="2"/>
      <c r="S92" s="2"/>
      <c r="T92" s="2"/>
      <c r="U92" s="2"/>
      <c r="V92" s="2"/>
      <c r="W92" s="2"/>
      <c r="X92" s="2"/>
      <c r="Y92" s="2"/>
      <c r="Z92" s="2"/>
      <c r="AA92" s="2"/>
      <c r="AB92" s="2"/>
    </row>
    <row r="93" spans="11:28" x14ac:dyDescent="0.3">
      <c r="K93" s="8"/>
      <c r="L93" s="2"/>
      <c r="M93" s="2"/>
      <c r="N93" s="2"/>
      <c r="O93" s="2"/>
      <c r="P93" s="2"/>
      <c r="Q93" s="2"/>
      <c r="R93" s="2"/>
      <c r="S93" s="2"/>
      <c r="T93" s="2"/>
      <c r="U93" s="2"/>
      <c r="V93" s="2"/>
      <c r="W93" s="2"/>
      <c r="X93" s="2"/>
      <c r="Y93" s="2"/>
      <c r="Z93" s="2"/>
      <c r="AA93" s="2"/>
      <c r="AB93" s="2"/>
    </row>
    <row r="94" spans="11:28" x14ac:dyDescent="0.3">
      <c r="K94" s="8"/>
      <c r="L94" s="2"/>
      <c r="M94" s="2"/>
      <c r="N94" s="2"/>
      <c r="O94" s="2"/>
      <c r="P94" s="2"/>
      <c r="Q94" s="2"/>
      <c r="R94" s="2"/>
      <c r="S94" s="2"/>
      <c r="T94" s="2"/>
      <c r="U94" s="2"/>
      <c r="V94" s="2"/>
      <c r="W94" s="2"/>
      <c r="X94" s="2"/>
      <c r="Y94" s="2"/>
      <c r="Z94" s="2"/>
      <c r="AA94" s="2"/>
      <c r="AB94" s="2"/>
    </row>
    <row r="95" spans="11:28" x14ac:dyDescent="0.3">
      <c r="K95" s="8"/>
      <c r="L95" s="2"/>
      <c r="M95" s="2"/>
      <c r="N95" s="2"/>
      <c r="O95" s="2"/>
      <c r="P95" s="2"/>
      <c r="Q95" s="2"/>
      <c r="R95" s="2"/>
      <c r="S95" s="2"/>
      <c r="T95" s="2"/>
      <c r="U95" s="2"/>
      <c r="V95" s="2"/>
      <c r="W95" s="2"/>
      <c r="X95" s="2"/>
      <c r="Y95" s="2"/>
      <c r="Z95" s="2"/>
      <c r="AA95" s="2"/>
      <c r="AB95" s="2"/>
    </row>
    <row r="96" spans="11:28" x14ac:dyDescent="0.3">
      <c r="K96" s="8"/>
      <c r="L96" s="2"/>
      <c r="M96" s="2"/>
      <c r="N96" s="2"/>
      <c r="O96" s="2"/>
      <c r="P96" s="2"/>
      <c r="Q96" s="2"/>
      <c r="R96" s="2"/>
      <c r="S96" s="2"/>
      <c r="T96" s="2"/>
      <c r="U96" s="2"/>
      <c r="V96" s="2"/>
      <c r="W96" s="2"/>
      <c r="X96" s="2"/>
      <c r="Y96" s="2"/>
      <c r="Z96" s="2"/>
      <c r="AA96" s="2"/>
      <c r="AB96" s="2"/>
    </row>
    <row r="97" spans="11:28" x14ac:dyDescent="0.3">
      <c r="K97" s="8"/>
      <c r="L97" s="2"/>
      <c r="M97" s="2"/>
      <c r="N97" s="2"/>
      <c r="O97" s="2"/>
      <c r="P97" s="2"/>
      <c r="Q97" s="2"/>
      <c r="R97" s="2"/>
      <c r="S97" s="2"/>
      <c r="T97" s="2"/>
      <c r="U97" s="2"/>
      <c r="V97" s="2"/>
      <c r="W97" s="2"/>
      <c r="X97" s="2"/>
      <c r="Y97" s="2"/>
      <c r="Z97" s="2"/>
      <c r="AA97" s="2"/>
      <c r="AB97" s="2"/>
    </row>
    <row r="98" spans="11:28" x14ac:dyDescent="0.3">
      <c r="K98" s="8"/>
      <c r="L98" s="2"/>
      <c r="M98" s="2"/>
      <c r="N98" s="2"/>
      <c r="O98" s="2"/>
      <c r="P98" s="2"/>
      <c r="Q98" s="2"/>
      <c r="R98" s="2"/>
      <c r="S98" s="2"/>
      <c r="T98" s="2"/>
      <c r="U98" s="2"/>
      <c r="V98" s="2"/>
      <c r="W98" s="2"/>
      <c r="X98" s="2"/>
      <c r="Y98" s="2"/>
      <c r="Z98" s="2"/>
      <c r="AA98" s="2"/>
      <c r="AB98" s="2"/>
    </row>
    <row r="99" spans="11:28" x14ac:dyDescent="0.3">
      <c r="K99" s="8"/>
      <c r="L99" s="2"/>
      <c r="M99" s="2"/>
      <c r="N99" s="2"/>
      <c r="O99" s="2"/>
      <c r="P99" s="2"/>
      <c r="Q99" s="2"/>
      <c r="R99" s="2"/>
      <c r="S99" s="2"/>
      <c r="T99" s="2"/>
      <c r="U99" s="2"/>
      <c r="V99" s="2"/>
      <c r="W99" s="2"/>
      <c r="X99" s="2"/>
      <c r="Y99" s="2"/>
      <c r="Z99" s="2"/>
      <c r="AA99" s="2"/>
      <c r="AB99" s="2"/>
    </row>
    <row r="100" spans="11:28" x14ac:dyDescent="0.3">
      <c r="K100" s="8"/>
      <c r="L100" s="2"/>
      <c r="M100" s="2"/>
      <c r="N100" s="2"/>
      <c r="O100" s="2"/>
      <c r="P100" s="2"/>
      <c r="Q100" s="2"/>
      <c r="R100" s="2"/>
      <c r="S100" s="2"/>
      <c r="T100" s="2"/>
      <c r="U100" s="2"/>
      <c r="V100" s="2"/>
      <c r="W100" s="2"/>
      <c r="X100" s="2"/>
      <c r="Y100" s="2"/>
      <c r="Z100" s="2"/>
      <c r="AA100" s="2"/>
      <c r="AB100" s="2"/>
    </row>
    <row r="101" spans="11:28" x14ac:dyDescent="0.3">
      <c r="K101" s="8"/>
      <c r="L101" s="2"/>
      <c r="M101" s="2"/>
      <c r="N101" s="2"/>
      <c r="O101" s="2"/>
      <c r="P101" s="2"/>
      <c r="Q101" s="2"/>
      <c r="R101" s="2"/>
      <c r="S101" s="2"/>
      <c r="T101" s="2"/>
      <c r="U101" s="2"/>
      <c r="V101" s="2"/>
      <c r="W101" s="2"/>
      <c r="X101" s="2"/>
      <c r="Y101" s="2"/>
      <c r="Z101" s="2"/>
      <c r="AA101" s="2"/>
      <c r="AB101" s="2"/>
    </row>
    <row r="102" spans="11:28" x14ac:dyDescent="0.3">
      <c r="K102" s="8"/>
      <c r="L102" s="2"/>
      <c r="M102" s="2"/>
      <c r="N102" s="2"/>
      <c r="O102" s="2"/>
      <c r="P102" s="2"/>
      <c r="Q102" s="2"/>
      <c r="R102" s="2"/>
      <c r="S102" s="2"/>
      <c r="T102" s="2"/>
      <c r="U102" s="2"/>
      <c r="V102" s="2"/>
      <c r="W102" s="2"/>
      <c r="X102" s="2"/>
      <c r="Y102" s="2"/>
      <c r="Z102" s="2"/>
      <c r="AA102" s="2"/>
      <c r="AB102" s="2"/>
    </row>
    <row r="103" spans="11:28" x14ac:dyDescent="0.3">
      <c r="K103" s="8"/>
      <c r="L103" s="2"/>
      <c r="M103" s="2"/>
      <c r="N103" s="2"/>
      <c r="O103" s="2"/>
      <c r="P103" s="2"/>
      <c r="Q103" s="2"/>
      <c r="R103" s="2"/>
      <c r="S103" s="2"/>
      <c r="T103" s="2"/>
      <c r="U103" s="2"/>
      <c r="V103" s="2"/>
      <c r="W103" s="2"/>
      <c r="X103" s="2"/>
      <c r="Y103" s="2"/>
      <c r="Z103" s="2"/>
      <c r="AA103" s="2"/>
      <c r="AB103" s="2"/>
    </row>
    <row r="104" spans="11:28" x14ac:dyDescent="0.3">
      <c r="K104" s="8"/>
      <c r="L104" s="2"/>
      <c r="M104" s="2"/>
      <c r="N104" s="2"/>
      <c r="O104" s="2"/>
      <c r="P104" s="2"/>
      <c r="Q104" s="2"/>
      <c r="R104" s="2"/>
      <c r="S104" s="2"/>
      <c r="T104" s="2"/>
      <c r="U104" s="2"/>
      <c r="V104" s="2"/>
      <c r="W104" s="2"/>
      <c r="X104" s="2"/>
      <c r="Y104" s="2"/>
      <c r="Z104" s="2"/>
      <c r="AA104" s="2"/>
      <c r="AB104" s="2"/>
    </row>
    <row r="105" spans="11:28" x14ac:dyDescent="0.3">
      <c r="K105" s="8"/>
      <c r="L105" s="2"/>
      <c r="M105" s="2"/>
      <c r="N105" s="2"/>
      <c r="O105" s="2"/>
      <c r="P105" s="2"/>
      <c r="Q105" s="2"/>
      <c r="R105" s="2"/>
      <c r="S105" s="2"/>
      <c r="T105" s="2"/>
      <c r="U105" s="2"/>
      <c r="V105" s="2"/>
      <c r="W105" s="2"/>
      <c r="X105" s="2"/>
      <c r="Y105" s="2"/>
      <c r="Z105" s="2"/>
      <c r="AA105" s="2"/>
      <c r="AB105" s="2"/>
    </row>
    <row r="106" spans="11:28" x14ac:dyDescent="0.3">
      <c r="K106" s="8"/>
      <c r="L106" s="2"/>
      <c r="M106" s="2"/>
      <c r="N106" s="2"/>
      <c r="O106" s="2"/>
      <c r="P106" s="2"/>
      <c r="Q106" s="2"/>
      <c r="R106" s="2"/>
      <c r="S106" s="2"/>
      <c r="T106" s="2"/>
      <c r="U106" s="2"/>
      <c r="V106" s="2"/>
      <c r="W106" s="2"/>
      <c r="X106" s="2"/>
      <c r="Y106" s="2"/>
      <c r="Z106" s="2"/>
      <c r="AA106" s="2"/>
      <c r="AB106" s="2"/>
    </row>
    <row r="107" spans="11:28" x14ac:dyDescent="0.3">
      <c r="K107" s="8"/>
      <c r="L107" s="2"/>
      <c r="M107" s="2"/>
      <c r="N107" s="2"/>
      <c r="O107" s="2"/>
      <c r="P107" s="2"/>
      <c r="Q107" s="2"/>
      <c r="R107" s="2"/>
      <c r="S107" s="2"/>
      <c r="T107" s="2"/>
      <c r="U107" s="2"/>
      <c r="V107" s="2"/>
      <c r="W107" s="2"/>
      <c r="X107" s="2"/>
      <c r="Y107" s="2"/>
      <c r="Z107" s="2"/>
      <c r="AA107" s="2"/>
      <c r="AB107" s="2"/>
    </row>
    <row r="108" spans="11:28" x14ac:dyDescent="0.3">
      <c r="K108" s="8"/>
      <c r="L108" s="2"/>
      <c r="M108" s="2"/>
      <c r="N108" s="2"/>
      <c r="O108" s="2"/>
      <c r="P108" s="2"/>
      <c r="Q108" s="2"/>
      <c r="R108" s="2"/>
      <c r="S108" s="2"/>
      <c r="T108" s="2"/>
      <c r="U108" s="2"/>
      <c r="V108" s="2"/>
      <c r="W108" s="2"/>
      <c r="X108" s="2"/>
      <c r="Y108" s="2"/>
      <c r="Z108" s="2"/>
      <c r="AA108" s="2"/>
      <c r="AB108" s="2"/>
    </row>
    <row r="109" spans="11:28" x14ac:dyDescent="0.3">
      <c r="K109" s="8"/>
      <c r="L109" s="2"/>
      <c r="M109" s="2"/>
      <c r="N109" s="2"/>
      <c r="O109" s="2"/>
      <c r="P109" s="2"/>
      <c r="Q109" s="2"/>
      <c r="R109" s="2"/>
      <c r="S109" s="2"/>
      <c r="T109" s="2"/>
      <c r="U109" s="2"/>
      <c r="V109" s="2"/>
      <c r="W109" s="2"/>
      <c r="X109" s="2"/>
      <c r="Y109" s="2"/>
      <c r="Z109" s="2"/>
      <c r="AA109" s="2"/>
      <c r="AB109" s="2"/>
    </row>
    <row r="110" spans="11:28" x14ac:dyDescent="0.3">
      <c r="K110" s="8"/>
      <c r="L110" s="2"/>
      <c r="M110" s="2"/>
      <c r="N110" s="2"/>
      <c r="O110" s="2"/>
      <c r="P110" s="2"/>
      <c r="Q110" s="2"/>
      <c r="R110" s="2"/>
      <c r="S110" s="2"/>
      <c r="T110" s="2"/>
      <c r="U110" s="2"/>
      <c r="V110" s="2"/>
      <c r="W110" s="2"/>
      <c r="X110" s="2"/>
      <c r="Y110" s="2"/>
      <c r="Z110" s="2"/>
      <c r="AA110" s="2"/>
      <c r="AB110" s="2"/>
    </row>
    <row r="111" spans="11:28" x14ac:dyDescent="0.3">
      <c r="K111" s="8"/>
      <c r="L111" s="2"/>
      <c r="M111" s="2"/>
      <c r="N111" s="2"/>
      <c r="O111" s="2"/>
      <c r="P111" s="2"/>
      <c r="Q111" s="2"/>
      <c r="R111" s="2"/>
      <c r="S111" s="2"/>
      <c r="T111" s="2"/>
      <c r="U111" s="2"/>
      <c r="V111" s="2"/>
      <c r="W111" s="2"/>
      <c r="X111" s="2"/>
      <c r="Y111" s="2"/>
      <c r="Z111" s="2"/>
      <c r="AA111" s="2"/>
      <c r="AB111" s="2"/>
    </row>
    <row r="112" spans="11:28" x14ac:dyDescent="0.3">
      <c r="K112" s="8"/>
      <c r="L112" s="2"/>
      <c r="M112" s="2"/>
      <c r="N112" s="2"/>
      <c r="O112" s="2"/>
      <c r="P112" s="2"/>
      <c r="Q112" s="2"/>
      <c r="R112" s="2"/>
      <c r="S112" s="2"/>
      <c r="T112" s="2"/>
      <c r="U112" s="2"/>
      <c r="V112" s="2"/>
      <c r="W112" s="2"/>
      <c r="X112" s="2"/>
      <c r="Y112" s="2"/>
      <c r="Z112" s="2"/>
      <c r="AA112" s="2"/>
      <c r="AB112" s="2"/>
    </row>
    <row r="113" spans="11:28" x14ac:dyDescent="0.3">
      <c r="K113" s="8"/>
      <c r="L113" s="2"/>
      <c r="M113" s="2"/>
      <c r="N113" s="2"/>
      <c r="O113" s="2"/>
      <c r="P113" s="2"/>
      <c r="Q113" s="2"/>
      <c r="R113" s="2"/>
      <c r="S113" s="2"/>
      <c r="T113" s="2"/>
      <c r="U113" s="2"/>
      <c r="V113" s="2"/>
      <c r="W113" s="2"/>
      <c r="X113" s="2"/>
      <c r="Y113" s="2"/>
      <c r="Z113" s="2"/>
      <c r="AA113" s="2"/>
      <c r="AB113" s="2"/>
    </row>
    <row r="114" spans="11:28" x14ac:dyDescent="0.3">
      <c r="K114" s="8"/>
      <c r="L114" s="2"/>
      <c r="M114" s="2"/>
      <c r="N114" s="2"/>
      <c r="O114" s="2"/>
      <c r="P114" s="2"/>
      <c r="Q114" s="2"/>
      <c r="R114" s="2"/>
      <c r="S114" s="2"/>
      <c r="T114" s="2"/>
      <c r="U114" s="2"/>
      <c r="V114" s="2"/>
      <c r="W114" s="2"/>
      <c r="X114" s="2"/>
      <c r="Y114" s="2"/>
      <c r="Z114" s="2"/>
      <c r="AA114" s="2"/>
      <c r="AB114" s="2"/>
    </row>
    <row r="115" spans="11:28" x14ac:dyDescent="0.3">
      <c r="K115" s="8"/>
      <c r="L115" s="2"/>
      <c r="M115" s="2"/>
      <c r="N115" s="2"/>
      <c r="O115" s="2"/>
      <c r="P115" s="2"/>
      <c r="Q115" s="2"/>
      <c r="R115" s="2"/>
      <c r="S115" s="2"/>
      <c r="T115" s="2"/>
      <c r="U115" s="2"/>
      <c r="V115" s="2"/>
      <c r="W115" s="2"/>
      <c r="X115" s="2"/>
      <c r="Y115" s="2"/>
      <c r="Z115" s="2"/>
      <c r="AA115" s="2"/>
      <c r="AB115" s="2"/>
    </row>
    <row r="116" spans="11:28" x14ac:dyDescent="0.3">
      <c r="K116" s="8"/>
      <c r="L116" s="2"/>
      <c r="M116" s="2"/>
      <c r="N116" s="2"/>
      <c r="O116" s="2"/>
      <c r="P116" s="2"/>
      <c r="Q116" s="2"/>
      <c r="R116" s="2"/>
      <c r="S116" s="2"/>
      <c r="T116" s="2"/>
      <c r="U116" s="2"/>
      <c r="V116" s="2"/>
      <c r="W116" s="2"/>
      <c r="X116" s="2"/>
      <c r="Y116" s="2"/>
      <c r="Z116" s="2"/>
      <c r="AA116" s="2"/>
      <c r="AB116" s="2"/>
    </row>
    <row r="117" spans="11:28" x14ac:dyDescent="0.3">
      <c r="K117" s="8"/>
      <c r="L117" s="2"/>
      <c r="M117" s="2"/>
      <c r="N117" s="2"/>
      <c r="O117" s="2"/>
      <c r="P117" s="2"/>
      <c r="Q117" s="2"/>
      <c r="R117" s="2"/>
      <c r="S117" s="2"/>
      <c r="T117" s="2"/>
      <c r="U117" s="2"/>
      <c r="V117" s="2"/>
      <c r="W117" s="2"/>
      <c r="X117" s="2"/>
      <c r="Y117" s="2"/>
      <c r="Z117" s="2"/>
      <c r="AA117" s="2"/>
      <c r="AB117" s="2"/>
    </row>
    <row r="118" spans="11:28" x14ac:dyDescent="0.3">
      <c r="K118" s="8"/>
      <c r="L118" s="2"/>
      <c r="M118" s="2"/>
      <c r="N118" s="2"/>
      <c r="O118" s="2"/>
      <c r="P118" s="2"/>
      <c r="Q118" s="2"/>
      <c r="R118" s="2"/>
      <c r="S118" s="2"/>
      <c r="T118" s="2"/>
      <c r="U118" s="2"/>
      <c r="V118" s="2"/>
      <c r="W118" s="2"/>
      <c r="X118" s="2"/>
      <c r="Y118" s="2"/>
      <c r="Z118" s="2"/>
      <c r="AA118" s="2"/>
      <c r="AB118" s="2"/>
    </row>
    <row r="119" spans="11:28" x14ac:dyDescent="0.3">
      <c r="K119" s="8"/>
      <c r="L119" s="2"/>
      <c r="M119" s="2"/>
      <c r="N119" s="2"/>
      <c r="O119" s="2"/>
      <c r="P119" s="2"/>
      <c r="Q119" s="2"/>
      <c r="R119" s="2"/>
      <c r="S119" s="2"/>
      <c r="T119" s="2"/>
      <c r="U119" s="2"/>
      <c r="V119" s="2"/>
      <c r="W119" s="2"/>
      <c r="X119" s="2"/>
      <c r="Y119" s="2"/>
      <c r="Z119" s="2"/>
      <c r="AA119" s="2"/>
      <c r="AB119" s="2"/>
    </row>
    <row r="120" spans="11:28" x14ac:dyDescent="0.3">
      <c r="K120" s="8"/>
      <c r="L120" s="2"/>
      <c r="M120" s="2"/>
      <c r="N120" s="2"/>
      <c r="O120" s="2"/>
      <c r="P120" s="2"/>
      <c r="Q120" s="2"/>
      <c r="R120" s="2"/>
      <c r="S120" s="2"/>
      <c r="T120" s="2"/>
      <c r="U120" s="2"/>
      <c r="V120" s="2"/>
      <c r="W120" s="2"/>
      <c r="X120" s="2"/>
      <c r="Y120" s="2"/>
      <c r="Z120" s="2"/>
      <c r="AA120" s="2"/>
      <c r="AB120" s="2"/>
    </row>
    <row r="121" spans="11:28" x14ac:dyDescent="0.3">
      <c r="K121" s="8"/>
      <c r="L121" s="2"/>
      <c r="M121" s="2"/>
      <c r="N121" s="2"/>
      <c r="O121" s="2"/>
      <c r="P121" s="2"/>
      <c r="Q121" s="2"/>
      <c r="R121" s="2"/>
      <c r="S121" s="2"/>
      <c r="T121" s="2"/>
      <c r="U121" s="2"/>
      <c r="V121" s="2"/>
      <c r="W121" s="2"/>
      <c r="X121" s="2"/>
      <c r="Y121" s="2"/>
      <c r="Z121" s="2"/>
      <c r="AA121" s="2"/>
      <c r="AB121" s="2"/>
    </row>
    <row r="122" spans="11:28" x14ac:dyDescent="0.3">
      <c r="K122" s="8"/>
      <c r="L122" s="2"/>
      <c r="M122" s="2"/>
      <c r="N122" s="2"/>
      <c r="O122" s="2"/>
      <c r="P122" s="2"/>
      <c r="Q122" s="2"/>
      <c r="R122" s="2"/>
      <c r="S122" s="2"/>
      <c r="T122" s="2"/>
      <c r="U122" s="2"/>
      <c r="V122" s="2"/>
      <c r="W122" s="2"/>
      <c r="X122" s="2"/>
      <c r="Y122" s="2"/>
      <c r="Z122" s="2"/>
      <c r="AA122" s="2"/>
      <c r="AB122" s="2"/>
    </row>
    <row r="123" spans="11:28" x14ac:dyDescent="0.3">
      <c r="K123" s="8"/>
      <c r="L123" s="2"/>
      <c r="M123" s="2"/>
      <c r="N123" s="2"/>
      <c r="O123" s="2"/>
      <c r="P123" s="2"/>
      <c r="Q123" s="2"/>
      <c r="R123" s="2"/>
      <c r="S123" s="2"/>
      <c r="T123" s="2"/>
      <c r="U123" s="2"/>
      <c r="V123" s="2"/>
      <c r="W123" s="2"/>
      <c r="X123" s="2"/>
      <c r="Y123" s="2"/>
      <c r="Z123" s="2"/>
      <c r="AA123" s="2"/>
      <c r="AB123" s="2"/>
    </row>
    <row r="124" spans="11:28" x14ac:dyDescent="0.3">
      <c r="K124" s="8"/>
      <c r="L124" s="2"/>
      <c r="M124" s="2"/>
      <c r="N124" s="2"/>
      <c r="O124" s="2"/>
      <c r="P124" s="2"/>
      <c r="Q124" s="2"/>
      <c r="R124" s="2"/>
      <c r="S124" s="2"/>
      <c r="T124" s="2"/>
      <c r="U124" s="2"/>
      <c r="V124" s="2"/>
      <c r="W124" s="2"/>
      <c r="X124" s="2"/>
      <c r="Y124" s="2"/>
      <c r="Z124" s="2"/>
      <c r="AA124" s="2"/>
      <c r="AB124" s="2"/>
    </row>
    <row r="125" spans="11:28" x14ac:dyDescent="0.3">
      <c r="K125" s="8"/>
      <c r="L125" s="2"/>
      <c r="M125" s="2"/>
      <c r="N125" s="2"/>
      <c r="O125" s="2"/>
      <c r="P125" s="2"/>
      <c r="Q125" s="2"/>
      <c r="R125" s="2"/>
      <c r="S125" s="2"/>
      <c r="T125" s="2"/>
      <c r="U125" s="2"/>
      <c r="V125" s="2"/>
      <c r="W125" s="2"/>
      <c r="X125" s="2"/>
      <c r="Y125" s="2"/>
      <c r="Z125" s="2"/>
      <c r="AA125" s="2"/>
      <c r="AB125" s="2"/>
    </row>
    <row r="126" spans="11:28" x14ac:dyDescent="0.3">
      <c r="K126" s="8"/>
      <c r="L126" s="2"/>
      <c r="M126" s="2"/>
      <c r="N126" s="2"/>
      <c r="O126" s="2"/>
      <c r="P126" s="2"/>
      <c r="Q126" s="2"/>
      <c r="R126" s="2"/>
      <c r="S126" s="2"/>
      <c r="T126" s="2"/>
      <c r="U126" s="2"/>
      <c r="V126" s="2"/>
      <c r="W126" s="2"/>
      <c r="X126" s="2"/>
      <c r="Y126" s="2"/>
      <c r="Z126" s="2"/>
      <c r="AA126" s="2"/>
      <c r="AB126" s="2"/>
    </row>
    <row r="127" spans="11:28" x14ac:dyDescent="0.3">
      <c r="K127" s="8"/>
      <c r="L127" s="2"/>
      <c r="M127" s="2"/>
      <c r="N127" s="2"/>
      <c r="O127" s="2"/>
      <c r="P127" s="2"/>
      <c r="Q127" s="2"/>
      <c r="R127" s="2"/>
      <c r="S127" s="2"/>
      <c r="T127" s="2"/>
      <c r="U127" s="2"/>
      <c r="V127" s="2"/>
      <c r="W127" s="2"/>
      <c r="X127" s="2"/>
      <c r="Y127" s="2"/>
      <c r="Z127" s="2"/>
      <c r="AA127" s="2"/>
      <c r="AB127" s="2"/>
    </row>
    <row r="128" spans="11:28" x14ac:dyDescent="0.3">
      <c r="K128" s="8"/>
      <c r="L128" s="2"/>
      <c r="M128" s="2"/>
      <c r="N128" s="2"/>
      <c r="O128" s="2"/>
      <c r="P128" s="2"/>
      <c r="Q128" s="2"/>
      <c r="R128" s="2"/>
      <c r="S128" s="2"/>
      <c r="T128" s="2"/>
      <c r="U128" s="2"/>
      <c r="V128" s="2"/>
      <c r="W128" s="2"/>
      <c r="X128" s="2"/>
      <c r="Y128" s="2"/>
      <c r="Z128" s="2"/>
      <c r="AA128" s="2"/>
      <c r="AB128" s="2"/>
    </row>
    <row r="129" spans="11:28" x14ac:dyDescent="0.3">
      <c r="K129" s="8"/>
      <c r="L129" s="2"/>
      <c r="M129" s="2"/>
      <c r="N129" s="2"/>
      <c r="O129" s="2"/>
      <c r="P129" s="2"/>
      <c r="Q129" s="2"/>
      <c r="R129" s="2"/>
      <c r="S129" s="2"/>
      <c r="T129" s="2"/>
      <c r="U129" s="2"/>
      <c r="V129" s="2"/>
      <c r="W129" s="2"/>
      <c r="X129" s="2"/>
      <c r="Y129" s="2"/>
      <c r="Z129" s="2"/>
      <c r="AA129" s="2"/>
      <c r="AB129" s="2"/>
    </row>
    <row r="130" spans="11:28" x14ac:dyDescent="0.3">
      <c r="K130" s="8"/>
      <c r="L130" s="2"/>
      <c r="M130" s="2"/>
      <c r="N130" s="2"/>
      <c r="O130" s="2"/>
      <c r="P130" s="2"/>
      <c r="Q130" s="2"/>
      <c r="R130" s="2"/>
      <c r="S130" s="2"/>
      <c r="T130" s="2"/>
      <c r="U130" s="2"/>
      <c r="V130" s="2"/>
      <c r="W130" s="2"/>
      <c r="X130" s="2"/>
      <c r="Y130" s="2"/>
      <c r="Z130" s="2"/>
      <c r="AA130" s="2"/>
      <c r="AB130" s="2"/>
    </row>
    <row r="131" spans="11:28" x14ac:dyDescent="0.3">
      <c r="K131" s="8"/>
      <c r="L131" s="2"/>
      <c r="M131" s="2"/>
      <c r="N131" s="2"/>
      <c r="O131" s="2"/>
      <c r="P131" s="2"/>
      <c r="Q131" s="2"/>
      <c r="R131" s="2"/>
      <c r="S131" s="2"/>
      <c r="T131" s="2"/>
      <c r="U131" s="2"/>
      <c r="V131" s="2"/>
      <c r="W131" s="2"/>
      <c r="X131" s="2"/>
      <c r="Y131" s="2"/>
      <c r="Z131" s="2"/>
      <c r="AA131" s="2"/>
      <c r="AB131" s="2"/>
    </row>
    <row r="132" spans="11:28" x14ac:dyDescent="0.3">
      <c r="K132" s="8"/>
      <c r="L132" s="2"/>
      <c r="M132" s="2"/>
      <c r="N132" s="2"/>
      <c r="O132" s="2"/>
      <c r="P132" s="2"/>
      <c r="Q132" s="2"/>
      <c r="R132" s="2"/>
      <c r="S132" s="2"/>
      <c r="T132" s="2"/>
      <c r="U132" s="2"/>
      <c r="V132" s="2"/>
      <c r="W132" s="2"/>
      <c r="X132" s="2"/>
      <c r="Y132" s="2"/>
      <c r="Z132" s="2"/>
      <c r="AA132" s="2"/>
      <c r="AB132" s="2"/>
    </row>
    <row r="133" spans="11:28" x14ac:dyDescent="0.3">
      <c r="K133" s="8"/>
      <c r="L133" s="2"/>
      <c r="M133" s="2"/>
      <c r="N133" s="2"/>
      <c r="O133" s="2"/>
      <c r="P133" s="2"/>
      <c r="Q133" s="2"/>
      <c r="R133" s="2"/>
      <c r="S133" s="2"/>
      <c r="T133" s="2"/>
      <c r="U133" s="2"/>
      <c r="V133" s="2"/>
      <c r="W133" s="2"/>
      <c r="X133" s="2"/>
      <c r="Y133" s="2"/>
      <c r="Z133" s="2"/>
      <c r="AA133" s="2"/>
      <c r="AB133" s="2"/>
    </row>
    <row r="134" spans="11:28" x14ac:dyDescent="0.3">
      <c r="K134" s="8"/>
      <c r="L134" s="2"/>
      <c r="M134" s="2"/>
      <c r="N134" s="2"/>
      <c r="O134" s="2"/>
      <c r="P134" s="2"/>
      <c r="Q134" s="2"/>
      <c r="R134" s="2"/>
      <c r="S134" s="2"/>
      <c r="T134" s="2"/>
      <c r="U134" s="2"/>
      <c r="V134" s="2"/>
      <c r="W134" s="2"/>
      <c r="X134" s="2"/>
      <c r="Y134" s="2"/>
      <c r="Z134" s="2"/>
      <c r="AA134" s="2"/>
      <c r="AB134" s="2"/>
    </row>
    <row r="135" spans="11:28" x14ac:dyDescent="0.3">
      <c r="K135" s="8"/>
      <c r="L135" s="2"/>
      <c r="M135" s="2"/>
      <c r="N135" s="2"/>
      <c r="O135" s="2"/>
      <c r="P135" s="2"/>
      <c r="Q135" s="2"/>
      <c r="R135" s="2"/>
      <c r="S135" s="2"/>
      <c r="T135" s="2"/>
      <c r="U135" s="2"/>
      <c r="V135" s="2"/>
      <c r="W135" s="2"/>
      <c r="X135" s="2"/>
      <c r="Y135" s="2"/>
      <c r="Z135" s="2"/>
      <c r="AA135" s="2"/>
      <c r="AB135" s="2"/>
    </row>
    <row r="136" spans="11:28" x14ac:dyDescent="0.3">
      <c r="K136" s="8"/>
      <c r="L136" s="2"/>
      <c r="M136" s="2"/>
      <c r="N136" s="2"/>
      <c r="O136" s="2"/>
      <c r="P136" s="2"/>
      <c r="Q136" s="2"/>
      <c r="R136" s="2"/>
      <c r="S136" s="2"/>
      <c r="T136" s="2"/>
      <c r="U136" s="2"/>
      <c r="V136" s="2"/>
      <c r="W136" s="2"/>
      <c r="X136" s="2"/>
      <c r="Y136" s="2"/>
      <c r="Z136" s="2"/>
      <c r="AA136" s="2"/>
      <c r="AB136" s="2"/>
    </row>
    <row r="137" spans="11:28" x14ac:dyDescent="0.3">
      <c r="K137" s="8"/>
      <c r="L137" s="2"/>
      <c r="M137" s="2"/>
      <c r="N137" s="2"/>
      <c r="O137" s="2"/>
      <c r="P137" s="2"/>
      <c r="Q137" s="2"/>
      <c r="R137" s="2"/>
      <c r="S137" s="2"/>
      <c r="T137" s="2"/>
      <c r="U137" s="2"/>
      <c r="V137" s="2"/>
      <c r="W137" s="2"/>
      <c r="X137" s="2"/>
      <c r="Y137" s="2"/>
      <c r="Z137" s="2"/>
      <c r="AA137" s="2"/>
      <c r="AB137" s="2"/>
    </row>
    <row r="138" spans="11:28" x14ac:dyDescent="0.3">
      <c r="K138" s="8"/>
      <c r="L138" s="2"/>
      <c r="M138" s="2"/>
      <c r="N138" s="2"/>
      <c r="O138" s="2"/>
      <c r="P138" s="2"/>
      <c r="Q138" s="2"/>
      <c r="R138" s="2"/>
      <c r="S138" s="2"/>
      <c r="T138" s="2"/>
      <c r="U138" s="2"/>
      <c r="V138" s="2"/>
      <c r="W138" s="2"/>
      <c r="X138" s="2"/>
      <c r="Y138" s="2"/>
      <c r="Z138" s="2"/>
      <c r="AA138" s="2"/>
      <c r="AB138" s="2"/>
    </row>
    <row r="139" spans="11:28" x14ac:dyDescent="0.3">
      <c r="K139" s="8"/>
      <c r="L139" s="2"/>
      <c r="M139" s="2"/>
      <c r="N139" s="2"/>
      <c r="O139" s="2"/>
      <c r="P139" s="2"/>
      <c r="Q139" s="2"/>
      <c r="R139" s="2"/>
      <c r="S139" s="2"/>
      <c r="T139" s="2"/>
      <c r="U139" s="2"/>
      <c r="V139" s="2"/>
      <c r="W139" s="2"/>
      <c r="X139" s="2"/>
      <c r="Y139" s="2"/>
      <c r="Z139" s="2"/>
      <c r="AA139" s="2"/>
      <c r="AB139" s="2"/>
    </row>
    <row r="140" spans="11:28" x14ac:dyDescent="0.3">
      <c r="K140" s="8"/>
      <c r="L140" s="2"/>
      <c r="M140" s="2"/>
      <c r="N140" s="2"/>
      <c r="O140" s="2"/>
      <c r="P140" s="2"/>
      <c r="Q140" s="2"/>
      <c r="R140" s="2"/>
      <c r="S140" s="2"/>
      <c r="T140" s="2"/>
      <c r="U140" s="2"/>
      <c r="V140" s="2"/>
      <c r="W140" s="2"/>
      <c r="X140" s="2"/>
      <c r="Y140" s="2"/>
      <c r="Z140" s="2"/>
      <c r="AA140" s="2"/>
      <c r="AB140" s="2"/>
    </row>
    <row r="141" spans="11:28" x14ac:dyDescent="0.3">
      <c r="K141" s="8"/>
      <c r="L141" s="2"/>
      <c r="M141" s="2"/>
      <c r="N141" s="2"/>
      <c r="O141" s="2"/>
      <c r="P141" s="2"/>
      <c r="Q141" s="2"/>
      <c r="R141" s="2"/>
      <c r="S141" s="2"/>
      <c r="T141" s="2"/>
      <c r="U141" s="2"/>
      <c r="V141" s="2"/>
      <c r="W141" s="2"/>
      <c r="X141" s="2"/>
      <c r="Y141" s="2"/>
      <c r="Z141" s="2"/>
      <c r="AA141" s="2"/>
      <c r="AB141" s="2"/>
    </row>
    <row r="142" spans="11:28" x14ac:dyDescent="0.3">
      <c r="K142" s="8"/>
      <c r="L142" s="2"/>
      <c r="M142" s="2"/>
      <c r="N142" s="2"/>
      <c r="O142" s="2"/>
      <c r="P142" s="2"/>
      <c r="Q142" s="2"/>
      <c r="R142" s="2"/>
      <c r="S142" s="2"/>
      <c r="T142" s="2"/>
      <c r="U142" s="2"/>
      <c r="V142" s="2"/>
      <c r="W142" s="2"/>
      <c r="X142" s="2"/>
      <c r="Y142" s="2"/>
      <c r="Z142" s="2"/>
      <c r="AA142" s="2"/>
      <c r="AB142" s="2"/>
    </row>
    <row r="143" spans="11:28" x14ac:dyDescent="0.3">
      <c r="K143" s="8"/>
      <c r="L143" s="2"/>
      <c r="M143" s="2"/>
      <c r="N143" s="2"/>
      <c r="O143" s="2"/>
      <c r="P143" s="2"/>
      <c r="Q143" s="2"/>
      <c r="R143" s="2"/>
      <c r="S143" s="2"/>
      <c r="T143" s="2"/>
      <c r="U143" s="2"/>
      <c r="V143" s="2"/>
      <c r="W143" s="2"/>
      <c r="X143" s="2"/>
      <c r="Y143" s="2"/>
      <c r="Z143" s="2"/>
      <c r="AA143" s="2"/>
      <c r="AB143" s="2"/>
    </row>
    <row r="144" spans="11:28" x14ac:dyDescent="0.3">
      <c r="K144" s="8"/>
      <c r="L144" s="2"/>
      <c r="M144" s="2"/>
      <c r="N144" s="2"/>
      <c r="O144" s="2"/>
      <c r="P144" s="2"/>
      <c r="Q144" s="2"/>
      <c r="R144" s="2"/>
      <c r="S144" s="2"/>
      <c r="T144" s="2"/>
      <c r="U144" s="2"/>
      <c r="V144" s="2"/>
      <c r="W144" s="2"/>
      <c r="X144" s="2"/>
      <c r="Y144" s="2"/>
      <c r="Z144" s="2"/>
      <c r="AA144" s="2"/>
      <c r="AB144" s="2"/>
    </row>
    <row r="145" spans="11:28" x14ac:dyDescent="0.3">
      <c r="K145" s="8"/>
      <c r="L145" s="2"/>
      <c r="M145" s="2"/>
      <c r="N145" s="2"/>
      <c r="O145" s="2"/>
      <c r="P145" s="2"/>
      <c r="Q145" s="2"/>
      <c r="R145" s="2"/>
      <c r="S145" s="2"/>
      <c r="T145" s="2"/>
      <c r="U145" s="2"/>
      <c r="V145" s="2"/>
      <c r="W145" s="2"/>
      <c r="X145" s="2"/>
      <c r="Y145" s="2"/>
      <c r="Z145" s="2"/>
      <c r="AA145" s="2"/>
      <c r="AB145" s="2"/>
    </row>
    <row r="146" spans="11:28" x14ac:dyDescent="0.3">
      <c r="K146" s="8"/>
      <c r="L146" s="2"/>
      <c r="M146" s="2"/>
      <c r="N146" s="2"/>
      <c r="O146" s="2"/>
      <c r="P146" s="2"/>
      <c r="Q146" s="2"/>
      <c r="R146" s="2"/>
      <c r="S146" s="2"/>
      <c r="T146" s="2"/>
      <c r="U146" s="2"/>
      <c r="V146" s="2"/>
      <c r="W146" s="2"/>
      <c r="X146" s="2"/>
      <c r="Y146" s="2"/>
      <c r="Z146" s="2"/>
      <c r="AA146" s="2"/>
      <c r="AB146" s="2"/>
    </row>
    <row r="147" spans="11:28" x14ac:dyDescent="0.3">
      <c r="K147" s="8"/>
      <c r="L147" s="2"/>
      <c r="M147" s="2"/>
      <c r="N147" s="2"/>
      <c r="O147" s="2"/>
      <c r="P147" s="2"/>
      <c r="Q147" s="2"/>
      <c r="R147" s="2"/>
      <c r="S147" s="2"/>
      <c r="T147" s="2"/>
      <c r="U147" s="2"/>
      <c r="V147" s="2"/>
      <c r="W147" s="2"/>
      <c r="X147" s="2"/>
      <c r="Y147" s="2"/>
      <c r="Z147" s="2"/>
      <c r="AA147" s="2"/>
      <c r="AB147" s="2"/>
    </row>
    <row r="148" spans="11:28" x14ac:dyDescent="0.3">
      <c r="K148" s="8"/>
      <c r="L148" s="2"/>
      <c r="M148" s="2"/>
      <c r="N148" s="2"/>
      <c r="O148" s="2"/>
      <c r="P148" s="2"/>
      <c r="Q148" s="2"/>
      <c r="R148" s="2"/>
      <c r="S148" s="2"/>
      <c r="T148" s="2"/>
      <c r="U148" s="2"/>
      <c r="V148" s="2"/>
      <c r="W148" s="2"/>
      <c r="X148" s="2"/>
      <c r="Y148" s="2"/>
      <c r="Z148" s="2"/>
      <c r="AA148" s="2"/>
      <c r="AB148" s="2"/>
    </row>
    <row r="149" spans="11:28" x14ac:dyDescent="0.3">
      <c r="K149" s="8"/>
      <c r="L149" s="2"/>
      <c r="M149" s="2"/>
      <c r="N149" s="2"/>
      <c r="O149" s="2"/>
      <c r="P149" s="2"/>
      <c r="Q149" s="2"/>
      <c r="R149" s="2"/>
      <c r="S149" s="2"/>
      <c r="T149" s="2"/>
      <c r="U149" s="2"/>
      <c r="V149" s="2"/>
      <c r="W149" s="2"/>
      <c r="X149" s="2"/>
      <c r="Y149" s="2"/>
      <c r="Z149" s="2"/>
      <c r="AA149" s="2"/>
      <c r="AB149" s="2"/>
    </row>
    <row r="150" spans="11:28" x14ac:dyDescent="0.3">
      <c r="K150" s="8"/>
      <c r="L150" s="2"/>
      <c r="M150" s="2"/>
      <c r="N150" s="2"/>
      <c r="O150" s="2"/>
      <c r="P150" s="2"/>
      <c r="Q150" s="2"/>
      <c r="R150" s="2"/>
      <c r="S150" s="2"/>
      <c r="T150" s="2"/>
      <c r="U150" s="2"/>
      <c r="V150" s="2"/>
      <c r="W150" s="2"/>
      <c r="X150" s="2"/>
      <c r="Y150" s="2"/>
      <c r="Z150" s="2"/>
      <c r="AA150" s="2"/>
      <c r="AB150" s="2"/>
    </row>
    <row r="151" spans="11:28" x14ac:dyDescent="0.3">
      <c r="K151" s="8"/>
      <c r="L151" s="2"/>
      <c r="M151" s="2"/>
      <c r="N151" s="2"/>
      <c r="O151" s="2"/>
      <c r="P151" s="2"/>
      <c r="Q151" s="2"/>
      <c r="R151" s="2"/>
      <c r="S151" s="2"/>
      <c r="T151" s="2"/>
      <c r="U151" s="2"/>
      <c r="V151" s="2"/>
      <c r="W151" s="2"/>
      <c r="X151" s="2"/>
      <c r="Y151" s="2"/>
      <c r="Z151" s="2"/>
      <c r="AA151" s="2"/>
      <c r="AB151" s="2"/>
    </row>
    <row r="152" spans="11:28" x14ac:dyDescent="0.3">
      <c r="K152" s="8"/>
      <c r="L152" s="2"/>
      <c r="M152" s="2"/>
      <c r="N152" s="2"/>
      <c r="O152" s="2"/>
      <c r="P152" s="2"/>
      <c r="Q152" s="2"/>
      <c r="R152" s="2"/>
      <c r="S152" s="2"/>
      <c r="T152" s="2"/>
      <c r="U152" s="2"/>
      <c r="V152" s="2"/>
      <c r="W152" s="2"/>
      <c r="X152" s="2"/>
      <c r="Y152" s="2"/>
      <c r="Z152" s="2"/>
      <c r="AA152" s="2"/>
      <c r="AB152" s="2"/>
    </row>
    <row r="153" spans="11:28" x14ac:dyDescent="0.3">
      <c r="K153" s="8"/>
      <c r="L153" s="2"/>
      <c r="M153" s="2"/>
      <c r="N153" s="2"/>
      <c r="O153" s="2"/>
      <c r="P153" s="2"/>
      <c r="Q153" s="2"/>
      <c r="R153" s="2"/>
      <c r="S153" s="2"/>
      <c r="T153" s="2"/>
      <c r="U153" s="2"/>
      <c r="V153" s="2"/>
      <c r="W153" s="2"/>
      <c r="X153" s="2"/>
      <c r="Y153" s="2"/>
      <c r="Z153" s="2"/>
      <c r="AA153" s="2"/>
      <c r="AB153" s="2"/>
    </row>
    <row r="154" spans="11:28" x14ac:dyDescent="0.3">
      <c r="K154" s="8"/>
      <c r="L154" s="2"/>
      <c r="M154" s="2"/>
      <c r="N154" s="2"/>
      <c r="O154" s="2"/>
      <c r="P154" s="2"/>
      <c r="Q154" s="2"/>
      <c r="R154" s="2"/>
      <c r="S154" s="2"/>
      <c r="T154" s="2"/>
      <c r="U154" s="2"/>
      <c r="V154" s="2"/>
      <c r="W154" s="2"/>
      <c r="X154" s="2"/>
      <c r="Y154" s="2"/>
      <c r="Z154" s="2"/>
      <c r="AA154" s="2"/>
      <c r="AB154" s="2"/>
    </row>
    <row r="155" spans="11:28" x14ac:dyDescent="0.3">
      <c r="K155" s="8"/>
      <c r="L155" s="2"/>
      <c r="M155" s="2"/>
      <c r="N155" s="2"/>
      <c r="O155" s="2"/>
      <c r="P155" s="2"/>
      <c r="Q155" s="2"/>
      <c r="R155" s="2"/>
      <c r="S155" s="2"/>
      <c r="T155" s="2"/>
      <c r="U155" s="2"/>
      <c r="V155" s="2"/>
      <c r="W155" s="2"/>
      <c r="X155" s="2"/>
      <c r="Y155" s="2"/>
      <c r="Z155" s="2"/>
      <c r="AA155" s="2"/>
      <c r="AB155" s="2"/>
    </row>
    <row r="156" spans="11:28" x14ac:dyDescent="0.3">
      <c r="K156" s="8"/>
      <c r="L156" s="2"/>
      <c r="M156" s="2"/>
      <c r="N156" s="2"/>
      <c r="O156" s="2"/>
      <c r="P156" s="2"/>
      <c r="Q156" s="2"/>
      <c r="R156" s="2"/>
      <c r="S156" s="2"/>
      <c r="T156" s="2"/>
      <c r="U156" s="2"/>
      <c r="V156" s="2"/>
      <c r="W156" s="2"/>
      <c r="X156" s="2"/>
      <c r="Y156" s="2"/>
      <c r="Z156" s="2"/>
      <c r="AA156" s="2"/>
      <c r="AB156" s="2"/>
    </row>
    <row r="157" spans="11:28" x14ac:dyDescent="0.3">
      <c r="K157" s="8"/>
      <c r="L157" s="2"/>
      <c r="M157" s="2"/>
      <c r="N157" s="2"/>
      <c r="O157" s="2"/>
      <c r="P157" s="2"/>
      <c r="Q157" s="2"/>
      <c r="R157" s="2"/>
      <c r="S157" s="2"/>
      <c r="T157" s="2"/>
      <c r="U157" s="2"/>
      <c r="V157" s="2"/>
      <c r="W157" s="2"/>
      <c r="X157" s="2"/>
      <c r="Y157" s="2"/>
      <c r="Z157" s="2"/>
      <c r="AA157" s="2"/>
      <c r="AB157" s="2"/>
    </row>
    <row r="158" spans="11:28" x14ac:dyDescent="0.3">
      <c r="K158" s="8"/>
      <c r="L158" s="2"/>
      <c r="M158" s="2"/>
      <c r="N158" s="2"/>
      <c r="O158" s="2"/>
      <c r="P158" s="2"/>
      <c r="Q158" s="2"/>
      <c r="R158" s="2"/>
      <c r="S158" s="2"/>
      <c r="T158" s="2"/>
      <c r="U158" s="2"/>
      <c r="V158" s="2"/>
      <c r="W158" s="2"/>
      <c r="X158" s="2"/>
      <c r="Y158" s="2"/>
      <c r="Z158" s="2"/>
      <c r="AA158" s="2"/>
      <c r="AB158" s="2"/>
    </row>
    <row r="159" spans="11:28" x14ac:dyDescent="0.3">
      <c r="K159" s="8"/>
      <c r="L159" s="2"/>
      <c r="M159" s="2"/>
      <c r="N159" s="2"/>
      <c r="O159" s="2"/>
      <c r="P159" s="2"/>
      <c r="Q159" s="2"/>
      <c r="R159" s="2"/>
      <c r="S159" s="2"/>
      <c r="T159" s="2"/>
      <c r="U159" s="2"/>
      <c r="V159" s="2"/>
      <c r="W159" s="2"/>
      <c r="X159" s="2"/>
      <c r="Y159" s="2"/>
      <c r="Z159" s="2"/>
      <c r="AA159" s="2"/>
      <c r="AB159" s="2"/>
    </row>
    <row r="160" spans="11:28" x14ac:dyDescent="0.3">
      <c r="K160" s="8"/>
      <c r="L160" s="2"/>
      <c r="M160" s="2"/>
      <c r="N160" s="2"/>
      <c r="O160" s="2"/>
      <c r="P160" s="2"/>
      <c r="Q160" s="2"/>
      <c r="R160" s="2"/>
      <c r="S160" s="2"/>
      <c r="T160" s="2"/>
      <c r="U160" s="2"/>
      <c r="V160" s="2"/>
      <c r="W160" s="2"/>
      <c r="X160" s="2"/>
      <c r="Y160" s="2"/>
      <c r="Z160" s="2"/>
      <c r="AA160" s="2"/>
      <c r="AB160" s="2"/>
    </row>
    <row r="161" spans="11:28" x14ac:dyDescent="0.3">
      <c r="K161" s="8"/>
      <c r="L161" s="2"/>
      <c r="M161" s="2"/>
      <c r="N161" s="2"/>
      <c r="O161" s="2"/>
      <c r="P161" s="2"/>
      <c r="Q161" s="2"/>
      <c r="R161" s="2"/>
      <c r="S161" s="2"/>
      <c r="T161" s="2"/>
      <c r="U161" s="2"/>
      <c r="V161" s="2"/>
      <c r="W161" s="2"/>
      <c r="X161" s="2"/>
      <c r="Y161" s="2"/>
      <c r="Z161" s="2"/>
      <c r="AA161" s="2"/>
      <c r="AB161" s="2"/>
    </row>
    <row r="162" spans="11:28" x14ac:dyDescent="0.3">
      <c r="K162" s="8"/>
      <c r="L162" s="2"/>
      <c r="M162" s="2"/>
      <c r="N162" s="2"/>
      <c r="O162" s="2"/>
      <c r="P162" s="2"/>
      <c r="Q162" s="2"/>
      <c r="R162" s="2"/>
      <c r="S162" s="2"/>
      <c r="T162" s="2"/>
      <c r="U162" s="2"/>
      <c r="V162" s="2"/>
      <c r="W162" s="2"/>
      <c r="X162" s="2"/>
      <c r="Y162" s="2"/>
      <c r="Z162" s="2"/>
      <c r="AA162" s="2"/>
      <c r="AB162" s="2"/>
    </row>
    <row r="163" spans="11:28" x14ac:dyDescent="0.3">
      <c r="K163" s="22"/>
      <c r="L163" s="22"/>
      <c r="M163" s="22"/>
      <c r="N163" s="22"/>
      <c r="O163" s="22"/>
      <c r="P163" s="22"/>
      <c r="Q163" s="22"/>
      <c r="R163" s="22"/>
      <c r="S163" s="22"/>
      <c r="T163" s="22"/>
      <c r="U163" s="22"/>
      <c r="V163" s="22"/>
      <c r="W163" s="22"/>
      <c r="X163" s="22"/>
      <c r="Y163" s="22"/>
      <c r="Z163" s="22"/>
      <c r="AA163" s="22"/>
      <c r="AB163" s="22"/>
    </row>
  </sheetData>
  <phoneticPr fontId="2" type="noConversion"/>
  <dataValidations count="5">
    <dataValidation type="whole" errorStyle="information" allowBlank="1" showInputMessage="1" showErrorMessage="1" errorTitle="Must select 1-2" error="See note (closure descriptions) for valid options." sqref="M5:AB5 M7:AB7" xr:uid="{81B20E26-C03B-4D2D-947D-6EC5091AC6ED}">
      <formula1>1</formula1>
      <formula2>2</formula2>
    </dataValidation>
    <dataValidation type="whole" errorStyle="information" allowBlank="1" showInputMessage="1" showErrorMessage="1" errorTitle="Must select 1-5" error="See note (closure descriptions) for valid options." sqref="M6:AB6" xr:uid="{84DA94E2-3525-494F-87A0-BE47E27FB6FE}">
      <formula1>1</formula1>
      <formula2>5</formula2>
    </dataValidation>
    <dataValidation type="whole" errorStyle="information" allowBlank="1" showInputMessage="1" showErrorMessage="1" errorTitle="Must select 1-15" error="See note (closure descriptions) for valid options." sqref="M8:AB8" xr:uid="{8396D0C1-C08E-4B3D-928C-A651A5CE93AE}">
      <formula1>1</formula1>
      <formula2>15</formula2>
    </dataValidation>
    <dataValidation type="whole" errorStyle="information" allowBlank="1" showInputMessage="1" showErrorMessage="1" errorTitle="Must select 1-3" error="See note (closure descriptions) for valid options." sqref="N26:AB50 M13:AB25" xr:uid="{787F711C-6F35-46D2-8531-86CC47DF7032}">
      <formula1>1</formula1>
      <formula2>3</formula2>
    </dataValidation>
    <dataValidation type="whole" errorStyle="information" allowBlank="1" showErrorMessage="1" errorTitle="Must select 0 or 1" error="0 = inactive_x000a_1 = active" sqref="D5:D21" xr:uid="{DFCF6A13-A374-4B53-9088-A318E547D2AB}">
      <formula1>0</formula1>
      <formula2>1</formula2>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91F03-A1CC-44BB-B77F-209B099BAAA9}">
  <sheetPr>
    <tabColor rgb="FFC00000"/>
  </sheetPr>
  <dimension ref="A1:BE158"/>
  <sheetViews>
    <sheetView tabSelected="1" topLeftCell="W1" zoomScale="85" zoomScaleNormal="85" workbookViewId="0">
      <pane ySplit="7" topLeftCell="A8" activePane="bottomLeft" state="frozen"/>
      <selection activeCell="O16" sqref="O16"/>
      <selection pane="bottomLeft" activeCell="AQ8" sqref="AQ8"/>
    </sheetView>
  </sheetViews>
  <sheetFormatPr defaultColWidth="0" defaultRowHeight="14.4" zeroHeight="1" x14ac:dyDescent="0.3"/>
  <cols>
    <col min="1" max="2" width="2.44140625" customWidth="1"/>
    <col min="3" max="12" width="9.109375" customWidth="1"/>
    <col min="13" max="14" width="2.44140625" customWidth="1"/>
    <col min="15" max="22" width="9.109375" customWidth="1"/>
    <col min="23" max="24" width="2.44140625" customWidth="1"/>
    <col min="25" max="34" width="9.109375" customWidth="1"/>
    <col min="35" max="36" width="2.44140625" customWidth="1"/>
    <col min="37" max="46" width="9.109375" customWidth="1"/>
    <col min="47" max="48" width="2.44140625" customWidth="1"/>
    <col min="49" max="49" width="18.88671875" bestFit="1" customWidth="1"/>
    <col min="50" max="51" width="9.109375" customWidth="1"/>
    <col min="52" max="52" width="2.44140625" customWidth="1"/>
    <col min="53" max="57" width="0" hidden="1" customWidth="1"/>
    <col min="58" max="16384" width="9.109375" hidden="1"/>
  </cols>
  <sheetData>
    <row r="1" spans="1:52" ht="18" x14ac:dyDescent="0.35">
      <c r="A1" s="6" t="s">
        <v>329</v>
      </c>
      <c r="B1" s="6"/>
      <c r="C1" s="4"/>
      <c r="D1" s="4"/>
      <c r="E1" s="4"/>
      <c r="F1" s="4"/>
      <c r="G1" s="4"/>
      <c r="H1" s="4"/>
      <c r="I1" s="4"/>
      <c r="J1" s="4"/>
      <c r="K1" s="4"/>
      <c r="L1" s="4"/>
      <c r="M1" s="4"/>
      <c r="N1" s="4"/>
      <c r="O1" s="4"/>
      <c r="P1" s="4"/>
      <c r="Q1" s="4"/>
      <c r="R1" s="4"/>
      <c r="S1" s="4"/>
      <c r="T1" s="4"/>
      <c r="U1" s="4"/>
      <c r="V1" s="4"/>
      <c r="W1" s="4"/>
      <c r="X1" s="4"/>
      <c r="Y1" s="4"/>
      <c r="Z1" s="4"/>
      <c r="AA1" s="4"/>
      <c r="AB1" s="4"/>
      <c r="AC1" s="4" t="str">
        <f>Main!C7</f>
        <v>sim1</v>
      </c>
      <c r="AD1" s="4" t="str">
        <f>IF(Main!E7&lt;&gt;"",Main!E7,"")</f>
        <v/>
      </c>
      <c r="AE1" s="4"/>
      <c r="AF1" s="4"/>
      <c r="AG1" s="4"/>
      <c r="AH1" s="4"/>
      <c r="AI1" s="4"/>
      <c r="AJ1" s="4"/>
      <c r="AK1" s="4"/>
      <c r="AL1" s="4"/>
      <c r="AM1" s="4"/>
      <c r="AN1" s="4"/>
      <c r="AO1" s="4"/>
      <c r="AP1" s="4"/>
      <c r="AQ1" s="4"/>
      <c r="AR1" s="4"/>
      <c r="AS1" s="4"/>
      <c r="AT1" s="4"/>
      <c r="AU1" s="4"/>
      <c r="AV1" s="4"/>
      <c r="AW1" s="4"/>
      <c r="AX1" s="4"/>
      <c r="AY1" s="4"/>
      <c r="AZ1" s="4"/>
    </row>
    <row r="2" spans="1:52" x14ac:dyDescent="0.3"/>
    <row r="3" spans="1:52" ht="15.6" x14ac:dyDescent="0.3">
      <c r="B3" s="7"/>
      <c r="C3" s="17" t="s">
        <v>628</v>
      </c>
      <c r="D3" s="36"/>
      <c r="E3" s="36"/>
      <c r="F3" s="36"/>
      <c r="G3" s="36"/>
      <c r="H3" s="36"/>
      <c r="I3" s="36"/>
      <c r="J3" s="36"/>
      <c r="K3" s="36"/>
      <c r="L3" s="36"/>
      <c r="N3" s="7"/>
      <c r="O3" s="17" t="s">
        <v>629</v>
      </c>
      <c r="P3" s="36"/>
      <c r="Q3" s="36"/>
      <c r="R3" s="36"/>
      <c r="S3" s="36"/>
      <c r="T3" s="36"/>
      <c r="U3" s="36"/>
      <c r="V3" s="36"/>
      <c r="X3" s="7"/>
      <c r="Y3" s="17" t="s">
        <v>627</v>
      </c>
      <c r="Z3" s="36"/>
      <c r="AA3" s="36"/>
      <c r="AB3" s="36"/>
      <c r="AC3" s="36"/>
      <c r="AD3" s="36"/>
      <c r="AE3" s="36"/>
      <c r="AF3" s="36"/>
      <c r="AG3" s="36"/>
      <c r="AH3" s="36"/>
      <c r="AJ3" s="7"/>
      <c r="AK3" s="17" t="s">
        <v>626</v>
      </c>
      <c r="AL3" s="36"/>
      <c r="AM3" s="36"/>
      <c r="AN3" s="36"/>
      <c r="AO3" s="36"/>
      <c r="AP3" s="36"/>
      <c r="AQ3" s="36"/>
      <c r="AR3" s="36"/>
      <c r="AS3" s="36"/>
      <c r="AT3" s="36"/>
      <c r="AV3" s="7"/>
      <c r="AW3" s="17" t="s">
        <v>625</v>
      </c>
      <c r="AX3" s="36"/>
      <c r="AY3" s="36"/>
    </row>
    <row r="4" spans="1:52" x14ac:dyDescent="0.3">
      <c r="B4" s="14"/>
      <c r="C4" s="9"/>
      <c r="D4" s="74" t="s">
        <v>58</v>
      </c>
      <c r="E4" s="74"/>
      <c r="F4" s="75" t="s">
        <v>59</v>
      </c>
      <c r="G4" s="74"/>
      <c r="H4" s="74"/>
      <c r="I4" s="75" t="s">
        <v>7</v>
      </c>
      <c r="J4" s="74"/>
      <c r="K4" s="74"/>
      <c r="L4" s="37" t="s">
        <v>103</v>
      </c>
      <c r="N4" s="14"/>
      <c r="O4" s="9"/>
      <c r="P4" s="38" t="s">
        <v>60</v>
      </c>
      <c r="Q4" s="75" t="s">
        <v>61</v>
      </c>
      <c r="R4" s="76"/>
      <c r="S4" s="75" t="s">
        <v>646</v>
      </c>
      <c r="T4" s="74"/>
      <c r="U4" s="75" t="s">
        <v>103</v>
      </c>
      <c r="V4" s="74"/>
      <c r="X4" s="14"/>
      <c r="Y4" s="9"/>
      <c r="Z4" s="38" t="s">
        <v>63</v>
      </c>
      <c r="AA4" s="38" t="s">
        <v>62</v>
      </c>
      <c r="AB4" s="38" t="s">
        <v>311</v>
      </c>
      <c r="AC4" s="38" t="s">
        <v>62</v>
      </c>
      <c r="AD4" s="75" t="s">
        <v>126</v>
      </c>
      <c r="AE4" s="76"/>
      <c r="AF4" s="74" t="s">
        <v>127</v>
      </c>
      <c r="AG4" s="74"/>
      <c r="AH4" s="37" t="s">
        <v>103</v>
      </c>
      <c r="AJ4" s="14"/>
      <c r="AK4" s="9"/>
      <c r="AL4" s="38" t="s">
        <v>132</v>
      </c>
      <c r="AM4" s="38" t="s">
        <v>99</v>
      </c>
      <c r="AN4" s="38" t="s">
        <v>289</v>
      </c>
      <c r="AO4" s="75" t="s">
        <v>126</v>
      </c>
      <c r="AP4" s="76"/>
      <c r="AQ4" s="74" t="s">
        <v>127</v>
      </c>
      <c r="AR4" s="74"/>
      <c r="AS4" s="75" t="s">
        <v>103</v>
      </c>
      <c r="AT4" s="74"/>
      <c r="AV4" s="8"/>
      <c r="AY4" s="44" t="s">
        <v>300</v>
      </c>
    </row>
    <row r="5" spans="1:52" x14ac:dyDescent="0.3">
      <c r="B5" s="14"/>
      <c r="C5" s="9"/>
      <c r="D5" s="40" t="s">
        <v>64</v>
      </c>
      <c r="E5" s="40" t="s">
        <v>65</v>
      </c>
      <c r="F5" s="41" t="s">
        <v>64</v>
      </c>
      <c r="G5" s="40" t="s">
        <v>65</v>
      </c>
      <c r="H5" s="40" t="s">
        <v>66</v>
      </c>
      <c r="I5" s="41" t="s">
        <v>64</v>
      </c>
      <c r="J5" s="40" t="s">
        <v>65</v>
      </c>
      <c r="K5" s="40" t="s">
        <v>67</v>
      </c>
      <c r="L5" s="41" t="s">
        <v>100</v>
      </c>
      <c r="N5" s="14"/>
      <c r="O5" s="9"/>
      <c r="P5" s="40"/>
      <c r="Q5" s="41" t="s">
        <v>68</v>
      </c>
      <c r="R5" s="42" t="s">
        <v>124</v>
      </c>
      <c r="S5" s="41" t="s">
        <v>284</v>
      </c>
      <c r="T5" s="42" t="s">
        <v>286</v>
      </c>
      <c r="U5" s="40" t="s">
        <v>313</v>
      </c>
      <c r="V5" s="40" t="s">
        <v>100</v>
      </c>
      <c r="X5" s="14"/>
      <c r="Y5" s="9"/>
      <c r="Z5" s="38" t="s">
        <v>70</v>
      </c>
      <c r="AA5" s="38" t="s">
        <v>71</v>
      </c>
      <c r="AB5" s="38" t="s">
        <v>312</v>
      </c>
      <c r="AC5" s="38" t="s">
        <v>69</v>
      </c>
      <c r="AD5" s="41" t="s">
        <v>86</v>
      </c>
      <c r="AE5" s="42" t="s">
        <v>87</v>
      </c>
      <c r="AF5" s="40" t="s">
        <v>86</v>
      </c>
      <c r="AG5" s="40" t="s">
        <v>87</v>
      </c>
      <c r="AH5" s="41" t="s">
        <v>100</v>
      </c>
      <c r="AJ5" s="14"/>
      <c r="AK5" s="9"/>
      <c r="AL5" s="38" t="s">
        <v>134</v>
      </c>
      <c r="AM5" s="38" t="s">
        <v>70</v>
      </c>
      <c r="AN5" s="38" t="s">
        <v>123</v>
      </c>
      <c r="AO5" s="41" t="s">
        <v>86</v>
      </c>
      <c r="AP5" s="42" t="s">
        <v>87</v>
      </c>
      <c r="AQ5" s="40" t="s">
        <v>86</v>
      </c>
      <c r="AR5" s="40" t="s">
        <v>87</v>
      </c>
      <c r="AS5" s="41" t="s">
        <v>99</v>
      </c>
      <c r="AT5" s="40" t="s">
        <v>100</v>
      </c>
      <c r="AV5" s="8"/>
      <c r="AY5" s="50" t="s">
        <v>206</v>
      </c>
    </row>
    <row r="6" spans="1:52" x14ac:dyDescent="0.3">
      <c r="B6" s="8"/>
      <c r="F6" s="45"/>
      <c r="I6" s="45"/>
      <c r="L6" s="45"/>
      <c r="N6" s="8"/>
      <c r="Q6" s="45"/>
      <c r="R6" s="46"/>
      <c r="S6" s="45"/>
      <c r="T6" s="46"/>
      <c r="X6" s="8"/>
      <c r="AD6" s="45"/>
      <c r="AE6" s="46"/>
      <c r="AH6" s="45"/>
      <c r="AJ6" s="8"/>
      <c r="AO6" s="45"/>
      <c r="AP6" s="46"/>
      <c r="AS6" s="45"/>
      <c r="AV6" s="8"/>
      <c r="AW6" s="9" t="s">
        <v>88</v>
      </c>
      <c r="AX6" s="53" t="s">
        <v>89</v>
      </c>
      <c r="AY6" s="26">
        <v>0</v>
      </c>
    </row>
    <row r="7" spans="1:52" x14ac:dyDescent="0.3">
      <c r="B7" s="8"/>
      <c r="D7" s="50" t="s">
        <v>72</v>
      </c>
      <c r="E7" s="50" t="s">
        <v>73</v>
      </c>
      <c r="F7" s="51" t="s">
        <v>74</v>
      </c>
      <c r="G7" s="50" t="s">
        <v>75</v>
      </c>
      <c r="H7" s="50" t="s">
        <v>76</v>
      </c>
      <c r="I7" s="51" t="s">
        <v>77</v>
      </c>
      <c r="J7" s="50" t="s">
        <v>78</v>
      </c>
      <c r="K7" s="50" t="s">
        <v>79</v>
      </c>
      <c r="L7" s="51" t="s">
        <v>123</v>
      </c>
      <c r="N7" s="8"/>
      <c r="P7" s="50" t="s">
        <v>81</v>
      </c>
      <c r="Q7" s="51" t="s">
        <v>82</v>
      </c>
      <c r="R7" s="52" t="s">
        <v>621</v>
      </c>
      <c r="S7" s="51" t="s">
        <v>80</v>
      </c>
      <c r="T7" s="52" t="s">
        <v>285</v>
      </c>
      <c r="U7" s="50" t="s">
        <v>310</v>
      </c>
      <c r="V7" s="50" t="s">
        <v>123</v>
      </c>
      <c r="X7" s="8"/>
      <c r="Z7" s="50" t="s">
        <v>84</v>
      </c>
      <c r="AA7" s="50" t="s">
        <v>85</v>
      </c>
      <c r="AB7" s="50" t="s">
        <v>310</v>
      </c>
      <c r="AC7" s="50" t="s">
        <v>83</v>
      </c>
      <c r="AD7" s="51" t="s">
        <v>130</v>
      </c>
      <c r="AE7" s="52" t="s">
        <v>131</v>
      </c>
      <c r="AF7" s="50" t="s">
        <v>128</v>
      </c>
      <c r="AG7" s="61" t="s">
        <v>129</v>
      </c>
      <c r="AH7" s="51" t="s">
        <v>123</v>
      </c>
      <c r="AJ7" s="8"/>
      <c r="AL7" s="50" t="s">
        <v>133</v>
      </c>
      <c r="AM7" s="50" t="s">
        <v>101</v>
      </c>
      <c r="AN7" s="50" t="s">
        <v>622</v>
      </c>
      <c r="AO7" s="51" t="s">
        <v>130</v>
      </c>
      <c r="AP7" s="62" t="s">
        <v>131</v>
      </c>
      <c r="AQ7" s="50" t="s">
        <v>128</v>
      </c>
      <c r="AR7" s="61" t="s">
        <v>129</v>
      </c>
      <c r="AS7" s="51" t="s">
        <v>288</v>
      </c>
      <c r="AT7" s="50" t="s">
        <v>123</v>
      </c>
      <c r="AV7" s="8"/>
      <c r="AW7" s="9" t="s">
        <v>92</v>
      </c>
      <c r="AX7" s="53" t="s">
        <v>93</v>
      </c>
      <c r="AY7" s="26">
        <v>3</v>
      </c>
    </row>
    <row r="8" spans="1:52" x14ac:dyDescent="0.3">
      <c r="B8" s="8"/>
      <c r="C8" s="2" t="s">
        <v>713</v>
      </c>
      <c r="D8" s="26">
        <v>0</v>
      </c>
      <c r="E8" s="26">
        <v>0</v>
      </c>
      <c r="F8" s="27">
        <v>0</v>
      </c>
      <c r="G8" s="26">
        <v>0</v>
      </c>
      <c r="H8" s="26">
        <v>0</v>
      </c>
      <c r="I8" s="27">
        <v>0</v>
      </c>
      <c r="J8" s="26">
        <v>0</v>
      </c>
      <c r="K8" s="26">
        <v>0</v>
      </c>
      <c r="L8" s="67">
        <v>1</v>
      </c>
      <c r="N8" s="8"/>
      <c r="O8" s="2" t="s">
        <v>649</v>
      </c>
      <c r="P8" s="26">
        <v>1</v>
      </c>
      <c r="Q8" s="27">
        <v>0</v>
      </c>
      <c r="R8" s="30">
        <v>0</v>
      </c>
      <c r="S8" s="27">
        <v>0</v>
      </c>
      <c r="T8" s="30">
        <v>0</v>
      </c>
      <c r="U8" s="34">
        <v>1</v>
      </c>
      <c r="V8" s="34">
        <v>1</v>
      </c>
      <c r="X8" s="8"/>
      <c r="Y8" s="2" t="s">
        <v>852</v>
      </c>
      <c r="Z8" s="26">
        <v>0</v>
      </c>
      <c r="AA8" s="26">
        <v>2</v>
      </c>
      <c r="AB8" s="26">
        <v>0</v>
      </c>
      <c r="AC8" s="26">
        <v>0</v>
      </c>
      <c r="AD8" s="27">
        <v>0</v>
      </c>
      <c r="AE8" s="30">
        <v>0</v>
      </c>
      <c r="AF8" s="26">
        <v>0</v>
      </c>
      <c r="AG8" s="26">
        <v>0</v>
      </c>
      <c r="AH8" s="32">
        <v>1</v>
      </c>
      <c r="AJ8" s="8"/>
      <c r="AK8" s="2" t="s">
        <v>8</v>
      </c>
      <c r="AL8" s="26">
        <v>0</v>
      </c>
      <c r="AM8" s="26">
        <v>0</v>
      </c>
      <c r="AN8" s="26">
        <v>0</v>
      </c>
      <c r="AO8" s="27">
        <v>0</v>
      </c>
      <c r="AP8" s="30">
        <v>0</v>
      </c>
      <c r="AQ8" s="26">
        <v>3.5</v>
      </c>
      <c r="AR8" s="26">
        <v>3.5</v>
      </c>
      <c r="AS8" s="32">
        <v>1</v>
      </c>
      <c r="AT8" s="34">
        <v>1</v>
      </c>
      <c r="AV8" s="8"/>
      <c r="AW8" s="9" t="s">
        <v>90</v>
      </c>
      <c r="AX8" s="53" t="s">
        <v>91</v>
      </c>
      <c r="AY8" s="26">
        <v>0</v>
      </c>
    </row>
    <row r="9" spans="1:52" x14ac:dyDescent="0.3">
      <c r="B9" s="8"/>
      <c r="C9" s="2" t="s">
        <v>766</v>
      </c>
      <c r="D9" s="26">
        <v>0</v>
      </c>
      <c r="E9" s="26">
        <v>0</v>
      </c>
      <c r="F9" s="27">
        <v>0</v>
      </c>
      <c r="G9" s="26">
        <v>0</v>
      </c>
      <c r="H9" s="26">
        <v>0</v>
      </c>
      <c r="I9" s="27">
        <v>0</v>
      </c>
      <c r="J9" s="26">
        <v>0</v>
      </c>
      <c r="K9" s="26">
        <v>0</v>
      </c>
      <c r="L9" s="67">
        <v>1</v>
      </c>
      <c r="N9" s="8"/>
      <c r="O9" s="2" t="s">
        <v>809</v>
      </c>
      <c r="P9" s="26">
        <v>1</v>
      </c>
      <c r="Q9" s="27">
        <v>0</v>
      </c>
      <c r="R9" s="30">
        <v>0</v>
      </c>
      <c r="S9" s="27">
        <v>0</v>
      </c>
      <c r="T9" s="30">
        <v>0</v>
      </c>
      <c r="U9" s="34">
        <v>1</v>
      </c>
      <c r="V9" s="34">
        <v>1</v>
      </c>
      <c r="X9" s="8"/>
      <c r="Y9" s="2" t="s">
        <v>853</v>
      </c>
      <c r="Z9" s="26">
        <v>0</v>
      </c>
      <c r="AA9" s="26">
        <v>2</v>
      </c>
      <c r="AB9" s="26">
        <v>0</v>
      </c>
      <c r="AC9" s="26">
        <v>0</v>
      </c>
      <c r="AD9" s="27">
        <v>0</v>
      </c>
      <c r="AE9" s="30">
        <v>0</v>
      </c>
      <c r="AF9" s="26">
        <v>0</v>
      </c>
      <c r="AG9" s="26">
        <v>0</v>
      </c>
      <c r="AH9" s="32">
        <v>1</v>
      </c>
      <c r="AJ9" s="8"/>
      <c r="AK9" s="2" t="s">
        <v>985</v>
      </c>
      <c r="AL9" s="26">
        <v>2</v>
      </c>
      <c r="AM9" s="26">
        <v>0</v>
      </c>
      <c r="AN9" s="26">
        <v>0</v>
      </c>
      <c r="AO9" s="27">
        <v>0</v>
      </c>
      <c r="AP9" s="30">
        <v>0</v>
      </c>
      <c r="AQ9" s="26">
        <v>3.5</v>
      </c>
      <c r="AR9" s="26">
        <v>3.5</v>
      </c>
      <c r="AS9" s="32">
        <v>1</v>
      </c>
      <c r="AT9" s="34">
        <v>1</v>
      </c>
      <c r="AV9" s="8"/>
      <c r="AW9" s="9" t="s">
        <v>298</v>
      </c>
      <c r="AX9" s="53" t="s">
        <v>299</v>
      </c>
      <c r="AY9" s="26">
        <v>0</v>
      </c>
    </row>
    <row r="10" spans="1:52" x14ac:dyDescent="0.3">
      <c r="B10" s="8"/>
      <c r="C10" s="2" t="s">
        <v>976</v>
      </c>
      <c r="D10" s="26">
        <v>0</v>
      </c>
      <c r="E10" s="26">
        <v>0</v>
      </c>
      <c r="F10" s="27">
        <v>0</v>
      </c>
      <c r="G10" s="26">
        <v>0</v>
      </c>
      <c r="H10" s="26">
        <v>0</v>
      </c>
      <c r="I10" s="27">
        <v>0</v>
      </c>
      <c r="J10" s="26">
        <v>0</v>
      </c>
      <c r="K10" s="26">
        <v>0</v>
      </c>
      <c r="L10" s="67">
        <v>1</v>
      </c>
      <c r="N10" s="8"/>
      <c r="O10" s="2" t="s">
        <v>946</v>
      </c>
      <c r="P10" s="26">
        <v>1</v>
      </c>
      <c r="Q10" s="27">
        <v>0</v>
      </c>
      <c r="R10" s="30">
        <v>0</v>
      </c>
      <c r="S10" s="27">
        <v>0</v>
      </c>
      <c r="T10" s="30">
        <v>0</v>
      </c>
      <c r="U10" s="34">
        <v>1</v>
      </c>
      <c r="V10" s="34">
        <v>1</v>
      </c>
      <c r="X10" s="8"/>
      <c r="Y10" s="2" t="s">
        <v>854</v>
      </c>
      <c r="Z10" s="26">
        <v>0</v>
      </c>
      <c r="AA10" s="26">
        <v>2</v>
      </c>
      <c r="AB10" s="26">
        <v>0</v>
      </c>
      <c r="AC10" s="26">
        <v>0</v>
      </c>
      <c r="AD10" s="27">
        <v>0</v>
      </c>
      <c r="AE10" s="30">
        <v>0</v>
      </c>
      <c r="AF10" s="26">
        <v>0</v>
      </c>
      <c r="AG10" s="26">
        <v>0</v>
      </c>
      <c r="AH10" s="32">
        <v>1</v>
      </c>
      <c r="AJ10" s="8"/>
      <c r="AK10" s="2" t="s">
        <v>986</v>
      </c>
      <c r="AL10" s="26">
        <v>2</v>
      </c>
      <c r="AM10" s="26">
        <v>0</v>
      </c>
      <c r="AN10" s="26">
        <v>0</v>
      </c>
      <c r="AO10" s="27">
        <v>0</v>
      </c>
      <c r="AP10" s="30">
        <v>0</v>
      </c>
      <c r="AQ10" s="26">
        <v>3.5</v>
      </c>
      <c r="AR10" s="26">
        <v>3.5</v>
      </c>
      <c r="AS10" s="32">
        <v>1</v>
      </c>
      <c r="AT10" s="34">
        <v>1</v>
      </c>
      <c r="AV10" s="8"/>
      <c r="AW10" s="9" t="s">
        <v>98</v>
      </c>
      <c r="AX10" s="53" t="s">
        <v>101</v>
      </c>
      <c r="AY10" s="26">
        <v>0</v>
      </c>
    </row>
    <row r="11" spans="1:52" x14ac:dyDescent="0.3">
      <c r="B11" s="8"/>
      <c r="C11" s="2" t="s">
        <v>977</v>
      </c>
      <c r="D11" s="26">
        <v>0</v>
      </c>
      <c r="E11" s="26">
        <v>0</v>
      </c>
      <c r="F11" s="27">
        <v>0</v>
      </c>
      <c r="G11" s="26">
        <v>0</v>
      </c>
      <c r="H11" s="26">
        <v>0</v>
      </c>
      <c r="I11" s="27">
        <v>0</v>
      </c>
      <c r="J11" s="26">
        <v>0</v>
      </c>
      <c r="K11" s="26">
        <v>0</v>
      </c>
      <c r="L11" s="67">
        <v>1</v>
      </c>
      <c r="N11" s="8"/>
      <c r="O11" s="2" t="s">
        <v>947</v>
      </c>
      <c r="P11" s="26">
        <v>1</v>
      </c>
      <c r="Q11" s="27">
        <v>0</v>
      </c>
      <c r="R11" s="30">
        <v>0</v>
      </c>
      <c r="S11" s="27">
        <v>0</v>
      </c>
      <c r="T11" s="30">
        <v>0</v>
      </c>
      <c r="U11" s="34">
        <v>1</v>
      </c>
      <c r="V11" s="34">
        <v>1</v>
      </c>
      <c r="X11" s="8"/>
      <c r="Y11" s="2" t="s">
        <v>855</v>
      </c>
      <c r="Z11" s="26">
        <v>0</v>
      </c>
      <c r="AA11" s="26">
        <v>2</v>
      </c>
      <c r="AB11" s="26">
        <v>0</v>
      </c>
      <c r="AC11" s="26">
        <v>0</v>
      </c>
      <c r="AD11" s="27">
        <v>0</v>
      </c>
      <c r="AE11" s="30">
        <v>0</v>
      </c>
      <c r="AF11" s="26">
        <v>0</v>
      </c>
      <c r="AG11" s="26">
        <v>0</v>
      </c>
      <c r="AH11" s="32">
        <v>1</v>
      </c>
      <c r="AJ11" s="8"/>
      <c r="AK11" s="2" t="s">
        <v>987</v>
      </c>
      <c r="AL11" s="26">
        <v>2</v>
      </c>
      <c r="AM11" s="26">
        <v>0</v>
      </c>
      <c r="AN11" s="26">
        <v>0</v>
      </c>
      <c r="AO11" s="27">
        <v>0</v>
      </c>
      <c r="AP11" s="30">
        <v>0</v>
      </c>
      <c r="AQ11" s="26">
        <v>3.5</v>
      </c>
      <c r="AR11" s="26">
        <v>3.5</v>
      </c>
      <c r="AS11" s="32">
        <v>1</v>
      </c>
      <c r="AT11" s="34">
        <v>1</v>
      </c>
      <c r="AV11" s="8"/>
      <c r="AW11" s="9" t="s">
        <v>94</v>
      </c>
      <c r="AX11" s="53" t="s">
        <v>95</v>
      </c>
      <c r="AY11" s="26">
        <v>0</v>
      </c>
    </row>
    <row r="12" spans="1:52" x14ac:dyDescent="0.3">
      <c r="B12" s="8"/>
      <c r="C12" s="2" t="s">
        <v>767</v>
      </c>
      <c r="D12" s="26">
        <v>0</v>
      </c>
      <c r="E12" s="26">
        <v>0</v>
      </c>
      <c r="F12" s="27">
        <v>0</v>
      </c>
      <c r="G12" s="26">
        <v>0</v>
      </c>
      <c r="H12" s="26">
        <v>0</v>
      </c>
      <c r="I12" s="27">
        <v>0</v>
      </c>
      <c r="J12" s="26">
        <v>0</v>
      </c>
      <c r="K12" s="26">
        <v>0</v>
      </c>
      <c r="L12" s="67">
        <v>1</v>
      </c>
      <c r="N12" s="8"/>
      <c r="O12" s="2" t="s">
        <v>810</v>
      </c>
      <c r="P12" s="26">
        <v>1</v>
      </c>
      <c r="Q12" s="27">
        <v>0</v>
      </c>
      <c r="R12" s="30">
        <v>0</v>
      </c>
      <c r="S12" s="27">
        <v>0</v>
      </c>
      <c r="T12" s="30">
        <v>0</v>
      </c>
      <c r="U12" s="34">
        <v>1</v>
      </c>
      <c r="V12" s="34">
        <v>1</v>
      </c>
      <c r="X12" s="8"/>
      <c r="Y12" s="2" t="s">
        <v>856</v>
      </c>
      <c r="Z12" s="26">
        <v>0</v>
      </c>
      <c r="AA12" s="26">
        <v>2</v>
      </c>
      <c r="AB12" s="26">
        <v>0</v>
      </c>
      <c r="AC12" s="26">
        <v>0</v>
      </c>
      <c r="AD12" s="27">
        <v>0</v>
      </c>
      <c r="AE12" s="30">
        <v>0</v>
      </c>
      <c r="AF12" s="26">
        <v>0</v>
      </c>
      <c r="AG12" s="26">
        <v>0</v>
      </c>
      <c r="AH12" s="32">
        <v>1</v>
      </c>
      <c r="AJ12" s="8"/>
      <c r="AK12" s="2" t="s">
        <v>988</v>
      </c>
      <c r="AL12" s="26">
        <v>2</v>
      </c>
      <c r="AM12" s="26">
        <v>0</v>
      </c>
      <c r="AN12" s="26">
        <v>0</v>
      </c>
      <c r="AO12" s="27">
        <v>0</v>
      </c>
      <c r="AP12" s="30">
        <v>0</v>
      </c>
      <c r="AQ12" s="26">
        <v>3.5</v>
      </c>
      <c r="AR12" s="26">
        <v>3.5</v>
      </c>
      <c r="AS12" s="32">
        <v>1</v>
      </c>
      <c r="AT12" s="34">
        <v>1</v>
      </c>
      <c r="AV12" s="8"/>
      <c r="AW12" s="9" t="s">
        <v>96</v>
      </c>
      <c r="AX12" s="53" t="s">
        <v>97</v>
      </c>
      <c r="AY12" s="26">
        <v>3.5</v>
      </c>
    </row>
    <row r="13" spans="1:52" x14ac:dyDescent="0.3">
      <c r="B13" s="8"/>
      <c r="C13" s="2" t="s">
        <v>714</v>
      </c>
      <c r="D13" s="26">
        <v>0</v>
      </c>
      <c r="E13" s="26">
        <v>0</v>
      </c>
      <c r="F13" s="27">
        <v>0</v>
      </c>
      <c r="G13" s="26">
        <v>0</v>
      </c>
      <c r="H13" s="26">
        <v>0</v>
      </c>
      <c r="I13" s="27">
        <v>0</v>
      </c>
      <c r="J13" s="26">
        <v>0</v>
      </c>
      <c r="K13" s="26">
        <v>0</v>
      </c>
      <c r="L13" s="67">
        <v>1</v>
      </c>
      <c r="N13" s="8"/>
      <c r="O13" s="2" t="s">
        <v>650</v>
      </c>
      <c r="P13" s="26">
        <v>1</v>
      </c>
      <c r="Q13" s="27">
        <v>0</v>
      </c>
      <c r="R13" s="30">
        <v>0</v>
      </c>
      <c r="S13" s="27">
        <v>0</v>
      </c>
      <c r="T13" s="30">
        <v>0</v>
      </c>
      <c r="U13" s="34">
        <v>1</v>
      </c>
      <c r="V13" s="34">
        <v>1</v>
      </c>
      <c r="X13" s="8"/>
      <c r="Y13" s="2" t="s">
        <v>857</v>
      </c>
      <c r="Z13" s="26">
        <v>0</v>
      </c>
      <c r="AA13" s="26">
        <v>2</v>
      </c>
      <c r="AB13" s="26">
        <v>0</v>
      </c>
      <c r="AC13" s="26">
        <v>0</v>
      </c>
      <c r="AD13" s="27">
        <v>0</v>
      </c>
      <c r="AE13" s="30">
        <v>0</v>
      </c>
      <c r="AF13" s="26">
        <v>0</v>
      </c>
      <c r="AG13" s="26">
        <v>0</v>
      </c>
      <c r="AH13" s="32">
        <v>1</v>
      </c>
      <c r="AJ13" s="8"/>
      <c r="AK13" s="2" t="s">
        <v>989</v>
      </c>
      <c r="AL13" s="26">
        <v>2</v>
      </c>
      <c r="AM13" s="26">
        <v>0</v>
      </c>
      <c r="AN13" s="26">
        <v>0</v>
      </c>
      <c r="AO13" s="27">
        <v>0</v>
      </c>
      <c r="AP13" s="30">
        <v>0</v>
      </c>
      <c r="AQ13" s="26">
        <v>3.5</v>
      </c>
      <c r="AR13" s="26">
        <v>3.5</v>
      </c>
      <c r="AS13" s="32">
        <v>1</v>
      </c>
      <c r="AT13" s="34">
        <v>1</v>
      </c>
      <c r="AV13" s="8"/>
      <c r="AW13" s="9" t="s">
        <v>297</v>
      </c>
      <c r="AX13" s="53" t="s">
        <v>296</v>
      </c>
      <c r="AY13" s="26">
        <v>0</v>
      </c>
    </row>
    <row r="14" spans="1:52" x14ac:dyDescent="0.3">
      <c r="B14" s="8"/>
      <c r="C14" s="2" t="s">
        <v>715</v>
      </c>
      <c r="D14" s="26">
        <v>0</v>
      </c>
      <c r="E14" s="26">
        <v>0</v>
      </c>
      <c r="F14" s="27">
        <v>0</v>
      </c>
      <c r="G14" s="26">
        <v>0</v>
      </c>
      <c r="H14" s="26">
        <v>0</v>
      </c>
      <c r="I14" s="27">
        <v>0</v>
      </c>
      <c r="J14" s="26">
        <v>0</v>
      </c>
      <c r="K14" s="26">
        <v>0</v>
      </c>
      <c r="L14" s="67">
        <v>1</v>
      </c>
      <c r="N14" s="8"/>
      <c r="O14" s="2" t="s">
        <v>651</v>
      </c>
      <c r="P14" s="26">
        <v>1</v>
      </c>
      <c r="Q14" s="27">
        <v>0</v>
      </c>
      <c r="R14" s="30">
        <v>0</v>
      </c>
      <c r="S14" s="27">
        <v>0</v>
      </c>
      <c r="T14" s="30">
        <v>0</v>
      </c>
      <c r="U14" s="34">
        <v>1</v>
      </c>
      <c r="V14" s="34">
        <v>1</v>
      </c>
      <c r="X14" s="8"/>
      <c r="Y14" s="2" t="s">
        <v>858</v>
      </c>
      <c r="Z14" s="26">
        <v>0</v>
      </c>
      <c r="AA14" s="26">
        <v>2</v>
      </c>
      <c r="AB14" s="26">
        <v>0</v>
      </c>
      <c r="AC14" s="26">
        <v>0</v>
      </c>
      <c r="AD14" s="27">
        <v>0</v>
      </c>
      <c r="AE14" s="30">
        <v>0</v>
      </c>
      <c r="AF14" s="26">
        <v>0</v>
      </c>
      <c r="AG14" s="26">
        <v>0</v>
      </c>
      <c r="AH14" s="32">
        <v>1</v>
      </c>
      <c r="AJ14" s="8"/>
      <c r="AK14" s="2" t="s">
        <v>990</v>
      </c>
      <c r="AL14" s="26">
        <v>2</v>
      </c>
      <c r="AM14" s="26">
        <v>0</v>
      </c>
      <c r="AN14" s="26">
        <v>0</v>
      </c>
      <c r="AO14" s="27">
        <v>0</v>
      </c>
      <c r="AP14" s="30">
        <v>0</v>
      </c>
      <c r="AQ14" s="26">
        <v>3.5</v>
      </c>
      <c r="AR14" s="26">
        <v>3.5</v>
      </c>
      <c r="AS14" s="32">
        <v>1</v>
      </c>
      <c r="AT14" s="34">
        <v>1</v>
      </c>
      <c r="AV14" s="8"/>
      <c r="AW14" s="9" t="s">
        <v>762</v>
      </c>
      <c r="AX14" s="53" t="s">
        <v>131</v>
      </c>
      <c r="AY14" s="26">
        <v>3.5</v>
      </c>
    </row>
    <row r="15" spans="1:52" x14ac:dyDescent="0.3">
      <c r="B15" s="8"/>
      <c r="C15" s="2" t="s">
        <v>768</v>
      </c>
      <c r="D15" s="26">
        <v>0</v>
      </c>
      <c r="E15" s="26">
        <v>0</v>
      </c>
      <c r="F15" s="27">
        <v>0</v>
      </c>
      <c r="G15" s="26">
        <v>0</v>
      </c>
      <c r="H15" s="26">
        <v>0</v>
      </c>
      <c r="I15" s="27">
        <v>0</v>
      </c>
      <c r="J15" s="26">
        <v>0</v>
      </c>
      <c r="K15" s="26">
        <v>0</v>
      </c>
      <c r="L15" s="67">
        <v>1</v>
      </c>
      <c r="N15" s="8"/>
      <c r="O15" s="2" t="s">
        <v>811</v>
      </c>
      <c r="P15" s="26">
        <v>1</v>
      </c>
      <c r="Q15" s="27">
        <v>0</v>
      </c>
      <c r="R15" s="30">
        <v>0</v>
      </c>
      <c r="S15" s="27">
        <v>0</v>
      </c>
      <c r="T15" s="30">
        <v>0</v>
      </c>
      <c r="U15" s="34">
        <v>1</v>
      </c>
      <c r="V15" s="34">
        <v>1</v>
      </c>
      <c r="X15" s="8"/>
      <c r="Y15" s="2" t="s">
        <v>859</v>
      </c>
      <c r="Z15" s="26">
        <v>0</v>
      </c>
      <c r="AA15" s="26">
        <v>2</v>
      </c>
      <c r="AB15" s="26">
        <v>0</v>
      </c>
      <c r="AC15" s="26">
        <v>0</v>
      </c>
      <c r="AD15" s="27">
        <v>0</v>
      </c>
      <c r="AE15" s="30">
        <v>0</v>
      </c>
      <c r="AF15" s="26">
        <v>0</v>
      </c>
      <c r="AG15" s="26">
        <v>0</v>
      </c>
      <c r="AH15" s="32">
        <v>1</v>
      </c>
      <c r="AJ15" s="8"/>
      <c r="AK15" s="2" t="s">
        <v>991</v>
      </c>
      <c r="AL15" s="26">
        <v>2</v>
      </c>
      <c r="AM15" s="26">
        <v>0</v>
      </c>
      <c r="AN15" s="26">
        <v>0</v>
      </c>
      <c r="AO15" s="27">
        <v>0</v>
      </c>
      <c r="AP15" s="30">
        <v>0</v>
      </c>
      <c r="AQ15" s="26">
        <v>3.5</v>
      </c>
      <c r="AR15" s="26">
        <v>3.5</v>
      </c>
      <c r="AS15" s="32">
        <v>1</v>
      </c>
      <c r="AT15" s="34">
        <v>1</v>
      </c>
      <c r="AV15" s="8"/>
      <c r="AW15" s="9" t="s">
        <v>763</v>
      </c>
      <c r="AX15" s="53" t="s">
        <v>129</v>
      </c>
      <c r="AY15" s="26">
        <v>3.5</v>
      </c>
    </row>
    <row r="16" spans="1:52" x14ac:dyDescent="0.3">
      <c r="B16" s="8"/>
      <c r="C16" s="2" t="s">
        <v>716</v>
      </c>
      <c r="D16" s="26">
        <v>0</v>
      </c>
      <c r="E16" s="26">
        <v>0</v>
      </c>
      <c r="F16" s="27">
        <v>0</v>
      </c>
      <c r="G16" s="26">
        <v>0</v>
      </c>
      <c r="H16" s="26">
        <v>0</v>
      </c>
      <c r="I16" s="27">
        <v>0</v>
      </c>
      <c r="J16" s="26">
        <v>0</v>
      </c>
      <c r="K16" s="26">
        <v>0</v>
      </c>
      <c r="L16" s="67">
        <v>1</v>
      </c>
      <c r="N16" s="8"/>
      <c r="O16" s="2" t="s">
        <v>652</v>
      </c>
      <c r="P16" s="26">
        <v>1</v>
      </c>
      <c r="Q16" s="27">
        <v>0</v>
      </c>
      <c r="R16" s="30">
        <v>0</v>
      </c>
      <c r="S16" s="27">
        <v>0</v>
      </c>
      <c r="T16" s="30">
        <v>0</v>
      </c>
      <c r="U16" s="34">
        <v>1</v>
      </c>
      <c r="V16" s="34">
        <v>1</v>
      </c>
      <c r="X16" s="8"/>
      <c r="Y16" s="2" t="s">
        <v>10</v>
      </c>
      <c r="Z16" s="26">
        <v>0</v>
      </c>
      <c r="AA16" s="26">
        <v>2</v>
      </c>
      <c r="AB16" s="26">
        <v>0</v>
      </c>
      <c r="AC16" s="26">
        <v>0</v>
      </c>
      <c r="AD16" s="27">
        <v>0</v>
      </c>
      <c r="AE16" s="30">
        <v>0</v>
      </c>
      <c r="AF16" s="26">
        <v>0</v>
      </c>
      <c r="AG16" s="26">
        <v>0</v>
      </c>
      <c r="AH16" s="32">
        <v>1</v>
      </c>
      <c r="AJ16" s="8"/>
      <c r="AK16" s="2" t="s">
        <v>992</v>
      </c>
      <c r="AL16" s="26">
        <v>2</v>
      </c>
      <c r="AM16" s="26">
        <v>0</v>
      </c>
      <c r="AN16" s="26">
        <v>0</v>
      </c>
      <c r="AO16" s="27">
        <v>0</v>
      </c>
      <c r="AP16" s="30">
        <v>0</v>
      </c>
      <c r="AQ16" s="26">
        <v>3.5</v>
      </c>
      <c r="AR16" s="26">
        <v>3.5</v>
      </c>
      <c r="AS16" s="32">
        <v>1</v>
      </c>
      <c r="AT16" s="34">
        <v>1</v>
      </c>
      <c r="AV16" s="8"/>
      <c r="AW16" s="9" t="s">
        <v>290</v>
      </c>
      <c r="AX16" s="53" t="s">
        <v>74</v>
      </c>
      <c r="AY16" s="26">
        <v>0</v>
      </c>
    </row>
    <row r="17" spans="2:51" x14ac:dyDescent="0.3">
      <c r="B17" s="8"/>
      <c r="C17" s="2" t="s">
        <v>769</v>
      </c>
      <c r="D17" s="26">
        <v>0</v>
      </c>
      <c r="E17" s="26">
        <v>0</v>
      </c>
      <c r="F17" s="27">
        <v>0</v>
      </c>
      <c r="G17" s="26">
        <v>0</v>
      </c>
      <c r="H17" s="26">
        <v>0</v>
      </c>
      <c r="I17" s="27">
        <v>0</v>
      </c>
      <c r="J17" s="26">
        <v>0</v>
      </c>
      <c r="K17" s="26">
        <v>0</v>
      </c>
      <c r="L17" s="67">
        <v>1</v>
      </c>
      <c r="N17" s="8"/>
      <c r="O17" s="2" t="s">
        <v>812</v>
      </c>
      <c r="P17" s="26">
        <v>1</v>
      </c>
      <c r="Q17" s="27">
        <v>0</v>
      </c>
      <c r="R17" s="30">
        <v>0</v>
      </c>
      <c r="S17" s="27">
        <v>0</v>
      </c>
      <c r="T17" s="30">
        <v>0</v>
      </c>
      <c r="U17" s="34">
        <v>1</v>
      </c>
      <c r="V17" s="34">
        <v>1</v>
      </c>
      <c r="X17" s="8"/>
      <c r="Y17" s="2" t="s">
        <v>860</v>
      </c>
      <c r="Z17" s="26">
        <v>0</v>
      </c>
      <c r="AA17" s="26">
        <v>2</v>
      </c>
      <c r="AB17" s="26">
        <v>0</v>
      </c>
      <c r="AC17" s="26">
        <v>0</v>
      </c>
      <c r="AD17" s="27">
        <v>0</v>
      </c>
      <c r="AE17" s="30">
        <v>0</v>
      </c>
      <c r="AF17" s="26">
        <v>0</v>
      </c>
      <c r="AG17" s="26">
        <v>0</v>
      </c>
      <c r="AH17" s="32">
        <v>1</v>
      </c>
      <c r="AJ17" s="8"/>
      <c r="AK17" s="2" t="s">
        <v>993</v>
      </c>
      <c r="AL17" s="26">
        <v>2</v>
      </c>
      <c r="AM17" s="26">
        <v>0</v>
      </c>
      <c r="AN17" s="26">
        <v>0</v>
      </c>
      <c r="AO17" s="27">
        <v>0</v>
      </c>
      <c r="AP17" s="30">
        <v>0</v>
      </c>
      <c r="AQ17" s="26">
        <v>3.5</v>
      </c>
      <c r="AR17" s="26">
        <v>3.5</v>
      </c>
      <c r="AS17" s="32">
        <v>1</v>
      </c>
      <c r="AT17" s="34">
        <v>1</v>
      </c>
      <c r="AV17" s="8"/>
      <c r="AW17" s="9" t="s">
        <v>291</v>
      </c>
      <c r="AX17" s="53" t="s">
        <v>75</v>
      </c>
      <c r="AY17" s="26">
        <v>0</v>
      </c>
    </row>
    <row r="18" spans="2:51" x14ac:dyDescent="0.3">
      <c r="B18" s="8"/>
      <c r="C18" s="2" t="s">
        <v>770</v>
      </c>
      <c r="D18" s="26">
        <v>0</v>
      </c>
      <c r="E18" s="26">
        <v>0</v>
      </c>
      <c r="F18" s="27">
        <v>0</v>
      </c>
      <c r="G18" s="26">
        <v>0</v>
      </c>
      <c r="H18" s="26">
        <v>0</v>
      </c>
      <c r="I18" s="27">
        <v>0</v>
      </c>
      <c r="J18" s="26">
        <v>0</v>
      </c>
      <c r="K18" s="26">
        <v>0</v>
      </c>
      <c r="L18" s="67">
        <v>1</v>
      </c>
      <c r="N18" s="8"/>
      <c r="O18" s="2" t="s">
        <v>813</v>
      </c>
      <c r="P18" s="26">
        <v>1</v>
      </c>
      <c r="Q18" s="27">
        <v>0</v>
      </c>
      <c r="R18" s="30">
        <v>0</v>
      </c>
      <c r="S18" s="27">
        <v>0</v>
      </c>
      <c r="T18" s="30">
        <v>0</v>
      </c>
      <c r="U18" s="34">
        <v>1</v>
      </c>
      <c r="V18" s="34">
        <v>1</v>
      </c>
      <c r="X18" s="8"/>
      <c r="Y18" s="2" t="s">
        <v>861</v>
      </c>
      <c r="Z18" s="26">
        <v>0</v>
      </c>
      <c r="AA18" s="26">
        <v>2</v>
      </c>
      <c r="AB18" s="26">
        <v>0</v>
      </c>
      <c r="AC18" s="26">
        <v>0</v>
      </c>
      <c r="AD18" s="27">
        <v>0</v>
      </c>
      <c r="AE18" s="30">
        <v>0</v>
      </c>
      <c r="AF18" s="26">
        <v>0</v>
      </c>
      <c r="AG18" s="26">
        <v>0</v>
      </c>
      <c r="AH18" s="32">
        <v>1</v>
      </c>
      <c r="AJ18" s="8"/>
      <c r="AK18" s="2" t="s">
        <v>994</v>
      </c>
      <c r="AL18" s="26">
        <v>2</v>
      </c>
      <c r="AM18" s="26">
        <v>0</v>
      </c>
      <c r="AN18" s="26">
        <v>0</v>
      </c>
      <c r="AO18" s="27">
        <v>0</v>
      </c>
      <c r="AP18" s="30">
        <v>0</v>
      </c>
      <c r="AQ18" s="26">
        <v>3.5</v>
      </c>
      <c r="AR18" s="26">
        <v>3.5</v>
      </c>
      <c r="AS18" s="32">
        <v>1</v>
      </c>
      <c r="AT18" s="34">
        <v>1</v>
      </c>
      <c r="AV18" s="8"/>
      <c r="AW18" s="9" t="s">
        <v>292</v>
      </c>
      <c r="AX18" s="53" t="s">
        <v>76</v>
      </c>
      <c r="AY18" s="26">
        <v>0</v>
      </c>
    </row>
    <row r="19" spans="2:51" x14ac:dyDescent="0.3">
      <c r="B19" s="8"/>
      <c r="C19" s="2" t="s">
        <v>771</v>
      </c>
      <c r="D19" s="26">
        <v>0</v>
      </c>
      <c r="E19" s="26">
        <v>0</v>
      </c>
      <c r="F19" s="27">
        <v>0</v>
      </c>
      <c r="G19" s="26">
        <v>0</v>
      </c>
      <c r="H19" s="26">
        <v>0</v>
      </c>
      <c r="I19" s="27">
        <v>0</v>
      </c>
      <c r="J19" s="26">
        <v>0</v>
      </c>
      <c r="K19" s="26">
        <v>0</v>
      </c>
      <c r="L19" s="67">
        <v>1</v>
      </c>
      <c r="N19" s="8"/>
      <c r="O19" s="2" t="s">
        <v>814</v>
      </c>
      <c r="P19" s="26">
        <v>1</v>
      </c>
      <c r="Q19" s="27">
        <v>0</v>
      </c>
      <c r="R19" s="30">
        <v>0</v>
      </c>
      <c r="S19" s="27">
        <v>0</v>
      </c>
      <c r="T19" s="30">
        <v>0</v>
      </c>
      <c r="U19" s="34">
        <v>1</v>
      </c>
      <c r="V19" s="34">
        <v>1</v>
      </c>
      <c r="X19" s="8"/>
      <c r="Y19" s="2" t="s">
        <v>862</v>
      </c>
      <c r="Z19" s="26">
        <v>0</v>
      </c>
      <c r="AA19" s="26">
        <v>2</v>
      </c>
      <c r="AB19" s="26">
        <v>0</v>
      </c>
      <c r="AC19" s="26">
        <v>0</v>
      </c>
      <c r="AD19" s="27">
        <v>0</v>
      </c>
      <c r="AE19" s="30">
        <v>0</v>
      </c>
      <c r="AF19" s="26">
        <v>0</v>
      </c>
      <c r="AG19" s="26">
        <v>0</v>
      </c>
      <c r="AH19" s="32">
        <v>1</v>
      </c>
      <c r="AJ19" s="8"/>
      <c r="AK19" s="2" t="s">
        <v>995</v>
      </c>
      <c r="AL19" s="26">
        <v>2</v>
      </c>
      <c r="AM19" s="26">
        <v>0</v>
      </c>
      <c r="AN19" s="26">
        <v>0</v>
      </c>
      <c r="AO19" s="27">
        <v>0</v>
      </c>
      <c r="AP19" s="30">
        <v>0</v>
      </c>
      <c r="AQ19" s="26">
        <v>3.5</v>
      </c>
      <c r="AR19" s="26">
        <v>3.5</v>
      </c>
      <c r="AS19" s="32">
        <v>1</v>
      </c>
      <c r="AT19" s="34">
        <v>1</v>
      </c>
      <c r="AV19" s="8"/>
      <c r="AW19" s="9" t="s">
        <v>61</v>
      </c>
      <c r="AX19" s="53" t="s">
        <v>82</v>
      </c>
      <c r="AY19" s="26">
        <v>0</v>
      </c>
    </row>
    <row r="20" spans="2:51" x14ac:dyDescent="0.3">
      <c r="B20" s="8"/>
      <c r="C20" s="2" t="s">
        <v>717</v>
      </c>
      <c r="D20" s="26">
        <v>0</v>
      </c>
      <c r="E20" s="26">
        <v>0</v>
      </c>
      <c r="F20" s="27">
        <v>0</v>
      </c>
      <c r="G20" s="26">
        <v>0</v>
      </c>
      <c r="H20" s="26">
        <v>0</v>
      </c>
      <c r="I20" s="27">
        <v>0</v>
      </c>
      <c r="J20" s="26">
        <v>0</v>
      </c>
      <c r="K20" s="26">
        <v>0</v>
      </c>
      <c r="L20" s="67">
        <v>1</v>
      </c>
      <c r="N20" s="8"/>
      <c r="O20" s="2" t="s">
        <v>653</v>
      </c>
      <c r="P20" s="26">
        <v>1</v>
      </c>
      <c r="Q20" s="27">
        <v>0</v>
      </c>
      <c r="R20" s="30">
        <v>0</v>
      </c>
      <c r="S20" s="27">
        <v>0</v>
      </c>
      <c r="T20" s="30">
        <v>0</v>
      </c>
      <c r="U20" s="34">
        <v>1</v>
      </c>
      <c r="V20" s="34">
        <v>1</v>
      </c>
      <c r="X20" s="8"/>
      <c r="Y20" s="2" t="s">
        <v>863</v>
      </c>
      <c r="Z20" s="26">
        <v>0</v>
      </c>
      <c r="AA20" s="26">
        <v>2</v>
      </c>
      <c r="AB20" s="26">
        <v>0</v>
      </c>
      <c r="AC20" s="26">
        <v>0</v>
      </c>
      <c r="AD20" s="27">
        <v>0</v>
      </c>
      <c r="AE20" s="30">
        <v>0</v>
      </c>
      <c r="AF20" s="26">
        <v>0</v>
      </c>
      <c r="AG20" s="26">
        <v>0</v>
      </c>
      <c r="AH20" s="32">
        <v>1</v>
      </c>
      <c r="AJ20" s="8"/>
      <c r="AK20" s="2" t="s">
        <v>996</v>
      </c>
      <c r="AL20" s="26">
        <v>2</v>
      </c>
      <c r="AM20" s="26">
        <v>0</v>
      </c>
      <c r="AN20" s="26">
        <v>0</v>
      </c>
      <c r="AO20" s="27">
        <v>0</v>
      </c>
      <c r="AP20" s="30">
        <v>0</v>
      </c>
      <c r="AQ20" s="26">
        <v>3.5</v>
      </c>
      <c r="AR20" s="26">
        <v>3.5</v>
      </c>
      <c r="AS20" s="32">
        <v>1</v>
      </c>
      <c r="AT20" s="34">
        <v>1</v>
      </c>
      <c r="AV20" s="8"/>
      <c r="AW20" s="9" t="s">
        <v>293</v>
      </c>
      <c r="AX20" s="53" t="s">
        <v>621</v>
      </c>
      <c r="AY20" s="26">
        <v>0</v>
      </c>
    </row>
    <row r="21" spans="2:51" x14ac:dyDescent="0.3">
      <c r="B21" s="8"/>
      <c r="C21" s="2" t="s">
        <v>978</v>
      </c>
      <c r="D21" s="26">
        <v>0</v>
      </c>
      <c r="E21" s="26">
        <v>0</v>
      </c>
      <c r="F21" s="27">
        <v>0</v>
      </c>
      <c r="G21" s="26">
        <v>0</v>
      </c>
      <c r="H21" s="26">
        <v>0</v>
      </c>
      <c r="I21" s="27">
        <v>0</v>
      </c>
      <c r="J21" s="26">
        <v>0</v>
      </c>
      <c r="K21" s="26">
        <v>0</v>
      </c>
      <c r="L21" s="67">
        <v>1</v>
      </c>
      <c r="N21" s="8"/>
      <c r="O21" s="2" t="s">
        <v>948</v>
      </c>
      <c r="P21" s="26">
        <v>1</v>
      </c>
      <c r="Q21" s="27">
        <v>0</v>
      </c>
      <c r="R21" s="30">
        <v>0</v>
      </c>
      <c r="S21" s="27">
        <v>0</v>
      </c>
      <c r="T21" s="30">
        <v>0</v>
      </c>
      <c r="U21" s="34">
        <v>1</v>
      </c>
      <c r="V21" s="34">
        <v>1</v>
      </c>
      <c r="X21" s="8"/>
      <c r="Y21" s="2"/>
      <c r="Z21" s="26"/>
      <c r="AA21" s="26"/>
      <c r="AB21" s="26"/>
      <c r="AC21" s="26"/>
      <c r="AD21" s="27"/>
      <c r="AE21" s="30"/>
      <c r="AF21" s="26"/>
      <c r="AG21" s="26"/>
      <c r="AH21" s="32"/>
      <c r="AJ21" s="8"/>
      <c r="AK21" s="2" t="s">
        <v>997</v>
      </c>
      <c r="AL21" s="26">
        <v>2</v>
      </c>
      <c r="AM21" s="26">
        <v>0</v>
      </c>
      <c r="AN21" s="26">
        <v>0</v>
      </c>
      <c r="AO21" s="27">
        <v>0</v>
      </c>
      <c r="AP21" s="30">
        <v>0</v>
      </c>
      <c r="AQ21" s="26">
        <v>3.5</v>
      </c>
      <c r="AR21" s="26">
        <v>3.5</v>
      </c>
      <c r="AS21" s="32">
        <v>1</v>
      </c>
      <c r="AT21" s="34">
        <v>1</v>
      </c>
      <c r="AV21" s="8"/>
      <c r="AW21" s="9" t="s">
        <v>294</v>
      </c>
      <c r="AX21" s="53" t="s">
        <v>83</v>
      </c>
      <c r="AY21" s="26">
        <v>0</v>
      </c>
    </row>
    <row r="22" spans="2:51" x14ac:dyDescent="0.3">
      <c r="B22" s="8"/>
      <c r="C22" s="2" t="s">
        <v>718</v>
      </c>
      <c r="D22" s="26">
        <v>0</v>
      </c>
      <c r="E22" s="26">
        <v>0</v>
      </c>
      <c r="F22" s="27">
        <v>0</v>
      </c>
      <c r="G22" s="26">
        <v>0</v>
      </c>
      <c r="H22" s="26">
        <v>0</v>
      </c>
      <c r="I22" s="27">
        <v>0</v>
      </c>
      <c r="J22" s="26">
        <v>0</v>
      </c>
      <c r="K22" s="26">
        <v>0</v>
      </c>
      <c r="L22" s="67">
        <v>1</v>
      </c>
      <c r="N22" s="8"/>
      <c r="O22" s="2" t="s">
        <v>654</v>
      </c>
      <c r="P22" s="26">
        <v>1</v>
      </c>
      <c r="Q22" s="27">
        <v>0</v>
      </c>
      <c r="R22" s="30">
        <v>0</v>
      </c>
      <c r="S22" s="27">
        <v>0</v>
      </c>
      <c r="T22" s="30">
        <v>0</v>
      </c>
      <c r="U22" s="34">
        <v>1</v>
      </c>
      <c r="V22" s="34">
        <v>1</v>
      </c>
      <c r="X22" s="8"/>
      <c r="Y22" s="2"/>
      <c r="Z22" s="26"/>
      <c r="AA22" s="26"/>
      <c r="AB22" s="26"/>
      <c r="AC22" s="26"/>
      <c r="AD22" s="27"/>
      <c r="AE22" s="30"/>
      <c r="AF22" s="26"/>
      <c r="AG22" s="26"/>
      <c r="AH22" s="32"/>
      <c r="AJ22" s="8"/>
      <c r="AK22" s="2" t="s">
        <v>998</v>
      </c>
      <c r="AL22" s="26">
        <v>2</v>
      </c>
      <c r="AM22" s="26">
        <v>0</v>
      </c>
      <c r="AN22" s="26">
        <v>0</v>
      </c>
      <c r="AO22" s="27">
        <v>0</v>
      </c>
      <c r="AP22" s="30">
        <v>0</v>
      </c>
      <c r="AQ22" s="26">
        <v>3.5</v>
      </c>
      <c r="AR22" s="26">
        <v>3.5</v>
      </c>
      <c r="AS22" s="32">
        <v>1</v>
      </c>
      <c r="AT22" s="34">
        <v>1</v>
      </c>
      <c r="AV22" s="8"/>
      <c r="AW22" s="9" t="s">
        <v>295</v>
      </c>
      <c r="AX22" s="53" t="s">
        <v>622</v>
      </c>
      <c r="AY22" s="26">
        <v>0</v>
      </c>
    </row>
    <row r="23" spans="2:51" x14ac:dyDescent="0.3">
      <c r="B23" s="8"/>
      <c r="C23" s="2" t="s">
        <v>719</v>
      </c>
      <c r="D23" s="26">
        <v>0</v>
      </c>
      <c r="E23" s="26">
        <v>0</v>
      </c>
      <c r="F23" s="27">
        <v>0</v>
      </c>
      <c r="G23" s="26">
        <v>0</v>
      </c>
      <c r="H23" s="26">
        <v>0</v>
      </c>
      <c r="I23" s="27">
        <v>0</v>
      </c>
      <c r="J23" s="26">
        <v>0</v>
      </c>
      <c r="K23" s="26">
        <v>0</v>
      </c>
      <c r="L23" s="67">
        <v>1</v>
      </c>
      <c r="N23" s="8"/>
      <c r="O23" s="2" t="s">
        <v>655</v>
      </c>
      <c r="P23" s="26">
        <v>1</v>
      </c>
      <c r="Q23" s="27">
        <v>0</v>
      </c>
      <c r="R23" s="30">
        <v>0</v>
      </c>
      <c r="S23" s="27">
        <v>0</v>
      </c>
      <c r="T23" s="30">
        <v>2</v>
      </c>
      <c r="U23" s="34">
        <v>1</v>
      </c>
      <c r="V23" s="34">
        <v>1</v>
      </c>
      <c r="X23" s="8"/>
      <c r="Y23" s="2"/>
      <c r="Z23" s="26"/>
      <c r="AA23" s="26"/>
      <c r="AB23" s="26"/>
      <c r="AC23" s="26"/>
      <c r="AD23" s="27"/>
      <c r="AE23" s="30"/>
      <c r="AF23" s="26"/>
      <c r="AG23" s="26"/>
      <c r="AH23" s="32"/>
      <c r="AJ23" s="8"/>
      <c r="AK23" s="2" t="s">
        <v>999</v>
      </c>
      <c r="AL23" s="26">
        <v>2</v>
      </c>
      <c r="AM23" s="26">
        <v>0</v>
      </c>
      <c r="AN23" s="26">
        <v>0</v>
      </c>
      <c r="AO23" s="27">
        <v>0</v>
      </c>
      <c r="AP23" s="30">
        <v>0</v>
      </c>
      <c r="AQ23" s="26">
        <v>3.5</v>
      </c>
      <c r="AR23" s="26">
        <v>3.5</v>
      </c>
      <c r="AS23" s="32">
        <v>1</v>
      </c>
      <c r="AT23" s="34">
        <v>1</v>
      </c>
      <c r="AV23" s="8"/>
      <c r="AW23" s="9" t="s">
        <v>647</v>
      </c>
      <c r="AX23" s="53" t="s">
        <v>648</v>
      </c>
      <c r="AY23" s="26">
        <v>5</v>
      </c>
    </row>
    <row r="24" spans="2:51" x14ac:dyDescent="0.3">
      <c r="B24" s="8"/>
      <c r="C24" s="2" t="s">
        <v>720</v>
      </c>
      <c r="D24" s="26">
        <v>0</v>
      </c>
      <c r="E24" s="26">
        <v>0</v>
      </c>
      <c r="F24" s="27">
        <v>0</v>
      </c>
      <c r="G24" s="26">
        <v>0</v>
      </c>
      <c r="H24" s="26">
        <v>0</v>
      </c>
      <c r="I24" s="27">
        <v>0</v>
      </c>
      <c r="J24" s="26">
        <v>0</v>
      </c>
      <c r="K24" s="26">
        <v>0</v>
      </c>
      <c r="L24" s="67">
        <v>1</v>
      </c>
      <c r="N24" s="8"/>
      <c r="O24" s="2" t="s">
        <v>656</v>
      </c>
      <c r="P24" s="26">
        <v>1</v>
      </c>
      <c r="Q24" s="27">
        <v>0</v>
      </c>
      <c r="R24" s="30">
        <v>0</v>
      </c>
      <c r="S24" s="27">
        <v>0</v>
      </c>
      <c r="T24" s="30">
        <v>2</v>
      </c>
      <c r="U24" s="34">
        <v>1</v>
      </c>
      <c r="V24" s="34">
        <v>1</v>
      </c>
      <c r="X24" s="8"/>
      <c r="Y24" s="2"/>
      <c r="Z24" s="26"/>
      <c r="AA24" s="26"/>
      <c r="AB24" s="26"/>
      <c r="AC24" s="26"/>
      <c r="AD24" s="27"/>
      <c r="AE24" s="30"/>
      <c r="AF24" s="26"/>
      <c r="AG24" s="26"/>
      <c r="AH24" s="32"/>
      <c r="AJ24" s="8"/>
      <c r="AK24" s="2" t="s">
        <v>1000</v>
      </c>
      <c r="AL24" s="26">
        <v>2</v>
      </c>
      <c r="AM24" s="26">
        <v>0</v>
      </c>
      <c r="AN24" s="26">
        <v>0</v>
      </c>
      <c r="AO24" s="27">
        <v>0</v>
      </c>
      <c r="AP24" s="30">
        <v>0</v>
      </c>
      <c r="AQ24" s="26">
        <v>3.5</v>
      </c>
      <c r="AR24" s="26">
        <v>3.5</v>
      </c>
      <c r="AS24" s="32">
        <v>1</v>
      </c>
      <c r="AT24" s="34">
        <v>1</v>
      </c>
      <c r="AV24" s="8"/>
    </row>
    <row r="25" spans="2:51" x14ac:dyDescent="0.3">
      <c r="B25" s="8"/>
      <c r="C25" s="2" t="s">
        <v>721</v>
      </c>
      <c r="D25" s="26">
        <v>0</v>
      </c>
      <c r="E25" s="26">
        <v>0</v>
      </c>
      <c r="F25" s="27">
        <v>0</v>
      </c>
      <c r="G25" s="26">
        <v>0</v>
      </c>
      <c r="H25" s="26">
        <v>0</v>
      </c>
      <c r="I25" s="27">
        <v>0</v>
      </c>
      <c r="J25" s="26">
        <v>0</v>
      </c>
      <c r="K25" s="26">
        <v>0</v>
      </c>
      <c r="L25" s="67">
        <v>1</v>
      </c>
      <c r="N25" s="8"/>
      <c r="O25" s="2" t="s">
        <v>657</v>
      </c>
      <c r="P25" s="26">
        <v>1</v>
      </c>
      <c r="Q25" s="27">
        <v>0</v>
      </c>
      <c r="R25" s="30">
        <v>0</v>
      </c>
      <c r="S25" s="27">
        <v>0</v>
      </c>
      <c r="T25" s="30">
        <v>2</v>
      </c>
      <c r="U25" s="34">
        <v>1</v>
      </c>
      <c r="V25" s="34">
        <v>1</v>
      </c>
      <c r="X25" s="8"/>
      <c r="Y25" s="2"/>
      <c r="Z25" s="26"/>
      <c r="AA25" s="26"/>
      <c r="AB25" s="26"/>
      <c r="AC25" s="26"/>
      <c r="AD25" s="27"/>
      <c r="AE25" s="30"/>
      <c r="AF25" s="26"/>
      <c r="AG25" s="26"/>
      <c r="AH25" s="32"/>
      <c r="AJ25" s="8"/>
      <c r="AK25" s="2" t="s">
        <v>1001</v>
      </c>
      <c r="AL25" s="26">
        <v>2</v>
      </c>
      <c r="AM25" s="26">
        <v>0</v>
      </c>
      <c r="AN25" s="26">
        <v>0</v>
      </c>
      <c r="AO25" s="27">
        <v>0</v>
      </c>
      <c r="AP25" s="30">
        <v>0</v>
      </c>
      <c r="AQ25" s="26">
        <v>3.5</v>
      </c>
      <c r="AR25" s="26">
        <v>3.5</v>
      </c>
      <c r="AS25" s="32">
        <v>1</v>
      </c>
      <c r="AT25" s="34">
        <v>1</v>
      </c>
      <c r="AV25" s="22"/>
      <c r="AW25" s="22"/>
      <c r="AX25" s="22"/>
      <c r="AY25" s="22"/>
    </row>
    <row r="26" spans="2:51" x14ac:dyDescent="0.3">
      <c r="B26" s="8"/>
      <c r="C26" s="2" t="s">
        <v>979</v>
      </c>
      <c r="D26" s="26">
        <v>0</v>
      </c>
      <c r="E26" s="26">
        <v>0</v>
      </c>
      <c r="F26" s="27">
        <v>0</v>
      </c>
      <c r="G26" s="26">
        <v>0</v>
      </c>
      <c r="H26" s="26">
        <v>0</v>
      </c>
      <c r="I26" s="27">
        <v>0</v>
      </c>
      <c r="J26" s="26">
        <v>0</v>
      </c>
      <c r="K26" s="26">
        <v>0</v>
      </c>
      <c r="L26" s="67">
        <v>1</v>
      </c>
      <c r="N26" s="8"/>
      <c r="O26" s="2" t="s">
        <v>949</v>
      </c>
      <c r="P26" s="26">
        <v>1</v>
      </c>
      <c r="Q26" s="27">
        <v>0</v>
      </c>
      <c r="R26" s="30">
        <v>0</v>
      </c>
      <c r="S26" s="27">
        <v>0</v>
      </c>
      <c r="T26" s="30">
        <v>2</v>
      </c>
      <c r="U26" s="34">
        <v>1</v>
      </c>
      <c r="V26" s="34">
        <v>1</v>
      </c>
      <c r="X26" s="8"/>
      <c r="Y26" s="2"/>
      <c r="Z26" s="26"/>
      <c r="AA26" s="26"/>
      <c r="AB26" s="26"/>
      <c r="AC26" s="26"/>
      <c r="AD26" s="27"/>
      <c r="AE26" s="30"/>
      <c r="AF26" s="26"/>
      <c r="AG26" s="26"/>
      <c r="AH26" s="32"/>
      <c r="AJ26" s="8"/>
      <c r="AK26" s="2" t="s">
        <v>1002</v>
      </c>
      <c r="AL26" s="26">
        <v>2</v>
      </c>
      <c r="AM26" s="26">
        <v>0</v>
      </c>
      <c r="AN26" s="26">
        <v>0</v>
      </c>
      <c r="AO26" s="27">
        <v>0</v>
      </c>
      <c r="AP26" s="30">
        <v>0</v>
      </c>
      <c r="AQ26" s="26">
        <v>3.5</v>
      </c>
      <c r="AR26" s="26">
        <v>3.5</v>
      </c>
      <c r="AS26" s="32">
        <v>1</v>
      </c>
      <c r="AT26" s="34">
        <v>1</v>
      </c>
    </row>
    <row r="27" spans="2:51" x14ac:dyDescent="0.3">
      <c r="B27" s="8"/>
      <c r="C27" s="2" t="s">
        <v>772</v>
      </c>
      <c r="D27" s="26">
        <v>0</v>
      </c>
      <c r="E27" s="26">
        <v>0</v>
      </c>
      <c r="F27" s="27">
        <v>0</v>
      </c>
      <c r="G27" s="26">
        <v>0</v>
      </c>
      <c r="H27" s="26">
        <v>0</v>
      </c>
      <c r="I27" s="27">
        <v>0</v>
      </c>
      <c r="J27" s="26">
        <v>0</v>
      </c>
      <c r="K27" s="26">
        <v>0</v>
      </c>
      <c r="L27" s="67">
        <v>1</v>
      </c>
      <c r="N27" s="8"/>
      <c r="O27" s="2" t="s">
        <v>815</v>
      </c>
      <c r="P27" s="26">
        <v>1</v>
      </c>
      <c r="Q27" s="27">
        <v>0</v>
      </c>
      <c r="R27" s="30">
        <v>0</v>
      </c>
      <c r="S27" s="27">
        <v>0</v>
      </c>
      <c r="T27" s="30">
        <v>2</v>
      </c>
      <c r="U27" s="34">
        <v>1</v>
      </c>
      <c r="V27" s="34">
        <v>1</v>
      </c>
      <c r="X27" s="8"/>
      <c r="Y27" s="2"/>
      <c r="Z27" s="26"/>
      <c r="AA27" s="26"/>
      <c r="AB27" s="26"/>
      <c r="AC27" s="26"/>
      <c r="AD27" s="27"/>
      <c r="AE27" s="30"/>
      <c r="AF27" s="26"/>
      <c r="AG27" s="26"/>
      <c r="AH27" s="32"/>
      <c r="AJ27" s="8"/>
      <c r="AK27" s="2" t="s">
        <v>1003</v>
      </c>
      <c r="AL27" s="26">
        <v>2</v>
      </c>
      <c r="AM27" s="26">
        <v>0</v>
      </c>
      <c r="AN27" s="26">
        <v>0</v>
      </c>
      <c r="AO27" s="27">
        <v>0</v>
      </c>
      <c r="AP27" s="30">
        <v>0</v>
      </c>
      <c r="AQ27" s="26">
        <v>3.5</v>
      </c>
      <c r="AR27" s="26">
        <v>3.5</v>
      </c>
      <c r="AS27" s="32">
        <v>1</v>
      </c>
      <c r="AT27" s="34">
        <v>1</v>
      </c>
    </row>
    <row r="28" spans="2:51" x14ac:dyDescent="0.3">
      <c r="B28" s="8"/>
      <c r="C28" s="2" t="s">
        <v>773</v>
      </c>
      <c r="D28" s="26">
        <v>0</v>
      </c>
      <c r="E28" s="26">
        <v>0</v>
      </c>
      <c r="F28" s="27">
        <v>0</v>
      </c>
      <c r="G28" s="26">
        <v>0</v>
      </c>
      <c r="H28" s="26">
        <v>0</v>
      </c>
      <c r="I28" s="27">
        <v>0</v>
      </c>
      <c r="J28" s="26">
        <v>0</v>
      </c>
      <c r="K28" s="26">
        <v>0</v>
      </c>
      <c r="L28" s="67">
        <v>1</v>
      </c>
      <c r="N28" s="8"/>
      <c r="O28" s="2" t="s">
        <v>816</v>
      </c>
      <c r="P28" s="26">
        <v>1</v>
      </c>
      <c r="Q28" s="27">
        <v>0</v>
      </c>
      <c r="R28" s="30">
        <v>0</v>
      </c>
      <c r="S28" s="27">
        <v>0</v>
      </c>
      <c r="T28" s="30">
        <v>2</v>
      </c>
      <c r="U28" s="34">
        <v>1</v>
      </c>
      <c r="V28" s="34">
        <v>1</v>
      </c>
      <c r="X28" s="8"/>
      <c r="Y28" s="2"/>
      <c r="Z28" s="26"/>
      <c r="AA28" s="26"/>
      <c r="AB28" s="26"/>
      <c r="AC28" s="26"/>
      <c r="AD28" s="27"/>
      <c r="AE28" s="30"/>
      <c r="AF28" s="26"/>
      <c r="AG28" s="26"/>
      <c r="AH28" s="32"/>
      <c r="AJ28" s="8"/>
      <c r="AK28" s="2" t="s">
        <v>1004</v>
      </c>
      <c r="AL28" s="26">
        <v>2</v>
      </c>
      <c r="AM28" s="26">
        <v>0</v>
      </c>
      <c r="AN28" s="26">
        <v>0</v>
      </c>
      <c r="AO28" s="27">
        <v>0</v>
      </c>
      <c r="AP28" s="30">
        <v>0</v>
      </c>
      <c r="AQ28" s="26">
        <v>3.5</v>
      </c>
      <c r="AR28" s="26">
        <v>3.5</v>
      </c>
      <c r="AS28" s="32">
        <v>1</v>
      </c>
      <c r="AT28" s="34">
        <v>1</v>
      </c>
    </row>
    <row r="29" spans="2:51" x14ac:dyDescent="0.3">
      <c r="B29" s="8"/>
      <c r="C29" s="2" t="s">
        <v>722</v>
      </c>
      <c r="D29" s="26">
        <v>0</v>
      </c>
      <c r="E29" s="26">
        <v>0</v>
      </c>
      <c r="F29" s="27">
        <v>0</v>
      </c>
      <c r="G29" s="26">
        <v>0</v>
      </c>
      <c r="H29" s="26">
        <v>0</v>
      </c>
      <c r="I29" s="27">
        <v>0</v>
      </c>
      <c r="J29" s="26">
        <v>0</v>
      </c>
      <c r="K29" s="26">
        <v>0</v>
      </c>
      <c r="L29" s="67">
        <v>1</v>
      </c>
      <c r="N29" s="8"/>
      <c r="O29" s="2" t="s">
        <v>658</v>
      </c>
      <c r="P29" s="26">
        <v>1</v>
      </c>
      <c r="Q29" s="27">
        <v>0</v>
      </c>
      <c r="R29" s="30">
        <v>0</v>
      </c>
      <c r="S29" s="27">
        <v>0</v>
      </c>
      <c r="T29" s="30">
        <v>2</v>
      </c>
      <c r="U29" s="34">
        <v>1</v>
      </c>
      <c r="V29" s="34">
        <v>1</v>
      </c>
      <c r="X29" s="8"/>
      <c r="Y29" s="2"/>
      <c r="Z29" s="26"/>
      <c r="AA29" s="26"/>
      <c r="AB29" s="26"/>
      <c r="AC29" s="26"/>
      <c r="AD29" s="27"/>
      <c r="AE29" s="30"/>
      <c r="AF29" s="26"/>
      <c r="AG29" s="26"/>
      <c r="AH29" s="32"/>
      <c r="AJ29" s="8"/>
      <c r="AK29" s="2"/>
      <c r="AL29" s="26"/>
      <c r="AM29" s="26"/>
      <c r="AN29" s="26"/>
      <c r="AO29" s="27"/>
      <c r="AP29" s="30"/>
      <c r="AQ29" s="26"/>
      <c r="AR29" s="26"/>
      <c r="AS29" s="32"/>
      <c r="AT29" s="34"/>
    </row>
    <row r="30" spans="2:51" x14ac:dyDescent="0.3">
      <c r="B30" s="8"/>
      <c r="C30" s="2" t="s">
        <v>774</v>
      </c>
      <c r="D30" s="26">
        <v>0</v>
      </c>
      <c r="E30" s="26">
        <v>0</v>
      </c>
      <c r="F30" s="27">
        <v>0</v>
      </c>
      <c r="G30" s="26">
        <v>0</v>
      </c>
      <c r="H30" s="26">
        <v>0</v>
      </c>
      <c r="I30" s="27">
        <v>0</v>
      </c>
      <c r="J30" s="26">
        <v>0</v>
      </c>
      <c r="K30" s="26">
        <v>0</v>
      </c>
      <c r="L30" s="67">
        <v>1</v>
      </c>
      <c r="N30" s="8"/>
      <c r="O30" s="2" t="s">
        <v>817</v>
      </c>
      <c r="P30" s="26">
        <v>1</v>
      </c>
      <c r="Q30" s="27">
        <v>0</v>
      </c>
      <c r="R30" s="30">
        <v>0</v>
      </c>
      <c r="S30" s="27">
        <v>0</v>
      </c>
      <c r="T30" s="30">
        <v>2</v>
      </c>
      <c r="U30" s="34">
        <v>1</v>
      </c>
      <c r="V30" s="34">
        <v>1</v>
      </c>
      <c r="X30" s="8"/>
      <c r="Y30" s="2"/>
      <c r="Z30" s="26"/>
      <c r="AA30" s="26"/>
      <c r="AB30" s="26"/>
      <c r="AC30" s="26"/>
      <c r="AD30" s="27"/>
      <c r="AE30" s="30"/>
      <c r="AF30" s="26"/>
      <c r="AG30" s="26"/>
      <c r="AH30" s="32"/>
      <c r="AJ30" s="8"/>
      <c r="AK30" s="2"/>
      <c r="AL30" s="26"/>
      <c r="AM30" s="26"/>
      <c r="AN30" s="26"/>
      <c r="AO30" s="27"/>
      <c r="AP30" s="30"/>
      <c r="AQ30" s="26"/>
      <c r="AR30" s="26"/>
      <c r="AS30" s="32"/>
      <c r="AT30" s="34"/>
    </row>
    <row r="31" spans="2:51" x14ac:dyDescent="0.3">
      <c r="B31" s="8"/>
      <c r="C31" s="2" t="s">
        <v>723</v>
      </c>
      <c r="D31" s="26">
        <v>0</v>
      </c>
      <c r="E31" s="26">
        <v>0</v>
      </c>
      <c r="F31" s="27">
        <v>0</v>
      </c>
      <c r="G31" s="26">
        <v>0</v>
      </c>
      <c r="H31" s="26">
        <v>0</v>
      </c>
      <c r="I31" s="27">
        <v>0</v>
      </c>
      <c r="J31" s="26">
        <v>0</v>
      </c>
      <c r="K31" s="26">
        <v>0</v>
      </c>
      <c r="L31" s="67">
        <v>1</v>
      </c>
      <c r="N31" s="8"/>
      <c r="O31" s="2" t="s">
        <v>659</v>
      </c>
      <c r="P31" s="26">
        <v>1</v>
      </c>
      <c r="Q31" s="27">
        <v>0</v>
      </c>
      <c r="R31" s="30">
        <v>0</v>
      </c>
      <c r="S31" s="27">
        <v>0</v>
      </c>
      <c r="T31" s="30">
        <v>2</v>
      </c>
      <c r="U31" s="34">
        <v>1</v>
      </c>
      <c r="V31" s="34">
        <v>1</v>
      </c>
      <c r="X31" s="8"/>
      <c r="Y31" s="2"/>
      <c r="Z31" s="26"/>
      <c r="AA31" s="26"/>
      <c r="AB31" s="26"/>
      <c r="AC31" s="26"/>
      <c r="AD31" s="27"/>
      <c r="AE31" s="30"/>
      <c r="AF31" s="26"/>
      <c r="AG31" s="26"/>
      <c r="AH31" s="32"/>
      <c r="AJ31" s="8"/>
      <c r="AK31" s="2"/>
      <c r="AL31" s="26"/>
      <c r="AM31" s="26"/>
      <c r="AN31" s="26"/>
      <c r="AO31" s="27"/>
      <c r="AP31" s="30"/>
      <c r="AQ31" s="26"/>
      <c r="AR31" s="26"/>
      <c r="AS31" s="32"/>
      <c r="AT31" s="34"/>
    </row>
    <row r="32" spans="2:51" x14ac:dyDescent="0.3">
      <c r="B32" s="8"/>
      <c r="C32" s="2" t="s">
        <v>775</v>
      </c>
      <c r="D32" s="26">
        <v>0</v>
      </c>
      <c r="E32" s="26">
        <v>0</v>
      </c>
      <c r="F32" s="27">
        <v>0</v>
      </c>
      <c r="G32" s="26">
        <v>0</v>
      </c>
      <c r="H32" s="26">
        <v>0</v>
      </c>
      <c r="I32" s="27">
        <v>0</v>
      </c>
      <c r="J32" s="26">
        <v>0</v>
      </c>
      <c r="K32" s="26">
        <v>0</v>
      </c>
      <c r="L32" s="67">
        <v>1</v>
      </c>
      <c r="N32" s="8"/>
      <c r="O32" s="2" t="s">
        <v>818</v>
      </c>
      <c r="P32" s="26">
        <v>1</v>
      </c>
      <c r="Q32" s="27">
        <v>0</v>
      </c>
      <c r="R32" s="30">
        <v>0</v>
      </c>
      <c r="S32" s="27">
        <v>0</v>
      </c>
      <c r="T32" s="30">
        <v>2</v>
      </c>
      <c r="U32" s="34">
        <v>1</v>
      </c>
      <c r="V32" s="34">
        <v>1</v>
      </c>
      <c r="X32" s="8"/>
      <c r="Y32" s="2"/>
      <c r="Z32" s="26"/>
      <c r="AA32" s="26"/>
      <c r="AB32" s="26"/>
      <c r="AC32" s="26"/>
      <c r="AD32" s="27"/>
      <c r="AE32" s="30"/>
      <c r="AF32" s="26"/>
      <c r="AG32" s="26"/>
      <c r="AH32" s="32"/>
      <c r="AJ32" s="8"/>
      <c r="AK32" s="2"/>
      <c r="AL32" s="26"/>
      <c r="AM32" s="26"/>
      <c r="AN32" s="26"/>
      <c r="AO32" s="27"/>
      <c r="AP32" s="30"/>
      <c r="AQ32" s="26"/>
      <c r="AR32" s="26"/>
      <c r="AS32" s="32"/>
      <c r="AT32" s="34"/>
    </row>
    <row r="33" spans="2:46" x14ac:dyDescent="0.3">
      <c r="B33" s="8"/>
      <c r="C33" s="2" t="s">
        <v>776</v>
      </c>
      <c r="D33" s="26">
        <v>0</v>
      </c>
      <c r="E33" s="26">
        <v>0</v>
      </c>
      <c r="F33" s="27">
        <v>0</v>
      </c>
      <c r="G33" s="26">
        <v>0</v>
      </c>
      <c r="H33" s="26">
        <v>0</v>
      </c>
      <c r="I33" s="27">
        <v>0</v>
      </c>
      <c r="J33" s="26">
        <v>0</v>
      </c>
      <c r="K33" s="26">
        <v>0</v>
      </c>
      <c r="L33" s="67">
        <v>1</v>
      </c>
      <c r="N33" s="8"/>
      <c r="O33" s="2" t="s">
        <v>819</v>
      </c>
      <c r="P33" s="26">
        <v>1</v>
      </c>
      <c r="Q33" s="27">
        <v>0</v>
      </c>
      <c r="R33" s="30">
        <v>0</v>
      </c>
      <c r="S33" s="27">
        <v>0</v>
      </c>
      <c r="T33" s="30">
        <v>2</v>
      </c>
      <c r="U33" s="34">
        <v>1</v>
      </c>
      <c r="V33" s="34">
        <v>1</v>
      </c>
      <c r="X33" s="8"/>
      <c r="Y33" s="2"/>
      <c r="Z33" s="26"/>
      <c r="AA33" s="26"/>
      <c r="AB33" s="26"/>
      <c r="AC33" s="26"/>
      <c r="AD33" s="27"/>
      <c r="AE33" s="30"/>
      <c r="AF33" s="26"/>
      <c r="AG33" s="26"/>
      <c r="AH33" s="32"/>
      <c r="AJ33" s="8"/>
      <c r="AK33" s="2"/>
      <c r="AL33" s="26"/>
      <c r="AM33" s="26"/>
      <c r="AN33" s="26"/>
      <c r="AO33" s="27"/>
      <c r="AP33" s="30"/>
      <c r="AQ33" s="26"/>
      <c r="AR33" s="26"/>
      <c r="AS33" s="32"/>
      <c r="AT33" s="34"/>
    </row>
    <row r="34" spans="2:46" x14ac:dyDescent="0.3">
      <c r="B34" s="8"/>
      <c r="C34" s="2" t="s">
        <v>777</v>
      </c>
      <c r="D34" s="26">
        <v>0</v>
      </c>
      <c r="E34" s="26">
        <v>0</v>
      </c>
      <c r="F34" s="27">
        <v>0</v>
      </c>
      <c r="G34" s="26">
        <v>0</v>
      </c>
      <c r="H34" s="26">
        <v>0</v>
      </c>
      <c r="I34" s="27">
        <v>0</v>
      </c>
      <c r="J34" s="26">
        <v>0</v>
      </c>
      <c r="K34" s="26">
        <v>0</v>
      </c>
      <c r="L34" s="67">
        <v>1</v>
      </c>
      <c r="N34" s="8"/>
      <c r="O34" s="2" t="s">
        <v>820</v>
      </c>
      <c r="P34" s="26">
        <v>1</v>
      </c>
      <c r="Q34" s="27">
        <v>0</v>
      </c>
      <c r="R34" s="30">
        <v>0</v>
      </c>
      <c r="S34" s="27">
        <v>0</v>
      </c>
      <c r="T34" s="30">
        <v>2</v>
      </c>
      <c r="U34" s="34">
        <v>1</v>
      </c>
      <c r="V34" s="34">
        <v>1</v>
      </c>
      <c r="X34" s="8"/>
      <c r="Y34" s="2"/>
      <c r="Z34" s="26"/>
      <c r="AA34" s="26"/>
      <c r="AB34" s="26"/>
      <c r="AC34" s="26"/>
      <c r="AD34" s="27"/>
      <c r="AE34" s="30"/>
      <c r="AF34" s="26"/>
      <c r="AG34" s="26"/>
      <c r="AH34" s="32"/>
      <c r="AJ34" s="8"/>
      <c r="AK34" s="2"/>
      <c r="AL34" s="26"/>
      <c r="AM34" s="26"/>
      <c r="AN34" s="26"/>
      <c r="AO34" s="27"/>
      <c r="AP34" s="30"/>
      <c r="AQ34" s="26"/>
      <c r="AR34" s="26"/>
      <c r="AS34" s="32"/>
      <c r="AT34" s="34"/>
    </row>
    <row r="35" spans="2:46" x14ac:dyDescent="0.3">
      <c r="B35" s="8"/>
      <c r="C35" s="2" t="s">
        <v>724</v>
      </c>
      <c r="D35" s="26">
        <v>0</v>
      </c>
      <c r="E35" s="26">
        <v>0</v>
      </c>
      <c r="F35" s="27">
        <v>0</v>
      </c>
      <c r="G35" s="26">
        <v>0</v>
      </c>
      <c r="H35" s="26">
        <v>0</v>
      </c>
      <c r="I35" s="27">
        <v>0</v>
      </c>
      <c r="J35" s="26">
        <v>0</v>
      </c>
      <c r="K35" s="26">
        <v>0</v>
      </c>
      <c r="L35" s="67">
        <v>1</v>
      </c>
      <c r="N35" s="8"/>
      <c r="O35" s="2" t="s">
        <v>660</v>
      </c>
      <c r="P35" s="26">
        <v>1</v>
      </c>
      <c r="Q35" s="27">
        <v>0</v>
      </c>
      <c r="R35" s="30">
        <v>0</v>
      </c>
      <c r="S35" s="27">
        <v>0</v>
      </c>
      <c r="T35" s="30">
        <v>2</v>
      </c>
      <c r="U35" s="34">
        <v>1</v>
      </c>
      <c r="V35" s="34">
        <v>1</v>
      </c>
      <c r="X35" s="8"/>
      <c r="Y35" s="2"/>
      <c r="Z35" s="26"/>
      <c r="AA35" s="26"/>
      <c r="AB35" s="26"/>
      <c r="AC35" s="26"/>
      <c r="AD35" s="27"/>
      <c r="AE35" s="30"/>
      <c r="AF35" s="26"/>
      <c r="AG35" s="26"/>
      <c r="AH35" s="32"/>
      <c r="AJ35" s="8"/>
      <c r="AK35" s="2"/>
      <c r="AL35" s="26"/>
      <c r="AM35" s="26"/>
      <c r="AN35" s="26"/>
      <c r="AO35" s="27"/>
      <c r="AP35" s="30"/>
      <c r="AQ35" s="26"/>
      <c r="AR35" s="26"/>
      <c r="AS35" s="32"/>
      <c r="AT35" s="34"/>
    </row>
    <row r="36" spans="2:46" x14ac:dyDescent="0.3">
      <c r="B36" s="8"/>
      <c r="C36" s="2" t="s">
        <v>725</v>
      </c>
      <c r="D36" s="26">
        <v>0</v>
      </c>
      <c r="E36" s="26">
        <v>0</v>
      </c>
      <c r="F36" s="27">
        <v>0</v>
      </c>
      <c r="G36" s="26">
        <v>0</v>
      </c>
      <c r="H36" s="26">
        <v>0</v>
      </c>
      <c r="I36" s="27">
        <v>0</v>
      </c>
      <c r="J36" s="26">
        <v>0</v>
      </c>
      <c r="K36" s="26">
        <v>0</v>
      </c>
      <c r="L36" s="67">
        <v>1</v>
      </c>
      <c r="N36" s="8"/>
      <c r="O36" s="2" t="s">
        <v>661</v>
      </c>
      <c r="P36" s="26">
        <v>1</v>
      </c>
      <c r="Q36" s="27">
        <v>0</v>
      </c>
      <c r="R36" s="30">
        <v>0</v>
      </c>
      <c r="S36" s="27">
        <v>0</v>
      </c>
      <c r="T36" s="30">
        <v>0</v>
      </c>
      <c r="U36" s="34">
        <v>1</v>
      </c>
      <c r="V36" s="34">
        <v>1</v>
      </c>
      <c r="X36" s="8"/>
      <c r="Y36" s="2"/>
      <c r="Z36" s="26"/>
      <c r="AA36" s="26"/>
      <c r="AB36" s="26"/>
      <c r="AC36" s="26"/>
      <c r="AD36" s="27"/>
      <c r="AE36" s="30"/>
      <c r="AF36" s="26"/>
      <c r="AG36" s="26"/>
      <c r="AH36" s="32"/>
      <c r="AJ36" s="8"/>
      <c r="AK36" s="2"/>
      <c r="AL36" s="26"/>
      <c r="AM36" s="26"/>
      <c r="AN36" s="26"/>
      <c r="AO36" s="27"/>
      <c r="AP36" s="30"/>
      <c r="AQ36" s="26"/>
      <c r="AR36" s="26"/>
      <c r="AS36" s="32"/>
      <c r="AT36" s="34"/>
    </row>
    <row r="37" spans="2:46" x14ac:dyDescent="0.3">
      <c r="B37" s="8"/>
      <c r="C37" s="2" t="s">
        <v>778</v>
      </c>
      <c r="D37" s="26">
        <v>0</v>
      </c>
      <c r="E37" s="26">
        <v>0</v>
      </c>
      <c r="F37" s="27">
        <v>0</v>
      </c>
      <c r="G37" s="26">
        <v>0</v>
      </c>
      <c r="H37" s="26">
        <v>0</v>
      </c>
      <c r="I37" s="27">
        <v>0</v>
      </c>
      <c r="J37" s="26">
        <v>0</v>
      </c>
      <c r="K37" s="26">
        <v>0</v>
      </c>
      <c r="L37" s="67">
        <v>1</v>
      </c>
      <c r="N37" s="8"/>
      <c r="O37" s="2" t="s">
        <v>821</v>
      </c>
      <c r="P37" s="26">
        <v>1</v>
      </c>
      <c r="Q37" s="27">
        <v>0</v>
      </c>
      <c r="R37" s="30">
        <v>0</v>
      </c>
      <c r="S37" s="27">
        <v>0</v>
      </c>
      <c r="T37" s="30">
        <v>0</v>
      </c>
      <c r="U37" s="34">
        <v>1</v>
      </c>
      <c r="V37" s="34">
        <v>1</v>
      </c>
      <c r="X37" s="8"/>
      <c r="Y37" s="2"/>
      <c r="Z37" s="26"/>
      <c r="AA37" s="26"/>
      <c r="AB37" s="26"/>
      <c r="AC37" s="26"/>
      <c r="AD37" s="27"/>
      <c r="AE37" s="30"/>
      <c r="AF37" s="26"/>
      <c r="AG37" s="26"/>
      <c r="AH37" s="32"/>
      <c r="AJ37" s="8"/>
      <c r="AK37" s="2"/>
      <c r="AL37" s="26"/>
      <c r="AM37" s="26"/>
      <c r="AN37" s="26"/>
      <c r="AO37" s="27"/>
      <c r="AP37" s="30"/>
      <c r="AQ37" s="26"/>
      <c r="AR37" s="26"/>
      <c r="AS37" s="32"/>
      <c r="AT37" s="34"/>
    </row>
    <row r="38" spans="2:46" x14ac:dyDescent="0.3">
      <c r="B38" s="8"/>
      <c r="C38" s="2" t="s">
        <v>726</v>
      </c>
      <c r="D38" s="26">
        <v>0</v>
      </c>
      <c r="E38" s="26">
        <v>0</v>
      </c>
      <c r="F38" s="27">
        <v>0</v>
      </c>
      <c r="G38" s="26">
        <v>0</v>
      </c>
      <c r="H38" s="26">
        <v>0</v>
      </c>
      <c r="I38" s="27">
        <v>0</v>
      </c>
      <c r="J38" s="26">
        <v>0</v>
      </c>
      <c r="K38" s="26">
        <v>0</v>
      </c>
      <c r="L38" s="67">
        <v>1</v>
      </c>
      <c r="N38" s="8"/>
      <c r="O38" s="2" t="s">
        <v>662</v>
      </c>
      <c r="P38" s="26">
        <v>1</v>
      </c>
      <c r="Q38" s="27">
        <v>0</v>
      </c>
      <c r="R38" s="30">
        <v>0</v>
      </c>
      <c r="S38" s="27">
        <v>0</v>
      </c>
      <c r="T38" s="30">
        <v>0</v>
      </c>
      <c r="U38" s="34">
        <v>1</v>
      </c>
      <c r="V38" s="34">
        <v>1</v>
      </c>
      <c r="X38" s="8"/>
      <c r="Y38" s="2"/>
      <c r="Z38" s="26"/>
      <c r="AA38" s="26"/>
      <c r="AB38" s="26"/>
      <c r="AC38" s="26"/>
      <c r="AD38" s="27"/>
      <c r="AE38" s="30"/>
      <c r="AF38" s="26"/>
      <c r="AG38" s="26"/>
      <c r="AH38" s="32"/>
      <c r="AJ38" s="8"/>
      <c r="AK38" s="2"/>
      <c r="AL38" s="26"/>
      <c r="AM38" s="26"/>
      <c r="AN38" s="26"/>
      <c r="AO38" s="27"/>
      <c r="AP38" s="30"/>
      <c r="AQ38" s="26"/>
      <c r="AR38" s="26"/>
      <c r="AS38" s="32"/>
      <c r="AT38" s="34"/>
    </row>
    <row r="39" spans="2:46" x14ac:dyDescent="0.3">
      <c r="B39" s="8"/>
      <c r="C39" s="2" t="s">
        <v>779</v>
      </c>
      <c r="D39" s="26">
        <v>0</v>
      </c>
      <c r="E39" s="26">
        <v>0</v>
      </c>
      <c r="F39" s="27">
        <v>0</v>
      </c>
      <c r="G39" s="26">
        <v>0</v>
      </c>
      <c r="H39" s="26">
        <v>0</v>
      </c>
      <c r="I39" s="27">
        <v>0</v>
      </c>
      <c r="J39" s="26">
        <v>0</v>
      </c>
      <c r="K39" s="26">
        <v>0</v>
      </c>
      <c r="L39" s="67">
        <v>1</v>
      </c>
      <c r="N39" s="8"/>
      <c r="O39" s="2" t="s">
        <v>822</v>
      </c>
      <c r="P39" s="26">
        <v>1</v>
      </c>
      <c r="Q39" s="27">
        <v>0</v>
      </c>
      <c r="R39" s="30">
        <v>0</v>
      </c>
      <c r="S39" s="27">
        <v>0</v>
      </c>
      <c r="T39" s="30">
        <v>0</v>
      </c>
      <c r="U39" s="34">
        <v>1</v>
      </c>
      <c r="V39" s="34">
        <v>1</v>
      </c>
      <c r="X39" s="8"/>
      <c r="Y39" s="2"/>
      <c r="Z39" s="26"/>
      <c r="AA39" s="26"/>
      <c r="AB39" s="26"/>
      <c r="AC39" s="26"/>
      <c r="AD39" s="27"/>
      <c r="AE39" s="30"/>
      <c r="AF39" s="26"/>
      <c r="AG39" s="26"/>
      <c r="AH39" s="32"/>
      <c r="AJ39" s="8"/>
      <c r="AK39" s="2"/>
      <c r="AL39" s="26"/>
      <c r="AM39" s="26"/>
      <c r="AN39" s="26"/>
      <c r="AO39" s="27"/>
      <c r="AP39" s="30"/>
      <c r="AQ39" s="26"/>
      <c r="AR39" s="26"/>
      <c r="AS39" s="32"/>
      <c r="AT39" s="34"/>
    </row>
    <row r="40" spans="2:46" x14ac:dyDescent="0.3">
      <c r="B40" s="8"/>
      <c r="C40" s="2" t="s">
        <v>780</v>
      </c>
      <c r="D40" s="26">
        <v>0</v>
      </c>
      <c r="E40" s="26">
        <v>0</v>
      </c>
      <c r="F40" s="27">
        <v>0</v>
      </c>
      <c r="G40" s="26">
        <v>0</v>
      </c>
      <c r="H40" s="26">
        <v>0</v>
      </c>
      <c r="I40" s="27">
        <v>0</v>
      </c>
      <c r="J40" s="26">
        <v>0</v>
      </c>
      <c r="K40" s="26">
        <v>0</v>
      </c>
      <c r="L40" s="67">
        <v>1</v>
      </c>
      <c r="N40" s="8"/>
      <c r="O40" s="2" t="s">
        <v>823</v>
      </c>
      <c r="P40" s="26">
        <v>1</v>
      </c>
      <c r="Q40" s="27">
        <v>0</v>
      </c>
      <c r="R40" s="30">
        <v>0</v>
      </c>
      <c r="S40" s="27">
        <v>0</v>
      </c>
      <c r="T40" s="30">
        <v>0</v>
      </c>
      <c r="U40" s="34">
        <v>1</v>
      </c>
      <c r="V40" s="34">
        <v>1</v>
      </c>
      <c r="X40" s="8"/>
      <c r="Y40" s="2"/>
      <c r="Z40" s="26"/>
      <c r="AA40" s="26"/>
      <c r="AB40" s="26"/>
      <c r="AC40" s="26"/>
      <c r="AD40" s="27"/>
      <c r="AE40" s="30"/>
      <c r="AF40" s="26"/>
      <c r="AG40" s="26"/>
      <c r="AH40" s="32"/>
      <c r="AJ40" s="8"/>
      <c r="AK40" s="2"/>
      <c r="AL40" s="26"/>
      <c r="AM40" s="26"/>
      <c r="AN40" s="26"/>
      <c r="AO40" s="27"/>
      <c r="AP40" s="30"/>
      <c r="AQ40" s="26"/>
      <c r="AR40" s="26"/>
      <c r="AS40" s="32"/>
      <c r="AT40" s="34"/>
    </row>
    <row r="41" spans="2:46" x14ac:dyDescent="0.3">
      <c r="B41" s="8"/>
      <c r="C41" s="2" t="s">
        <v>727</v>
      </c>
      <c r="D41" s="26">
        <v>0</v>
      </c>
      <c r="E41" s="26">
        <v>0</v>
      </c>
      <c r="F41" s="27">
        <v>0</v>
      </c>
      <c r="G41" s="26">
        <v>0</v>
      </c>
      <c r="H41" s="26">
        <v>0</v>
      </c>
      <c r="I41" s="27">
        <v>0</v>
      </c>
      <c r="J41" s="26">
        <v>0</v>
      </c>
      <c r="K41" s="26">
        <v>0</v>
      </c>
      <c r="L41" s="67">
        <v>1</v>
      </c>
      <c r="N41" s="8"/>
      <c r="O41" s="2" t="s">
        <v>663</v>
      </c>
      <c r="P41" s="26">
        <v>1</v>
      </c>
      <c r="Q41" s="27">
        <v>0</v>
      </c>
      <c r="R41" s="30">
        <v>0</v>
      </c>
      <c r="S41" s="27">
        <v>0</v>
      </c>
      <c r="T41" s="30">
        <v>0</v>
      </c>
      <c r="U41" s="34">
        <v>1</v>
      </c>
      <c r="V41" s="34">
        <v>1</v>
      </c>
      <c r="X41" s="8"/>
      <c r="Y41" s="2"/>
      <c r="Z41" s="26"/>
      <c r="AA41" s="26"/>
      <c r="AB41" s="26"/>
      <c r="AC41" s="26"/>
      <c r="AD41" s="27"/>
      <c r="AE41" s="30"/>
      <c r="AF41" s="26"/>
      <c r="AG41" s="26"/>
      <c r="AH41" s="32"/>
      <c r="AJ41" s="8"/>
      <c r="AK41" s="2"/>
      <c r="AL41" s="26"/>
      <c r="AM41" s="26"/>
      <c r="AN41" s="26"/>
      <c r="AO41" s="27"/>
      <c r="AP41" s="30"/>
      <c r="AQ41" s="26"/>
      <c r="AR41" s="26"/>
      <c r="AS41" s="32"/>
      <c r="AT41" s="34"/>
    </row>
    <row r="42" spans="2:46" x14ac:dyDescent="0.3">
      <c r="B42" s="8"/>
      <c r="C42" s="2" t="s">
        <v>728</v>
      </c>
      <c r="D42" s="26">
        <v>0</v>
      </c>
      <c r="E42" s="26">
        <v>0</v>
      </c>
      <c r="F42" s="27">
        <v>0</v>
      </c>
      <c r="G42" s="26">
        <v>0</v>
      </c>
      <c r="H42" s="26">
        <v>0</v>
      </c>
      <c r="I42" s="27">
        <v>0</v>
      </c>
      <c r="J42" s="26">
        <v>0</v>
      </c>
      <c r="K42" s="26">
        <v>0</v>
      </c>
      <c r="L42" s="67">
        <v>1</v>
      </c>
      <c r="N42" s="8"/>
      <c r="O42" s="2" t="s">
        <v>664</v>
      </c>
      <c r="P42" s="26">
        <v>1</v>
      </c>
      <c r="Q42" s="27">
        <v>0</v>
      </c>
      <c r="R42" s="30">
        <v>0</v>
      </c>
      <c r="S42" s="27">
        <v>0</v>
      </c>
      <c r="T42" s="30">
        <v>0</v>
      </c>
      <c r="U42" s="34">
        <v>1</v>
      </c>
      <c r="V42" s="34">
        <v>1</v>
      </c>
      <c r="X42" s="8"/>
      <c r="Y42" s="2"/>
      <c r="Z42" s="26"/>
      <c r="AA42" s="26"/>
      <c r="AB42" s="26"/>
      <c r="AC42" s="26"/>
      <c r="AD42" s="27"/>
      <c r="AE42" s="30"/>
      <c r="AF42" s="26"/>
      <c r="AG42" s="26"/>
      <c r="AH42" s="32"/>
      <c r="AJ42" s="8"/>
      <c r="AK42" s="2"/>
      <c r="AL42" s="26"/>
      <c r="AM42" s="26"/>
      <c r="AN42" s="26"/>
      <c r="AO42" s="27"/>
      <c r="AP42" s="30"/>
      <c r="AQ42" s="26"/>
      <c r="AR42" s="26"/>
      <c r="AS42" s="32"/>
      <c r="AT42" s="34"/>
    </row>
    <row r="43" spans="2:46" x14ac:dyDescent="0.3">
      <c r="B43" s="8"/>
      <c r="C43" s="2" t="s">
        <v>781</v>
      </c>
      <c r="D43" s="26">
        <v>0</v>
      </c>
      <c r="E43" s="26">
        <v>0</v>
      </c>
      <c r="F43" s="27">
        <v>0</v>
      </c>
      <c r="G43" s="26">
        <v>0</v>
      </c>
      <c r="H43" s="26">
        <v>0</v>
      </c>
      <c r="I43" s="27">
        <v>0</v>
      </c>
      <c r="J43" s="26">
        <v>0</v>
      </c>
      <c r="K43" s="26">
        <v>0</v>
      </c>
      <c r="L43" s="67">
        <v>1</v>
      </c>
      <c r="N43" s="8"/>
      <c r="O43" s="2" t="s">
        <v>824</v>
      </c>
      <c r="P43" s="26">
        <v>1</v>
      </c>
      <c r="Q43" s="27">
        <v>0</v>
      </c>
      <c r="R43" s="30">
        <v>0</v>
      </c>
      <c r="S43" s="27">
        <v>0</v>
      </c>
      <c r="T43" s="30">
        <v>0</v>
      </c>
      <c r="U43" s="34">
        <v>1</v>
      </c>
      <c r="V43" s="34">
        <v>1</v>
      </c>
      <c r="X43" s="8"/>
      <c r="Y43" s="2"/>
      <c r="Z43" s="26"/>
      <c r="AA43" s="26"/>
      <c r="AB43" s="26"/>
      <c r="AC43" s="26"/>
      <c r="AD43" s="27"/>
      <c r="AE43" s="30"/>
      <c r="AF43" s="26"/>
      <c r="AG43" s="26"/>
      <c r="AH43" s="32"/>
      <c r="AJ43" s="8"/>
      <c r="AK43" s="2"/>
      <c r="AL43" s="26"/>
      <c r="AM43" s="26"/>
      <c r="AN43" s="26"/>
      <c r="AO43" s="27"/>
      <c r="AP43" s="30"/>
      <c r="AQ43" s="26"/>
      <c r="AR43" s="26"/>
      <c r="AS43" s="32"/>
      <c r="AT43" s="34"/>
    </row>
    <row r="44" spans="2:46" x14ac:dyDescent="0.3">
      <c r="B44" s="8"/>
      <c r="C44" s="2" t="s">
        <v>729</v>
      </c>
      <c r="D44" s="26">
        <v>0</v>
      </c>
      <c r="E44" s="26">
        <v>0</v>
      </c>
      <c r="F44" s="27">
        <v>0</v>
      </c>
      <c r="G44" s="26">
        <v>0</v>
      </c>
      <c r="H44" s="26">
        <v>0</v>
      </c>
      <c r="I44" s="27">
        <v>0</v>
      </c>
      <c r="J44" s="26">
        <v>0</v>
      </c>
      <c r="K44" s="26">
        <v>0</v>
      </c>
      <c r="L44" s="67">
        <v>1</v>
      </c>
      <c r="N44" s="8"/>
      <c r="O44" s="2" t="s">
        <v>665</v>
      </c>
      <c r="P44" s="26">
        <v>1</v>
      </c>
      <c r="Q44" s="27">
        <v>0</v>
      </c>
      <c r="R44" s="30">
        <v>0</v>
      </c>
      <c r="S44" s="27">
        <v>0</v>
      </c>
      <c r="T44" s="30">
        <v>0</v>
      </c>
      <c r="U44" s="34">
        <v>1</v>
      </c>
      <c r="V44" s="34">
        <v>1</v>
      </c>
      <c r="X44" s="8"/>
      <c r="Y44" s="2"/>
      <c r="Z44" s="26"/>
      <c r="AA44" s="26"/>
      <c r="AB44" s="26"/>
      <c r="AC44" s="26"/>
      <c r="AD44" s="27"/>
      <c r="AE44" s="30"/>
      <c r="AF44" s="26"/>
      <c r="AG44" s="26"/>
      <c r="AH44" s="32"/>
      <c r="AJ44" s="8"/>
      <c r="AK44" s="2"/>
      <c r="AL44" s="26"/>
      <c r="AM44" s="26"/>
      <c r="AN44" s="26"/>
      <c r="AO44" s="27"/>
      <c r="AP44" s="30"/>
      <c r="AQ44" s="26"/>
      <c r="AR44" s="26"/>
      <c r="AS44" s="32"/>
      <c r="AT44" s="34"/>
    </row>
    <row r="45" spans="2:46" x14ac:dyDescent="0.3">
      <c r="B45" s="8"/>
      <c r="C45" s="2" t="s">
        <v>782</v>
      </c>
      <c r="D45" s="26">
        <v>0</v>
      </c>
      <c r="E45" s="26">
        <v>0</v>
      </c>
      <c r="F45" s="27">
        <v>0</v>
      </c>
      <c r="G45" s="26">
        <v>0</v>
      </c>
      <c r="H45" s="26">
        <v>0</v>
      </c>
      <c r="I45" s="27">
        <v>0</v>
      </c>
      <c r="J45" s="26">
        <v>0</v>
      </c>
      <c r="K45" s="26">
        <v>0</v>
      </c>
      <c r="L45" s="67">
        <v>1</v>
      </c>
      <c r="N45" s="8"/>
      <c r="O45" s="2" t="s">
        <v>825</v>
      </c>
      <c r="P45" s="26">
        <v>1</v>
      </c>
      <c r="Q45" s="27">
        <v>0</v>
      </c>
      <c r="R45" s="30">
        <v>0</v>
      </c>
      <c r="S45" s="27">
        <v>0</v>
      </c>
      <c r="T45" s="30">
        <v>0</v>
      </c>
      <c r="U45" s="34">
        <v>1</v>
      </c>
      <c r="V45" s="34">
        <v>1</v>
      </c>
      <c r="X45" s="8"/>
      <c r="Y45" s="2"/>
      <c r="Z45" s="26"/>
      <c r="AA45" s="26"/>
      <c r="AB45" s="26"/>
      <c r="AC45" s="26"/>
      <c r="AD45" s="27"/>
      <c r="AE45" s="30"/>
      <c r="AF45" s="26"/>
      <c r="AG45" s="26"/>
      <c r="AH45" s="32"/>
      <c r="AJ45" s="8"/>
      <c r="AK45" s="2"/>
      <c r="AL45" s="26"/>
      <c r="AM45" s="26"/>
      <c r="AN45" s="26"/>
      <c r="AO45" s="27"/>
      <c r="AP45" s="30"/>
      <c r="AQ45" s="26"/>
      <c r="AR45" s="26"/>
      <c r="AS45" s="32"/>
      <c r="AT45" s="34"/>
    </row>
    <row r="46" spans="2:46" x14ac:dyDescent="0.3">
      <c r="B46" s="8"/>
      <c r="C46" s="2" t="s">
        <v>783</v>
      </c>
      <c r="D46" s="26">
        <v>0</v>
      </c>
      <c r="E46" s="26">
        <v>0</v>
      </c>
      <c r="F46" s="27">
        <v>0</v>
      </c>
      <c r="G46" s="26">
        <v>0</v>
      </c>
      <c r="H46" s="26">
        <v>0</v>
      </c>
      <c r="I46" s="27">
        <v>0</v>
      </c>
      <c r="J46" s="26">
        <v>0</v>
      </c>
      <c r="K46" s="26">
        <v>0</v>
      </c>
      <c r="L46" s="67">
        <v>1</v>
      </c>
      <c r="N46" s="8"/>
      <c r="O46" s="2" t="s">
        <v>826</v>
      </c>
      <c r="P46" s="26">
        <v>1</v>
      </c>
      <c r="Q46" s="27">
        <v>0</v>
      </c>
      <c r="R46" s="30">
        <v>0</v>
      </c>
      <c r="S46" s="27">
        <v>0</v>
      </c>
      <c r="T46" s="30">
        <v>0</v>
      </c>
      <c r="U46" s="34">
        <v>1</v>
      </c>
      <c r="V46" s="34">
        <v>1</v>
      </c>
      <c r="X46" s="8"/>
      <c r="Y46" s="2"/>
      <c r="Z46" s="26"/>
      <c r="AA46" s="26"/>
      <c r="AB46" s="26"/>
      <c r="AC46" s="26"/>
      <c r="AD46" s="27"/>
      <c r="AE46" s="30"/>
      <c r="AF46" s="26"/>
      <c r="AG46" s="26"/>
      <c r="AH46" s="32"/>
      <c r="AJ46" s="8"/>
      <c r="AK46" s="2"/>
      <c r="AL46" s="26"/>
      <c r="AM46" s="26"/>
      <c r="AN46" s="26"/>
      <c r="AO46" s="27"/>
      <c r="AP46" s="30"/>
      <c r="AQ46" s="26"/>
      <c r="AR46" s="26"/>
      <c r="AS46" s="32"/>
      <c r="AT46" s="34"/>
    </row>
    <row r="47" spans="2:46" x14ac:dyDescent="0.3">
      <c r="B47" s="8"/>
      <c r="C47" s="2" t="s">
        <v>784</v>
      </c>
      <c r="D47" s="26">
        <v>0</v>
      </c>
      <c r="E47" s="26">
        <v>0</v>
      </c>
      <c r="F47" s="27">
        <v>0</v>
      </c>
      <c r="G47" s="26">
        <v>0</v>
      </c>
      <c r="H47" s="26">
        <v>0</v>
      </c>
      <c r="I47" s="27">
        <v>0</v>
      </c>
      <c r="J47" s="26">
        <v>0</v>
      </c>
      <c r="K47" s="26">
        <v>0</v>
      </c>
      <c r="L47" s="67">
        <v>1</v>
      </c>
      <c r="N47" s="8"/>
      <c r="O47" s="2" t="s">
        <v>827</v>
      </c>
      <c r="P47" s="26">
        <v>1</v>
      </c>
      <c r="Q47" s="27">
        <v>0</v>
      </c>
      <c r="R47" s="30">
        <v>0</v>
      </c>
      <c r="S47" s="27">
        <v>0</v>
      </c>
      <c r="T47" s="30">
        <v>0</v>
      </c>
      <c r="U47" s="34">
        <v>1</v>
      </c>
      <c r="V47" s="34">
        <v>1</v>
      </c>
      <c r="X47" s="8"/>
      <c r="Y47" s="2"/>
      <c r="Z47" s="26"/>
      <c r="AA47" s="26"/>
      <c r="AB47" s="26"/>
      <c r="AC47" s="26"/>
      <c r="AD47" s="27"/>
      <c r="AE47" s="30"/>
      <c r="AF47" s="26"/>
      <c r="AG47" s="26"/>
      <c r="AH47" s="32"/>
      <c r="AJ47" s="8"/>
      <c r="AK47" s="2"/>
      <c r="AL47" s="26"/>
      <c r="AM47" s="26"/>
      <c r="AN47" s="26"/>
      <c r="AO47" s="27"/>
      <c r="AP47" s="30"/>
      <c r="AQ47" s="26"/>
      <c r="AR47" s="26"/>
      <c r="AS47" s="32"/>
      <c r="AT47" s="34"/>
    </row>
    <row r="48" spans="2:46" x14ac:dyDescent="0.3">
      <c r="B48" s="8"/>
      <c r="C48" s="2" t="s">
        <v>785</v>
      </c>
      <c r="D48" s="26">
        <v>0</v>
      </c>
      <c r="E48" s="26">
        <v>0</v>
      </c>
      <c r="F48" s="27">
        <v>0</v>
      </c>
      <c r="G48" s="26">
        <v>0</v>
      </c>
      <c r="H48" s="26">
        <v>0</v>
      </c>
      <c r="I48" s="27">
        <v>0</v>
      </c>
      <c r="J48" s="26">
        <v>0</v>
      </c>
      <c r="K48" s="26">
        <v>0</v>
      </c>
      <c r="L48" s="67">
        <v>1</v>
      </c>
      <c r="N48" s="8"/>
      <c r="O48" s="2" t="s">
        <v>828</v>
      </c>
      <c r="P48" s="26">
        <v>1</v>
      </c>
      <c r="Q48" s="27">
        <v>0</v>
      </c>
      <c r="R48" s="30">
        <v>0</v>
      </c>
      <c r="S48" s="27">
        <v>0</v>
      </c>
      <c r="T48" s="30">
        <v>0</v>
      </c>
      <c r="U48" s="34">
        <v>1</v>
      </c>
      <c r="V48" s="34">
        <v>1</v>
      </c>
      <c r="X48" s="8"/>
      <c r="Y48" s="2"/>
      <c r="Z48" s="26"/>
      <c r="AA48" s="26"/>
      <c r="AB48" s="26"/>
      <c r="AC48" s="26"/>
      <c r="AD48" s="27"/>
      <c r="AE48" s="30"/>
      <c r="AF48" s="26"/>
      <c r="AG48" s="26"/>
      <c r="AH48" s="32"/>
      <c r="AJ48" s="8"/>
      <c r="AK48" s="2"/>
      <c r="AL48" s="26"/>
      <c r="AM48" s="26"/>
      <c r="AN48" s="26"/>
      <c r="AO48" s="27"/>
      <c r="AP48" s="30"/>
      <c r="AQ48" s="26"/>
      <c r="AR48" s="26"/>
      <c r="AS48" s="32"/>
      <c r="AT48" s="34"/>
    </row>
    <row r="49" spans="2:46" x14ac:dyDescent="0.3">
      <c r="B49" s="8"/>
      <c r="C49" s="2" t="s">
        <v>786</v>
      </c>
      <c r="D49" s="26">
        <v>0</v>
      </c>
      <c r="E49" s="26">
        <v>0</v>
      </c>
      <c r="F49" s="27">
        <v>0</v>
      </c>
      <c r="G49" s="26">
        <v>0</v>
      </c>
      <c r="H49" s="26">
        <v>0</v>
      </c>
      <c r="I49" s="27">
        <v>0</v>
      </c>
      <c r="J49" s="26">
        <v>0</v>
      </c>
      <c r="K49" s="26">
        <v>0</v>
      </c>
      <c r="L49" s="67">
        <v>1</v>
      </c>
      <c r="N49" s="8"/>
      <c r="O49" s="2" t="s">
        <v>829</v>
      </c>
      <c r="P49" s="26">
        <v>1</v>
      </c>
      <c r="Q49" s="27">
        <v>0</v>
      </c>
      <c r="R49" s="30">
        <v>0</v>
      </c>
      <c r="S49" s="27">
        <v>0</v>
      </c>
      <c r="T49" s="30">
        <v>0</v>
      </c>
      <c r="U49" s="34">
        <v>1</v>
      </c>
      <c r="V49" s="34">
        <v>1</v>
      </c>
      <c r="X49" s="8"/>
      <c r="Y49" s="2"/>
      <c r="Z49" s="26"/>
      <c r="AA49" s="26"/>
      <c r="AB49" s="26"/>
      <c r="AC49" s="26"/>
      <c r="AD49" s="27"/>
      <c r="AE49" s="30"/>
      <c r="AF49" s="26"/>
      <c r="AG49" s="26"/>
      <c r="AH49" s="32"/>
      <c r="AJ49" s="8"/>
      <c r="AK49" s="2"/>
      <c r="AL49" s="26"/>
      <c r="AM49" s="26"/>
      <c r="AN49" s="26"/>
      <c r="AO49" s="27"/>
      <c r="AP49" s="30"/>
      <c r="AQ49" s="26"/>
      <c r="AR49" s="26"/>
      <c r="AS49" s="32"/>
      <c r="AT49" s="34"/>
    </row>
    <row r="50" spans="2:46" x14ac:dyDescent="0.3">
      <c r="B50" s="8"/>
      <c r="C50" s="2" t="s">
        <v>787</v>
      </c>
      <c r="D50" s="26">
        <v>0</v>
      </c>
      <c r="E50" s="26">
        <v>0</v>
      </c>
      <c r="F50" s="27">
        <v>0</v>
      </c>
      <c r="G50" s="26">
        <v>0</v>
      </c>
      <c r="H50" s="26">
        <v>0</v>
      </c>
      <c r="I50" s="27">
        <v>0</v>
      </c>
      <c r="J50" s="26">
        <v>0</v>
      </c>
      <c r="K50" s="26">
        <v>0</v>
      </c>
      <c r="L50" s="67">
        <v>1</v>
      </c>
      <c r="N50" s="8"/>
      <c r="O50" s="2" t="s">
        <v>830</v>
      </c>
      <c r="P50" s="26">
        <v>1</v>
      </c>
      <c r="Q50" s="27">
        <v>0</v>
      </c>
      <c r="R50" s="30">
        <v>0</v>
      </c>
      <c r="S50" s="27">
        <v>0</v>
      </c>
      <c r="T50" s="30">
        <v>0</v>
      </c>
      <c r="U50" s="34">
        <v>1</v>
      </c>
      <c r="V50" s="34">
        <v>1</v>
      </c>
      <c r="X50" s="8"/>
      <c r="Y50" s="2"/>
      <c r="Z50" s="26"/>
      <c r="AA50" s="26"/>
      <c r="AB50" s="26"/>
      <c r="AC50" s="26"/>
      <c r="AD50" s="27"/>
      <c r="AE50" s="30"/>
      <c r="AF50" s="26"/>
      <c r="AG50" s="26"/>
      <c r="AH50" s="32"/>
      <c r="AJ50" s="8"/>
      <c r="AK50" s="2"/>
      <c r="AL50" s="26"/>
      <c r="AM50" s="26"/>
      <c r="AN50" s="26"/>
      <c r="AO50" s="27"/>
      <c r="AP50" s="30"/>
      <c r="AQ50" s="26"/>
      <c r="AR50" s="26"/>
      <c r="AS50" s="32"/>
      <c r="AT50" s="34"/>
    </row>
    <row r="51" spans="2:46" x14ac:dyDescent="0.3">
      <c r="B51" s="8"/>
      <c r="C51" s="2" t="s">
        <v>788</v>
      </c>
      <c r="D51" s="26">
        <v>0</v>
      </c>
      <c r="E51" s="26">
        <v>0</v>
      </c>
      <c r="F51" s="27">
        <v>0</v>
      </c>
      <c r="G51" s="26">
        <v>0</v>
      </c>
      <c r="H51" s="26">
        <v>0</v>
      </c>
      <c r="I51" s="27">
        <v>0</v>
      </c>
      <c r="J51" s="26">
        <v>0</v>
      </c>
      <c r="K51" s="26">
        <v>0</v>
      </c>
      <c r="L51" s="67">
        <v>1</v>
      </c>
      <c r="N51" s="8"/>
      <c r="O51" s="2" t="s">
        <v>831</v>
      </c>
      <c r="P51" s="26">
        <v>1</v>
      </c>
      <c r="Q51" s="27">
        <v>0</v>
      </c>
      <c r="R51" s="30">
        <v>0</v>
      </c>
      <c r="S51" s="27">
        <v>0</v>
      </c>
      <c r="T51" s="30">
        <v>0</v>
      </c>
      <c r="U51" s="34">
        <v>1</v>
      </c>
      <c r="V51" s="34">
        <v>1</v>
      </c>
      <c r="X51" s="8"/>
      <c r="Y51" s="2"/>
      <c r="Z51" s="26"/>
      <c r="AA51" s="26"/>
      <c r="AB51" s="26"/>
      <c r="AC51" s="26"/>
      <c r="AD51" s="27"/>
      <c r="AE51" s="30"/>
      <c r="AF51" s="26"/>
      <c r="AG51" s="26"/>
      <c r="AH51" s="32"/>
      <c r="AJ51" s="8"/>
      <c r="AK51" s="2"/>
      <c r="AL51" s="26"/>
      <c r="AM51" s="26"/>
      <c r="AN51" s="26"/>
      <c r="AO51" s="27"/>
      <c r="AP51" s="30"/>
      <c r="AQ51" s="26"/>
      <c r="AR51" s="26"/>
      <c r="AS51" s="32"/>
      <c r="AT51" s="34"/>
    </row>
    <row r="52" spans="2:46" x14ac:dyDescent="0.3">
      <c r="B52" s="8"/>
      <c r="C52" s="2" t="s">
        <v>789</v>
      </c>
      <c r="D52" s="26">
        <v>0</v>
      </c>
      <c r="E52" s="26">
        <v>0</v>
      </c>
      <c r="F52" s="27">
        <v>0</v>
      </c>
      <c r="G52" s="26">
        <v>0</v>
      </c>
      <c r="H52" s="26">
        <v>0</v>
      </c>
      <c r="I52" s="27">
        <v>0</v>
      </c>
      <c r="J52" s="26">
        <v>0</v>
      </c>
      <c r="K52" s="26">
        <v>0</v>
      </c>
      <c r="L52" s="67">
        <v>1</v>
      </c>
      <c r="N52" s="8"/>
      <c r="O52" s="2" t="s">
        <v>832</v>
      </c>
      <c r="P52" s="26">
        <v>1</v>
      </c>
      <c r="Q52" s="27">
        <v>0</v>
      </c>
      <c r="R52" s="30">
        <v>0</v>
      </c>
      <c r="S52" s="27">
        <v>0</v>
      </c>
      <c r="T52" s="30">
        <v>0</v>
      </c>
      <c r="U52" s="34">
        <v>1</v>
      </c>
      <c r="V52" s="34">
        <v>1</v>
      </c>
      <c r="X52" s="8"/>
      <c r="Y52" s="2"/>
      <c r="Z52" s="26"/>
      <c r="AA52" s="26"/>
      <c r="AB52" s="26"/>
      <c r="AC52" s="26"/>
      <c r="AD52" s="27"/>
      <c r="AE52" s="30"/>
      <c r="AF52" s="26"/>
      <c r="AG52" s="26"/>
      <c r="AH52" s="32"/>
      <c r="AJ52" s="8"/>
      <c r="AK52" s="2"/>
      <c r="AL52" s="26"/>
      <c r="AM52" s="26"/>
      <c r="AN52" s="26"/>
      <c r="AO52" s="27"/>
      <c r="AP52" s="30"/>
      <c r="AQ52" s="26"/>
      <c r="AR52" s="26"/>
      <c r="AS52" s="32"/>
      <c r="AT52" s="34"/>
    </row>
    <row r="53" spans="2:46" x14ac:dyDescent="0.3">
      <c r="B53" s="8"/>
      <c r="C53" s="2" t="s">
        <v>790</v>
      </c>
      <c r="D53" s="26">
        <v>0</v>
      </c>
      <c r="E53" s="26">
        <v>0</v>
      </c>
      <c r="F53" s="27">
        <v>0</v>
      </c>
      <c r="G53" s="26">
        <v>0</v>
      </c>
      <c r="H53" s="26">
        <v>0</v>
      </c>
      <c r="I53" s="27">
        <v>0</v>
      </c>
      <c r="J53" s="26">
        <v>0</v>
      </c>
      <c r="K53" s="26">
        <v>0</v>
      </c>
      <c r="L53" s="67">
        <v>1</v>
      </c>
      <c r="N53" s="8"/>
      <c r="O53" s="2" t="s">
        <v>833</v>
      </c>
      <c r="P53" s="26">
        <v>1</v>
      </c>
      <c r="Q53" s="27">
        <v>0</v>
      </c>
      <c r="R53" s="30">
        <v>0</v>
      </c>
      <c r="S53" s="27">
        <v>0</v>
      </c>
      <c r="T53" s="30">
        <v>0</v>
      </c>
      <c r="U53" s="34">
        <v>1</v>
      </c>
      <c r="V53" s="34">
        <v>1</v>
      </c>
      <c r="X53" s="8"/>
      <c r="Y53" s="2"/>
      <c r="Z53" s="26"/>
      <c r="AA53" s="26"/>
      <c r="AB53" s="26"/>
      <c r="AC53" s="26"/>
      <c r="AD53" s="27"/>
      <c r="AE53" s="30"/>
      <c r="AF53" s="26"/>
      <c r="AG53" s="26"/>
      <c r="AH53" s="32"/>
      <c r="AJ53" s="8"/>
      <c r="AK53" s="2"/>
      <c r="AL53" s="26"/>
      <c r="AM53" s="26"/>
      <c r="AN53" s="26"/>
      <c r="AO53" s="27"/>
      <c r="AP53" s="30"/>
      <c r="AQ53" s="26"/>
      <c r="AR53" s="26"/>
      <c r="AS53" s="32"/>
      <c r="AT53" s="34"/>
    </row>
    <row r="54" spans="2:46" x14ac:dyDescent="0.3">
      <c r="B54" s="8"/>
      <c r="C54" s="2" t="s">
        <v>791</v>
      </c>
      <c r="D54" s="26">
        <v>0</v>
      </c>
      <c r="E54" s="26">
        <v>0</v>
      </c>
      <c r="F54" s="27">
        <v>0</v>
      </c>
      <c r="G54" s="26">
        <v>0</v>
      </c>
      <c r="H54" s="26">
        <v>0</v>
      </c>
      <c r="I54" s="27">
        <v>0</v>
      </c>
      <c r="J54" s="26">
        <v>0</v>
      </c>
      <c r="K54" s="26">
        <v>0</v>
      </c>
      <c r="L54" s="67">
        <v>1</v>
      </c>
      <c r="N54" s="8"/>
      <c r="O54" s="2" t="s">
        <v>834</v>
      </c>
      <c r="P54" s="26">
        <v>1</v>
      </c>
      <c r="Q54" s="27">
        <v>0</v>
      </c>
      <c r="R54" s="30">
        <v>0</v>
      </c>
      <c r="S54" s="27">
        <v>0</v>
      </c>
      <c r="T54" s="30">
        <v>0</v>
      </c>
      <c r="U54" s="34">
        <v>1</v>
      </c>
      <c r="V54" s="34">
        <v>1</v>
      </c>
      <c r="X54" s="8"/>
      <c r="Y54" s="2"/>
      <c r="Z54" s="26"/>
      <c r="AA54" s="26"/>
      <c r="AB54" s="26"/>
      <c r="AC54" s="26"/>
      <c r="AD54" s="27"/>
      <c r="AE54" s="30"/>
      <c r="AF54" s="26"/>
      <c r="AG54" s="26"/>
      <c r="AH54" s="32"/>
      <c r="AJ54" s="8"/>
      <c r="AK54" s="2"/>
      <c r="AL54" s="26"/>
      <c r="AM54" s="26"/>
      <c r="AN54" s="26"/>
      <c r="AO54" s="27"/>
      <c r="AP54" s="30"/>
      <c r="AQ54" s="26"/>
      <c r="AR54" s="26"/>
      <c r="AS54" s="32"/>
      <c r="AT54" s="34"/>
    </row>
    <row r="55" spans="2:46" x14ac:dyDescent="0.3">
      <c r="B55" s="8"/>
      <c r="C55" s="2" t="s">
        <v>792</v>
      </c>
      <c r="D55" s="26">
        <v>0</v>
      </c>
      <c r="E55" s="26">
        <v>0</v>
      </c>
      <c r="F55" s="27">
        <v>0</v>
      </c>
      <c r="G55" s="26">
        <v>0</v>
      </c>
      <c r="H55" s="26">
        <v>0</v>
      </c>
      <c r="I55" s="27">
        <v>0</v>
      </c>
      <c r="J55" s="26">
        <v>0</v>
      </c>
      <c r="K55" s="26">
        <v>0</v>
      </c>
      <c r="L55" s="67">
        <v>1</v>
      </c>
      <c r="N55" s="8"/>
      <c r="O55" s="2" t="s">
        <v>835</v>
      </c>
      <c r="P55" s="26">
        <v>1</v>
      </c>
      <c r="Q55" s="27">
        <v>0</v>
      </c>
      <c r="R55" s="30">
        <v>0</v>
      </c>
      <c r="S55" s="27">
        <v>0</v>
      </c>
      <c r="T55" s="30">
        <v>0</v>
      </c>
      <c r="U55" s="34">
        <v>1</v>
      </c>
      <c r="V55" s="34">
        <v>1</v>
      </c>
      <c r="X55" s="8"/>
      <c r="Y55" s="2"/>
      <c r="Z55" s="26"/>
      <c r="AA55" s="26"/>
      <c r="AB55" s="26"/>
      <c r="AC55" s="26"/>
      <c r="AD55" s="27"/>
      <c r="AE55" s="30"/>
      <c r="AF55" s="26"/>
      <c r="AG55" s="26"/>
      <c r="AH55" s="32"/>
      <c r="AJ55" s="8"/>
      <c r="AK55" s="2"/>
      <c r="AL55" s="26"/>
      <c r="AM55" s="26"/>
      <c r="AN55" s="26"/>
      <c r="AO55" s="27"/>
      <c r="AP55" s="30"/>
      <c r="AQ55" s="26"/>
      <c r="AR55" s="26"/>
      <c r="AS55" s="32"/>
      <c r="AT55" s="34"/>
    </row>
    <row r="56" spans="2:46" x14ac:dyDescent="0.3">
      <c r="B56" s="8"/>
      <c r="C56" s="2" t="s">
        <v>793</v>
      </c>
      <c r="D56" s="26">
        <v>0</v>
      </c>
      <c r="E56" s="26">
        <v>0</v>
      </c>
      <c r="F56" s="27">
        <v>0</v>
      </c>
      <c r="G56" s="26">
        <v>0</v>
      </c>
      <c r="H56" s="26">
        <v>0</v>
      </c>
      <c r="I56" s="27">
        <v>0</v>
      </c>
      <c r="J56" s="26">
        <v>0</v>
      </c>
      <c r="K56" s="26">
        <v>0</v>
      </c>
      <c r="L56" s="67">
        <v>1</v>
      </c>
      <c r="N56" s="8"/>
      <c r="O56" s="2" t="s">
        <v>836</v>
      </c>
      <c r="P56" s="26">
        <v>1</v>
      </c>
      <c r="Q56" s="27">
        <v>0</v>
      </c>
      <c r="R56" s="30">
        <v>0</v>
      </c>
      <c r="S56" s="27">
        <v>0</v>
      </c>
      <c r="T56" s="30">
        <v>0</v>
      </c>
      <c r="U56" s="34">
        <v>1</v>
      </c>
      <c r="V56" s="34">
        <v>1</v>
      </c>
      <c r="X56" s="8"/>
      <c r="Y56" s="2"/>
      <c r="Z56" s="26"/>
      <c r="AA56" s="26"/>
      <c r="AB56" s="26"/>
      <c r="AC56" s="26"/>
      <c r="AD56" s="27"/>
      <c r="AE56" s="30"/>
      <c r="AF56" s="26"/>
      <c r="AG56" s="26"/>
      <c r="AH56" s="32"/>
      <c r="AJ56" s="8"/>
      <c r="AK56" s="2"/>
      <c r="AL56" s="26"/>
      <c r="AM56" s="26"/>
      <c r="AN56" s="26"/>
      <c r="AO56" s="27"/>
      <c r="AP56" s="30"/>
      <c r="AQ56" s="26"/>
      <c r="AR56" s="26"/>
      <c r="AS56" s="32"/>
      <c r="AT56" s="34"/>
    </row>
    <row r="57" spans="2:46" x14ac:dyDescent="0.3">
      <c r="B57" s="8"/>
      <c r="C57" s="2" t="s">
        <v>980</v>
      </c>
      <c r="D57" s="26">
        <v>0</v>
      </c>
      <c r="E57" s="26">
        <v>0</v>
      </c>
      <c r="F57" s="27">
        <v>0</v>
      </c>
      <c r="G57" s="26">
        <v>0</v>
      </c>
      <c r="H57" s="26">
        <v>0</v>
      </c>
      <c r="I57" s="27">
        <v>0</v>
      </c>
      <c r="J57" s="26">
        <v>0</v>
      </c>
      <c r="K57" s="26">
        <v>0</v>
      </c>
      <c r="L57" s="67">
        <v>1</v>
      </c>
      <c r="N57" s="8"/>
      <c r="O57" s="2" t="s">
        <v>950</v>
      </c>
      <c r="P57" s="26">
        <v>1</v>
      </c>
      <c r="Q57" s="27">
        <v>0</v>
      </c>
      <c r="R57" s="30">
        <v>0</v>
      </c>
      <c r="S57" s="27">
        <v>0</v>
      </c>
      <c r="T57" s="30">
        <v>0</v>
      </c>
      <c r="U57" s="34">
        <v>1</v>
      </c>
      <c r="V57" s="34">
        <v>1</v>
      </c>
      <c r="X57" s="8"/>
      <c r="Y57" s="2"/>
      <c r="Z57" s="26"/>
      <c r="AA57" s="26"/>
      <c r="AB57" s="26"/>
      <c r="AC57" s="26"/>
      <c r="AD57" s="27"/>
      <c r="AE57" s="30"/>
      <c r="AF57" s="26"/>
      <c r="AG57" s="26"/>
      <c r="AH57" s="32"/>
      <c r="AJ57" s="8"/>
      <c r="AK57" s="2"/>
      <c r="AL57" s="26"/>
      <c r="AM57" s="26"/>
      <c r="AN57" s="26"/>
      <c r="AO57" s="27"/>
      <c r="AP57" s="30"/>
      <c r="AQ57" s="26"/>
      <c r="AR57" s="26"/>
      <c r="AS57" s="32"/>
      <c r="AT57" s="34"/>
    </row>
    <row r="58" spans="2:46" x14ac:dyDescent="0.3">
      <c r="B58" s="8"/>
      <c r="C58" s="2" t="s">
        <v>981</v>
      </c>
      <c r="D58" s="26">
        <v>0</v>
      </c>
      <c r="E58" s="26">
        <v>0</v>
      </c>
      <c r="F58" s="27">
        <v>0</v>
      </c>
      <c r="G58" s="26">
        <v>0</v>
      </c>
      <c r="H58" s="26">
        <v>0</v>
      </c>
      <c r="I58" s="27">
        <v>0</v>
      </c>
      <c r="J58" s="26">
        <v>0</v>
      </c>
      <c r="K58" s="26">
        <v>0</v>
      </c>
      <c r="L58" s="67">
        <v>1</v>
      </c>
      <c r="N58" s="8"/>
      <c r="O58" s="2" t="s">
        <v>951</v>
      </c>
      <c r="P58" s="26">
        <v>1</v>
      </c>
      <c r="Q58" s="27">
        <v>0</v>
      </c>
      <c r="R58" s="30">
        <v>0</v>
      </c>
      <c r="S58" s="27">
        <v>0</v>
      </c>
      <c r="T58" s="30">
        <v>0</v>
      </c>
      <c r="U58" s="34">
        <v>1</v>
      </c>
      <c r="V58" s="34">
        <v>1</v>
      </c>
      <c r="X58" s="8"/>
      <c r="Y58" s="2"/>
      <c r="Z58" s="26"/>
      <c r="AA58" s="26"/>
      <c r="AB58" s="26"/>
      <c r="AC58" s="26"/>
      <c r="AD58" s="27"/>
      <c r="AE58" s="30"/>
      <c r="AF58" s="26"/>
      <c r="AG58" s="26"/>
      <c r="AH58" s="32"/>
      <c r="AJ58" s="8"/>
      <c r="AK58" s="2"/>
      <c r="AL58" s="26"/>
      <c r="AM58" s="26"/>
      <c r="AN58" s="26"/>
      <c r="AO58" s="27"/>
      <c r="AP58" s="30"/>
      <c r="AQ58" s="26"/>
      <c r="AR58" s="26"/>
      <c r="AS58" s="32"/>
      <c r="AT58" s="34"/>
    </row>
    <row r="59" spans="2:46" x14ac:dyDescent="0.3">
      <c r="B59" s="8"/>
      <c r="C59" s="2" t="s">
        <v>794</v>
      </c>
      <c r="D59" s="26">
        <v>0</v>
      </c>
      <c r="E59" s="26">
        <v>0</v>
      </c>
      <c r="F59" s="27">
        <v>0</v>
      </c>
      <c r="G59" s="26">
        <v>0</v>
      </c>
      <c r="H59" s="26">
        <v>0</v>
      </c>
      <c r="I59" s="27">
        <v>0</v>
      </c>
      <c r="J59" s="26">
        <v>0</v>
      </c>
      <c r="K59" s="26">
        <v>0</v>
      </c>
      <c r="L59" s="67">
        <v>1</v>
      </c>
      <c r="N59" s="8"/>
      <c r="O59" s="2" t="s">
        <v>837</v>
      </c>
      <c r="P59" s="26">
        <v>1</v>
      </c>
      <c r="Q59" s="27">
        <v>0</v>
      </c>
      <c r="R59" s="30">
        <v>0</v>
      </c>
      <c r="S59" s="27">
        <v>0</v>
      </c>
      <c r="T59" s="30">
        <v>0</v>
      </c>
      <c r="U59" s="34">
        <v>1</v>
      </c>
      <c r="V59" s="34">
        <v>1</v>
      </c>
      <c r="X59" s="8"/>
      <c r="Y59" s="2"/>
      <c r="Z59" s="26"/>
      <c r="AA59" s="26"/>
      <c r="AB59" s="26"/>
      <c r="AC59" s="26"/>
      <c r="AD59" s="27"/>
      <c r="AE59" s="30"/>
      <c r="AF59" s="26"/>
      <c r="AG59" s="26"/>
      <c r="AH59" s="32"/>
      <c r="AJ59" s="8"/>
      <c r="AK59" s="2"/>
      <c r="AL59" s="26"/>
      <c r="AM59" s="26"/>
      <c r="AN59" s="26"/>
      <c r="AO59" s="27"/>
      <c r="AP59" s="30"/>
      <c r="AQ59" s="26"/>
      <c r="AR59" s="26"/>
      <c r="AS59" s="32"/>
      <c r="AT59" s="34"/>
    </row>
    <row r="60" spans="2:46" x14ac:dyDescent="0.3">
      <c r="B60" s="8"/>
      <c r="C60" s="2" t="s">
        <v>795</v>
      </c>
      <c r="D60" s="26">
        <v>0</v>
      </c>
      <c r="E60" s="26">
        <v>0</v>
      </c>
      <c r="F60" s="27">
        <v>0</v>
      </c>
      <c r="G60" s="26">
        <v>0</v>
      </c>
      <c r="H60" s="26">
        <v>0</v>
      </c>
      <c r="I60" s="27">
        <v>0</v>
      </c>
      <c r="J60" s="26">
        <v>0</v>
      </c>
      <c r="K60" s="26">
        <v>0</v>
      </c>
      <c r="L60" s="67">
        <v>1</v>
      </c>
      <c r="N60" s="8"/>
      <c r="O60" s="2" t="s">
        <v>838</v>
      </c>
      <c r="P60" s="26">
        <v>1</v>
      </c>
      <c r="Q60" s="27">
        <v>0</v>
      </c>
      <c r="R60" s="30">
        <v>0</v>
      </c>
      <c r="S60" s="27">
        <v>0</v>
      </c>
      <c r="T60" s="30">
        <v>0</v>
      </c>
      <c r="U60" s="34">
        <v>1</v>
      </c>
      <c r="V60" s="34">
        <v>1</v>
      </c>
      <c r="X60" s="8"/>
      <c r="Y60" s="2"/>
      <c r="Z60" s="26"/>
      <c r="AA60" s="26"/>
      <c r="AB60" s="26"/>
      <c r="AC60" s="26"/>
      <c r="AD60" s="27"/>
      <c r="AE60" s="30"/>
      <c r="AF60" s="26"/>
      <c r="AG60" s="26"/>
      <c r="AH60" s="32"/>
      <c r="AJ60" s="8"/>
      <c r="AK60" s="2"/>
      <c r="AL60" s="26"/>
      <c r="AM60" s="26"/>
      <c r="AN60" s="26"/>
      <c r="AO60" s="27"/>
      <c r="AP60" s="30"/>
      <c r="AQ60" s="26"/>
      <c r="AR60" s="26"/>
      <c r="AS60" s="32"/>
      <c r="AT60" s="34"/>
    </row>
    <row r="61" spans="2:46" x14ac:dyDescent="0.3">
      <c r="B61" s="8"/>
      <c r="C61" s="2" t="s">
        <v>796</v>
      </c>
      <c r="D61" s="26">
        <v>0</v>
      </c>
      <c r="E61" s="26">
        <v>0</v>
      </c>
      <c r="F61" s="27">
        <v>0</v>
      </c>
      <c r="G61" s="26">
        <v>0</v>
      </c>
      <c r="H61" s="26">
        <v>0</v>
      </c>
      <c r="I61" s="27">
        <v>0</v>
      </c>
      <c r="J61" s="26">
        <v>0</v>
      </c>
      <c r="K61" s="26">
        <v>0</v>
      </c>
      <c r="L61" s="67">
        <v>1</v>
      </c>
      <c r="N61" s="8"/>
      <c r="O61" s="2" t="s">
        <v>839</v>
      </c>
      <c r="P61" s="26">
        <v>1</v>
      </c>
      <c r="Q61" s="27">
        <v>0</v>
      </c>
      <c r="R61" s="30">
        <v>0</v>
      </c>
      <c r="S61" s="27">
        <v>0</v>
      </c>
      <c r="T61" s="30">
        <v>0</v>
      </c>
      <c r="U61" s="34">
        <v>1</v>
      </c>
      <c r="V61" s="34">
        <v>1</v>
      </c>
      <c r="X61" s="8"/>
      <c r="Y61" s="2"/>
      <c r="Z61" s="26"/>
      <c r="AA61" s="26"/>
      <c r="AB61" s="26"/>
      <c r="AC61" s="26"/>
      <c r="AD61" s="27"/>
      <c r="AE61" s="30"/>
      <c r="AF61" s="26"/>
      <c r="AG61" s="26"/>
      <c r="AH61" s="32"/>
      <c r="AJ61" s="8"/>
      <c r="AK61" s="2"/>
      <c r="AL61" s="26"/>
      <c r="AM61" s="26"/>
      <c r="AN61" s="26"/>
      <c r="AO61" s="27"/>
      <c r="AP61" s="30"/>
      <c r="AQ61" s="26"/>
      <c r="AR61" s="26"/>
      <c r="AS61" s="32"/>
      <c r="AT61" s="34"/>
    </row>
    <row r="62" spans="2:46" x14ac:dyDescent="0.3">
      <c r="B62" s="8"/>
      <c r="C62" s="2" t="s">
        <v>797</v>
      </c>
      <c r="D62" s="26">
        <v>0</v>
      </c>
      <c r="E62" s="26">
        <v>0</v>
      </c>
      <c r="F62" s="27">
        <v>0</v>
      </c>
      <c r="G62" s="26">
        <v>0</v>
      </c>
      <c r="H62" s="26">
        <v>0</v>
      </c>
      <c r="I62" s="27">
        <v>0</v>
      </c>
      <c r="J62" s="26">
        <v>0</v>
      </c>
      <c r="K62" s="26">
        <v>0</v>
      </c>
      <c r="L62" s="67">
        <v>1</v>
      </c>
      <c r="N62" s="8"/>
      <c r="O62" s="2" t="s">
        <v>840</v>
      </c>
      <c r="P62" s="26">
        <v>1</v>
      </c>
      <c r="Q62" s="27">
        <v>0</v>
      </c>
      <c r="R62" s="30">
        <v>0</v>
      </c>
      <c r="S62" s="27">
        <v>0</v>
      </c>
      <c r="T62" s="30">
        <v>0</v>
      </c>
      <c r="U62" s="34">
        <v>1</v>
      </c>
      <c r="V62" s="34">
        <v>1</v>
      </c>
      <c r="X62" s="8"/>
      <c r="Y62" s="2"/>
      <c r="Z62" s="26"/>
      <c r="AA62" s="26"/>
      <c r="AB62" s="26"/>
      <c r="AC62" s="26"/>
      <c r="AD62" s="27"/>
      <c r="AE62" s="30"/>
      <c r="AF62" s="26"/>
      <c r="AG62" s="26"/>
      <c r="AH62" s="32"/>
      <c r="AJ62" s="8"/>
      <c r="AK62" s="2"/>
      <c r="AL62" s="26"/>
      <c r="AM62" s="26"/>
      <c r="AN62" s="26"/>
      <c r="AO62" s="27"/>
      <c r="AP62" s="30"/>
      <c r="AQ62" s="26"/>
      <c r="AR62" s="26"/>
      <c r="AS62" s="32"/>
      <c r="AT62" s="34"/>
    </row>
    <row r="63" spans="2:46" x14ac:dyDescent="0.3">
      <c r="B63" s="8"/>
      <c r="C63" s="2" t="s">
        <v>798</v>
      </c>
      <c r="D63" s="26">
        <v>0</v>
      </c>
      <c r="E63" s="26">
        <v>0</v>
      </c>
      <c r="F63" s="27">
        <v>0</v>
      </c>
      <c r="G63" s="26">
        <v>0</v>
      </c>
      <c r="H63" s="26">
        <v>0</v>
      </c>
      <c r="I63" s="27">
        <v>0</v>
      </c>
      <c r="J63" s="26">
        <v>0</v>
      </c>
      <c r="K63" s="26">
        <v>0</v>
      </c>
      <c r="L63" s="67">
        <v>1</v>
      </c>
      <c r="N63" s="8"/>
      <c r="O63" s="2" t="s">
        <v>841</v>
      </c>
      <c r="P63" s="26">
        <v>1</v>
      </c>
      <c r="Q63" s="27">
        <v>0</v>
      </c>
      <c r="R63" s="30">
        <v>0</v>
      </c>
      <c r="S63" s="27">
        <v>0</v>
      </c>
      <c r="T63" s="30">
        <v>0</v>
      </c>
      <c r="U63" s="34">
        <v>1</v>
      </c>
      <c r="V63" s="34">
        <v>1</v>
      </c>
      <c r="X63" s="8"/>
      <c r="Y63" s="2"/>
      <c r="Z63" s="26"/>
      <c r="AA63" s="26"/>
      <c r="AB63" s="26"/>
      <c r="AC63" s="26"/>
      <c r="AD63" s="27"/>
      <c r="AE63" s="30"/>
      <c r="AF63" s="26"/>
      <c r="AG63" s="26"/>
      <c r="AH63" s="32"/>
      <c r="AJ63" s="8"/>
      <c r="AK63" s="2"/>
      <c r="AL63" s="26"/>
      <c r="AM63" s="26"/>
      <c r="AN63" s="26"/>
      <c r="AO63" s="27"/>
      <c r="AP63" s="30"/>
      <c r="AQ63" s="26"/>
      <c r="AR63" s="26"/>
      <c r="AS63" s="32"/>
      <c r="AT63" s="34"/>
    </row>
    <row r="64" spans="2:46" x14ac:dyDescent="0.3">
      <c r="B64" s="8"/>
      <c r="C64" s="2" t="s">
        <v>730</v>
      </c>
      <c r="D64" s="26">
        <v>0</v>
      </c>
      <c r="E64" s="26">
        <v>0</v>
      </c>
      <c r="F64" s="27">
        <v>0</v>
      </c>
      <c r="G64" s="26">
        <v>0</v>
      </c>
      <c r="H64" s="26">
        <v>0</v>
      </c>
      <c r="I64" s="27">
        <v>0</v>
      </c>
      <c r="J64" s="26">
        <v>0</v>
      </c>
      <c r="K64" s="26">
        <v>0</v>
      </c>
      <c r="L64" s="67">
        <v>1</v>
      </c>
      <c r="N64" s="8"/>
      <c r="O64" s="2" t="s">
        <v>666</v>
      </c>
      <c r="P64" s="26">
        <v>1</v>
      </c>
      <c r="Q64" s="27">
        <v>0</v>
      </c>
      <c r="R64" s="30">
        <v>0</v>
      </c>
      <c r="S64" s="27">
        <v>0</v>
      </c>
      <c r="T64" s="30">
        <v>0</v>
      </c>
      <c r="U64" s="34">
        <v>1</v>
      </c>
      <c r="V64" s="34">
        <v>1</v>
      </c>
      <c r="X64" s="8"/>
      <c r="Y64" s="2"/>
      <c r="Z64" s="26"/>
      <c r="AA64" s="26"/>
      <c r="AB64" s="26"/>
      <c r="AC64" s="26"/>
      <c r="AD64" s="27"/>
      <c r="AE64" s="30"/>
      <c r="AF64" s="26"/>
      <c r="AG64" s="26"/>
      <c r="AH64" s="32"/>
      <c r="AJ64" s="8"/>
      <c r="AK64" s="2"/>
      <c r="AL64" s="26"/>
      <c r="AM64" s="26"/>
      <c r="AN64" s="26"/>
      <c r="AO64" s="27"/>
      <c r="AP64" s="30"/>
      <c r="AQ64" s="26"/>
      <c r="AR64" s="26"/>
      <c r="AS64" s="32"/>
      <c r="AT64" s="34"/>
    </row>
    <row r="65" spans="2:46" x14ac:dyDescent="0.3">
      <c r="B65" s="8"/>
      <c r="C65" s="2" t="s">
        <v>799</v>
      </c>
      <c r="D65" s="26">
        <v>0</v>
      </c>
      <c r="E65" s="26">
        <v>0</v>
      </c>
      <c r="F65" s="27">
        <v>0</v>
      </c>
      <c r="G65" s="26">
        <v>0</v>
      </c>
      <c r="H65" s="26">
        <v>0</v>
      </c>
      <c r="I65" s="27">
        <v>0</v>
      </c>
      <c r="J65" s="26">
        <v>0</v>
      </c>
      <c r="K65" s="26">
        <v>0</v>
      </c>
      <c r="L65" s="67">
        <v>1</v>
      </c>
      <c r="N65" s="8"/>
      <c r="O65" s="2" t="s">
        <v>842</v>
      </c>
      <c r="P65" s="26">
        <v>1</v>
      </c>
      <c r="Q65" s="27">
        <v>0</v>
      </c>
      <c r="R65" s="30">
        <v>0</v>
      </c>
      <c r="S65" s="27">
        <v>0</v>
      </c>
      <c r="T65" s="30">
        <v>0</v>
      </c>
      <c r="U65" s="34">
        <v>1</v>
      </c>
      <c r="V65" s="34">
        <v>1</v>
      </c>
      <c r="X65" s="8"/>
      <c r="Y65" s="2"/>
      <c r="Z65" s="26"/>
      <c r="AA65" s="26"/>
      <c r="AB65" s="26"/>
      <c r="AC65" s="26"/>
      <c r="AD65" s="27"/>
      <c r="AE65" s="30"/>
      <c r="AF65" s="26"/>
      <c r="AG65" s="26"/>
      <c r="AH65" s="32"/>
      <c r="AJ65" s="8"/>
      <c r="AK65" s="2"/>
      <c r="AL65" s="26"/>
      <c r="AM65" s="26"/>
      <c r="AN65" s="26"/>
      <c r="AO65" s="27"/>
      <c r="AP65" s="30"/>
      <c r="AQ65" s="26"/>
      <c r="AR65" s="26"/>
      <c r="AS65" s="32"/>
      <c r="AT65" s="34"/>
    </row>
    <row r="66" spans="2:46" x14ac:dyDescent="0.3">
      <c r="B66" s="8"/>
      <c r="C66" s="2" t="s">
        <v>731</v>
      </c>
      <c r="D66" s="26">
        <v>0</v>
      </c>
      <c r="E66" s="26">
        <v>0</v>
      </c>
      <c r="F66" s="27">
        <v>0</v>
      </c>
      <c r="G66" s="26">
        <v>0</v>
      </c>
      <c r="H66" s="26">
        <v>0</v>
      </c>
      <c r="I66" s="27">
        <v>0</v>
      </c>
      <c r="J66" s="26">
        <v>0</v>
      </c>
      <c r="K66" s="26">
        <v>0</v>
      </c>
      <c r="L66" s="67">
        <v>1</v>
      </c>
      <c r="N66" s="8"/>
      <c r="O66" s="2" t="s">
        <v>667</v>
      </c>
      <c r="P66" s="26">
        <v>1</v>
      </c>
      <c r="Q66" s="27">
        <v>0</v>
      </c>
      <c r="R66" s="30">
        <v>0</v>
      </c>
      <c r="S66" s="27">
        <v>0</v>
      </c>
      <c r="T66" s="30">
        <v>0</v>
      </c>
      <c r="U66" s="34">
        <v>1</v>
      </c>
      <c r="V66" s="34">
        <v>1</v>
      </c>
      <c r="X66" s="8"/>
      <c r="Y66" s="2"/>
      <c r="Z66" s="26"/>
      <c r="AA66" s="26"/>
      <c r="AB66" s="26"/>
      <c r="AC66" s="26"/>
      <c r="AD66" s="27"/>
      <c r="AE66" s="30"/>
      <c r="AF66" s="26"/>
      <c r="AG66" s="26"/>
      <c r="AH66" s="32"/>
      <c r="AJ66" s="8"/>
      <c r="AK66" s="2"/>
      <c r="AL66" s="26"/>
      <c r="AM66" s="26"/>
      <c r="AN66" s="26"/>
      <c r="AO66" s="27"/>
      <c r="AP66" s="30"/>
      <c r="AQ66" s="26"/>
      <c r="AR66" s="26"/>
      <c r="AS66" s="32"/>
      <c r="AT66" s="34"/>
    </row>
    <row r="67" spans="2:46" x14ac:dyDescent="0.3">
      <c r="B67" s="8"/>
      <c r="C67" s="2" t="s">
        <v>800</v>
      </c>
      <c r="D67" s="26">
        <v>0</v>
      </c>
      <c r="E67" s="26">
        <v>0</v>
      </c>
      <c r="F67" s="27">
        <v>0</v>
      </c>
      <c r="G67" s="26">
        <v>0</v>
      </c>
      <c r="H67" s="26">
        <v>0</v>
      </c>
      <c r="I67" s="27">
        <v>0</v>
      </c>
      <c r="J67" s="26">
        <v>0</v>
      </c>
      <c r="K67" s="26">
        <v>0</v>
      </c>
      <c r="L67" s="67">
        <v>1</v>
      </c>
      <c r="N67" s="8"/>
      <c r="O67" s="2" t="s">
        <v>843</v>
      </c>
      <c r="P67" s="26">
        <v>1</v>
      </c>
      <c r="Q67" s="27">
        <v>0</v>
      </c>
      <c r="R67" s="30">
        <v>0</v>
      </c>
      <c r="S67" s="27">
        <v>0</v>
      </c>
      <c r="T67" s="30">
        <v>0</v>
      </c>
      <c r="U67" s="34">
        <v>1</v>
      </c>
      <c r="V67" s="34">
        <v>1</v>
      </c>
      <c r="X67" s="8"/>
      <c r="Y67" s="2"/>
      <c r="Z67" s="26"/>
      <c r="AA67" s="26"/>
      <c r="AB67" s="26"/>
      <c r="AC67" s="26"/>
      <c r="AD67" s="27"/>
      <c r="AE67" s="30"/>
      <c r="AF67" s="26"/>
      <c r="AG67" s="26"/>
      <c r="AH67" s="32"/>
      <c r="AJ67" s="8"/>
      <c r="AK67" s="2"/>
      <c r="AL67" s="26"/>
      <c r="AM67" s="26"/>
      <c r="AN67" s="26"/>
      <c r="AO67" s="27"/>
      <c r="AP67" s="30"/>
      <c r="AQ67" s="26"/>
      <c r="AR67" s="26"/>
      <c r="AS67" s="32"/>
      <c r="AT67" s="34"/>
    </row>
    <row r="68" spans="2:46" x14ac:dyDescent="0.3">
      <c r="B68" s="8"/>
      <c r="C68" s="2" t="s">
        <v>982</v>
      </c>
      <c r="D68" s="26">
        <v>0</v>
      </c>
      <c r="E68" s="26">
        <v>0</v>
      </c>
      <c r="F68" s="27">
        <v>0</v>
      </c>
      <c r="G68" s="26">
        <v>0</v>
      </c>
      <c r="H68" s="26">
        <v>0</v>
      </c>
      <c r="I68" s="27">
        <v>0</v>
      </c>
      <c r="J68" s="26">
        <v>0</v>
      </c>
      <c r="K68" s="26">
        <v>0</v>
      </c>
      <c r="L68" s="67">
        <v>1</v>
      </c>
      <c r="N68" s="8"/>
      <c r="O68" s="2" t="s">
        <v>952</v>
      </c>
      <c r="P68" s="26">
        <v>1</v>
      </c>
      <c r="Q68" s="27">
        <v>0</v>
      </c>
      <c r="R68" s="30">
        <v>0</v>
      </c>
      <c r="S68" s="27">
        <v>0</v>
      </c>
      <c r="T68" s="30">
        <v>0</v>
      </c>
      <c r="U68" s="34">
        <v>1</v>
      </c>
      <c r="V68" s="34">
        <v>1</v>
      </c>
      <c r="X68" s="8"/>
      <c r="Y68" s="2"/>
      <c r="Z68" s="26"/>
      <c r="AA68" s="26"/>
      <c r="AB68" s="26"/>
      <c r="AC68" s="26"/>
      <c r="AD68" s="27"/>
      <c r="AE68" s="30"/>
      <c r="AF68" s="26"/>
      <c r="AG68" s="26"/>
      <c r="AH68" s="32"/>
      <c r="AJ68" s="8"/>
      <c r="AK68" s="2"/>
      <c r="AL68" s="26"/>
      <c r="AM68" s="26"/>
      <c r="AN68" s="26"/>
      <c r="AO68" s="27"/>
      <c r="AP68" s="30"/>
      <c r="AQ68" s="26"/>
      <c r="AR68" s="26"/>
      <c r="AS68" s="32"/>
      <c r="AT68" s="34"/>
    </row>
    <row r="69" spans="2:46" x14ac:dyDescent="0.3">
      <c r="B69" s="8"/>
      <c r="C69" s="2" t="s">
        <v>983</v>
      </c>
      <c r="D69" s="26">
        <v>0</v>
      </c>
      <c r="E69" s="26">
        <v>0</v>
      </c>
      <c r="F69" s="27">
        <v>0</v>
      </c>
      <c r="G69" s="26">
        <v>0</v>
      </c>
      <c r="H69" s="26">
        <v>0</v>
      </c>
      <c r="I69" s="27">
        <v>0</v>
      </c>
      <c r="J69" s="26">
        <v>0</v>
      </c>
      <c r="K69" s="26">
        <v>0</v>
      </c>
      <c r="L69" s="67">
        <v>1</v>
      </c>
      <c r="N69" s="8"/>
      <c r="O69" s="2" t="s">
        <v>953</v>
      </c>
      <c r="P69" s="26">
        <v>1</v>
      </c>
      <c r="Q69" s="27">
        <v>0</v>
      </c>
      <c r="R69" s="30">
        <v>0</v>
      </c>
      <c r="S69" s="27">
        <v>0</v>
      </c>
      <c r="T69" s="30">
        <v>0</v>
      </c>
      <c r="U69" s="34">
        <v>1</v>
      </c>
      <c r="V69" s="34">
        <v>1</v>
      </c>
      <c r="X69" s="8"/>
      <c r="Y69" s="2"/>
      <c r="Z69" s="26"/>
      <c r="AA69" s="26"/>
      <c r="AB69" s="26"/>
      <c r="AC69" s="26"/>
      <c r="AD69" s="27"/>
      <c r="AE69" s="30"/>
      <c r="AF69" s="26"/>
      <c r="AG69" s="26"/>
      <c r="AH69" s="32"/>
      <c r="AJ69" s="8"/>
      <c r="AK69" s="2"/>
      <c r="AL69" s="26"/>
      <c r="AM69" s="26"/>
      <c r="AN69" s="26"/>
      <c r="AO69" s="27"/>
      <c r="AP69" s="30"/>
      <c r="AQ69" s="26"/>
      <c r="AR69" s="26"/>
      <c r="AS69" s="32"/>
      <c r="AT69" s="34"/>
    </row>
    <row r="70" spans="2:46" x14ac:dyDescent="0.3">
      <c r="B70" s="8"/>
      <c r="C70" s="2" t="s">
        <v>984</v>
      </c>
      <c r="D70" s="26">
        <v>0</v>
      </c>
      <c r="E70" s="26">
        <v>0</v>
      </c>
      <c r="F70" s="27">
        <v>0</v>
      </c>
      <c r="G70" s="26">
        <v>0</v>
      </c>
      <c r="H70" s="26">
        <v>0</v>
      </c>
      <c r="I70" s="27">
        <v>0</v>
      </c>
      <c r="J70" s="26">
        <v>0</v>
      </c>
      <c r="K70" s="26">
        <v>0</v>
      </c>
      <c r="L70" s="67">
        <v>1</v>
      </c>
      <c r="N70" s="8"/>
      <c r="O70" s="2" t="s">
        <v>954</v>
      </c>
      <c r="P70" s="26">
        <v>1</v>
      </c>
      <c r="Q70" s="27">
        <v>0</v>
      </c>
      <c r="R70" s="30">
        <v>0</v>
      </c>
      <c r="S70" s="27">
        <v>0</v>
      </c>
      <c r="T70" s="30">
        <v>0</v>
      </c>
      <c r="U70" s="34">
        <v>1</v>
      </c>
      <c r="V70" s="34">
        <v>1</v>
      </c>
      <c r="X70" s="8"/>
      <c r="Y70" s="2"/>
      <c r="Z70" s="26"/>
      <c r="AA70" s="26"/>
      <c r="AB70" s="26"/>
      <c r="AC70" s="26"/>
      <c r="AD70" s="27"/>
      <c r="AE70" s="30"/>
      <c r="AF70" s="26"/>
      <c r="AG70" s="26"/>
      <c r="AH70" s="32"/>
      <c r="AJ70" s="8"/>
      <c r="AK70" s="2"/>
      <c r="AL70" s="26"/>
      <c r="AM70" s="26"/>
      <c r="AN70" s="26"/>
      <c r="AO70" s="27"/>
      <c r="AP70" s="30"/>
      <c r="AQ70" s="26"/>
      <c r="AR70" s="26"/>
      <c r="AS70" s="32"/>
      <c r="AT70" s="34"/>
    </row>
    <row r="71" spans="2:46" x14ac:dyDescent="0.3">
      <c r="B71" s="8"/>
      <c r="C71" s="2" t="s">
        <v>732</v>
      </c>
      <c r="D71" s="26">
        <v>0</v>
      </c>
      <c r="E71" s="26">
        <v>0</v>
      </c>
      <c r="F71" s="27">
        <v>0</v>
      </c>
      <c r="G71" s="26">
        <v>0</v>
      </c>
      <c r="H71" s="26">
        <v>0</v>
      </c>
      <c r="I71" s="27">
        <v>0</v>
      </c>
      <c r="J71" s="26">
        <v>0</v>
      </c>
      <c r="K71" s="26">
        <v>0</v>
      </c>
      <c r="L71" s="67">
        <v>1</v>
      </c>
      <c r="N71" s="8"/>
      <c r="O71" s="2" t="s">
        <v>668</v>
      </c>
      <c r="P71" s="26">
        <v>1</v>
      </c>
      <c r="Q71" s="27">
        <v>0</v>
      </c>
      <c r="R71" s="30">
        <v>0</v>
      </c>
      <c r="S71" s="27">
        <v>0</v>
      </c>
      <c r="T71" s="30">
        <v>0</v>
      </c>
      <c r="U71" s="34">
        <v>1</v>
      </c>
      <c r="V71" s="34">
        <v>1</v>
      </c>
      <c r="X71" s="8"/>
      <c r="Y71" s="2"/>
      <c r="Z71" s="26"/>
      <c r="AA71" s="26"/>
      <c r="AB71" s="26"/>
      <c r="AC71" s="26"/>
      <c r="AD71" s="27"/>
      <c r="AE71" s="30"/>
      <c r="AF71" s="26"/>
      <c r="AG71" s="26"/>
      <c r="AH71" s="32"/>
      <c r="AJ71" s="8"/>
      <c r="AK71" s="2"/>
      <c r="AL71" s="26"/>
      <c r="AM71" s="26"/>
      <c r="AN71" s="26"/>
      <c r="AO71" s="27"/>
      <c r="AP71" s="30"/>
      <c r="AQ71" s="26"/>
      <c r="AR71" s="26"/>
      <c r="AS71" s="32"/>
      <c r="AT71" s="34"/>
    </row>
    <row r="72" spans="2:46" x14ac:dyDescent="0.3">
      <c r="B72" s="8"/>
      <c r="C72" s="2" t="s">
        <v>801</v>
      </c>
      <c r="D72" s="26">
        <v>0</v>
      </c>
      <c r="E72" s="26">
        <v>0</v>
      </c>
      <c r="F72" s="27">
        <v>0</v>
      </c>
      <c r="G72" s="26">
        <v>0</v>
      </c>
      <c r="H72" s="26">
        <v>0</v>
      </c>
      <c r="I72" s="27">
        <v>0</v>
      </c>
      <c r="J72" s="26">
        <v>0</v>
      </c>
      <c r="K72" s="26">
        <v>0</v>
      </c>
      <c r="L72" s="67">
        <v>1</v>
      </c>
      <c r="N72" s="8"/>
      <c r="O72" s="2" t="s">
        <v>844</v>
      </c>
      <c r="P72" s="26">
        <v>1</v>
      </c>
      <c r="Q72" s="27">
        <v>0</v>
      </c>
      <c r="R72" s="30">
        <v>0</v>
      </c>
      <c r="S72" s="27">
        <v>0</v>
      </c>
      <c r="T72" s="30">
        <v>0</v>
      </c>
      <c r="U72" s="34">
        <v>1</v>
      </c>
      <c r="V72" s="34">
        <v>1</v>
      </c>
      <c r="X72" s="8"/>
      <c r="Y72" s="2"/>
      <c r="Z72" s="26"/>
      <c r="AA72" s="26"/>
      <c r="AB72" s="26"/>
      <c r="AC72" s="26"/>
      <c r="AD72" s="27"/>
      <c r="AE72" s="30"/>
      <c r="AF72" s="26"/>
      <c r="AG72" s="26"/>
      <c r="AH72" s="32"/>
      <c r="AJ72" s="8"/>
      <c r="AK72" s="2"/>
      <c r="AL72" s="26"/>
      <c r="AM72" s="26"/>
      <c r="AN72" s="26"/>
      <c r="AO72" s="27"/>
      <c r="AP72" s="30"/>
      <c r="AQ72" s="26"/>
      <c r="AR72" s="26"/>
      <c r="AS72" s="32"/>
      <c r="AT72" s="34"/>
    </row>
    <row r="73" spans="2:46" x14ac:dyDescent="0.3">
      <c r="B73" s="8"/>
      <c r="C73" s="2" t="s">
        <v>802</v>
      </c>
      <c r="D73" s="26">
        <v>0</v>
      </c>
      <c r="E73" s="26">
        <v>0</v>
      </c>
      <c r="F73" s="27">
        <v>0</v>
      </c>
      <c r="G73" s="26">
        <v>0</v>
      </c>
      <c r="H73" s="26">
        <v>0</v>
      </c>
      <c r="I73" s="27">
        <v>0</v>
      </c>
      <c r="J73" s="26">
        <v>0</v>
      </c>
      <c r="K73" s="26">
        <v>0</v>
      </c>
      <c r="L73" s="67">
        <v>1</v>
      </c>
      <c r="N73" s="8"/>
      <c r="O73" s="2" t="s">
        <v>845</v>
      </c>
      <c r="P73" s="26">
        <v>1</v>
      </c>
      <c r="Q73" s="27">
        <v>0</v>
      </c>
      <c r="R73" s="30">
        <v>0</v>
      </c>
      <c r="S73" s="27">
        <v>0</v>
      </c>
      <c r="T73" s="30">
        <v>0</v>
      </c>
      <c r="U73" s="34">
        <v>1</v>
      </c>
      <c r="V73" s="34">
        <v>1</v>
      </c>
      <c r="X73" s="8"/>
      <c r="Y73" s="2"/>
      <c r="Z73" s="26"/>
      <c r="AA73" s="26"/>
      <c r="AB73" s="26"/>
      <c r="AC73" s="26"/>
      <c r="AD73" s="27"/>
      <c r="AE73" s="30"/>
      <c r="AF73" s="26"/>
      <c r="AG73" s="26"/>
      <c r="AH73" s="32"/>
      <c r="AJ73" s="8"/>
      <c r="AK73" s="2"/>
      <c r="AL73" s="26"/>
      <c r="AM73" s="26"/>
      <c r="AN73" s="26"/>
      <c r="AO73" s="27"/>
      <c r="AP73" s="30"/>
      <c r="AQ73" s="26"/>
      <c r="AR73" s="26"/>
      <c r="AS73" s="32"/>
      <c r="AT73" s="34"/>
    </row>
    <row r="74" spans="2:46" x14ac:dyDescent="0.3">
      <c r="B74" s="8"/>
      <c r="C74" s="2" t="s">
        <v>733</v>
      </c>
      <c r="D74" s="26">
        <v>0</v>
      </c>
      <c r="E74" s="26">
        <v>0</v>
      </c>
      <c r="F74" s="27">
        <v>0</v>
      </c>
      <c r="G74" s="26">
        <v>0</v>
      </c>
      <c r="H74" s="26">
        <v>0</v>
      </c>
      <c r="I74" s="27">
        <v>0</v>
      </c>
      <c r="J74" s="26">
        <v>0</v>
      </c>
      <c r="K74" s="26">
        <v>0</v>
      </c>
      <c r="L74" s="67">
        <v>1</v>
      </c>
      <c r="N74" s="8"/>
      <c r="O74" s="2" t="s">
        <v>669</v>
      </c>
      <c r="P74" s="26">
        <v>1</v>
      </c>
      <c r="Q74" s="27">
        <v>0</v>
      </c>
      <c r="R74" s="30">
        <v>0</v>
      </c>
      <c r="S74" s="27">
        <v>0</v>
      </c>
      <c r="T74" s="30">
        <v>0</v>
      </c>
      <c r="U74" s="34">
        <v>1</v>
      </c>
      <c r="V74" s="34">
        <v>1</v>
      </c>
      <c r="X74" s="8"/>
      <c r="Y74" s="2"/>
      <c r="Z74" s="26"/>
      <c r="AA74" s="26"/>
      <c r="AB74" s="26"/>
      <c r="AC74" s="26"/>
      <c r="AD74" s="27"/>
      <c r="AE74" s="30"/>
      <c r="AF74" s="26"/>
      <c r="AG74" s="26"/>
      <c r="AH74" s="32"/>
      <c r="AJ74" s="8"/>
      <c r="AK74" s="2"/>
      <c r="AL74" s="26"/>
      <c r="AM74" s="26"/>
      <c r="AN74" s="26"/>
      <c r="AO74" s="27"/>
      <c r="AP74" s="30"/>
      <c r="AQ74" s="26"/>
      <c r="AR74" s="26"/>
      <c r="AS74" s="32"/>
      <c r="AT74" s="34"/>
    </row>
    <row r="75" spans="2:46" x14ac:dyDescent="0.3">
      <c r="B75" s="8"/>
      <c r="C75" s="2" t="s">
        <v>803</v>
      </c>
      <c r="D75" s="26">
        <v>0</v>
      </c>
      <c r="E75" s="26">
        <v>0</v>
      </c>
      <c r="F75" s="27">
        <v>0</v>
      </c>
      <c r="G75" s="26">
        <v>0</v>
      </c>
      <c r="H75" s="26">
        <v>0</v>
      </c>
      <c r="I75" s="27">
        <v>0</v>
      </c>
      <c r="J75" s="26">
        <v>0</v>
      </c>
      <c r="K75" s="26">
        <v>0</v>
      </c>
      <c r="L75" s="67">
        <v>1</v>
      </c>
      <c r="N75" s="8"/>
      <c r="O75" s="2" t="s">
        <v>846</v>
      </c>
      <c r="P75" s="26">
        <v>1</v>
      </c>
      <c r="Q75" s="27">
        <v>0</v>
      </c>
      <c r="R75" s="30">
        <v>0</v>
      </c>
      <c r="S75" s="27">
        <v>0</v>
      </c>
      <c r="T75" s="30">
        <v>0</v>
      </c>
      <c r="U75" s="34">
        <v>1</v>
      </c>
      <c r="V75" s="34">
        <v>1</v>
      </c>
      <c r="X75" s="8"/>
      <c r="Y75" s="2"/>
      <c r="Z75" s="26"/>
      <c r="AA75" s="26"/>
      <c r="AB75" s="26"/>
      <c r="AC75" s="26"/>
      <c r="AD75" s="27"/>
      <c r="AE75" s="30"/>
      <c r="AF75" s="26"/>
      <c r="AG75" s="26"/>
      <c r="AH75" s="32"/>
      <c r="AJ75" s="8"/>
      <c r="AK75" s="2"/>
      <c r="AL75" s="26"/>
      <c r="AM75" s="26"/>
      <c r="AN75" s="26"/>
      <c r="AO75" s="27"/>
      <c r="AP75" s="30"/>
      <c r="AQ75" s="26"/>
      <c r="AR75" s="26"/>
      <c r="AS75" s="32"/>
      <c r="AT75" s="34"/>
    </row>
    <row r="76" spans="2:46" x14ac:dyDescent="0.3">
      <c r="B76" s="8"/>
      <c r="C76" s="2" t="s">
        <v>804</v>
      </c>
      <c r="D76" s="26">
        <v>0</v>
      </c>
      <c r="E76" s="26">
        <v>0</v>
      </c>
      <c r="F76" s="27">
        <v>0</v>
      </c>
      <c r="G76" s="26">
        <v>0</v>
      </c>
      <c r="H76" s="26">
        <v>0</v>
      </c>
      <c r="I76" s="27">
        <v>0</v>
      </c>
      <c r="J76" s="26">
        <v>0</v>
      </c>
      <c r="K76" s="26">
        <v>0</v>
      </c>
      <c r="L76" s="67">
        <v>1</v>
      </c>
      <c r="N76" s="8"/>
      <c r="O76" s="2" t="s">
        <v>847</v>
      </c>
      <c r="P76" s="26">
        <v>1</v>
      </c>
      <c r="Q76" s="27">
        <v>0</v>
      </c>
      <c r="R76" s="30">
        <v>0</v>
      </c>
      <c r="S76" s="27">
        <v>0</v>
      </c>
      <c r="T76" s="30">
        <v>0</v>
      </c>
      <c r="U76" s="34">
        <v>1</v>
      </c>
      <c r="V76" s="34">
        <v>1</v>
      </c>
      <c r="X76" s="8"/>
      <c r="Y76" s="2"/>
      <c r="Z76" s="26"/>
      <c r="AA76" s="26"/>
      <c r="AB76" s="26"/>
      <c r="AC76" s="26"/>
      <c r="AD76" s="27"/>
      <c r="AE76" s="30"/>
      <c r="AF76" s="26"/>
      <c r="AG76" s="26"/>
      <c r="AH76" s="32"/>
      <c r="AJ76" s="8"/>
      <c r="AK76" s="2"/>
      <c r="AL76" s="26"/>
      <c r="AM76" s="26"/>
      <c r="AN76" s="26"/>
      <c r="AO76" s="27"/>
      <c r="AP76" s="30"/>
      <c r="AQ76" s="26"/>
      <c r="AR76" s="26"/>
      <c r="AS76" s="32"/>
      <c r="AT76" s="34"/>
    </row>
    <row r="77" spans="2:46" x14ac:dyDescent="0.3">
      <c r="B77" s="8"/>
      <c r="C77" s="2" t="s">
        <v>805</v>
      </c>
      <c r="D77" s="26">
        <v>0</v>
      </c>
      <c r="E77" s="26">
        <v>0</v>
      </c>
      <c r="F77" s="27">
        <v>0</v>
      </c>
      <c r="G77" s="26">
        <v>0</v>
      </c>
      <c r="H77" s="26">
        <v>0</v>
      </c>
      <c r="I77" s="27">
        <v>0</v>
      </c>
      <c r="J77" s="26">
        <v>0</v>
      </c>
      <c r="K77" s="26">
        <v>0</v>
      </c>
      <c r="L77" s="67">
        <v>1</v>
      </c>
      <c r="N77" s="8"/>
      <c r="O77" s="2" t="s">
        <v>848</v>
      </c>
      <c r="P77" s="26">
        <v>1</v>
      </c>
      <c r="Q77" s="27">
        <v>0</v>
      </c>
      <c r="R77" s="30">
        <v>0</v>
      </c>
      <c r="S77" s="27">
        <v>0</v>
      </c>
      <c r="T77" s="30">
        <v>0</v>
      </c>
      <c r="U77" s="34">
        <v>1</v>
      </c>
      <c r="V77" s="34">
        <v>1</v>
      </c>
      <c r="X77" s="8"/>
      <c r="Y77" s="2"/>
      <c r="Z77" s="26"/>
      <c r="AA77" s="26"/>
      <c r="AB77" s="26"/>
      <c r="AC77" s="26"/>
      <c r="AD77" s="27"/>
      <c r="AE77" s="30"/>
      <c r="AF77" s="26"/>
      <c r="AG77" s="26"/>
      <c r="AH77" s="32"/>
      <c r="AJ77" s="8"/>
      <c r="AK77" s="2"/>
      <c r="AL77" s="26"/>
      <c r="AM77" s="26"/>
      <c r="AN77" s="26"/>
      <c r="AO77" s="27"/>
      <c r="AP77" s="30"/>
      <c r="AQ77" s="26"/>
      <c r="AR77" s="26"/>
      <c r="AS77" s="32"/>
      <c r="AT77" s="34"/>
    </row>
    <row r="78" spans="2:46" x14ac:dyDescent="0.3">
      <c r="B78" s="8"/>
      <c r="C78" s="2" t="s">
        <v>734</v>
      </c>
      <c r="D78" s="26">
        <v>0</v>
      </c>
      <c r="E78" s="26">
        <v>0</v>
      </c>
      <c r="F78" s="27">
        <v>0</v>
      </c>
      <c r="G78" s="26">
        <v>0</v>
      </c>
      <c r="H78" s="26">
        <v>0</v>
      </c>
      <c r="I78" s="27">
        <v>0</v>
      </c>
      <c r="J78" s="26">
        <v>0</v>
      </c>
      <c r="K78" s="26">
        <v>0</v>
      </c>
      <c r="L78" s="67">
        <v>1</v>
      </c>
      <c r="N78" s="8"/>
      <c r="O78" s="2" t="s">
        <v>670</v>
      </c>
      <c r="P78" s="26">
        <v>1</v>
      </c>
      <c r="Q78" s="27">
        <v>0</v>
      </c>
      <c r="R78" s="30">
        <v>0</v>
      </c>
      <c r="S78" s="27">
        <v>0</v>
      </c>
      <c r="T78" s="30">
        <v>0</v>
      </c>
      <c r="U78" s="34">
        <v>1</v>
      </c>
      <c r="V78" s="34">
        <v>1</v>
      </c>
      <c r="X78" s="8"/>
      <c r="Y78" s="2"/>
      <c r="Z78" s="26"/>
      <c r="AA78" s="26"/>
      <c r="AB78" s="26"/>
      <c r="AC78" s="26"/>
      <c r="AD78" s="27"/>
      <c r="AE78" s="30"/>
      <c r="AF78" s="26"/>
      <c r="AG78" s="26"/>
      <c r="AH78" s="32"/>
      <c r="AJ78" s="8"/>
      <c r="AK78" s="2"/>
      <c r="AL78" s="26"/>
      <c r="AM78" s="26"/>
      <c r="AN78" s="26"/>
      <c r="AO78" s="27"/>
      <c r="AP78" s="30"/>
      <c r="AQ78" s="26"/>
      <c r="AR78" s="26"/>
      <c r="AS78" s="32"/>
      <c r="AT78" s="34"/>
    </row>
    <row r="79" spans="2:46" x14ac:dyDescent="0.3">
      <c r="B79" s="8"/>
      <c r="C79" s="2" t="s">
        <v>735</v>
      </c>
      <c r="D79" s="26">
        <v>0</v>
      </c>
      <c r="E79" s="26">
        <v>0</v>
      </c>
      <c r="F79" s="27">
        <v>0</v>
      </c>
      <c r="G79" s="26">
        <v>0</v>
      </c>
      <c r="H79" s="26">
        <v>0</v>
      </c>
      <c r="I79" s="27">
        <v>0</v>
      </c>
      <c r="J79" s="26">
        <v>0</v>
      </c>
      <c r="K79" s="26">
        <v>0</v>
      </c>
      <c r="L79" s="67">
        <v>1</v>
      </c>
      <c r="N79" s="8"/>
      <c r="O79" s="2" t="s">
        <v>671</v>
      </c>
      <c r="P79" s="26">
        <v>1</v>
      </c>
      <c r="Q79" s="27">
        <v>0</v>
      </c>
      <c r="R79" s="30">
        <v>0</v>
      </c>
      <c r="S79" s="27">
        <v>0</v>
      </c>
      <c r="T79" s="30">
        <v>0</v>
      </c>
      <c r="U79" s="34">
        <v>1</v>
      </c>
      <c r="V79" s="34">
        <v>1</v>
      </c>
      <c r="X79" s="8"/>
      <c r="Y79" s="2"/>
      <c r="Z79" s="26"/>
      <c r="AA79" s="26"/>
      <c r="AB79" s="26"/>
      <c r="AC79" s="26"/>
      <c r="AD79" s="27"/>
      <c r="AE79" s="30"/>
      <c r="AF79" s="26"/>
      <c r="AG79" s="26"/>
      <c r="AH79" s="32"/>
      <c r="AJ79" s="8"/>
      <c r="AK79" s="2"/>
      <c r="AL79" s="26"/>
      <c r="AM79" s="26"/>
      <c r="AN79" s="26"/>
      <c r="AO79" s="27"/>
      <c r="AP79" s="30"/>
      <c r="AQ79" s="26"/>
      <c r="AR79" s="26"/>
      <c r="AS79" s="32"/>
      <c r="AT79" s="34"/>
    </row>
    <row r="80" spans="2:46" x14ac:dyDescent="0.3">
      <c r="B80" s="8"/>
      <c r="C80" s="2" t="s">
        <v>736</v>
      </c>
      <c r="D80" s="26">
        <v>0</v>
      </c>
      <c r="E80" s="26">
        <v>0</v>
      </c>
      <c r="F80" s="27">
        <v>0</v>
      </c>
      <c r="G80" s="26">
        <v>0</v>
      </c>
      <c r="H80" s="26">
        <v>0</v>
      </c>
      <c r="I80" s="27">
        <v>0</v>
      </c>
      <c r="J80" s="26">
        <v>0</v>
      </c>
      <c r="K80" s="26">
        <v>0</v>
      </c>
      <c r="L80" s="67">
        <v>1</v>
      </c>
      <c r="N80" s="8"/>
      <c r="O80" s="2" t="s">
        <v>672</v>
      </c>
      <c r="P80" s="26">
        <v>1</v>
      </c>
      <c r="Q80" s="27">
        <v>0</v>
      </c>
      <c r="R80" s="30">
        <v>0</v>
      </c>
      <c r="S80" s="27">
        <v>0</v>
      </c>
      <c r="T80" s="30">
        <v>0</v>
      </c>
      <c r="U80" s="34">
        <v>1</v>
      </c>
      <c r="V80" s="34">
        <v>1</v>
      </c>
      <c r="X80" s="8"/>
      <c r="Y80" s="2"/>
      <c r="Z80" s="26"/>
      <c r="AA80" s="26"/>
      <c r="AB80" s="26"/>
      <c r="AC80" s="26"/>
      <c r="AD80" s="27"/>
      <c r="AE80" s="30"/>
      <c r="AF80" s="26"/>
      <c r="AG80" s="26"/>
      <c r="AH80" s="32"/>
      <c r="AJ80" s="8"/>
      <c r="AK80" s="2"/>
      <c r="AL80" s="26"/>
      <c r="AM80" s="26"/>
      <c r="AN80" s="26"/>
      <c r="AO80" s="27"/>
      <c r="AP80" s="30"/>
      <c r="AQ80" s="26"/>
      <c r="AR80" s="26"/>
      <c r="AS80" s="32"/>
      <c r="AT80" s="34"/>
    </row>
    <row r="81" spans="2:46" x14ac:dyDescent="0.3">
      <c r="B81" s="8"/>
      <c r="C81" s="2" t="s">
        <v>737</v>
      </c>
      <c r="D81" s="26">
        <v>0</v>
      </c>
      <c r="E81" s="26">
        <v>0</v>
      </c>
      <c r="F81" s="27">
        <v>0</v>
      </c>
      <c r="G81" s="26">
        <v>0</v>
      </c>
      <c r="H81" s="26">
        <v>0</v>
      </c>
      <c r="I81" s="27">
        <v>0</v>
      </c>
      <c r="J81" s="26">
        <v>0</v>
      </c>
      <c r="K81" s="26">
        <v>0</v>
      </c>
      <c r="L81" s="67">
        <v>1</v>
      </c>
      <c r="N81" s="8"/>
      <c r="O81" s="2" t="s">
        <v>673</v>
      </c>
      <c r="P81" s="26">
        <v>1</v>
      </c>
      <c r="Q81" s="27">
        <v>0</v>
      </c>
      <c r="R81" s="30">
        <v>0</v>
      </c>
      <c r="S81" s="27">
        <v>0</v>
      </c>
      <c r="T81" s="30">
        <v>0</v>
      </c>
      <c r="U81" s="34">
        <v>1</v>
      </c>
      <c r="V81" s="34">
        <v>1</v>
      </c>
      <c r="X81" s="8"/>
      <c r="Y81" s="2"/>
      <c r="Z81" s="26"/>
      <c r="AA81" s="26"/>
      <c r="AB81" s="26"/>
      <c r="AC81" s="26"/>
      <c r="AD81" s="27"/>
      <c r="AE81" s="30"/>
      <c r="AF81" s="26"/>
      <c r="AG81" s="26"/>
      <c r="AH81" s="32"/>
      <c r="AJ81" s="8"/>
      <c r="AK81" s="2"/>
      <c r="AL81" s="26"/>
      <c r="AM81" s="26"/>
      <c r="AN81" s="26"/>
      <c r="AO81" s="27"/>
      <c r="AP81" s="30"/>
      <c r="AQ81" s="26"/>
      <c r="AR81" s="26"/>
      <c r="AS81" s="32"/>
      <c r="AT81" s="34"/>
    </row>
    <row r="82" spans="2:46" x14ac:dyDescent="0.3">
      <c r="B82" s="8"/>
      <c r="C82" s="2" t="s">
        <v>806</v>
      </c>
      <c r="D82" s="26">
        <v>0</v>
      </c>
      <c r="E82" s="26">
        <v>0</v>
      </c>
      <c r="F82" s="27">
        <v>0</v>
      </c>
      <c r="G82" s="26">
        <v>0</v>
      </c>
      <c r="H82" s="26">
        <v>0</v>
      </c>
      <c r="I82" s="27">
        <v>0</v>
      </c>
      <c r="J82" s="26">
        <v>0</v>
      </c>
      <c r="K82" s="26">
        <v>0</v>
      </c>
      <c r="L82" s="67">
        <v>1</v>
      </c>
      <c r="N82" s="8"/>
      <c r="O82" s="2" t="s">
        <v>849</v>
      </c>
      <c r="P82" s="26">
        <v>1</v>
      </c>
      <c r="Q82" s="27">
        <v>0</v>
      </c>
      <c r="R82" s="30">
        <v>0</v>
      </c>
      <c r="S82" s="27">
        <v>0</v>
      </c>
      <c r="T82" s="30">
        <v>0</v>
      </c>
      <c r="U82" s="34">
        <v>1</v>
      </c>
      <c r="V82" s="34">
        <v>1</v>
      </c>
      <c r="X82" s="8"/>
      <c r="Y82" s="2"/>
      <c r="Z82" s="26"/>
      <c r="AA82" s="26"/>
      <c r="AB82" s="26"/>
      <c r="AC82" s="26"/>
      <c r="AD82" s="27"/>
      <c r="AE82" s="30"/>
      <c r="AF82" s="26"/>
      <c r="AG82" s="26"/>
      <c r="AH82" s="32"/>
      <c r="AJ82" s="8"/>
      <c r="AK82" s="2"/>
      <c r="AL82" s="26"/>
      <c r="AM82" s="26"/>
      <c r="AN82" s="26"/>
      <c r="AO82" s="27"/>
      <c r="AP82" s="30"/>
      <c r="AQ82" s="26"/>
      <c r="AR82" s="26"/>
      <c r="AS82" s="32"/>
      <c r="AT82" s="34"/>
    </row>
    <row r="83" spans="2:46" x14ac:dyDescent="0.3">
      <c r="B83" s="8"/>
      <c r="C83" s="2" t="s">
        <v>807</v>
      </c>
      <c r="D83" s="26">
        <v>0</v>
      </c>
      <c r="E83" s="26">
        <v>0</v>
      </c>
      <c r="F83" s="27">
        <v>0</v>
      </c>
      <c r="G83" s="26">
        <v>0</v>
      </c>
      <c r="H83" s="26">
        <v>0</v>
      </c>
      <c r="I83" s="27">
        <v>0</v>
      </c>
      <c r="J83" s="26">
        <v>0</v>
      </c>
      <c r="K83" s="26">
        <v>0</v>
      </c>
      <c r="L83" s="67">
        <v>1</v>
      </c>
      <c r="N83" s="8"/>
      <c r="O83" s="2" t="s">
        <v>850</v>
      </c>
      <c r="P83" s="26">
        <v>1</v>
      </c>
      <c r="Q83" s="27">
        <v>0</v>
      </c>
      <c r="R83" s="30">
        <v>0</v>
      </c>
      <c r="S83" s="27">
        <v>0</v>
      </c>
      <c r="T83" s="30">
        <v>0</v>
      </c>
      <c r="U83" s="34">
        <v>1</v>
      </c>
      <c r="V83" s="34">
        <v>1</v>
      </c>
      <c r="X83" s="8"/>
      <c r="Y83" s="2"/>
      <c r="Z83" s="26"/>
      <c r="AA83" s="26"/>
      <c r="AB83" s="26"/>
      <c r="AC83" s="26"/>
      <c r="AD83" s="27"/>
      <c r="AE83" s="30"/>
      <c r="AF83" s="26"/>
      <c r="AG83" s="26"/>
      <c r="AH83" s="32"/>
      <c r="AJ83" s="8"/>
      <c r="AK83" s="2"/>
      <c r="AL83" s="26"/>
      <c r="AM83" s="26"/>
      <c r="AN83" s="26"/>
      <c r="AO83" s="27"/>
      <c r="AP83" s="30"/>
      <c r="AQ83" s="26"/>
      <c r="AR83" s="26"/>
      <c r="AS83" s="32"/>
      <c r="AT83" s="34"/>
    </row>
    <row r="84" spans="2:46" x14ac:dyDescent="0.3">
      <c r="B84" s="8"/>
      <c r="C84" s="2" t="s">
        <v>738</v>
      </c>
      <c r="D84" s="26">
        <v>0</v>
      </c>
      <c r="E84" s="26">
        <v>0</v>
      </c>
      <c r="F84" s="27">
        <v>0</v>
      </c>
      <c r="G84" s="26">
        <v>0</v>
      </c>
      <c r="H84" s="26">
        <v>0</v>
      </c>
      <c r="I84" s="27">
        <v>0</v>
      </c>
      <c r="J84" s="26">
        <v>0</v>
      </c>
      <c r="K84" s="26">
        <v>0</v>
      </c>
      <c r="L84" s="67">
        <v>1</v>
      </c>
      <c r="N84" s="8"/>
      <c r="O84" s="2" t="s">
        <v>674</v>
      </c>
      <c r="P84" s="26">
        <v>1</v>
      </c>
      <c r="Q84" s="27">
        <v>0</v>
      </c>
      <c r="R84" s="30">
        <v>0</v>
      </c>
      <c r="S84" s="27">
        <v>0</v>
      </c>
      <c r="T84" s="30">
        <v>0</v>
      </c>
      <c r="U84" s="34">
        <v>1</v>
      </c>
      <c r="V84" s="34">
        <v>1</v>
      </c>
      <c r="X84" s="8"/>
      <c r="Y84" s="2"/>
      <c r="Z84" s="26"/>
      <c r="AA84" s="26"/>
      <c r="AB84" s="26"/>
      <c r="AC84" s="26"/>
      <c r="AD84" s="27"/>
      <c r="AE84" s="30"/>
      <c r="AF84" s="26"/>
      <c r="AG84" s="26"/>
      <c r="AH84" s="32"/>
      <c r="AJ84" s="8"/>
      <c r="AK84" s="2"/>
      <c r="AL84" s="26"/>
      <c r="AM84" s="26"/>
      <c r="AN84" s="26"/>
      <c r="AO84" s="27"/>
      <c r="AP84" s="30"/>
      <c r="AQ84" s="26"/>
      <c r="AR84" s="26"/>
      <c r="AS84" s="32"/>
      <c r="AT84" s="34"/>
    </row>
    <row r="85" spans="2:46" x14ac:dyDescent="0.3">
      <c r="B85" s="8"/>
      <c r="C85" s="2" t="s">
        <v>739</v>
      </c>
      <c r="D85" s="26">
        <v>0</v>
      </c>
      <c r="E85" s="26">
        <v>0</v>
      </c>
      <c r="F85" s="27">
        <v>0</v>
      </c>
      <c r="G85" s="26">
        <v>0</v>
      </c>
      <c r="H85" s="26">
        <v>0</v>
      </c>
      <c r="I85" s="27">
        <v>0</v>
      </c>
      <c r="J85" s="26">
        <v>0</v>
      </c>
      <c r="K85" s="26">
        <v>0</v>
      </c>
      <c r="L85" s="67">
        <v>1</v>
      </c>
      <c r="N85" s="8"/>
      <c r="O85" s="2" t="s">
        <v>675</v>
      </c>
      <c r="P85" s="26">
        <v>1</v>
      </c>
      <c r="Q85" s="27">
        <v>0</v>
      </c>
      <c r="R85" s="30">
        <v>0</v>
      </c>
      <c r="S85" s="27">
        <v>0</v>
      </c>
      <c r="T85" s="30">
        <v>0</v>
      </c>
      <c r="U85" s="34">
        <v>1</v>
      </c>
      <c r="V85" s="34">
        <v>1</v>
      </c>
      <c r="X85" s="8"/>
      <c r="Y85" s="2"/>
      <c r="Z85" s="26"/>
      <c r="AA85" s="26"/>
      <c r="AB85" s="26"/>
      <c r="AC85" s="26"/>
      <c r="AD85" s="27"/>
      <c r="AE85" s="30"/>
      <c r="AF85" s="26"/>
      <c r="AG85" s="26"/>
      <c r="AH85" s="32"/>
      <c r="AJ85" s="8"/>
      <c r="AK85" s="2"/>
      <c r="AL85" s="26"/>
      <c r="AM85" s="26"/>
      <c r="AN85" s="26"/>
      <c r="AO85" s="27"/>
      <c r="AP85" s="30"/>
      <c r="AQ85" s="26"/>
      <c r="AR85" s="26"/>
      <c r="AS85" s="32"/>
      <c r="AT85" s="34"/>
    </row>
    <row r="86" spans="2:46" x14ac:dyDescent="0.3">
      <c r="B86" s="8"/>
      <c r="C86" s="2" t="s">
        <v>740</v>
      </c>
      <c r="D86" s="26">
        <v>0</v>
      </c>
      <c r="E86" s="26">
        <v>0</v>
      </c>
      <c r="F86" s="27">
        <v>0</v>
      </c>
      <c r="G86" s="26">
        <v>0</v>
      </c>
      <c r="H86" s="26">
        <v>0</v>
      </c>
      <c r="I86" s="27">
        <v>0</v>
      </c>
      <c r="J86" s="26">
        <v>0</v>
      </c>
      <c r="K86" s="26">
        <v>0</v>
      </c>
      <c r="L86" s="67">
        <v>1</v>
      </c>
      <c r="N86" s="8"/>
      <c r="O86" s="2" t="s">
        <v>676</v>
      </c>
      <c r="P86" s="26">
        <v>1</v>
      </c>
      <c r="Q86" s="27">
        <v>0</v>
      </c>
      <c r="R86" s="30">
        <v>0</v>
      </c>
      <c r="S86" s="27">
        <v>0</v>
      </c>
      <c r="T86" s="30">
        <v>0</v>
      </c>
      <c r="U86" s="34">
        <v>1</v>
      </c>
      <c r="V86" s="34">
        <v>1</v>
      </c>
      <c r="X86" s="8"/>
      <c r="Y86" s="2"/>
      <c r="Z86" s="26"/>
      <c r="AA86" s="26"/>
      <c r="AB86" s="26"/>
      <c r="AC86" s="26"/>
      <c r="AD86" s="27"/>
      <c r="AE86" s="30"/>
      <c r="AF86" s="26"/>
      <c r="AG86" s="26"/>
      <c r="AH86" s="32"/>
      <c r="AJ86" s="8"/>
      <c r="AK86" s="2"/>
      <c r="AL86" s="26"/>
      <c r="AM86" s="26"/>
      <c r="AN86" s="26"/>
      <c r="AO86" s="27"/>
      <c r="AP86" s="30"/>
      <c r="AQ86" s="26"/>
      <c r="AR86" s="26"/>
      <c r="AS86" s="32"/>
      <c r="AT86" s="34"/>
    </row>
    <row r="87" spans="2:46" x14ac:dyDescent="0.3">
      <c r="B87" s="8"/>
      <c r="C87" s="2" t="s">
        <v>741</v>
      </c>
      <c r="D87" s="26">
        <v>0</v>
      </c>
      <c r="E87" s="26">
        <v>0</v>
      </c>
      <c r="F87" s="27">
        <v>0</v>
      </c>
      <c r="G87" s="26">
        <v>0</v>
      </c>
      <c r="H87" s="26">
        <v>0</v>
      </c>
      <c r="I87" s="27">
        <v>0</v>
      </c>
      <c r="J87" s="26">
        <v>0</v>
      </c>
      <c r="K87" s="26">
        <v>0</v>
      </c>
      <c r="L87" s="67">
        <v>1</v>
      </c>
      <c r="N87" s="8"/>
      <c r="O87" s="2" t="s">
        <v>677</v>
      </c>
      <c r="P87" s="26">
        <v>1</v>
      </c>
      <c r="Q87" s="27">
        <v>0</v>
      </c>
      <c r="R87" s="30">
        <v>0</v>
      </c>
      <c r="S87" s="27">
        <v>0</v>
      </c>
      <c r="T87" s="30">
        <v>0</v>
      </c>
      <c r="U87" s="34">
        <v>1</v>
      </c>
      <c r="V87" s="34">
        <v>1</v>
      </c>
      <c r="X87" s="8"/>
      <c r="Y87" s="2"/>
      <c r="Z87" s="26"/>
      <c r="AA87" s="26"/>
      <c r="AB87" s="26"/>
      <c r="AC87" s="26"/>
      <c r="AD87" s="27"/>
      <c r="AE87" s="30"/>
      <c r="AF87" s="26"/>
      <c r="AG87" s="26"/>
      <c r="AH87" s="32"/>
      <c r="AJ87" s="8"/>
      <c r="AK87" s="2"/>
      <c r="AL87" s="26"/>
      <c r="AM87" s="26"/>
      <c r="AN87" s="26"/>
      <c r="AO87" s="27"/>
      <c r="AP87" s="30"/>
      <c r="AQ87" s="26"/>
      <c r="AR87" s="26"/>
      <c r="AS87" s="32"/>
      <c r="AT87" s="34"/>
    </row>
    <row r="88" spans="2:46" x14ac:dyDescent="0.3">
      <c r="B88" s="8"/>
      <c r="C88" s="2" t="s">
        <v>742</v>
      </c>
      <c r="D88" s="26">
        <v>0</v>
      </c>
      <c r="E88" s="26">
        <v>0</v>
      </c>
      <c r="F88" s="27">
        <v>0</v>
      </c>
      <c r="G88" s="26">
        <v>0</v>
      </c>
      <c r="H88" s="26">
        <v>0</v>
      </c>
      <c r="I88" s="27">
        <v>0</v>
      </c>
      <c r="J88" s="26">
        <v>0</v>
      </c>
      <c r="K88" s="26">
        <v>0</v>
      </c>
      <c r="L88" s="67">
        <v>1</v>
      </c>
      <c r="N88" s="8"/>
      <c r="O88" s="2" t="s">
        <v>678</v>
      </c>
      <c r="P88" s="26">
        <v>1</v>
      </c>
      <c r="Q88" s="27">
        <v>0</v>
      </c>
      <c r="R88" s="30">
        <v>0</v>
      </c>
      <c r="S88" s="27">
        <v>0</v>
      </c>
      <c r="T88" s="30">
        <v>0</v>
      </c>
      <c r="U88" s="34">
        <v>1</v>
      </c>
      <c r="V88" s="34">
        <v>1</v>
      </c>
      <c r="X88" s="8"/>
      <c r="Y88" s="2"/>
      <c r="Z88" s="26"/>
      <c r="AA88" s="26"/>
      <c r="AB88" s="26"/>
      <c r="AC88" s="26"/>
      <c r="AD88" s="27"/>
      <c r="AE88" s="30"/>
      <c r="AF88" s="26"/>
      <c r="AG88" s="26"/>
      <c r="AH88" s="32"/>
      <c r="AJ88" s="8"/>
      <c r="AK88" s="2"/>
      <c r="AL88" s="26"/>
      <c r="AM88" s="26"/>
      <c r="AN88" s="26"/>
      <c r="AO88" s="27"/>
      <c r="AP88" s="30"/>
      <c r="AQ88" s="26"/>
      <c r="AR88" s="26"/>
      <c r="AS88" s="32"/>
      <c r="AT88" s="34"/>
    </row>
    <row r="89" spans="2:46" x14ac:dyDescent="0.3">
      <c r="B89" s="8"/>
      <c r="C89" s="2" t="s">
        <v>743</v>
      </c>
      <c r="D89" s="26">
        <v>0</v>
      </c>
      <c r="E89" s="26">
        <v>0</v>
      </c>
      <c r="F89" s="27">
        <v>0</v>
      </c>
      <c r="G89" s="26">
        <v>0</v>
      </c>
      <c r="H89" s="26">
        <v>0</v>
      </c>
      <c r="I89" s="27">
        <v>0</v>
      </c>
      <c r="J89" s="26">
        <v>0</v>
      </c>
      <c r="K89" s="26">
        <v>0</v>
      </c>
      <c r="L89" s="67">
        <v>1</v>
      </c>
      <c r="N89" s="8"/>
      <c r="O89" s="2" t="s">
        <v>679</v>
      </c>
      <c r="P89" s="26">
        <v>1</v>
      </c>
      <c r="Q89" s="27">
        <v>0</v>
      </c>
      <c r="R89" s="30">
        <v>0</v>
      </c>
      <c r="S89" s="27">
        <v>0</v>
      </c>
      <c r="T89" s="30">
        <v>0</v>
      </c>
      <c r="U89" s="34">
        <v>1</v>
      </c>
      <c r="V89" s="34">
        <v>1</v>
      </c>
      <c r="X89" s="8"/>
      <c r="Y89" s="2"/>
      <c r="Z89" s="26"/>
      <c r="AA89" s="26"/>
      <c r="AB89" s="26"/>
      <c r="AC89" s="26"/>
      <c r="AD89" s="27"/>
      <c r="AE89" s="30"/>
      <c r="AF89" s="26"/>
      <c r="AG89" s="26"/>
      <c r="AH89" s="32"/>
      <c r="AJ89" s="8"/>
      <c r="AK89" s="2"/>
      <c r="AL89" s="26"/>
      <c r="AM89" s="26"/>
      <c r="AN89" s="26"/>
      <c r="AO89" s="27"/>
      <c r="AP89" s="30"/>
      <c r="AQ89" s="26"/>
      <c r="AR89" s="26"/>
      <c r="AS89" s="32"/>
      <c r="AT89" s="34"/>
    </row>
    <row r="90" spans="2:46" x14ac:dyDescent="0.3">
      <c r="B90" s="8"/>
      <c r="C90" s="2" t="s">
        <v>744</v>
      </c>
      <c r="D90" s="26">
        <v>0</v>
      </c>
      <c r="E90" s="26">
        <v>0</v>
      </c>
      <c r="F90" s="27">
        <v>0</v>
      </c>
      <c r="G90" s="26">
        <v>0</v>
      </c>
      <c r="H90" s="26">
        <v>0</v>
      </c>
      <c r="I90" s="27">
        <v>0</v>
      </c>
      <c r="J90" s="26">
        <v>0</v>
      </c>
      <c r="K90" s="26">
        <v>0</v>
      </c>
      <c r="L90" s="67">
        <v>1</v>
      </c>
      <c r="N90" s="8"/>
      <c r="O90" s="2" t="s">
        <v>680</v>
      </c>
      <c r="P90" s="26">
        <v>1</v>
      </c>
      <c r="Q90" s="27">
        <v>0</v>
      </c>
      <c r="R90" s="30">
        <v>0</v>
      </c>
      <c r="S90" s="27">
        <v>0</v>
      </c>
      <c r="T90" s="30">
        <v>0</v>
      </c>
      <c r="U90" s="34">
        <v>1</v>
      </c>
      <c r="V90" s="34">
        <v>1</v>
      </c>
      <c r="X90" s="8"/>
      <c r="Y90" s="2"/>
      <c r="Z90" s="26"/>
      <c r="AA90" s="26"/>
      <c r="AB90" s="26"/>
      <c r="AC90" s="26"/>
      <c r="AD90" s="27"/>
      <c r="AE90" s="30"/>
      <c r="AF90" s="26"/>
      <c r="AG90" s="26"/>
      <c r="AH90" s="32"/>
      <c r="AJ90" s="8"/>
      <c r="AK90" s="2"/>
      <c r="AL90" s="26"/>
      <c r="AM90" s="26"/>
      <c r="AN90" s="26"/>
      <c r="AO90" s="27"/>
      <c r="AP90" s="30"/>
      <c r="AQ90" s="26"/>
      <c r="AR90" s="26"/>
      <c r="AS90" s="32"/>
      <c r="AT90" s="34"/>
    </row>
    <row r="91" spans="2:46" x14ac:dyDescent="0.3">
      <c r="B91" s="8"/>
      <c r="C91" s="2" t="s">
        <v>808</v>
      </c>
      <c r="D91" s="26">
        <v>0</v>
      </c>
      <c r="E91" s="26">
        <v>0</v>
      </c>
      <c r="F91" s="27">
        <v>0</v>
      </c>
      <c r="G91" s="26">
        <v>0</v>
      </c>
      <c r="H91" s="26">
        <v>0</v>
      </c>
      <c r="I91" s="27">
        <v>0</v>
      </c>
      <c r="J91" s="26">
        <v>0</v>
      </c>
      <c r="K91" s="26">
        <v>0</v>
      </c>
      <c r="L91" s="67">
        <v>1</v>
      </c>
      <c r="N91" s="8"/>
      <c r="O91" s="2" t="s">
        <v>851</v>
      </c>
      <c r="P91" s="26">
        <v>1</v>
      </c>
      <c r="Q91" s="27">
        <v>0</v>
      </c>
      <c r="R91" s="30">
        <v>0</v>
      </c>
      <c r="S91" s="27">
        <v>0</v>
      </c>
      <c r="T91" s="30">
        <v>0</v>
      </c>
      <c r="U91" s="34">
        <v>1</v>
      </c>
      <c r="V91" s="34">
        <v>1</v>
      </c>
      <c r="X91" s="8"/>
      <c r="Y91" s="2"/>
      <c r="Z91" s="26"/>
      <c r="AA91" s="26"/>
      <c r="AB91" s="26"/>
      <c r="AC91" s="26"/>
      <c r="AD91" s="27"/>
      <c r="AE91" s="30"/>
      <c r="AF91" s="26"/>
      <c r="AG91" s="26"/>
      <c r="AH91" s="32"/>
      <c r="AJ91" s="8"/>
      <c r="AK91" s="2"/>
      <c r="AL91" s="26"/>
      <c r="AM91" s="26"/>
      <c r="AN91" s="26"/>
      <c r="AO91" s="27"/>
      <c r="AP91" s="30"/>
      <c r="AQ91" s="26"/>
      <c r="AR91" s="26"/>
      <c r="AS91" s="32"/>
      <c r="AT91" s="34"/>
    </row>
    <row r="92" spans="2:46" x14ac:dyDescent="0.3">
      <c r="B92" s="8"/>
      <c r="C92" s="2" t="s">
        <v>745</v>
      </c>
      <c r="D92" s="26">
        <v>0</v>
      </c>
      <c r="E92" s="26">
        <v>0</v>
      </c>
      <c r="F92" s="27">
        <v>0</v>
      </c>
      <c r="G92" s="26">
        <v>0</v>
      </c>
      <c r="H92" s="26">
        <v>0</v>
      </c>
      <c r="I92" s="27">
        <v>0</v>
      </c>
      <c r="J92" s="26">
        <v>0</v>
      </c>
      <c r="K92" s="26">
        <v>0</v>
      </c>
      <c r="L92" s="67">
        <v>1</v>
      </c>
      <c r="N92" s="8"/>
      <c r="O92" s="2" t="s">
        <v>681</v>
      </c>
      <c r="P92" s="26">
        <v>1</v>
      </c>
      <c r="Q92" s="27">
        <v>0</v>
      </c>
      <c r="R92" s="30">
        <v>0</v>
      </c>
      <c r="S92" s="27">
        <v>0</v>
      </c>
      <c r="T92" s="30">
        <v>0</v>
      </c>
      <c r="U92" s="34">
        <v>1</v>
      </c>
      <c r="V92" s="34">
        <v>1</v>
      </c>
      <c r="X92" s="8"/>
      <c r="Y92" s="2"/>
      <c r="Z92" s="26"/>
      <c r="AA92" s="26"/>
      <c r="AB92" s="26"/>
      <c r="AC92" s="26"/>
      <c r="AD92" s="27"/>
      <c r="AE92" s="30"/>
      <c r="AF92" s="26"/>
      <c r="AG92" s="26"/>
      <c r="AH92" s="32"/>
      <c r="AJ92" s="8"/>
      <c r="AK92" s="2"/>
      <c r="AL92" s="26"/>
      <c r="AM92" s="26"/>
      <c r="AN92" s="26"/>
      <c r="AO92" s="27"/>
      <c r="AP92" s="30"/>
      <c r="AQ92" s="26"/>
      <c r="AR92" s="26"/>
      <c r="AS92" s="32"/>
      <c r="AT92" s="34"/>
    </row>
    <row r="93" spans="2:46" x14ac:dyDescent="0.3">
      <c r="B93" s="8"/>
      <c r="C93" s="2" t="s">
        <v>746</v>
      </c>
      <c r="D93" s="26">
        <v>0</v>
      </c>
      <c r="E93" s="26">
        <v>0</v>
      </c>
      <c r="F93" s="27">
        <v>0</v>
      </c>
      <c r="G93" s="26">
        <v>0</v>
      </c>
      <c r="H93" s="26">
        <v>0</v>
      </c>
      <c r="I93" s="27">
        <v>0</v>
      </c>
      <c r="J93" s="26">
        <v>0</v>
      </c>
      <c r="K93" s="26">
        <v>0</v>
      </c>
      <c r="L93" s="67">
        <v>1</v>
      </c>
      <c r="N93" s="8"/>
      <c r="O93" s="2" t="s">
        <v>682</v>
      </c>
      <c r="P93" s="26">
        <v>1</v>
      </c>
      <c r="Q93" s="27">
        <v>0</v>
      </c>
      <c r="R93" s="30">
        <v>0</v>
      </c>
      <c r="S93" s="27">
        <v>0</v>
      </c>
      <c r="T93" s="30">
        <v>0</v>
      </c>
      <c r="U93" s="34">
        <v>1</v>
      </c>
      <c r="V93" s="34">
        <v>1</v>
      </c>
      <c r="X93" s="8"/>
      <c r="Y93" s="2"/>
      <c r="Z93" s="26"/>
      <c r="AA93" s="26"/>
      <c r="AB93" s="26"/>
      <c r="AC93" s="26"/>
      <c r="AD93" s="27"/>
      <c r="AE93" s="30"/>
      <c r="AF93" s="26"/>
      <c r="AG93" s="26"/>
      <c r="AH93" s="32"/>
      <c r="AJ93" s="8"/>
      <c r="AK93" s="2"/>
      <c r="AL93" s="26"/>
      <c r="AM93" s="26"/>
      <c r="AN93" s="26"/>
      <c r="AO93" s="27"/>
      <c r="AP93" s="30"/>
      <c r="AQ93" s="26"/>
      <c r="AR93" s="26"/>
      <c r="AS93" s="32"/>
      <c r="AT93" s="34"/>
    </row>
    <row r="94" spans="2:46" x14ac:dyDescent="0.3">
      <c r="B94" s="8"/>
      <c r="C94" s="2" t="s">
        <v>747</v>
      </c>
      <c r="D94" s="26">
        <v>0</v>
      </c>
      <c r="E94" s="26">
        <v>0</v>
      </c>
      <c r="F94" s="27">
        <v>0</v>
      </c>
      <c r="G94" s="26">
        <v>0</v>
      </c>
      <c r="H94" s="26">
        <v>0</v>
      </c>
      <c r="I94" s="27">
        <v>0</v>
      </c>
      <c r="J94" s="26">
        <v>0</v>
      </c>
      <c r="K94" s="26">
        <v>0</v>
      </c>
      <c r="L94" s="67">
        <v>1</v>
      </c>
      <c r="N94" s="8"/>
      <c r="O94" s="2" t="s">
        <v>683</v>
      </c>
      <c r="P94" s="26">
        <v>1</v>
      </c>
      <c r="Q94" s="27">
        <v>0</v>
      </c>
      <c r="R94" s="30">
        <v>0</v>
      </c>
      <c r="S94" s="27">
        <v>0</v>
      </c>
      <c r="T94" s="30">
        <v>0</v>
      </c>
      <c r="U94" s="34">
        <v>1</v>
      </c>
      <c r="V94" s="34">
        <v>1</v>
      </c>
      <c r="X94" s="8"/>
      <c r="Y94" s="2"/>
      <c r="Z94" s="26"/>
      <c r="AA94" s="26"/>
      <c r="AB94" s="26"/>
      <c r="AC94" s="26"/>
      <c r="AD94" s="27"/>
      <c r="AE94" s="30"/>
      <c r="AF94" s="26"/>
      <c r="AG94" s="26"/>
      <c r="AH94" s="32"/>
      <c r="AJ94" s="8"/>
      <c r="AK94" s="2"/>
      <c r="AL94" s="26"/>
      <c r="AM94" s="26"/>
      <c r="AN94" s="26"/>
      <c r="AO94" s="27"/>
      <c r="AP94" s="30"/>
      <c r="AQ94" s="26"/>
      <c r="AR94" s="26"/>
      <c r="AS94" s="32"/>
      <c r="AT94" s="34"/>
    </row>
    <row r="95" spans="2:46" x14ac:dyDescent="0.3">
      <c r="B95" s="8"/>
      <c r="C95" s="2" t="s">
        <v>748</v>
      </c>
      <c r="D95" s="26">
        <v>0</v>
      </c>
      <c r="E95" s="26">
        <v>0</v>
      </c>
      <c r="F95" s="27">
        <v>0</v>
      </c>
      <c r="G95" s="26">
        <v>0</v>
      </c>
      <c r="H95" s="26">
        <v>0</v>
      </c>
      <c r="I95" s="27">
        <v>0</v>
      </c>
      <c r="J95" s="26">
        <v>0</v>
      </c>
      <c r="K95" s="26">
        <v>0</v>
      </c>
      <c r="L95" s="67">
        <v>1</v>
      </c>
      <c r="N95" s="8"/>
      <c r="O95" s="2" t="s">
        <v>684</v>
      </c>
      <c r="P95" s="26">
        <v>1</v>
      </c>
      <c r="Q95" s="27">
        <v>0</v>
      </c>
      <c r="R95" s="30">
        <v>0</v>
      </c>
      <c r="S95" s="27">
        <v>0</v>
      </c>
      <c r="T95" s="30">
        <v>0</v>
      </c>
      <c r="U95" s="34">
        <v>1</v>
      </c>
      <c r="V95" s="34">
        <v>1</v>
      </c>
      <c r="X95" s="8"/>
      <c r="Y95" s="2"/>
      <c r="Z95" s="26"/>
      <c r="AA95" s="26"/>
      <c r="AB95" s="26"/>
      <c r="AC95" s="26"/>
      <c r="AD95" s="27"/>
      <c r="AE95" s="30"/>
      <c r="AF95" s="26"/>
      <c r="AG95" s="26"/>
      <c r="AH95" s="32"/>
      <c r="AJ95" s="8"/>
      <c r="AK95" s="2"/>
      <c r="AL95" s="26"/>
      <c r="AM95" s="26"/>
      <c r="AN95" s="26"/>
      <c r="AO95" s="27"/>
      <c r="AP95" s="30"/>
      <c r="AQ95" s="26"/>
      <c r="AR95" s="26"/>
      <c r="AS95" s="32"/>
      <c r="AT95" s="34"/>
    </row>
    <row r="96" spans="2:46" x14ac:dyDescent="0.3">
      <c r="B96" s="8"/>
      <c r="C96" s="2" t="s">
        <v>749</v>
      </c>
      <c r="D96" s="26">
        <v>0</v>
      </c>
      <c r="E96" s="26">
        <v>0</v>
      </c>
      <c r="F96" s="27">
        <v>0</v>
      </c>
      <c r="G96" s="26">
        <v>0</v>
      </c>
      <c r="H96" s="26">
        <v>0</v>
      </c>
      <c r="I96" s="27">
        <v>0</v>
      </c>
      <c r="J96" s="26">
        <v>0</v>
      </c>
      <c r="K96" s="26">
        <v>0</v>
      </c>
      <c r="L96" s="67">
        <v>1</v>
      </c>
      <c r="N96" s="8"/>
      <c r="O96" s="2" t="s">
        <v>685</v>
      </c>
      <c r="P96" s="26">
        <v>1</v>
      </c>
      <c r="Q96" s="27">
        <v>0</v>
      </c>
      <c r="R96" s="30">
        <v>0</v>
      </c>
      <c r="S96" s="27">
        <v>0</v>
      </c>
      <c r="T96" s="30">
        <v>0</v>
      </c>
      <c r="U96" s="34">
        <v>1</v>
      </c>
      <c r="V96" s="34">
        <v>1</v>
      </c>
      <c r="X96" s="8"/>
      <c r="Y96" s="2"/>
      <c r="Z96" s="26"/>
      <c r="AA96" s="26"/>
      <c r="AB96" s="26"/>
      <c r="AC96" s="26"/>
      <c r="AD96" s="27"/>
      <c r="AE96" s="30"/>
      <c r="AF96" s="26"/>
      <c r="AG96" s="26"/>
      <c r="AH96" s="32"/>
      <c r="AJ96" s="8"/>
      <c r="AK96" s="2"/>
      <c r="AL96" s="26"/>
      <c r="AM96" s="26"/>
      <c r="AN96" s="26"/>
      <c r="AO96" s="27"/>
      <c r="AP96" s="30"/>
      <c r="AQ96" s="26"/>
      <c r="AR96" s="26"/>
      <c r="AS96" s="32"/>
      <c r="AT96" s="34"/>
    </row>
    <row r="97" spans="2:46" x14ac:dyDescent="0.3">
      <c r="B97" s="8"/>
      <c r="C97" s="2" t="s">
        <v>750</v>
      </c>
      <c r="D97" s="26">
        <v>0</v>
      </c>
      <c r="E97" s="26">
        <v>0</v>
      </c>
      <c r="F97" s="27">
        <v>0</v>
      </c>
      <c r="G97" s="26">
        <v>0</v>
      </c>
      <c r="H97" s="26">
        <v>0</v>
      </c>
      <c r="I97" s="27">
        <v>0</v>
      </c>
      <c r="J97" s="26">
        <v>0</v>
      </c>
      <c r="K97" s="26">
        <v>0</v>
      </c>
      <c r="L97" s="67">
        <v>1</v>
      </c>
      <c r="N97" s="8"/>
      <c r="O97" s="2" t="s">
        <v>686</v>
      </c>
      <c r="P97" s="26">
        <v>1</v>
      </c>
      <c r="Q97" s="27">
        <v>0</v>
      </c>
      <c r="R97" s="30">
        <v>0</v>
      </c>
      <c r="S97" s="27">
        <v>0</v>
      </c>
      <c r="T97" s="30">
        <v>0</v>
      </c>
      <c r="U97" s="34">
        <v>1</v>
      </c>
      <c r="V97" s="34">
        <v>1</v>
      </c>
      <c r="X97" s="8"/>
      <c r="Y97" s="2"/>
      <c r="Z97" s="26"/>
      <c r="AA97" s="26"/>
      <c r="AB97" s="26"/>
      <c r="AC97" s="26"/>
      <c r="AD97" s="27"/>
      <c r="AE97" s="30"/>
      <c r="AF97" s="26"/>
      <c r="AG97" s="26"/>
      <c r="AH97" s="32"/>
      <c r="AJ97" s="8"/>
      <c r="AK97" s="2"/>
      <c r="AL97" s="26"/>
      <c r="AM97" s="26"/>
      <c r="AN97" s="26"/>
      <c r="AO97" s="27"/>
      <c r="AP97" s="30"/>
      <c r="AQ97" s="26"/>
      <c r="AR97" s="26"/>
      <c r="AS97" s="32"/>
      <c r="AT97" s="34"/>
    </row>
    <row r="98" spans="2:46" x14ac:dyDescent="0.3">
      <c r="B98" s="8"/>
      <c r="C98" s="2" t="s">
        <v>751</v>
      </c>
      <c r="D98" s="26">
        <v>0</v>
      </c>
      <c r="E98" s="26">
        <v>0</v>
      </c>
      <c r="F98" s="27">
        <v>0</v>
      </c>
      <c r="G98" s="26">
        <v>0</v>
      </c>
      <c r="H98" s="26">
        <v>0</v>
      </c>
      <c r="I98" s="27">
        <v>0</v>
      </c>
      <c r="J98" s="26">
        <v>0</v>
      </c>
      <c r="K98" s="26">
        <v>0</v>
      </c>
      <c r="L98" s="67">
        <v>1</v>
      </c>
      <c r="N98" s="8"/>
      <c r="O98" s="2" t="s">
        <v>687</v>
      </c>
      <c r="P98" s="26">
        <v>1</v>
      </c>
      <c r="Q98" s="27">
        <v>0</v>
      </c>
      <c r="R98" s="30">
        <v>0</v>
      </c>
      <c r="S98" s="27">
        <v>0</v>
      </c>
      <c r="T98" s="30">
        <v>0</v>
      </c>
      <c r="U98" s="34">
        <v>1</v>
      </c>
      <c r="V98" s="34">
        <v>1</v>
      </c>
      <c r="X98" s="8"/>
      <c r="Y98" s="2"/>
      <c r="Z98" s="26"/>
      <c r="AA98" s="26"/>
      <c r="AB98" s="26"/>
      <c r="AC98" s="26"/>
      <c r="AD98" s="27"/>
      <c r="AE98" s="30"/>
      <c r="AF98" s="26"/>
      <c r="AG98" s="26"/>
      <c r="AH98" s="32"/>
      <c r="AJ98" s="8"/>
      <c r="AK98" s="2"/>
      <c r="AL98" s="26"/>
      <c r="AM98" s="26"/>
      <c r="AN98" s="26"/>
      <c r="AO98" s="27"/>
      <c r="AP98" s="30"/>
      <c r="AQ98" s="26"/>
      <c r="AR98" s="26"/>
      <c r="AS98" s="32"/>
      <c r="AT98" s="34"/>
    </row>
    <row r="99" spans="2:46" x14ac:dyDescent="0.3">
      <c r="B99" s="8"/>
      <c r="C99" s="2" t="s">
        <v>752</v>
      </c>
      <c r="D99" s="26">
        <v>0</v>
      </c>
      <c r="E99" s="26">
        <v>0</v>
      </c>
      <c r="F99" s="27">
        <v>0</v>
      </c>
      <c r="G99" s="26">
        <v>0</v>
      </c>
      <c r="H99" s="26">
        <v>0</v>
      </c>
      <c r="I99" s="27">
        <v>0</v>
      </c>
      <c r="J99" s="26">
        <v>0</v>
      </c>
      <c r="K99" s="26">
        <v>0</v>
      </c>
      <c r="L99" s="67">
        <v>1</v>
      </c>
      <c r="N99" s="8"/>
      <c r="O99" s="2" t="s">
        <v>688</v>
      </c>
      <c r="P99" s="26">
        <v>1</v>
      </c>
      <c r="Q99" s="27">
        <v>0</v>
      </c>
      <c r="R99" s="30">
        <v>0</v>
      </c>
      <c r="S99" s="27">
        <v>0</v>
      </c>
      <c r="T99" s="30">
        <v>0</v>
      </c>
      <c r="U99" s="34">
        <v>1</v>
      </c>
      <c r="V99" s="34">
        <v>1</v>
      </c>
      <c r="X99" s="8"/>
      <c r="Y99" s="2"/>
      <c r="Z99" s="26"/>
      <c r="AA99" s="26"/>
      <c r="AB99" s="26"/>
      <c r="AC99" s="26"/>
      <c r="AD99" s="27"/>
      <c r="AE99" s="30"/>
      <c r="AF99" s="26"/>
      <c r="AG99" s="26"/>
      <c r="AH99" s="32"/>
      <c r="AJ99" s="8"/>
      <c r="AK99" s="2"/>
      <c r="AL99" s="26"/>
      <c r="AM99" s="26"/>
      <c r="AN99" s="26"/>
      <c r="AO99" s="27"/>
      <c r="AP99" s="30"/>
      <c r="AQ99" s="26"/>
      <c r="AR99" s="26"/>
      <c r="AS99" s="32"/>
      <c r="AT99" s="34"/>
    </row>
    <row r="100" spans="2:46" x14ac:dyDescent="0.3">
      <c r="B100" s="8"/>
      <c r="C100" s="2"/>
      <c r="D100" s="26"/>
      <c r="E100" s="26"/>
      <c r="F100" s="27"/>
      <c r="G100" s="26"/>
      <c r="H100" s="26"/>
      <c r="I100" s="27"/>
      <c r="J100" s="26"/>
      <c r="K100" s="26"/>
      <c r="L100" s="67"/>
      <c r="N100" s="8"/>
      <c r="O100" s="2"/>
      <c r="P100" s="26"/>
      <c r="Q100" s="27"/>
      <c r="R100" s="30"/>
      <c r="S100" s="27"/>
      <c r="T100" s="30"/>
      <c r="U100" s="34"/>
      <c r="V100" s="34"/>
      <c r="X100" s="8"/>
      <c r="Y100" s="2"/>
      <c r="Z100" s="26"/>
      <c r="AA100" s="26"/>
      <c r="AB100" s="26"/>
      <c r="AC100" s="26"/>
      <c r="AD100" s="27"/>
      <c r="AE100" s="30"/>
      <c r="AF100" s="26"/>
      <c r="AG100" s="26"/>
      <c r="AH100" s="32"/>
      <c r="AJ100" s="8"/>
      <c r="AK100" s="2"/>
      <c r="AL100" s="26"/>
      <c r="AM100" s="26"/>
      <c r="AN100" s="26"/>
      <c r="AO100" s="27"/>
      <c r="AP100" s="30"/>
      <c r="AQ100" s="26"/>
      <c r="AR100" s="26"/>
      <c r="AS100" s="32"/>
      <c r="AT100" s="34"/>
    </row>
    <row r="101" spans="2:46" x14ac:dyDescent="0.3">
      <c r="B101" s="8"/>
      <c r="C101" s="2"/>
      <c r="D101" s="26"/>
      <c r="E101" s="26"/>
      <c r="F101" s="27"/>
      <c r="G101" s="26"/>
      <c r="H101" s="26"/>
      <c r="I101" s="27"/>
      <c r="J101" s="26"/>
      <c r="K101" s="26"/>
      <c r="L101" s="67"/>
      <c r="N101" s="8"/>
      <c r="O101" s="2"/>
      <c r="P101" s="26"/>
      <c r="Q101" s="27"/>
      <c r="R101" s="30"/>
      <c r="S101" s="27"/>
      <c r="T101" s="30"/>
      <c r="U101" s="34"/>
      <c r="V101" s="34"/>
      <c r="X101" s="8"/>
      <c r="Y101" s="2"/>
      <c r="Z101" s="26"/>
      <c r="AA101" s="26"/>
      <c r="AB101" s="26"/>
      <c r="AC101" s="26"/>
      <c r="AD101" s="27"/>
      <c r="AE101" s="30"/>
      <c r="AF101" s="26"/>
      <c r="AG101" s="26"/>
      <c r="AH101" s="32"/>
      <c r="AJ101" s="8"/>
      <c r="AK101" s="2"/>
      <c r="AL101" s="26"/>
      <c r="AM101" s="26"/>
      <c r="AN101" s="26"/>
      <c r="AO101" s="27"/>
      <c r="AP101" s="30"/>
      <c r="AQ101" s="26"/>
      <c r="AR101" s="26"/>
      <c r="AS101" s="32"/>
      <c r="AT101" s="34"/>
    </row>
    <row r="102" spans="2:46" x14ac:dyDescent="0.3">
      <c r="B102" s="8"/>
      <c r="C102" s="2"/>
      <c r="D102" s="26"/>
      <c r="E102" s="26"/>
      <c r="F102" s="27"/>
      <c r="G102" s="26"/>
      <c r="H102" s="26"/>
      <c r="I102" s="27"/>
      <c r="J102" s="26"/>
      <c r="K102" s="26"/>
      <c r="L102" s="67"/>
      <c r="N102" s="8"/>
      <c r="O102" s="2"/>
      <c r="P102" s="26"/>
      <c r="Q102" s="27"/>
      <c r="R102" s="30"/>
      <c r="S102" s="27"/>
      <c r="T102" s="30"/>
      <c r="U102" s="34"/>
      <c r="V102" s="34"/>
      <c r="X102" s="8"/>
      <c r="Y102" s="2"/>
      <c r="Z102" s="26"/>
      <c r="AA102" s="26"/>
      <c r="AB102" s="26"/>
      <c r="AC102" s="26"/>
      <c r="AD102" s="27"/>
      <c r="AE102" s="30"/>
      <c r="AF102" s="26"/>
      <c r="AG102" s="26"/>
      <c r="AH102" s="32"/>
      <c r="AJ102" s="8"/>
      <c r="AK102" s="2"/>
      <c r="AL102" s="26"/>
      <c r="AM102" s="26"/>
      <c r="AN102" s="26"/>
      <c r="AO102" s="27"/>
      <c r="AP102" s="30"/>
      <c r="AQ102" s="26"/>
      <c r="AR102" s="26"/>
      <c r="AS102" s="32"/>
      <c r="AT102" s="34"/>
    </row>
    <row r="103" spans="2:46" x14ac:dyDescent="0.3">
      <c r="B103" s="8"/>
      <c r="C103" s="2"/>
      <c r="D103" s="26"/>
      <c r="E103" s="26"/>
      <c r="F103" s="27"/>
      <c r="G103" s="26"/>
      <c r="H103" s="26"/>
      <c r="I103" s="27"/>
      <c r="J103" s="26"/>
      <c r="K103" s="26"/>
      <c r="L103" s="67"/>
      <c r="N103" s="8"/>
      <c r="O103" s="2"/>
      <c r="P103" s="26"/>
      <c r="Q103" s="27"/>
      <c r="R103" s="30"/>
      <c r="S103" s="27"/>
      <c r="T103" s="30"/>
      <c r="U103" s="34"/>
      <c r="V103" s="34"/>
      <c r="X103" s="8"/>
      <c r="Y103" s="2"/>
      <c r="Z103" s="26"/>
      <c r="AA103" s="26"/>
      <c r="AB103" s="26"/>
      <c r="AC103" s="26"/>
      <c r="AD103" s="27"/>
      <c r="AE103" s="30"/>
      <c r="AF103" s="26"/>
      <c r="AG103" s="26"/>
      <c r="AH103" s="32"/>
      <c r="AJ103" s="8"/>
      <c r="AK103" s="2"/>
      <c r="AL103" s="26"/>
      <c r="AM103" s="26"/>
      <c r="AN103" s="26"/>
      <c r="AO103" s="27"/>
      <c r="AP103" s="30"/>
      <c r="AQ103" s="26"/>
      <c r="AR103" s="26"/>
      <c r="AS103" s="32"/>
      <c r="AT103" s="34"/>
    </row>
    <row r="104" spans="2:46" x14ac:dyDescent="0.3">
      <c r="B104" s="8"/>
      <c r="C104" s="2"/>
      <c r="D104" s="26"/>
      <c r="E104" s="26"/>
      <c r="F104" s="27"/>
      <c r="G104" s="26"/>
      <c r="H104" s="26"/>
      <c r="I104" s="27"/>
      <c r="J104" s="26"/>
      <c r="K104" s="26"/>
      <c r="L104" s="67"/>
      <c r="N104" s="8"/>
      <c r="O104" s="2"/>
      <c r="P104" s="26"/>
      <c r="Q104" s="27"/>
      <c r="R104" s="30"/>
      <c r="S104" s="27"/>
      <c r="T104" s="30"/>
      <c r="U104" s="34"/>
      <c r="V104" s="34"/>
      <c r="X104" s="8"/>
      <c r="Y104" s="2"/>
      <c r="Z104" s="26"/>
      <c r="AA104" s="26"/>
      <c r="AB104" s="26"/>
      <c r="AC104" s="26"/>
      <c r="AD104" s="27"/>
      <c r="AE104" s="30"/>
      <c r="AF104" s="26"/>
      <c r="AG104" s="26"/>
      <c r="AH104" s="32"/>
      <c r="AJ104" s="8"/>
      <c r="AK104" s="2"/>
      <c r="AL104" s="26"/>
      <c r="AM104" s="26"/>
      <c r="AN104" s="26"/>
      <c r="AO104" s="27"/>
      <c r="AP104" s="30"/>
      <c r="AQ104" s="26"/>
      <c r="AR104" s="26"/>
      <c r="AS104" s="32"/>
      <c r="AT104" s="34"/>
    </row>
    <row r="105" spans="2:46" x14ac:dyDescent="0.3">
      <c r="B105" s="8"/>
      <c r="C105" s="2"/>
      <c r="D105" s="26"/>
      <c r="E105" s="26"/>
      <c r="F105" s="27"/>
      <c r="G105" s="26"/>
      <c r="H105" s="26"/>
      <c r="I105" s="27"/>
      <c r="J105" s="26"/>
      <c r="K105" s="26"/>
      <c r="L105" s="67"/>
      <c r="N105" s="8"/>
      <c r="O105" s="2"/>
      <c r="P105" s="26"/>
      <c r="Q105" s="27"/>
      <c r="R105" s="30"/>
      <c r="S105" s="27"/>
      <c r="T105" s="30"/>
      <c r="U105" s="34"/>
      <c r="V105" s="34"/>
      <c r="X105" s="8"/>
      <c r="Y105" s="2"/>
      <c r="Z105" s="26"/>
      <c r="AA105" s="26"/>
      <c r="AB105" s="26"/>
      <c r="AC105" s="26"/>
      <c r="AD105" s="27"/>
      <c r="AE105" s="30"/>
      <c r="AF105" s="26"/>
      <c r="AG105" s="26"/>
      <c r="AH105" s="32"/>
      <c r="AJ105" s="8"/>
      <c r="AK105" s="2"/>
      <c r="AL105" s="26"/>
      <c r="AM105" s="26"/>
      <c r="AN105" s="26"/>
      <c r="AO105" s="27"/>
      <c r="AP105" s="30"/>
      <c r="AQ105" s="26"/>
      <c r="AR105" s="26"/>
      <c r="AS105" s="32"/>
      <c r="AT105" s="34"/>
    </row>
    <row r="106" spans="2:46" x14ac:dyDescent="0.3">
      <c r="B106" s="8"/>
      <c r="C106" s="2"/>
      <c r="D106" s="26"/>
      <c r="E106" s="26"/>
      <c r="F106" s="27"/>
      <c r="G106" s="26"/>
      <c r="H106" s="26"/>
      <c r="I106" s="27"/>
      <c r="J106" s="26"/>
      <c r="K106" s="26"/>
      <c r="L106" s="67"/>
      <c r="N106" s="8"/>
      <c r="O106" s="2"/>
      <c r="P106" s="26"/>
      <c r="Q106" s="27"/>
      <c r="R106" s="30"/>
      <c r="S106" s="27"/>
      <c r="T106" s="30"/>
      <c r="U106" s="34"/>
      <c r="V106" s="34"/>
      <c r="X106" s="8"/>
      <c r="Y106" s="2"/>
      <c r="Z106" s="26"/>
      <c r="AA106" s="26"/>
      <c r="AB106" s="26"/>
      <c r="AC106" s="26"/>
      <c r="AD106" s="27"/>
      <c r="AE106" s="30"/>
      <c r="AF106" s="26"/>
      <c r="AG106" s="26"/>
      <c r="AH106" s="32"/>
      <c r="AJ106" s="8"/>
      <c r="AK106" s="2"/>
      <c r="AL106" s="26"/>
      <c r="AM106" s="26"/>
      <c r="AN106" s="26"/>
      <c r="AO106" s="27"/>
      <c r="AP106" s="30"/>
      <c r="AQ106" s="26"/>
      <c r="AR106" s="26"/>
      <c r="AS106" s="32"/>
      <c r="AT106" s="34"/>
    </row>
    <row r="107" spans="2:46" x14ac:dyDescent="0.3">
      <c r="B107" s="8"/>
      <c r="C107" s="2"/>
      <c r="D107" s="26"/>
      <c r="E107" s="26"/>
      <c r="F107" s="27"/>
      <c r="G107" s="26"/>
      <c r="H107" s="26"/>
      <c r="I107" s="27"/>
      <c r="J107" s="26"/>
      <c r="K107" s="26"/>
      <c r="L107" s="67"/>
      <c r="N107" s="8"/>
      <c r="O107" s="2"/>
      <c r="P107" s="26"/>
      <c r="Q107" s="27"/>
      <c r="R107" s="30"/>
      <c r="S107" s="27"/>
      <c r="T107" s="30"/>
      <c r="U107" s="34"/>
      <c r="V107" s="34"/>
      <c r="X107" s="8"/>
      <c r="Y107" s="2"/>
      <c r="Z107" s="26"/>
      <c r="AA107" s="26"/>
      <c r="AB107" s="26"/>
      <c r="AC107" s="26"/>
      <c r="AD107" s="27"/>
      <c r="AE107" s="30"/>
      <c r="AF107" s="26"/>
      <c r="AG107" s="26"/>
      <c r="AH107" s="32"/>
      <c r="AJ107" s="8"/>
      <c r="AK107" s="2"/>
      <c r="AL107" s="26"/>
      <c r="AM107" s="26"/>
      <c r="AN107" s="26"/>
      <c r="AO107" s="27"/>
      <c r="AP107" s="30"/>
      <c r="AQ107" s="26"/>
      <c r="AR107" s="26"/>
      <c r="AS107" s="32"/>
      <c r="AT107" s="34"/>
    </row>
    <row r="108" spans="2:46" x14ac:dyDescent="0.3">
      <c r="B108" s="8"/>
      <c r="C108" s="2"/>
      <c r="D108" s="26"/>
      <c r="E108" s="26"/>
      <c r="F108" s="27"/>
      <c r="G108" s="26"/>
      <c r="H108" s="26"/>
      <c r="I108" s="27"/>
      <c r="J108" s="26"/>
      <c r="K108" s="26"/>
      <c r="L108" s="67"/>
      <c r="N108" s="8"/>
      <c r="O108" s="2"/>
      <c r="P108" s="26"/>
      <c r="Q108" s="27"/>
      <c r="R108" s="30"/>
      <c r="S108" s="27"/>
      <c r="T108" s="30"/>
      <c r="U108" s="34"/>
      <c r="V108" s="34"/>
      <c r="X108" s="8"/>
      <c r="Y108" s="2"/>
      <c r="Z108" s="26"/>
      <c r="AA108" s="26"/>
      <c r="AB108" s="26"/>
      <c r="AC108" s="26"/>
      <c r="AD108" s="27"/>
      <c r="AE108" s="30"/>
      <c r="AF108" s="26"/>
      <c r="AG108" s="26"/>
      <c r="AH108" s="32"/>
      <c r="AJ108" s="8"/>
      <c r="AK108" s="2"/>
      <c r="AL108" s="26"/>
      <c r="AM108" s="26"/>
      <c r="AN108" s="26"/>
      <c r="AO108" s="27"/>
      <c r="AP108" s="30"/>
      <c r="AQ108" s="26"/>
      <c r="AR108" s="26"/>
      <c r="AS108" s="32"/>
      <c r="AT108" s="34"/>
    </row>
    <row r="109" spans="2:46" x14ac:dyDescent="0.3">
      <c r="B109" s="8"/>
      <c r="C109" s="2"/>
      <c r="D109" s="26"/>
      <c r="E109" s="26"/>
      <c r="F109" s="27"/>
      <c r="G109" s="26"/>
      <c r="H109" s="26"/>
      <c r="I109" s="27"/>
      <c r="J109" s="26"/>
      <c r="K109" s="26"/>
      <c r="L109" s="67"/>
      <c r="N109" s="8"/>
      <c r="O109" s="2"/>
      <c r="P109" s="26"/>
      <c r="Q109" s="27"/>
      <c r="R109" s="30"/>
      <c r="S109" s="27"/>
      <c r="T109" s="30"/>
      <c r="U109" s="34"/>
      <c r="V109" s="34"/>
      <c r="X109" s="8"/>
      <c r="Y109" s="2"/>
      <c r="Z109" s="26"/>
      <c r="AA109" s="26"/>
      <c r="AB109" s="26"/>
      <c r="AC109" s="26"/>
      <c r="AD109" s="27"/>
      <c r="AE109" s="30"/>
      <c r="AF109" s="26"/>
      <c r="AG109" s="26"/>
      <c r="AH109" s="32"/>
      <c r="AJ109" s="8"/>
      <c r="AK109" s="2"/>
      <c r="AL109" s="26"/>
      <c r="AM109" s="26"/>
      <c r="AN109" s="26"/>
      <c r="AO109" s="27"/>
      <c r="AP109" s="30"/>
      <c r="AQ109" s="26"/>
      <c r="AR109" s="26"/>
      <c r="AS109" s="32"/>
      <c r="AT109" s="34"/>
    </row>
    <row r="110" spans="2:46" x14ac:dyDescent="0.3">
      <c r="B110" s="8"/>
      <c r="C110" s="2"/>
      <c r="D110" s="26"/>
      <c r="E110" s="26"/>
      <c r="F110" s="27"/>
      <c r="G110" s="26"/>
      <c r="H110" s="26"/>
      <c r="I110" s="27"/>
      <c r="J110" s="26"/>
      <c r="K110" s="26"/>
      <c r="L110" s="67"/>
      <c r="N110" s="8"/>
      <c r="O110" s="2"/>
      <c r="P110" s="26"/>
      <c r="Q110" s="27"/>
      <c r="R110" s="30"/>
      <c r="S110" s="27"/>
      <c r="T110" s="30"/>
      <c r="U110" s="34"/>
      <c r="V110" s="34"/>
      <c r="X110" s="8"/>
      <c r="Y110" s="2"/>
      <c r="Z110" s="26"/>
      <c r="AA110" s="26"/>
      <c r="AB110" s="26"/>
      <c r="AC110" s="26"/>
      <c r="AD110" s="27"/>
      <c r="AE110" s="30"/>
      <c r="AF110" s="26"/>
      <c r="AG110" s="26"/>
      <c r="AH110" s="32"/>
      <c r="AJ110" s="8"/>
      <c r="AK110" s="2"/>
      <c r="AL110" s="26"/>
      <c r="AM110" s="26"/>
      <c r="AN110" s="26"/>
      <c r="AO110" s="27"/>
      <c r="AP110" s="30"/>
      <c r="AQ110" s="26"/>
      <c r="AR110" s="26"/>
      <c r="AS110" s="32"/>
      <c r="AT110" s="34"/>
    </row>
    <row r="111" spans="2:46" x14ac:dyDescent="0.3">
      <c r="B111" s="8"/>
      <c r="C111" s="2"/>
      <c r="D111" s="26"/>
      <c r="E111" s="26"/>
      <c r="F111" s="27"/>
      <c r="G111" s="26"/>
      <c r="H111" s="26"/>
      <c r="I111" s="27"/>
      <c r="J111" s="26"/>
      <c r="K111" s="26"/>
      <c r="L111" s="67"/>
      <c r="N111" s="8"/>
      <c r="O111" s="2"/>
      <c r="P111" s="26"/>
      <c r="Q111" s="27"/>
      <c r="R111" s="30"/>
      <c r="S111" s="27"/>
      <c r="T111" s="30"/>
      <c r="U111" s="34"/>
      <c r="V111" s="34"/>
      <c r="X111" s="8"/>
      <c r="Y111" s="2"/>
      <c r="Z111" s="26"/>
      <c r="AA111" s="26"/>
      <c r="AB111" s="26"/>
      <c r="AC111" s="26"/>
      <c r="AD111" s="27"/>
      <c r="AE111" s="30"/>
      <c r="AF111" s="26"/>
      <c r="AG111" s="26"/>
      <c r="AH111" s="32"/>
      <c r="AJ111" s="8"/>
      <c r="AK111" s="2"/>
      <c r="AL111" s="26"/>
      <c r="AM111" s="26"/>
      <c r="AN111" s="26"/>
      <c r="AO111" s="27"/>
      <c r="AP111" s="30"/>
      <c r="AQ111" s="26"/>
      <c r="AR111" s="26"/>
      <c r="AS111" s="32"/>
      <c r="AT111" s="34"/>
    </row>
    <row r="112" spans="2:46" x14ac:dyDescent="0.3">
      <c r="B112" s="8"/>
      <c r="C112" s="2"/>
      <c r="D112" s="26"/>
      <c r="E112" s="26"/>
      <c r="F112" s="27"/>
      <c r="G112" s="26"/>
      <c r="H112" s="26"/>
      <c r="I112" s="27"/>
      <c r="J112" s="26"/>
      <c r="K112" s="26"/>
      <c r="L112" s="67"/>
      <c r="N112" s="8"/>
      <c r="O112" s="2"/>
      <c r="P112" s="26"/>
      <c r="Q112" s="27"/>
      <c r="R112" s="30"/>
      <c r="S112" s="27"/>
      <c r="T112" s="30"/>
      <c r="U112" s="34"/>
      <c r="V112" s="34"/>
      <c r="X112" s="8"/>
      <c r="Y112" s="2"/>
      <c r="Z112" s="26"/>
      <c r="AA112" s="26"/>
      <c r="AB112" s="26"/>
      <c r="AC112" s="26"/>
      <c r="AD112" s="27"/>
      <c r="AE112" s="30"/>
      <c r="AF112" s="26"/>
      <c r="AG112" s="26"/>
      <c r="AH112" s="32"/>
      <c r="AJ112" s="8"/>
      <c r="AK112" s="2"/>
      <c r="AL112" s="26"/>
      <c r="AM112" s="26"/>
      <c r="AN112" s="26"/>
      <c r="AO112" s="27"/>
      <c r="AP112" s="30"/>
      <c r="AQ112" s="26"/>
      <c r="AR112" s="26"/>
      <c r="AS112" s="32"/>
      <c r="AT112" s="34"/>
    </row>
    <row r="113" spans="2:46" x14ac:dyDescent="0.3">
      <c r="B113" s="8"/>
      <c r="C113" s="2"/>
      <c r="D113" s="26"/>
      <c r="E113" s="26"/>
      <c r="F113" s="27"/>
      <c r="G113" s="26"/>
      <c r="H113" s="26"/>
      <c r="I113" s="27"/>
      <c r="J113" s="26"/>
      <c r="K113" s="26"/>
      <c r="L113" s="67"/>
      <c r="N113" s="8"/>
      <c r="O113" s="2"/>
      <c r="P113" s="26"/>
      <c r="Q113" s="27"/>
      <c r="R113" s="30"/>
      <c r="S113" s="27"/>
      <c r="T113" s="30"/>
      <c r="U113" s="34"/>
      <c r="V113" s="34"/>
      <c r="X113" s="8"/>
      <c r="Y113" s="2"/>
      <c r="Z113" s="26"/>
      <c r="AA113" s="26"/>
      <c r="AB113" s="26"/>
      <c r="AC113" s="26"/>
      <c r="AD113" s="27"/>
      <c r="AE113" s="30"/>
      <c r="AF113" s="26"/>
      <c r="AG113" s="26"/>
      <c r="AH113" s="32"/>
      <c r="AJ113" s="8"/>
      <c r="AK113" s="2"/>
      <c r="AL113" s="26"/>
      <c r="AM113" s="26"/>
      <c r="AN113" s="26"/>
      <c r="AO113" s="27"/>
      <c r="AP113" s="30"/>
      <c r="AQ113" s="26"/>
      <c r="AR113" s="26"/>
      <c r="AS113" s="32"/>
      <c r="AT113" s="34"/>
    </row>
    <row r="114" spans="2:46" x14ac:dyDescent="0.3">
      <c r="B114" s="8"/>
      <c r="C114" s="2"/>
      <c r="D114" s="26"/>
      <c r="E114" s="26"/>
      <c r="F114" s="27"/>
      <c r="G114" s="26"/>
      <c r="H114" s="26"/>
      <c r="I114" s="27"/>
      <c r="J114" s="26"/>
      <c r="K114" s="26"/>
      <c r="L114" s="67"/>
      <c r="N114" s="8"/>
      <c r="O114" s="2"/>
      <c r="P114" s="26"/>
      <c r="Q114" s="27"/>
      <c r="R114" s="30"/>
      <c r="S114" s="27"/>
      <c r="T114" s="30"/>
      <c r="U114" s="34"/>
      <c r="V114" s="34"/>
      <c r="X114" s="8"/>
      <c r="Y114" s="2"/>
      <c r="Z114" s="26"/>
      <c r="AA114" s="26"/>
      <c r="AB114" s="26"/>
      <c r="AC114" s="26"/>
      <c r="AD114" s="27"/>
      <c r="AE114" s="30"/>
      <c r="AF114" s="26"/>
      <c r="AG114" s="26"/>
      <c r="AH114" s="32"/>
      <c r="AJ114" s="8"/>
      <c r="AK114" s="2"/>
      <c r="AL114" s="26"/>
      <c r="AM114" s="26"/>
      <c r="AN114" s="26"/>
      <c r="AO114" s="27"/>
      <c r="AP114" s="30"/>
      <c r="AQ114" s="26"/>
      <c r="AR114" s="26"/>
      <c r="AS114" s="32"/>
      <c r="AT114" s="34"/>
    </row>
    <row r="115" spans="2:46" x14ac:dyDescent="0.3">
      <c r="B115" s="8"/>
      <c r="C115" s="2"/>
      <c r="D115" s="26"/>
      <c r="E115" s="26"/>
      <c r="F115" s="27"/>
      <c r="G115" s="26"/>
      <c r="H115" s="26"/>
      <c r="I115" s="27"/>
      <c r="J115" s="26"/>
      <c r="K115" s="26"/>
      <c r="L115" s="67"/>
      <c r="N115" s="8"/>
      <c r="O115" s="2"/>
      <c r="P115" s="26"/>
      <c r="Q115" s="27"/>
      <c r="R115" s="30"/>
      <c r="S115" s="27"/>
      <c r="T115" s="30"/>
      <c r="U115" s="34"/>
      <c r="V115" s="34"/>
      <c r="X115" s="8"/>
      <c r="Y115" s="2"/>
      <c r="Z115" s="26"/>
      <c r="AA115" s="26"/>
      <c r="AB115" s="26"/>
      <c r="AC115" s="26"/>
      <c r="AD115" s="27"/>
      <c r="AE115" s="30"/>
      <c r="AF115" s="26"/>
      <c r="AG115" s="26"/>
      <c r="AH115" s="32"/>
      <c r="AJ115" s="8"/>
      <c r="AK115" s="2"/>
      <c r="AL115" s="26"/>
      <c r="AM115" s="26"/>
      <c r="AN115" s="26"/>
      <c r="AO115" s="27"/>
      <c r="AP115" s="30"/>
      <c r="AQ115" s="26"/>
      <c r="AR115" s="26"/>
      <c r="AS115" s="32"/>
      <c r="AT115" s="34"/>
    </row>
    <row r="116" spans="2:46" x14ac:dyDescent="0.3">
      <c r="B116" s="8"/>
      <c r="C116" s="2"/>
      <c r="D116" s="26"/>
      <c r="E116" s="26"/>
      <c r="F116" s="27"/>
      <c r="G116" s="26"/>
      <c r="H116" s="26"/>
      <c r="I116" s="27"/>
      <c r="J116" s="26"/>
      <c r="K116" s="26"/>
      <c r="L116" s="67"/>
      <c r="N116" s="8"/>
      <c r="O116" s="2"/>
      <c r="P116" s="26"/>
      <c r="Q116" s="27"/>
      <c r="R116" s="30"/>
      <c r="S116" s="27"/>
      <c r="T116" s="30"/>
      <c r="U116" s="34"/>
      <c r="V116" s="34"/>
      <c r="X116" s="8"/>
      <c r="Y116" s="2"/>
      <c r="Z116" s="26"/>
      <c r="AA116" s="26"/>
      <c r="AB116" s="26"/>
      <c r="AC116" s="26"/>
      <c r="AD116" s="27"/>
      <c r="AE116" s="30"/>
      <c r="AF116" s="26"/>
      <c r="AG116" s="26"/>
      <c r="AH116" s="32"/>
      <c r="AJ116" s="8"/>
      <c r="AK116" s="2"/>
      <c r="AL116" s="26"/>
      <c r="AM116" s="26"/>
      <c r="AN116" s="26"/>
      <c r="AO116" s="27"/>
      <c r="AP116" s="30"/>
      <c r="AQ116" s="26"/>
      <c r="AR116" s="26"/>
      <c r="AS116" s="32"/>
      <c r="AT116" s="34"/>
    </row>
    <row r="117" spans="2:46" x14ac:dyDescent="0.3">
      <c r="B117" s="8"/>
      <c r="C117" s="2"/>
      <c r="D117" s="26"/>
      <c r="E117" s="26"/>
      <c r="F117" s="27"/>
      <c r="G117" s="26"/>
      <c r="H117" s="26"/>
      <c r="I117" s="27"/>
      <c r="J117" s="26"/>
      <c r="K117" s="26"/>
      <c r="L117" s="67"/>
      <c r="N117" s="8"/>
      <c r="O117" s="2"/>
      <c r="P117" s="26"/>
      <c r="Q117" s="27"/>
      <c r="R117" s="30"/>
      <c r="S117" s="27"/>
      <c r="T117" s="30"/>
      <c r="U117" s="34"/>
      <c r="V117" s="34"/>
      <c r="X117" s="8"/>
      <c r="Y117" s="2"/>
      <c r="Z117" s="26"/>
      <c r="AA117" s="26"/>
      <c r="AB117" s="26"/>
      <c r="AC117" s="26"/>
      <c r="AD117" s="27"/>
      <c r="AE117" s="30"/>
      <c r="AF117" s="26"/>
      <c r="AG117" s="26"/>
      <c r="AH117" s="32"/>
      <c r="AJ117" s="8"/>
      <c r="AK117" s="2"/>
      <c r="AL117" s="26"/>
      <c r="AM117" s="26"/>
      <c r="AN117" s="26"/>
      <c r="AO117" s="27"/>
      <c r="AP117" s="30"/>
      <c r="AQ117" s="26"/>
      <c r="AR117" s="26"/>
      <c r="AS117" s="32"/>
      <c r="AT117" s="34"/>
    </row>
    <row r="118" spans="2:46" x14ac:dyDescent="0.3">
      <c r="B118" s="8"/>
      <c r="C118" s="2"/>
      <c r="D118" s="26"/>
      <c r="E118" s="26"/>
      <c r="F118" s="27"/>
      <c r="G118" s="26"/>
      <c r="H118" s="26"/>
      <c r="I118" s="27"/>
      <c r="J118" s="26"/>
      <c r="K118" s="26"/>
      <c r="L118" s="67"/>
      <c r="N118" s="8"/>
      <c r="O118" s="2"/>
      <c r="P118" s="26"/>
      <c r="Q118" s="27"/>
      <c r="R118" s="30"/>
      <c r="S118" s="27"/>
      <c r="T118" s="30"/>
      <c r="U118" s="34"/>
      <c r="V118" s="34"/>
      <c r="X118" s="8"/>
      <c r="Y118" s="2"/>
      <c r="Z118" s="26"/>
      <c r="AA118" s="26"/>
      <c r="AB118" s="26"/>
      <c r="AC118" s="26"/>
      <c r="AD118" s="27"/>
      <c r="AE118" s="30"/>
      <c r="AF118" s="26"/>
      <c r="AG118" s="26"/>
      <c r="AH118" s="32"/>
      <c r="AJ118" s="8"/>
      <c r="AK118" s="2"/>
      <c r="AL118" s="26"/>
      <c r="AM118" s="26"/>
      <c r="AN118" s="26"/>
      <c r="AO118" s="27"/>
      <c r="AP118" s="30"/>
      <c r="AQ118" s="26"/>
      <c r="AR118" s="26"/>
      <c r="AS118" s="32"/>
      <c r="AT118" s="34"/>
    </row>
    <row r="119" spans="2:46" x14ac:dyDescent="0.3">
      <c r="B119" s="8"/>
      <c r="C119" s="2"/>
      <c r="D119" s="26"/>
      <c r="E119" s="26"/>
      <c r="F119" s="27"/>
      <c r="G119" s="26"/>
      <c r="H119" s="26"/>
      <c r="I119" s="27"/>
      <c r="J119" s="26"/>
      <c r="K119" s="26"/>
      <c r="L119" s="67"/>
      <c r="N119" s="8"/>
      <c r="O119" s="2"/>
      <c r="P119" s="26"/>
      <c r="Q119" s="27"/>
      <c r="R119" s="30"/>
      <c r="S119" s="27"/>
      <c r="T119" s="30"/>
      <c r="U119" s="34"/>
      <c r="V119" s="34"/>
      <c r="X119" s="8"/>
      <c r="Y119" s="2"/>
      <c r="Z119" s="26"/>
      <c r="AA119" s="26"/>
      <c r="AB119" s="26"/>
      <c r="AC119" s="26"/>
      <c r="AD119" s="27"/>
      <c r="AE119" s="30"/>
      <c r="AF119" s="26"/>
      <c r="AG119" s="26"/>
      <c r="AH119" s="32"/>
      <c r="AJ119" s="8"/>
      <c r="AK119" s="2"/>
      <c r="AL119" s="26"/>
      <c r="AM119" s="26"/>
      <c r="AN119" s="26"/>
      <c r="AO119" s="27"/>
      <c r="AP119" s="30"/>
      <c r="AQ119" s="26"/>
      <c r="AR119" s="26"/>
      <c r="AS119" s="32"/>
      <c r="AT119" s="34"/>
    </row>
    <row r="120" spans="2:46" x14ac:dyDescent="0.3">
      <c r="B120" s="8"/>
      <c r="C120" s="2"/>
      <c r="D120" s="26"/>
      <c r="E120" s="26"/>
      <c r="F120" s="27"/>
      <c r="G120" s="26"/>
      <c r="H120" s="26"/>
      <c r="I120" s="27"/>
      <c r="J120" s="26"/>
      <c r="K120" s="26"/>
      <c r="L120" s="67"/>
      <c r="N120" s="8"/>
      <c r="O120" s="2"/>
      <c r="P120" s="26"/>
      <c r="Q120" s="27"/>
      <c r="R120" s="30"/>
      <c r="S120" s="27"/>
      <c r="T120" s="30"/>
      <c r="U120" s="34"/>
      <c r="V120" s="34"/>
      <c r="X120" s="8"/>
      <c r="Y120" s="2"/>
      <c r="Z120" s="26"/>
      <c r="AA120" s="26"/>
      <c r="AB120" s="26"/>
      <c r="AC120" s="26"/>
      <c r="AD120" s="27"/>
      <c r="AE120" s="30"/>
      <c r="AF120" s="26"/>
      <c r="AG120" s="26"/>
      <c r="AH120" s="32"/>
      <c r="AJ120" s="8"/>
      <c r="AK120" s="2"/>
      <c r="AL120" s="26"/>
      <c r="AM120" s="26"/>
      <c r="AN120" s="26"/>
      <c r="AO120" s="27"/>
      <c r="AP120" s="30"/>
      <c r="AQ120" s="26"/>
      <c r="AR120" s="26"/>
      <c r="AS120" s="32"/>
      <c r="AT120" s="34"/>
    </row>
    <row r="121" spans="2:46" x14ac:dyDescent="0.3">
      <c r="B121" s="8"/>
      <c r="C121" s="2"/>
      <c r="D121" s="26"/>
      <c r="E121" s="26"/>
      <c r="F121" s="27"/>
      <c r="G121" s="26"/>
      <c r="H121" s="26"/>
      <c r="I121" s="27"/>
      <c r="J121" s="26"/>
      <c r="K121" s="26"/>
      <c r="L121" s="67"/>
      <c r="N121" s="8"/>
      <c r="O121" s="2"/>
      <c r="P121" s="26"/>
      <c r="Q121" s="27"/>
      <c r="R121" s="30"/>
      <c r="S121" s="27"/>
      <c r="T121" s="30"/>
      <c r="U121" s="34"/>
      <c r="V121" s="34"/>
      <c r="X121" s="8"/>
      <c r="Y121" s="2"/>
      <c r="Z121" s="26"/>
      <c r="AA121" s="26"/>
      <c r="AB121" s="26"/>
      <c r="AC121" s="26"/>
      <c r="AD121" s="27"/>
      <c r="AE121" s="30"/>
      <c r="AF121" s="26"/>
      <c r="AG121" s="26"/>
      <c r="AH121" s="32"/>
      <c r="AJ121" s="8"/>
      <c r="AK121" s="2"/>
      <c r="AL121" s="26"/>
      <c r="AM121" s="26"/>
      <c r="AN121" s="26"/>
      <c r="AO121" s="27"/>
      <c r="AP121" s="30"/>
      <c r="AQ121" s="26"/>
      <c r="AR121" s="26"/>
      <c r="AS121" s="32"/>
      <c r="AT121" s="34"/>
    </row>
    <row r="122" spans="2:46" x14ac:dyDescent="0.3">
      <c r="B122" s="8"/>
      <c r="C122" s="2"/>
      <c r="D122" s="26"/>
      <c r="E122" s="26"/>
      <c r="F122" s="27"/>
      <c r="G122" s="26"/>
      <c r="H122" s="26"/>
      <c r="I122" s="27"/>
      <c r="J122" s="26"/>
      <c r="K122" s="26"/>
      <c r="L122" s="67"/>
      <c r="N122" s="8"/>
      <c r="O122" s="2"/>
      <c r="P122" s="26"/>
      <c r="Q122" s="27"/>
      <c r="R122" s="30"/>
      <c r="S122" s="27"/>
      <c r="T122" s="30"/>
      <c r="U122" s="34"/>
      <c r="V122" s="34"/>
      <c r="X122" s="8"/>
      <c r="Y122" s="2"/>
      <c r="Z122" s="26"/>
      <c r="AA122" s="26"/>
      <c r="AB122" s="26"/>
      <c r="AC122" s="26"/>
      <c r="AD122" s="27"/>
      <c r="AE122" s="30"/>
      <c r="AF122" s="26"/>
      <c r="AG122" s="26"/>
      <c r="AH122" s="32"/>
      <c r="AJ122" s="8"/>
      <c r="AK122" s="2"/>
      <c r="AL122" s="26"/>
      <c r="AM122" s="26"/>
      <c r="AN122" s="26"/>
      <c r="AO122" s="27"/>
      <c r="AP122" s="30"/>
      <c r="AQ122" s="26"/>
      <c r="AR122" s="26"/>
      <c r="AS122" s="32"/>
      <c r="AT122" s="34"/>
    </row>
    <row r="123" spans="2:46" x14ac:dyDescent="0.3">
      <c r="B123" s="8"/>
      <c r="C123" s="2"/>
      <c r="D123" s="26"/>
      <c r="E123" s="26"/>
      <c r="F123" s="27"/>
      <c r="G123" s="26"/>
      <c r="H123" s="26"/>
      <c r="I123" s="27"/>
      <c r="J123" s="26"/>
      <c r="K123" s="26"/>
      <c r="L123" s="67"/>
      <c r="N123" s="8"/>
      <c r="O123" s="2"/>
      <c r="P123" s="26"/>
      <c r="Q123" s="27"/>
      <c r="R123" s="30"/>
      <c r="S123" s="27"/>
      <c r="T123" s="30"/>
      <c r="U123" s="34"/>
      <c r="V123" s="34"/>
      <c r="X123" s="8"/>
      <c r="Y123" s="2"/>
      <c r="Z123" s="26"/>
      <c r="AA123" s="26"/>
      <c r="AB123" s="26"/>
      <c r="AC123" s="26"/>
      <c r="AD123" s="27"/>
      <c r="AE123" s="30"/>
      <c r="AF123" s="26"/>
      <c r="AG123" s="26"/>
      <c r="AH123" s="32"/>
      <c r="AJ123" s="8"/>
      <c r="AK123" s="2"/>
      <c r="AL123" s="26"/>
      <c r="AM123" s="26"/>
      <c r="AN123" s="26"/>
      <c r="AO123" s="27"/>
      <c r="AP123" s="30"/>
      <c r="AQ123" s="26"/>
      <c r="AR123" s="26"/>
      <c r="AS123" s="32"/>
      <c r="AT123" s="34"/>
    </row>
    <row r="124" spans="2:46" x14ac:dyDescent="0.3">
      <c r="B124" s="8"/>
      <c r="C124" s="2"/>
      <c r="D124" s="26"/>
      <c r="E124" s="26"/>
      <c r="F124" s="27"/>
      <c r="G124" s="26"/>
      <c r="H124" s="26"/>
      <c r="I124" s="27"/>
      <c r="J124" s="26"/>
      <c r="K124" s="26"/>
      <c r="L124" s="67"/>
      <c r="N124" s="8"/>
      <c r="O124" s="2"/>
      <c r="P124" s="26"/>
      <c r="Q124" s="27"/>
      <c r="R124" s="30"/>
      <c r="S124" s="27"/>
      <c r="T124" s="30"/>
      <c r="U124" s="34"/>
      <c r="V124" s="34"/>
      <c r="X124" s="8"/>
      <c r="Y124" s="2"/>
      <c r="Z124" s="26"/>
      <c r="AA124" s="26"/>
      <c r="AB124" s="26"/>
      <c r="AC124" s="26"/>
      <c r="AD124" s="27"/>
      <c r="AE124" s="30"/>
      <c r="AF124" s="26"/>
      <c r="AG124" s="26"/>
      <c r="AH124" s="32"/>
      <c r="AJ124" s="8"/>
      <c r="AK124" s="2"/>
      <c r="AL124" s="26"/>
      <c r="AM124" s="26"/>
      <c r="AN124" s="26"/>
      <c r="AO124" s="27"/>
      <c r="AP124" s="30"/>
      <c r="AQ124" s="26"/>
      <c r="AR124" s="26"/>
      <c r="AS124" s="32"/>
      <c r="AT124" s="34"/>
    </row>
    <row r="125" spans="2:46" x14ac:dyDescent="0.3">
      <c r="B125" s="8"/>
      <c r="C125" s="2"/>
      <c r="D125" s="26"/>
      <c r="E125" s="26"/>
      <c r="F125" s="27"/>
      <c r="G125" s="26"/>
      <c r="H125" s="26"/>
      <c r="I125" s="27"/>
      <c r="J125" s="26"/>
      <c r="K125" s="26"/>
      <c r="L125" s="67"/>
      <c r="N125" s="8"/>
      <c r="O125" s="2"/>
      <c r="P125" s="26"/>
      <c r="Q125" s="27"/>
      <c r="R125" s="30"/>
      <c r="S125" s="27"/>
      <c r="T125" s="30"/>
      <c r="U125" s="34"/>
      <c r="V125" s="34"/>
      <c r="X125" s="8"/>
      <c r="Y125" s="2"/>
      <c r="Z125" s="26"/>
      <c r="AA125" s="26"/>
      <c r="AB125" s="26"/>
      <c r="AC125" s="26"/>
      <c r="AD125" s="27"/>
      <c r="AE125" s="30"/>
      <c r="AF125" s="26"/>
      <c r="AG125" s="26"/>
      <c r="AH125" s="32"/>
      <c r="AJ125" s="8"/>
      <c r="AK125" s="2"/>
      <c r="AL125" s="26"/>
      <c r="AM125" s="26"/>
      <c r="AN125" s="26"/>
      <c r="AO125" s="27"/>
      <c r="AP125" s="30"/>
      <c r="AQ125" s="26"/>
      <c r="AR125" s="26"/>
      <c r="AS125" s="32"/>
      <c r="AT125" s="34"/>
    </row>
    <row r="126" spans="2:46" x14ac:dyDescent="0.3">
      <c r="B126" s="8"/>
      <c r="C126" s="2"/>
      <c r="D126" s="26"/>
      <c r="E126" s="26"/>
      <c r="F126" s="27"/>
      <c r="G126" s="26"/>
      <c r="H126" s="26"/>
      <c r="I126" s="27"/>
      <c r="J126" s="26"/>
      <c r="K126" s="26"/>
      <c r="L126" s="67"/>
      <c r="N126" s="8"/>
      <c r="O126" s="2"/>
      <c r="P126" s="26"/>
      <c r="Q126" s="27"/>
      <c r="R126" s="30"/>
      <c r="S126" s="27"/>
      <c r="T126" s="30"/>
      <c r="U126" s="34"/>
      <c r="V126" s="34"/>
      <c r="X126" s="8"/>
      <c r="Y126" s="2"/>
      <c r="Z126" s="26"/>
      <c r="AA126" s="26"/>
      <c r="AB126" s="26"/>
      <c r="AC126" s="26"/>
      <c r="AD126" s="27"/>
      <c r="AE126" s="30"/>
      <c r="AF126" s="26"/>
      <c r="AG126" s="26"/>
      <c r="AH126" s="32"/>
      <c r="AJ126" s="8"/>
      <c r="AK126" s="2"/>
      <c r="AL126" s="26"/>
      <c r="AM126" s="26"/>
      <c r="AN126" s="26"/>
      <c r="AO126" s="27"/>
      <c r="AP126" s="30"/>
      <c r="AQ126" s="26"/>
      <c r="AR126" s="26"/>
      <c r="AS126" s="32"/>
      <c r="AT126" s="34"/>
    </row>
    <row r="127" spans="2:46" x14ac:dyDescent="0.3">
      <c r="B127" s="8"/>
      <c r="C127" s="2"/>
      <c r="D127" s="26"/>
      <c r="E127" s="26"/>
      <c r="F127" s="27"/>
      <c r="G127" s="26"/>
      <c r="H127" s="26"/>
      <c r="I127" s="27"/>
      <c r="J127" s="26"/>
      <c r="K127" s="26"/>
      <c r="L127" s="67"/>
      <c r="N127" s="8"/>
      <c r="O127" s="2"/>
      <c r="P127" s="26"/>
      <c r="Q127" s="27"/>
      <c r="R127" s="30"/>
      <c r="S127" s="27"/>
      <c r="T127" s="30"/>
      <c r="U127" s="34"/>
      <c r="V127" s="34"/>
      <c r="X127" s="8"/>
      <c r="Y127" s="2"/>
      <c r="Z127" s="26"/>
      <c r="AA127" s="26"/>
      <c r="AB127" s="26"/>
      <c r="AC127" s="26"/>
      <c r="AD127" s="27"/>
      <c r="AE127" s="30"/>
      <c r="AF127" s="26"/>
      <c r="AG127" s="26"/>
      <c r="AH127" s="32"/>
      <c r="AJ127" s="8"/>
      <c r="AK127" s="2"/>
      <c r="AL127" s="26"/>
      <c r="AM127" s="26"/>
      <c r="AN127" s="26"/>
      <c r="AO127" s="27"/>
      <c r="AP127" s="30"/>
      <c r="AQ127" s="26"/>
      <c r="AR127" s="26"/>
      <c r="AS127" s="32"/>
      <c r="AT127" s="34"/>
    </row>
    <row r="128" spans="2:46" x14ac:dyDescent="0.3">
      <c r="B128" s="8"/>
      <c r="C128" s="2"/>
      <c r="D128" s="26"/>
      <c r="E128" s="26"/>
      <c r="F128" s="27"/>
      <c r="G128" s="26"/>
      <c r="H128" s="26"/>
      <c r="I128" s="27"/>
      <c r="J128" s="26"/>
      <c r="K128" s="26"/>
      <c r="L128" s="67"/>
      <c r="N128" s="8"/>
      <c r="O128" s="2"/>
      <c r="P128" s="26"/>
      <c r="Q128" s="27"/>
      <c r="R128" s="30"/>
      <c r="S128" s="27"/>
      <c r="T128" s="30"/>
      <c r="U128" s="34"/>
      <c r="V128" s="34"/>
      <c r="X128" s="8"/>
      <c r="Y128" s="2"/>
      <c r="Z128" s="26"/>
      <c r="AA128" s="26"/>
      <c r="AB128" s="26"/>
      <c r="AC128" s="26"/>
      <c r="AD128" s="27"/>
      <c r="AE128" s="30"/>
      <c r="AF128" s="26"/>
      <c r="AG128" s="26"/>
      <c r="AH128" s="32"/>
      <c r="AJ128" s="8"/>
      <c r="AK128" s="2"/>
      <c r="AL128" s="26"/>
      <c r="AM128" s="26"/>
      <c r="AN128" s="26"/>
      <c r="AO128" s="27"/>
      <c r="AP128" s="30"/>
      <c r="AQ128" s="26"/>
      <c r="AR128" s="26"/>
      <c r="AS128" s="32"/>
      <c r="AT128" s="34"/>
    </row>
    <row r="129" spans="2:46" x14ac:dyDescent="0.3">
      <c r="B129" s="8"/>
      <c r="C129" s="2"/>
      <c r="D129" s="26"/>
      <c r="E129" s="26"/>
      <c r="F129" s="27"/>
      <c r="G129" s="26"/>
      <c r="H129" s="26"/>
      <c r="I129" s="27"/>
      <c r="J129" s="26"/>
      <c r="K129" s="26"/>
      <c r="L129" s="67"/>
      <c r="N129" s="8"/>
      <c r="O129" s="2"/>
      <c r="P129" s="26"/>
      <c r="Q129" s="27"/>
      <c r="R129" s="30"/>
      <c r="S129" s="27"/>
      <c r="T129" s="30"/>
      <c r="U129" s="34"/>
      <c r="V129" s="34"/>
      <c r="X129" s="8"/>
      <c r="Y129" s="2"/>
      <c r="Z129" s="26"/>
      <c r="AA129" s="26"/>
      <c r="AB129" s="26"/>
      <c r="AC129" s="26"/>
      <c r="AD129" s="27"/>
      <c r="AE129" s="30"/>
      <c r="AF129" s="26"/>
      <c r="AG129" s="26"/>
      <c r="AH129" s="32"/>
      <c r="AJ129" s="8"/>
      <c r="AK129" s="2"/>
      <c r="AL129" s="26"/>
      <c r="AM129" s="26"/>
      <c r="AN129" s="26"/>
      <c r="AO129" s="27"/>
      <c r="AP129" s="30"/>
      <c r="AQ129" s="26"/>
      <c r="AR129" s="26"/>
      <c r="AS129" s="32"/>
      <c r="AT129" s="34"/>
    </row>
    <row r="130" spans="2:46" x14ac:dyDescent="0.3">
      <c r="B130" s="8"/>
      <c r="C130" s="2"/>
      <c r="D130" s="26"/>
      <c r="E130" s="26"/>
      <c r="F130" s="27"/>
      <c r="G130" s="26"/>
      <c r="H130" s="26"/>
      <c r="I130" s="27"/>
      <c r="J130" s="26"/>
      <c r="K130" s="26"/>
      <c r="L130" s="67"/>
      <c r="N130" s="8"/>
      <c r="O130" s="2"/>
      <c r="P130" s="26"/>
      <c r="Q130" s="27"/>
      <c r="R130" s="30"/>
      <c r="S130" s="27"/>
      <c r="T130" s="30"/>
      <c r="U130" s="34"/>
      <c r="V130" s="34"/>
      <c r="X130" s="8"/>
      <c r="Y130" s="2"/>
      <c r="Z130" s="26"/>
      <c r="AA130" s="26"/>
      <c r="AB130" s="26"/>
      <c r="AC130" s="26"/>
      <c r="AD130" s="27"/>
      <c r="AE130" s="30"/>
      <c r="AF130" s="26"/>
      <c r="AG130" s="26"/>
      <c r="AH130" s="32"/>
      <c r="AJ130" s="8"/>
      <c r="AK130" s="2"/>
      <c r="AL130" s="26"/>
      <c r="AM130" s="26"/>
      <c r="AN130" s="26"/>
      <c r="AO130" s="27"/>
      <c r="AP130" s="30"/>
      <c r="AQ130" s="26"/>
      <c r="AR130" s="26"/>
      <c r="AS130" s="32"/>
      <c r="AT130" s="34"/>
    </row>
    <row r="131" spans="2:46" x14ac:dyDescent="0.3">
      <c r="B131" s="8"/>
      <c r="C131" s="2"/>
      <c r="D131" s="26"/>
      <c r="E131" s="26"/>
      <c r="F131" s="27"/>
      <c r="G131" s="26"/>
      <c r="H131" s="26"/>
      <c r="I131" s="27"/>
      <c r="J131" s="26"/>
      <c r="K131" s="26"/>
      <c r="L131" s="67"/>
      <c r="N131" s="8"/>
      <c r="O131" s="2"/>
      <c r="P131" s="26"/>
      <c r="Q131" s="27"/>
      <c r="R131" s="30"/>
      <c r="S131" s="27"/>
      <c r="T131" s="30"/>
      <c r="U131" s="34"/>
      <c r="V131" s="34"/>
      <c r="X131" s="8"/>
      <c r="Y131" s="2"/>
      <c r="Z131" s="26"/>
      <c r="AA131" s="26"/>
      <c r="AB131" s="26"/>
      <c r="AC131" s="26"/>
      <c r="AD131" s="27"/>
      <c r="AE131" s="30"/>
      <c r="AF131" s="26"/>
      <c r="AG131" s="26"/>
      <c r="AH131" s="32"/>
      <c r="AJ131" s="8"/>
      <c r="AK131" s="2"/>
      <c r="AL131" s="26"/>
      <c r="AM131" s="26"/>
      <c r="AN131" s="26"/>
      <c r="AO131" s="27"/>
      <c r="AP131" s="30"/>
      <c r="AQ131" s="26"/>
      <c r="AR131" s="26"/>
      <c r="AS131" s="32"/>
      <c r="AT131" s="34"/>
    </row>
    <row r="132" spans="2:46" x14ac:dyDescent="0.3">
      <c r="B132" s="8"/>
      <c r="C132" s="2"/>
      <c r="D132" s="26"/>
      <c r="E132" s="26"/>
      <c r="F132" s="27"/>
      <c r="G132" s="26"/>
      <c r="H132" s="26"/>
      <c r="I132" s="27"/>
      <c r="J132" s="26"/>
      <c r="K132" s="26"/>
      <c r="L132" s="67"/>
      <c r="N132" s="8"/>
      <c r="O132" s="2"/>
      <c r="P132" s="26"/>
      <c r="Q132" s="27"/>
      <c r="R132" s="30"/>
      <c r="S132" s="27"/>
      <c r="T132" s="30"/>
      <c r="U132" s="34"/>
      <c r="V132" s="34"/>
      <c r="X132" s="8"/>
      <c r="Y132" s="2"/>
      <c r="Z132" s="26"/>
      <c r="AA132" s="26"/>
      <c r="AB132" s="26"/>
      <c r="AC132" s="26"/>
      <c r="AD132" s="27"/>
      <c r="AE132" s="30"/>
      <c r="AF132" s="26"/>
      <c r="AG132" s="26"/>
      <c r="AH132" s="32"/>
      <c r="AJ132" s="8"/>
      <c r="AK132" s="2"/>
      <c r="AL132" s="26"/>
      <c r="AM132" s="26"/>
      <c r="AN132" s="26"/>
      <c r="AO132" s="27"/>
      <c r="AP132" s="30"/>
      <c r="AQ132" s="26"/>
      <c r="AR132" s="26"/>
      <c r="AS132" s="32"/>
      <c r="AT132" s="34"/>
    </row>
    <row r="133" spans="2:46" x14ac:dyDescent="0.3">
      <c r="B133" s="8"/>
      <c r="C133" s="2"/>
      <c r="D133" s="26"/>
      <c r="E133" s="26"/>
      <c r="F133" s="27"/>
      <c r="G133" s="26"/>
      <c r="H133" s="26"/>
      <c r="I133" s="27"/>
      <c r="J133" s="26"/>
      <c r="K133" s="26"/>
      <c r="L133" s="67"/>
      <c r="N133" s="8"/>
      <c r="O133" s="2"/>
      <c r="P133" s="26"/>
      <c r="Q133" s="27"/>
      <c r="R133" s="30"/>
      <c r="S133" s="27"/>
      <c r="T133" s="30"/>
      <c r="U133" s="34"/>
      <c r="V133" s="34"/>
      <c r="X133" s="8"/>
      <c r="Y133" s="2"/>
      <c r="Z133" s="26"/>
      <c r="AA133" s="26"/>
      <c r="AB133" s="26"/>
      <c r="AC133" s="26"/>
      <c r="AD133" s="27"/>
      <c r="AE133" s="30"/>
      <c r="AF133" s="26"/>
      <c r="AG133" s="26"/>
      <c r="AH133" s="32"/>
      <c r="AJ133" s="8"/>
      <c r="AK133" s="2"/>
      <c r="AL133" s="26"/>
      <c r="AM133" s="26"/>
      <c r="AN133" s="26"/>
      <c r="AO133" s="27"/>
      <c r="AP133" s="30"/>
      <c r="AQ133" s="26"/>
      <c r="AR133" s="26"/>
      <c r="AS133" s="32"/>
      <c r="AT133" s="34"/>
    </row>
    <row r="134" spans="2:46" x14ac:dyDescent="0.3">
      <c r="B134" s="8"/>
      <c r="C134" s="2"/>
      <c r="D134" s="26"/>
      <c r="E134" s="26"/>
      <c r="F134" s="27"/>
      <c r="G134" s="26"/>
      <c r="H134" s="26"/>
      <c r="I134" s="27"/>
      <c r="J134" s="26"/>
      <c r="K134" s="26"/>
      <c r="L134" s="67"/>
      <c r="N134" s="8"/>
      <c r="O134" s="2"/>
      <c r="P134" s="26"/>
      <c r="Q134" s="27"/>
      <c r="R134" s="30"/>
      <c r="S134" s="27"/>
      <c r="T134" s="30"/>
      <c r="U134" s="34"/>
      <c r="V134" s="34"/>
      <c r="X134" s="8"/>
      <c r="Y134" s="2"/>
      <c r="Z134" s="26"/>
      <c r="AA134" s="26"/>
      <c r="AB134" s="26"/>
      <c r="AC134" s="26"/>
      <c r="AD134" s="27"/>
      <c r="AE134" s="30"/>
      <c r="AF134" s="26"/>
      <c r="AG134" s="26"/>
      <c r="AH134" s="32"/>
      <c r="AJ134" s="8"/>
      <c r="AK134" s="2"/>
      <c r="AL134" s="26"/>
      <c r="AM134" s="26"/>
      <c r="AN134" s="26"/>
      <c r="AO134" s="27"/>
      <c r="AP134" s="30"/>
      <c r="AQ134" s="26"/>
      <c r="AR134" s="26"/>
      <c r="AS134" s="32"/>
      <c r="AT134" s="34"/>
    </row>
    <row r="135" spans="2:46" x14ac:dyDescent="0.3">
      <c r="B135" s="8"/>
      <c r="C135" s="2"/>
      <c r="D135" s="26"/>
      <c r="E135" s="26"/>
      <c r="F135" s="27"/>
      <c r="G135" s="26"/>
      <c r="H135" s="26"/>
      <c r="I135" s="27"/>
      <c r="J135" s="26"/>
      <c r="K135" s="26"/>
      <c r="L135" s="67"/>
      <c r="N135" s="8"/>
      <c r="O135" s="2"/>
      <c r="P135" s="26"/>
      <c r="Q135" s="27"/>
      <c r="R135" s="30"/>
      <c r="S135" s="27"/>
      <c r="T135" s="30"/>
      <c r="U135" s="34"/>
      <c r="V135" s="34"/>
      <c r="X135" s="8"/>
      <c r="Y135" s="2"/>
      <c r="Z135" s="26"/>
      <c r="AA135" s="26"/>
      <c r="AB135" s="26"/>
      <c r="AC135" s="26"/>
      <c r="AD135" s="27"/>
      <c r="AE135" s="30"/>
      <c r="AF135" s="26"/>
      <c r="AG135" s="26"/>
      <c r="AH135" s="32"/>
      <c r="AJ135" s="8"/>
      <c r="AK135" s="2"/>
      <c r="AL135" s="26"/>
      <c r="AM135" s="26"/>
      <c r="AN135" s="26"/>
      <c r="AO135" s="27"/>
      <c r="AP135" s="30"/>
      <c r="AQ135" s="26"/>
      <c r="AR135" s="26"/>
      <c r="AS135" s="32"/>
      <c r="AT135" s="34"/>
    </row>
    <row r="136" spans="2:46" x14ac:dyDescent="0.3">
      <c r="B136" s="8"/>
      <c r="C136" s="2"/>
      <c r="D136" s="26"/>
      <c r="E136" s="26"/>
      <c r="F136" s="27"/>
      <c r="G136" s="26"/>
      <c r="H136" s="26"/>
      <c r="I136" s="27"/>
      <c r="J136" s="26"/>
      <c r="K136" s="26"/>
      <c r="L136" s="67"/>
      <c r="N136" s="8"/>
      <c r="O136" s="2"/>
      <c r="P136" s="26"/>
      <c r="Q136" s="27"/>
      <c r="R136" s="30"/>
      <c r="S136" s="27"/>
      <c r="T136" s="30"/>
      <c r="U136" s="34"/>
      <c r="V136" s="34"/>
      <c r="X136" s="8"/>
      <c r="Y136" s="2"/>
      <c r="Z136" s="26"/>
      <c r="AA136" s="26"/>
      <c r="AB136" s="26"/>
      <c r="AC136" s="26"/>
      <c r="AD136" s="27"/>
      <c r="AE136" s="30"/>
      <c r="AF136" s="26"/>
      <c r="AG136" s="26"/>
      <c r="AH136" s="32"/>
      <c r="AJ136" s="8"/>
      <c r="AK136" s="2"/>
      <c r="AL136" s="26"/>
      <c r="AM136" s="26"/>
      <c r="AN136" s="26"/>
      <c r="AO136" s="27"/>
      <c r="AP136" s="30"/>
      <c r="AQ136" s="26"/>
      <c r="AR136" s="26"/>
      <c r="AS136" s="32"/>
      <c r="AT136" s="34"/>
    </row>
    <row r="137" spans="2:46" x14ac:dyDescent="0.3">
      <c r="B137" s="8"/>
      <c r="C137" s="2"/>
      <c r="D137" s="26"/>
      <c r="E137" s="26"/>
      <c r="F137" s="27"/>
      <c r="G137" s="26"/>
      <c r="H137" s="26"/>
      <c r="I137" s="27"/>
      <c r="J137" s="26"/>
      <c r="K137" s="26"/>
      <c r="L137" s="67"/>
      <c r="N137" s="8"/>
      <c r="O137" s="2"/>
      <c r="P137" s="26"/>
      <c r="Q137" s="27"/>
      <c r="R137" s="30"/>
      <c r="S137" s="27"/>
      <c r="T137" s="30"/>
      <c r="U137" s="34"/>
      <c r="V137" s="34"/>
      <c r="X137" s="8"/>
      <c r="Y137" s="2"/>
      <c r="Z137" s="26"/>
      <c r="AA137" s="26"/>
      <c r="AB137" s="26"/>
      <c r="AC137" s="26"/>
      <c r="AD137" s="27"/>
      <c r="AE137" s="30"/>
      <c r="AF137" s="26"/>
      <c r="AG137" s="26"/>
      <c r="AH137" s="32"/>
      <c r="AJ137" s="8"/>
      <c r="AK137" s="2"/>
      <c r="AL137" s="26"/>
      <c r="AM137" s="26"/>
      <c r="AN137" s="26"/>
      <c r="AO137" s="27"/>
      <c r="AP137" s="30"/>
      <c r="AQ137" s="26"/>
      <c r="AR137" s="26"/>
      <c r="AS137" s="32"/>
      <c r="AT137" s="34"/>
    </row>
    <row r="138" spans="2:46" x14ac:dyDescent="0.3">
      <c r="B138" s="8"/>
      <c r="C138" s="2"/>
      <c r="D138" s="26"/>
      <c r="E138" s="26"/>
      <c r="F138" s="27"/>
      <c r="G138" s="26"/>
      <c r="H138" s="26"/>
      <c r="I138" s="27"/>
      <c r="J138" s="26"/>
      <c r="K138" s="26"/>
      <c r="L138" s="67"/>
      <c r="N138" s="8"/>
      <c r="O138" s="2"/>
      <c r="P138" s="26"/>
      <c r="Q138" s="27"/>
      <c r="R138" s="30"/>
      <c r="S138" s="27"/>
      <c r="T138" s="30"/>
      <c r="U138" s="34"/>
      <c r="V138" s="34"/>
      <c r="X138" s="8"/>
      <c r="Y138" s="2"/>
      <c r="Z138" s="26"/>
      <c r="AA138" s="26"/>
      <c r="AB138" s="26"/>
      <c r="AC138" s="26"/>
      <c r="AD138" s="27"/>
      <c r="AE138" s="30"/>
      <c r="AF138" s="26"/>
      <c r="AG138" s="26"/>
      <c r="AH138" s="32"/>
      <c r="AJ138" s="8"/>
      <c r="AK138" s="2"/>
      <c r="AL138" s="26"/>
      <c r="AM138" s="26"/>
      <c r="AN138" s="26"/>
      <c r="AO138" s="27"/>
      <c r="AP138" s="30"/>
      <c r="AQ138" s="26"/>
      <c r="AR138" s="26"/>
      <c r="AS138" s="32"/>
      <c r="AT138" s="34"/>
    </row>
    <row r="139" spans="2:46" x14ac:dyDescent="0.3">
      <c r="B139" s="8"/>
      <c r="C139" s="2"/>
      <c r="D139" s="26"/>
      <c r="E139" s="26"/>
      <c r="F139" s="27"/>
      <c r="G139" s="26"/>
      <c r="H139" s="26"/>
      <c r="I139" s="27"/>
      <c r="J139" s="26"/>
      <c r="K139" s="26"/>
      <c r="L139" s="67"/>
      <c r="N139" s="8"/>
      <c r="O139" s="2"/>
      <c r="P139" s="26"/>
      <c r="Q139" s="27"/>
      <c r="R139" s="30"/>
      <c r="S139" s="27"/>
      <c r="T139" s="30"/>
      <c r="U139" s="34"/>
      <c r="V139" s="34"/>
      <c r="X139" s="8"/>
      <c r="Y139" s="2"/>
      <c r="Z139" s="26"/>
      <c r="AA139" s="26"/>
      <c r="AB139" s="26"/>
      <c r="AC139" s="26"/>
      <c r="AD139" s="27"/>
      <c r="AE139" s="30"/>
      <c r="AF139" s="26"/>
      <c r="AG139" s="26"/>
      <c r="AH139" s="32"/>
      <c r="AJ139" s="8"/>
      <c r="AK139" s="2"/>
      <c r="AL139" s="26"/>
      <c r="AM139" s="26"/>
      <c r="AN139" s="26"/>
      <c r="AO139" s="27"/>
      <c r="AP139" s="30"/>
      <c r="AQ139" s="26"/>
      <c r="AR139" s="26"/>
      <c r="AS139" s="32"/>
      <c r="AT139" s="34"/>
    </row>
    <row r="140" spans="2:46" x14ac:dyDescent="0.3">
      <c r="B140" s="8"/>
      <c r="C140" s="2"/>
      <c r="D140" s="26"/>
      <c r="E140" s="26"/>
      <c r="F140" s="27"/>
      <c r="G140" s="26"/>
      <c r="H140" s="26"/>
      <c r="I140" s="27"/>
      <c r="J140" s="26"/>
      <c r="K140" s="26"/>
      <c r="L140" s="67"/>
      <c r="N140" s="8"/>
      <c r="O140" s="2"/>
      <c r="P140" s="26"/>
      <c r="Q140" s="27"/>
      <c r="R140" s="30"/>
      <c r="S140" s="27"/>
      <c r="T140" s="30"/>
      <c r="U140" s="34"/>
      <c r="V140" s="34"/>
      <c r="X140" s="8"/>
      <c r="Y140" s="2"/>
      <c r="Z140" s="26"/>
      <c r="AA140" s="26"/>
      <c r="AB140" s="26"/>
      <c r="AC140" s="26"/>
      <c r="AD140" s="27"/>
      <c r="AE140" s="30"/>
      <c r="AF140" s="26"/>
      <c r="AG140" s="26"/>
      <c r="AH140" s="32"/>
      <c r="AJ140" s="8"/>
      <c r="AK140" s="2"/>
      <c r="AL140" s="26"/>
      <c r="AM140" s="26"/>
      <c r="AN140" s="26"/>
      <c r="AO140" s="27"/>
      <c r="AP140" s="30"/>
      <c r="AQ140" s="26"/>
      <c r="AR140" s="26"/>
      <c r="AS140" s="32"/>
      <c r="AT140" s="34"/>
    </row>
    <row r="141" spans="2:46" x14ac:dyDescent="0.3">
      <c r="B141" s="8"/>
      <c r="C141" s="2"/>
      <c r="D141" s="26"/>
      <c r="E141" s="26"/>
      <c r="F141" s="27"/>
      <c r="G141" s="26"/>
      <c r="H141" s="26"/>
      <c r="I141" s="27"/>
      <c r="J141" s="26"/>
      <c r="K141" s="26"/>
      <c r="L141" s="67"/>
      <c r="N141" s="8"/>
      <c r="O141" s="2"/>
      <c r="P141" s="26"/>
      <c r="Q141" s="27"/>
      <c r="R141" s="30"/>
      <c r="S141" s="27"/>
      <c r="T141" s="30"/>
      <c r="U141" s="34"/>
      <c r="V141" s="34"/>
      <c r="X141" s="8"/>
      <c r="Y141" s="2"/>
      <c r="Z141" s="26"/>
      <c r="AA141" s="26"/>
      <c r="AB141" s="26"/>
      <c r="AC141" s="26"/>
      <c r="AD141" s="27"/>
      <c r="AE141" s="30"/>
      <c r="AF141" s="26"/>
      <c r="AG141" s="26"/>
      <c r="AH141" s="32"/>
      <c r="AJ141" s="8"/>
      <c r="AK141" s="2"/>
      <c r="AL141" s="26"/>
      <c r="AM141" s="26"/>
      <c r="AN141" s="26"/>
      <c r="AO141" s="27"/>
      <c r="AP141" s="30"/>
      <c r="AQ141" s="26"/>
      <c r="AR141" s="26"/>
      <c r="AS141" s="32"/>
      <c r="AT141" s="34"/>
    </row>
    <row r="142" spans="2:46" x14ac:dyDescent="0.3">
      <c r="B142" s="8"/>
      <c r="C142" s="2"/>
      <c r="D142" s="26"/>
      <c r="E142" s="26"/>
      <c r="F142" s="27"/>
      <c r="G142" s="26"/>
      <c r="H142" s="26"/>
      <c r="I142" s="27"/>
      <c r="J142" s="26"/>
      <c r="K142" s="26"/>
      <c r="L142" s="67"/>
      <c r="N142" s="8"/>
      <c r="O142" s="2"/>
      <c r="P142" s="26"/>
      <c r="Q142" s="27"/>
      <c r="R142" s="30"/>
      <c r="S142" s="27"/>
      <c r="T142" s="30"/>
      <c r="U142" s="34"/>
      <c r="V142" s="34"/>
      <c r="X142" s="8"/>
      <c r="Y142" s="2"/>
      <c r="Z142" s="26"/>
      <c r="AA142" s="26"/>
      <c r="AB142" s="26"/>
      <c r="AC142" s="26"/>
      <c r="AD142" s="27"/>
      <c r="AE142" s="30"/>
      <c r="AF142" s="26"/>
      <c r="AG142" s="26"/>
      <c r="AH142" s="32"/>
      <c r="AJ142" s="8"/>
      <c r="AK142" s="2"/>
      <c r="AL142" s="26"/>
      <c r="AM142" s="26"/>
      <c r="AN142" s="26"/>
      <c r="AO142" s="27"/>
      <c r="AP142" s="30"/>
      <c r="AQ142" s="26"/>
      <c r="AR142" s="26"/>
      <c r="AS142" s="32"/>
      <c r="AT142" s="34"/>
    </row>
    <row r="143" spans="2:46" x14ac:dyDescent="0.3">
      <c r="B143" s="8"/>
      <c r="C143" s="2"/>
      <c r="D143" s="26"/>
      <c r="E143" s="26"/>
      <c r="F143" s="27"/>
      <c r="G143" s="26"/>
      <c r="H143" s="26"/>
      <c r="I143" s="27"/>
      <c r="J143" s="26"/>
      <c r="K143" s="26"/>
      <c r="L143" s="67"/>
      <c r="N143" s="8"/>
      <c r="O143" s="2"/>
      <c r="P143" s="26"/>
      <c r="Q143" s="27"/>
      <c r="R143" s="30"/>
      <c r="S143" s="27"/>
      <c r="T143" s="30"/>
      <c r="U143" s="34"/>
      <c r="V143" s="34"/>
      <c r="X143" s="8"/>
      <c r="Y143" s="2"/>
      <c r="Z143" s="26"/>
      <c r="AA143" s="26"/>
      <c r="AB143" s="26"/>
      <c r="AC143" s="26"/>
      <c r="AD143" s="27"/>
      <c r="AE143" s="30"/>
      <c r="AF143" s="26"/>
      <c r="AG143" s="26"/>
      <c r="AH143" s="32"/>
      <c r="AJ143" s="8"/>
      <c r="AK143" s="2"/>
      <c r="AL143" s="26"/>
      <c r="AM143" s="26"/>
      <c r="AN143" s="26"/>
      <c r="AO143" s="27"/>
      <c r="AP143" s="30"/>
      <c r="AQ143" s="26"/>
      <c r="AR143" s="26"/>
      <c r="AS143" s="32"/>
      <c r="AT143" s="34"/>
    </row>
    <row r="144" spans="2:46" x14ac:dyDescent="0.3">
      <c r="B144" s="8"/>
      <c r="C144" s="2"/>
      <c r="D144" s="26"/>
      <c r="E144" s="26"/>
      <c r="F144" s="27"/>
      <c r="G144" s="26"/>
      <c r="H144" s="26"/>
      <c r="I144" s="27"/>
      <c r="J144" s="26"/>
      <c r="K144" s="26"/>
      <c r="L144" s="67"/>
      <c r="N144" s="8"/>
      <c r="O144" s="2"/>
      <c r="P144" s="26"/>
      <c r="Q144" s="27"/>
      <c r="R144" s="30"/>
      <c r="S144" s="27"/>
      <c r="T144" s="30"/>
      <c r="U144" s="34"/>
      <c r="V144" s="34"/>
      <c r="X144" s="8"/>
      <c r="Y144" s="2"/>
      <c r="Z144" s="26"/>
      <c r="AA144" s="26"/>
      <c r="AB144" s="26"/>
      <c r="AC144" s="26"/>
      <c r="AD144" s="27"/>
      <c r="AE144" s="30"/>
      <c r="AF144" s="26"/>
      <c r="AG144" s="26"/>
      <c r="AH144" s="32"/>
      <c r="AJ144" s="8"/>
      <c r="AK144" s="2"/>
      <c r="AL144" s="26"/>
      <c r="AM144" s="26"/>
      <c r="AN144" s="26"/>
      <c r="AO144" s="27"/>
      <c r="AP144" s="30"/>
      <c r="AQ144" s="26"/>
      <c r="AR144" s="26"/>
      <c r="AS144" s="32"/>
      <c r="AT144" s="34"/>
    </row>
    <row r="145" spans="2:46" x14ac:dyDescent="0.3">
      <c r="B145" s="8"/>
      <c r="C145" s="2"/>
      <c r="D145" s="26"/>
      <c r="E145" s="26"/>
      <c r="F145" s="27"/>
      <c r="G145" s="26"/>
      <c r="H145" s="26"/>
      <c r="I145" s="27"/>
      <c r="J145" s="26"/>
      <c r="K145" s="26"/>
      <c r="L145" s="67"/>
      <c r="N145" s="8"/>
      <c r="O145" s="2"/>
      <c r="P145" s="26"/>
      <c r="Q145" s="27"/>
      <c r="R145" s="30"/>
      <c r="S145" s="27"/>
      <c r="T145" s="30"/>
      <c r="U145" s="34"/>
      <c r="V145" s="34"/>
      <c r="X145" s="8"/>
      <c r="Y145" s="2"/>
      <c r="Z145" s="26"/>
      <c r="AA145" s="26"/>
      <c r="AB145" s="26"/>
      <c r="AC145" s="26"/>
      <c r="AD145" s="27"/>
      <c r="AE145" s="30"/>
      <c r="AF145" s="26"/>
      <c r="AG145" s="26"/>
      <c r="AH145" s="32"/>
      <c r="AJ145" s="8"/>
      <c r="AK145" s="2"/>
      <c r="AL145" s="26"/>
      <c r="AM145" s="26"/>
      <c r="AN145" s="26"/>
      <c r="AO145" s="27"/>
      <c r="AP145" s="30"/>
      <c r="AQ145" s="26"/>
      <c r="AR145" s="26"/>
      <c r="AS145" s="32"/>
      <c r="AT145" s="34"/>
    </row>
    <row r="146" spans="2:46" x14ac:dyDescent="0.3">
      <c r="B146" s="8"/>
      <c r="C146" s="2"/>
      <c r="D146" s="26"/>
      <c r="E146" s="26"/>
      <c r="F146" s="27"/>
      <c r="G146" s="26"/>
      <c r="H146" s="26"/>
      <c r="I146" s="27"/>
      <c r="J146" s="26"/>
      <c r="K146" s="26"/>
      <c r="L146" s="67"/>
      <c r="N146" s="8"/>
      <c r="O146" s="2"/>
      <c r="P146" s="26"/>
      <c r="Q146" s="27"/>
      <c r="R146" s="30"/>
      <c r="S146" s="27"/>
      <c r="T146" s="30"/>
      <c r="U146" s="34"/>
      <c r="V146" s="34"/>
      <c r="X146" s="8"/>
      <c r="Y146" s="2"/>
      <c r="Z146" s="26"/>
      <c r="AA146" s="26"/>
      <c r="AB146" s="26"/>
      <c r="AC146" s="26"/>
      <c r="AD146" s="27"/>
      <c r="AE146" s="30"/>
      <c r="AF146" s="26"/>
      <c r="AG146" s="26"/>
      <c r="AH146" s="32"/>
      <c r="AJ146" s="8"/>
      <c r="AK146" s="2"/>
      <c r="AL146" s="26"/>
      <c r="AM146" s="26"/>
      <c r="AN146" s="26"/>
      <c r="AO146" s="27"/>
      <c r="AP146" s="30"/>
      <c r="AQ146" s="26"/>
      <c r="AR146" s="26"/>
      <c r="AS146" s="32"/>
      <c r="AT146" s="34"/>
    </row>
    <row r="147" spans="2:46" x14ac:dyDescent="0.3">
      <c r="B147" s="8"/>
      <c r="C147" s="2"/>
      <c r="D147" s="26"/>
      <c r="E147" s="26"/>
      <c r="F147" s="27"/>
      <c r="G147" s="26"/>
      <c r="H147" s="26"/>
      <c r="I147" s="27"/>
      <c r="J147" s="26"/>
      <c r="K147" s="26"/>
      <c r="L147" s="67"/>
      <c r="N147" s="8"/>
      <c r="O147" s="2"/>
      <c r="P147" s="26"/>
      <c r="Q147" s="27"/>
      <c r="R147" s="30"/>
      <c r="S147" s="27"/>
      <c r="T147" s="30"/>
      <c r="U147" s="34"/>
      <c r="V147" s="34"/>
      <c r="X147" s="8"/>
      <c r="Y147" s="2"/>
      <c r="Z147" s="26"/>
      <c r="AA147" s="26"/>
      <c r="AB147" s="26"/>
      <c r="AC147" s="26"/>
      <c r="AD147" s="27"/>
      <c r="AE147" s="30"/>
      <c r="AF147" s="26"/>
      <c r="AG147" s="26"/>
      <c r="AH147" s="32"/>
      <c r="AJ147" s="8"/>
      <c r="AK147" s="2"/>
      <c r="AL147" s="26"/>
      <c r="AM147" s="26"/>
      <c r="AN147" s="26"/>
      <c r="AO147" s="27"/>
      <c r="AP147" s="30"/>
      <c r="AQ147" s="26"/>
      <c r="AR147" s="26"/>
      <c r="AS147" s="32"/>
      <c r="AT147" s="34"/>
    </row>
    <row r="148" spans="2:46" x14ac:dyDescent="0.3">
      <c r="B148" s="8"/>
      <c r="C148" s="2"/>
      <c r="D148" s="26"/>
      <c r="E148" s="26"/>
      <c r="F148" s="27"/>
      <c r="G148" s="26"/>
      <c r="H148" s="26"/>
      <c r="I148" s="27"/>
      <c r="J148" s="26"/>
      <c r="K148" s="26"/>
      <c r="L148" s="67"/>
      <c r="N148" s="8"/>
      <c r="O148" s="2"/>
      <c r="P148" s="26"/>
      <c r="Q148" s="27"/>
      <c r="R148" s="30"/>
      <c r="S148" s="27"/>
      <c r="T148" s="30"/>
      <c r="U148" s="34"/>
      <c r="V148" s="34"/>
      <c r="X148" s="8"/>
      <c r="Y148" s="2"/>
      <c r="Z148" s="26"/>
      <c r="AA148" s="26"/>
      <c r="AB148" s="26"/>
      <c r="AC148" s="26"/>
      <c r="AD148" s="27"/>
      <c r="AE148" s="30"/>
      <c r="AF148" s="26"/>
      <c r="AG148" s="26"/>
      <c r="AH148" s="32"/>
      <c r="AJ148" s="8"/>
      <c r="AK148" s="2"/>
      <c r="AL148" s="26"/>
      <c r="AM148" s="26"/>
      <c r="AN148" s="26"/>
      <c r="AO148" s="27"/>
      <c r="AP148" s="30"/>
      <c r="AQ148" s="26"/>
      <c r="AR148" s="26"/>
      <c r="AS148" s="32"/>
      <c r="AT148" s="34"/>
    </row>
    <row r="149" spans="2:46" x14ac:dyDescent="0.3">
      <c r="B149" s="8"/>
      <c r="C149" s="2"/>
      <c r="D149" s="26"/>
      <c r="E149" s="26"/>
      <c r="F149" s="27"/>
      <c r="G149" s="26"/>
      <c r="H149" s="26"/>
      <c r="I149" s="27"/>
      <c r="J149" s="26"/>
      <c r="K149" s="26"/>
      <c r="L149" s="67"/>
      <c r="N149" s="8"/>
      <c r="O149" s="2"/>
      <c r="P149" s="26"/>
      <c r="Q149" s="27"/>
      <c r="R149" s="30"/>
      <c r="S149" s="27"/>
      <c r="T149" s="30"/>
      <c r="U149" s="34"/>
      <c r="V149" s="34"/>
      <c r="X149" s="8"/>
      <c r="Y149" s="2"/>
      <c r="Z149" s="26"/>
      <c r="AA149" s="26"/>
      <c r="AB149" s="26"/>
      <c r="AC149" s="26"/>
      <c r="AD149" s="27"/>
      <c r="AE149" s="30"/>
      <c r="AF149" s="26"/>
      <c r="AG149" s="26"/>
      <c r="AH149" s="32"/>
      <c r="AJ149" s="8"/>
      <c r="AK149" s="2"/>
      <c r="AL149" s="26"/>
      <c r="AM149" s="26"/>
      <c r="AN149" s="26"/>
      <c r="AO149" s="27"/>
      <c r="AP149" s="30"/>
      <c r="AQ149" s="26"/>
      <c r="AR149" s="26"/>
      <c r="AS149" s="32"/>
      <c r="AT149" s="34"/>
    </row>
    <row r="150" spans="2:46" x14ac:dyDescent="0.3">
      <c r="B150" s="8"/>
      <c r="C150" s="2"/>
      <c r="D150" s="26"/>
      <c r="E150" s="26"/>
      <c r="F150" s="27"/>
      <c r="G150" s="26"/>
      <c r="H150" s="26"/>
      <c r="I150" s="27"/>
      <c r="J150" s="26"/>
      <c r="K150" s="26"/>
      <c r="L150" s="67"/>
      <c r="N150" s="8"/>
      <c r="O150" s="2"/>
      <c r="P150" s="26"/>
      <c r="Q150" s="27"/>
      <c r="R150" s="30"/>
      <c r="S150" s="27"/>
      <c r="T150" s="30"/>
      <c r="U150" s="34"/>
      <c r="V150" s="34"/>
      <c r="X150" s="8"/>
      <c r="Y150" s="2"/>
      <c r="Z150" s="26"/>
      <c r="AA150" s="26"/>
      <c r="AB150" s="26"/>
      <c r="AC150" s="26"/>
      <c r="AD150" s="27"/>
      <c r="AE150" s="30"/>
      <c r="AF150" s="26"/>
      <c r="AG150" s="26"/>
      <c r="AH150" s="32"/>
      <c r="AJ150" s="8"/>
      <c r="AK150" s="2"/>
      <c r="AL150" s="26"/>
      <c r="AM150" s="26"/>
      <c r="AN150" s="26"/>
      <c r="AO150" s="27"/>
      <c r="AP150" s="30"/>
      <c r="AQ150" s="26"/>
      <c r="AR150" s="26"/>
      <c r="AS150" s="32"/>
      <c r="AT150" s="34"/>
    </row>
    <row r="151" spans="2:46" x14ac:dyDescent="0.3">
      <c r="B151" s="8"/>
      <c r="C151" s="2"/>
      <c r="D151" s="26"/>
      <c r="E151" s="26"/>
      <c r="F151" s="27"/>
      <c r="G151" s="26"/>
      <c r="H151" s="26"/>
      <c r="I151" s="27"/>
      <c r="J151" s="26"/>
      <c r="K151" s="26"/>
      <c r="L151" s="67"/>
      <c r="N151" s="8"/>
      <c r="O151" s="2"/>
      <c r="P151" s="26"/>
      <c r="Q151" s="27"/>
      <c r="R151" s="30"/>
      <c r="S151" s="27"/>
      <c r="T151" s="30"/>
      <c r="U151" s="34"/>
      <c r="V151" s="34"/>
      <c r="X151" s="8"/>
      <c r="Y151" s="2"/>
      <c r="Z151" s="26"/>
      <c r="AA151" s="26"/>
      <c r="AB151" s="26"/>
      <c r="AC151" s="26"/>
      <c r="AD151" s="27"/>
      <c r="AE151" s="30"/>
      <c r="AF151" s="26"/>
      <c r="AG151" s="26"/>
      <c r="AH151" s="32"/>
      <c r="AJ151" s="8"/>
      <c r="AK151" s="2"/>
      <c r="AL151" s="26"/>
      <c r="AM151" s="26"/>
      <c r="AN151" s="26"/>
      <c r="AO151" s="27"/>
      <c r="AP151" s="30"/>
      <c r="AQ151" s="26"/>
      <c r="AR151" s="26"/>
      <c r="AS151" s="32"/>
      <c r="AT151" s="34"/>
    </row>
    <row r="152" spans="2:46" x14ac:dyDescent="0.3">
      <c r="B152" s="8"/>
      <c r="C152" s="2"/>
      <c r="D152" s="26"/>
      <c r="E152" s="26"/>
      <c r="F152" s="27"/>
      <c r="G152" s="26"/>
      <c r="H152" s="26"/>
      <c r="I152" s="27"/>
      <c r="J152" s="26"/>
      <c r="K152" s="26"/>
      <c r="L152" s="67"/>
      <c r="N152" s="8"/>
      <c r="O152" s="2"/>
      <c r="P152" s="26"/>
      <c r="Q152" s="27"/>
      <c r="R152" s="30"/>
      <c r="S152" s="27"/>
      <c r="T152" s="30"/>
      <c r="U152" s="34"/>
      <c r="V152" s="34"/>
      <c r="X152" s="8"/>
      <c r="Y152" s="2"/>
      <c r="Z152" s="26"/>
      <c r="AA152" s="26"/>
      <c r="AB152" s="26"/>
      <c r="AC152" s="26"/>
      <c r="AD152" s="27"/>
      <c r="AE152" s="30"/>
      <c r="AF152" s="26"/>
      <c r="AG152" s="26"/>
      <c r="AH152" s="32"/>
      <c r="AJ152" s="8"/>
      <c r="AK152" s="2"/>
      <c r="AL152" s="26"/>
      <c r="AM152" s="26"/>
      <c r="AN152" s="26"/>
      <c r="AO152" s="27"/>
      <c r="AP152" s="30"/>
      <c r="AQ152" s="26"/>
      <c r="AR152" s="26"/>
      <c r="AS152" s="32"/>
      <c r="AT152" s="34"/>
    </row>
    <row r="153" spans="2:46" x14ac:dyDescent="0.3">
      <c r="B153" s="8"/>
      <c r="C153" s="2"/>
      <c r="D153" s="26"/>
      <c r="E153" s="26"/>
      <c r="F153" s="27"/>
      <c r="G153" s="26"/>
      <c r="H153" s="26"/>
      <c r="I153" s="27"/>
      <c r="J153" s="26"/>
      <c r="K153" s="26"/>
      <c r="L153" s="67"/>
      <c r="N153" s="8"/>
      <c r="O153" s="2"/>
      <c r="P153" s="26"/>
      <c r="Q153" s="27"/>
      <c r="R153" s="30"/>
      <c r="S153" s="27"/>
      <c r="T153" s="30"/>
      <c r="U153" s="34"/>
      <c r="V153" s="34"/>
      <c r="X153" s="8"/>
      <c r="Y153" s="2"/>
      <c r="Z153" s="26"/>
      <c r="AA153" s="26"/>
      <c r="AB153" s="26"/>
      <c r="AC153" s="26"/>
      <c r="AD153" s="27"/>
      <c r="AE153" s="30"/>
      <c r="AF153" s="26"/>
      <c r="AG153" s="26"/>
      <c r="AH153" s="32"/>
      <c r="AJ153" s="8"/>
      <c r="AK153" s="2"/>
      <c r="AL153" s="26"/>
      <c r="AM153" s="26"/>
      <c r="AN153" s="26"/>
      <c r="AO153" s="27"/>
      <c r="AP153" s="30"/>
      <c r="AQ153" s="26"/>
      <c r="AR153" s="26"/>
      <c r="AS153" s="32"/>
      <c r="AT153" s="34"/>
    </row>
    <row r="154" spans="2:46" x14ac:dyDescent="0.3">
      <c r="B154" s="8"/>
      <c r="C154" s="2"/>
      <c r="D154" s="26"/>
      <c r="E154" s="26"/>
      <c r="F154" s="27"/>
      <c r="G154" s="26"/>
      <c r="H154" s="26"/>
      <c r="I154" s="27"/>
      <c r="J154" s="26"/>
      <c r="K154" s="26"/>
      <c r="L154" s="67"/>
      <c r="N154" s="8"/>
      <c r="O154" s="2"/>
      <c r="P154" s="26"/>
      <c r="Q154" s="27"/>
      <c r="R154" s="30"/>
      <c r="S154" s="27"/>
      <c r="T154" s="30"/>
      <c r="U154" s="34"/>
      <c r="V154" s="34"/>
      <c r="X154" s="8"/>
      <c r="Y154" s="2"/>
      <c r="Z154" s="26"/>
      <c r="AA154" s="26"/>
      <c r="AB154" s="26"/>
      <c r="AC154" s="26"/>
      <c r="AD154" s="27"/>
      <c r="AE154" s="30"/>
      <c r="AF154" s="26"/>
      <c r="AG154" s="26"/>
      <c r="AH154" s="32"/>
      <c r="AJ154" s="8"/>
      <c r="AK154" s="2"/>
      <c r="AL154" s="26"/>
      <c r="AM154" s="26"/>
      <c r="AN154" s="26"/>
      <c r="AO154" s="27"/>
      <c r="AP154" s="30"/>
      <c r="AQ154" s="26"/>
      <c r="AR154" s="26"/>
      <c r="AS154" s="32"/>
      <c r="AT154" s="34"/>
    </row>
    <row r="155" spans="2:46" x14ac:dyDescent="0.3">
      <c r="B155" s="8"/>
      <c r="C155" s="2"/>
      <c r="D155" s="26"/>
      <c r="E155" s="26"/>
      <c r="F155" s="27"/>
      <c r="G155" s="26"/>
      <c r="H155" s="26"/>
      <c r="I155" s="27"/>
      <c r="J155" s="26"/>
      <c r="K155" s="26"/>
      <c r="L155" s="67"/>
      <c r="N155" s="8"/>
      <c r="O155" s="2"/>
      <c r="P155" s="26"/>
      <c r="Q155" s="27"/>
      <c r="R155" s="30"/>
      <c r="S155" s="27"/>
      <c r="T155" s="30"/>
      <c r="U155" s="34"/>
      <c r="V155" s="34"/>
      <c r="X155" s="8"/>
      <c r="Y155" s="2"/>
      <c r="Z155" s="26"/>
      <c r="AA155" s="26"/>
      <c r="AB155" s="26"/>
      <c r="AC155" s="26"/>
      <c r="AD155" s="27"/>
      <c r="AE155" s="30"/>
      <c r="AF155" s="26"/>
      <c r="AG155" s="26"/>
      <c r="AH155" s="32"/>
      <c r="AJ155" s="8"/>
      <c r="AK155" s="2"/>
      <c r="AL155" s="26"/>
      <c r="AM155" s="26"/>
      <c r="AN155" s="26"/>
      <c r="AO155" s="27"/>
      <c r="AP155" s="30"/>
      <c r="AQ155" s="26"/>
      <c r="AR155" s="26"/>
      <c r="AS155" s="32"/>
      <c r="AT155" s="34"/>
    </row>
    <row r="156" spans="2:46" x14ac:dyDescent="0.3">
      <c r="B156" s="8"/>
      <c r="C156" s="2"/>
      <c r="D156" s="26"/>
      <c r="E156" s="26"/>
      <c r="F156" s="27"/>
      <c r="G156" s="26"/>
      <c r="H156" s="26"/>
      <c r="I156" s="27"/>
      <c r="J156" s="26"/>
      <c r="K156" s="26"/>
      <c r="L156" s="67"/>
      <c r="N156" s="8"/>
      <c r="O156" s="2"/>
      <c r="P156" s="26"/>
      <c r="Q156" s="27"/>
      <c r="R156" s="30"/>
      <c r="S156" s="27"/>
      <c r="T156" s="30"/>
      <c r="U156" s="34"/>
      <c r="V156" s="34"/>
      <c r="X156" s="8"/>
      <c r="Y156" s="2"/>
      <c r="Z156" s="26"/>
      <c r="AA156" s="26"/>
      <c r="AB156" s="26"/>
      <c r="AC156" s="26"/>
      <c r="AD156" s="27"/>
      <c r="AE156" s="30"/>
      <c r="AF156" s="26"/>
      <c r="AG156" s="26"/>
      <c r="AH156" s="32"/>
      <c r="AJ156" s="8"/>
      <c r="AK156" s="2"/>
      <c r="AL156" s="26"/>
      <c r="AM156" s="26"/>
      <c r="AN156" s="26"/>
      <c r="AO156" s="27"/>
      <c r="AP156" s="30"/>
      <c r="AQ156" s="26"/>
      <c r="AR156" s="26"/>
      <c r="AS156" s="32"/>
      <c r="AT156" s="34"/>
    </row>
    <row r="157" spans="2:46" x14ac:dyDescent="0.3">
      <c r="B157" s="8"/>
      <c r="C157" s="2"/>
      <c r="D157" s="26"/>
      <c r="E157" s="26"/>
      <c r="F157" s="28"/>
      <c r="G157" s="29"/>
      <c r="H157" s="29"/>
      <c r="I157" s="28"/>
      <c r="J157" s="29"/>
      <c r="K157" s="29"/>
      <c r="L157" s="68"/>
      <c r="N157" s="8"/>
      <c r="O157" s="2"/>
      <c r="P157" s="26"/>
      <c r="Q157" s="28"/>
      <c r="R157" s="31"/>
      <c r="S157" s="28"/>
      <c r="T157" s="31"/>
      <c r="U157" s="34"/>
      <c r="V157" s="34"/>
      <c r="X157" s="8"/>
      <c r="Y157" s="2"/>
      <c r="Z157" s="26"/>
      <c r="AA157" s="26"/>
      <c r="AB157" s="26"/>
      <c r="AC157" s="26"/>
      <c r="AD157" s="27"/>
      <c r="AE157" s="30"/>
      <c r="AF157" s="26"/>
      <c r="AG157" s="26"/>
      <c r="AH157" s="32"/>
      <c r="AJ157" s="8"/>
      <c r="AK157" s="2"/>
      <c r="AL157" s="26"/>
      <c r="AM157" s="26"/>
      <c r="AN157" s="26"/>
      <c r="AO157" s="28"/>
      <c r="AP157" s="31"/>
      <c r="AQ157" s="26"/>
      <c r="AR157" s="26"/>
      <c r="AS157" s="32"/>
      <c r="AT157" s="34"/>
    </row>
    <row r="158" spans="2:46" x14ac:dyDescent="0.3">
      <c r="B158" s="22"/>
      <c r="C158" s="22"/>
      <c r="D158" s="22"/>
      <c r="E158" s="22"/>
      <c r="F158" s="22"/>
      <c r="G158" s="22"/>
      <c r="H158" s="22"/>
      <c r="I158" s="22"/>
      <c r="J158" s="22"/>
      <c r="K158" s="22"/>
      <c r="L158" s="22"/>
      <c r="N158" s="22"/>
      <c r="O158" s="22"/>
      <c r="P158" s="22"/>
      <c r="Q158" s="22"/>
      <c r="R158" s="22"/>
      <c r="S158" s="22"/>
      <c r="T158" s="22"/>
      <c r="U158" s="22"/>
      <c r="V158" s="22"/>
      <c r="X158" s="22"/>
      <c r="Y158" s="22"/>
      <c r="Z158" s="22"/>
      <c r="AA158" s="22"/>
      <c r="AB158" s="22"/>
      <c r="AC158" s="22"/>
      <c r="AD158" s="22"/>
      <c r="AE158" s="22"/>
      <c r="AF158" s="22"/>
      <c r="AG158" s="22"/>
      <c r="AH158" s="22"/>
      <c r="AJ158" s="22"/>
      <c r="AK158" s="22"/>
      <c r="AL158" s="22"/>
      <c r="AM158" s="22"/>
      <c r="AN158" s="22"/>
      <c r="AO158" s="22"/>
      <c r="AP158" s="22"/>
      <c r="AQ158" s="22"/>
      <c r="AR158" s="22"/>
      <c r="AS158" s="22"/>
      <c r="AT158" s="22"/>
    </row>
  </sheetData>
  <mergeCells count="11">
    <mergeCell ref="AF4:AG4"/>
    <mergeCell ref="AO4:AP4"/>
    <mergeCell ref="AQ4:AR4"/>
    <mergeCell ref="AS4:AT4"/>
    <mergeCell ref="D4:E4"/>
    <mergeCell ref="F4:H4"/>
    <mergeCell ref="I4:K4"/>
    <mergeCell ref="Q4:R4"/>
    <mergeCell ref="AD4:AE4"/>
    <mergeCell ref="S4:T4"/>
    <mergeCell ref="U4:V4"/>
  </mergeCells>
  <conditionalFormatting sqref="D8:K156 AL8:AR156">
    <cfRule type="cellIs" dxfId="174" priority="7" operator="lessThan">
      <formula>0</formula>
    </cfRule>
    <cfRule type="cellIs" dxfId="173" priority="8" operator="greaterThan">
      <formula>0</formula>
    </cfRule>
  </conditionalFormatting>
  <conditionalFormatting sqref="L8:L157">
    <cfRule type="cellIs" dxfId="172" priority="15" operator="greaterThan">
      <formula>1</formula>
    </cfRule>
  </conditionalFormatting>
  <conditionalFormatting sqref="U8:V157">
    <cfRule type="cellIs" dxfId="171" priority="13" operator="greaterThan">
      <formula>1</formula>
    </cfRule>
  </conditionalFormatting>
  <conditionalFormatting sqref="Z8:AG157">
    <cfRule type="cellIs" dxfId="170" priority="1" operator="lessThan">
      <formula>0</formula>
    </cfRule>
    <cfRule type="cellIs" dxfId="169" priority="2" operator="greaterThan">
      <formula>0</formula>
    </cfRule>
  </conditionalFormatting>
  <conditionalFormatting sqref="AH8:AH157">
    <cfRule type="cellIs" dxfId="168" priority="12" operator="greaterThan">
      <formula>1</formula>
    </cfRule>
  </conditionalFormatting>
  <conditionalFormatting sqref="AS8:AT157">
    <cfRule type="cellIs" dxfId="167" priority="11" operator="greaterThan">
      <formula>1</formula>
    </cfRule>
  </conditionalFormatting>
  <conditionalFormatting sqref="P8:T156 AY6:AY23">
    <cfRule type="cellIs" dxfId="166" priority="3" operator="lessThan">
      <formula>0</formula>
    </cfRule>
    <cfRule type="cellIs" dxfId="165" priority="4" operator="greaterThan">
      <formula>0</formula>
    </cfRule>
  </conditionalFormatting>
  <dataValidations count="3">
    <dataValidation type="whole" errorStyle="information" allowBlank="1" showInputMessage="1" showErrorMessage="1" errorTitle="Must select 1 or 2" error="1 = Included in closure_x000a_2 = Excluded" sqref="V8:V157 AH8:AH157 L8:L157 AS8:AT157" xr:uid="{88F79BE8-00AA-4A16-B908-D526C1B9C042}">
      <formula1>1</formula1>
      <formula2>2</formula2>
    </dataValidation>
    <dataValidation type="whole" errorStyle="information" allowBlank="1" showInputMessage="1" showErrorMessage="1" errorTitle="Must select 1 or 2" error="1 = Included in shock_x000a_2 = Excluded" sqref="U8:U157" xr:uid="{7C1AE1AB-8FD3-4F5C-A37B-8D6F87186C3A}">
      <formula1>1</formula1>
      <formula2>2</formula2>
    </dataValidation>
    <dataValidation type="decimal" errorStyle="information" allowBlank="1" showInputMessage="1" showErrorMessage="1" errorTitle="Must select a number" error="Cannot choose letters or special characters." sqref="AL8:AN28 D8:K157 Z8:AG157 P8:T157 AO8:AR157 AY6:AY23" xr:uid="{F898E101-973E-4CAB-BFB2-F29B416B9966}">
      <formula1>-1000000000</formula1>
      <formula2>1000000000</formula2>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errorTitle="Out of range" error="Time periods must fall within the range specified on the &quot;Base&quot; worksheet." xr:uid="{E6FDE613-FA45-4D9D-BDC2-327F94606973}">
          <x14:formula1>
            <xm:f>Main!$H$5:$H$58</xm:f>
          </x14:formula1>
          <xm:sqref>AY6:AY23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BC262-8D3A-4B19-B666-93C39D9D767A}">
  <sheetPr>
    <tabColor theme="8" tint="-0.499984740745262"/>
  </sheetPr>
  <dimension ref="A1:BE167"/>
  <sheetViews>
    <sheetView topLeftCell="I1" zoomScale="55" zoomScaleNormal="55" workbookViewId="0">
      <pane ySplit="16" topLeftCell="A17" activePane="bottomLeft" state="frozen"/>
      <selection activeCell="V17" sqref="V17"/>
      <selection pane="bottomLeft" activeCell="V17" sqref="V17"/>
    </sheetView>
  </sheetViews>
  <sheetFormatPr defaultColWidth="0" defaultRowHeight="14.4" zeroHeight="1" x14ac:dyDescent="0.3"/>
  <cols>
    <col min="1" max="2" width="2.44140625" customWidth="1"/>
    <col min="3" max="12" width="9.109375" customWidth="1"/>
    <col min="13" max="14" width="2.44140625" customWidth="1"/>
    <col min="15" max="22" width="9.109375" customWidth="1"/>
    <col min="23" max="24" width="2.44140625" customWidth="1"/>
    <col min="25" max="34" width="9.109375" customWidth="1"/>
    <col min="35" max="36" width="2.44140625" customWidth="1"/>
    <col min="37" max="37" width="11.77734375" customWidth="1"/>
    <col min="38" max="46" width="9.109375" customWidth="1"/>
    <col min="47" max="48" width="2.44140625" customWidth="1"/>
    <col min="49" max="49" width="18.88671875" bestFit="1" customWidth="1"/>
    <col min="50" max="54" width="9.109375" customWidth="1"/>
    <col min="55" max="55" width="2.44140625" customWidth="1"/>
    <col min="56" max="57" width="0" hidden="1" customWidth="1"/>
    <col min="58" max="16384" width="9.109375" hidden="1"/>
  </cols>
  <sheetData>
    <row r="1" spans="1:55" ht="18" x14ac:dyDescent="0.35">
      <c r="A1" s="6" t="str">
        <f>"Simulation "&amp;AC1&amp;IF(AD1&lt;&gt;""," : "&amp;AD1,"")</f>
        <v>Simulation sim1</v>
      </c>
      <c r="B1" s="6"/>
      <c r="C1" s="4"/>
      <c r="D1" s="4"/>
      <c r="E1" s="4"/>
      <c r="F1" s="4"/>
      <c r="G1" s="4"/>
      <c r="H1" s="4"/>
      <c r="I1" s="4"/>
      <c r="J1" s="4"/>
      <c r="K1" s="4"/>
      <c r="L1" s="4"/>
      <c r="M1" s="4"/>
      <c r="N1" s="4"/>
      <c r="O1" s="4"/>
      <c r="P1" s="4"/>
      <c r="Q1" s="4"/>
      <c r="R1" s="4"/>
      <c r="S1" s="4"/>
      <c r="T1" s="4"/>
      <c r="U1" s="4"/>
      <c r="V1" s="4"/>
      <c r="W1" s="4"/>
      <c r="X1" s="4"/>
      <c r="Y1" s="4"/>
      <c r="Z1" s="4"/>
      <c r="AA1" s="4"/>
      <c r="AB1" s="4"/>
      <c r="AC1" s="4" t="str">
        <f>Main!C7</f>
        <v>sim1</v>
      </c>
      <c r="AD1" s="4" t="str">
        <f>IF(Main!E7&lt;&gt;"",Main!E7,"")</f>
        <v/>
      </c>
      <c r="AE1" s="4"/>
      <c r="AF1" s="4"/>
      <c r="AG1" s="4"/>
      <c r="AH1" s="4"/>
      <c r="AI1" s="4"/>
      <c r="AJ1" s="4"/>
      <c r="AK1" s="4"/>
      <c r="AL1" s="4"/>
      <c r="AM1" s="4"/>
      <c r="AN1" s="4"/>
      <c r="AO1" s="4"/>
      <c r="AP1" s="4"/>
      <c r="AQ1" s="4"/>
      <c r="AR1" s="4"/>
      <c r="AS1" s="4"/>
      <c r="AT1" s="4"/>
      <c r="AU1" s="4"/>
      <c r="AV1" s="4"/>
      <c r="AW1" s="4"/>
      <c r="AX1" s="4"/>
      <c r="AY1" s="4"/>
      <c r="AZ1" s="4"/>
      <c r="BA1" s="4"/>
      <c r="BB1" s="4"/>
      <c r="BC1" s="4"/>
    </row>
    <row r="2" spans="1:55" x14ac:dyDescent="0.3"/>
    <row r="3" spans="1:55" ht="15.6" x14ac:dyDescent="0.3">
      <c r="B3" s="7"/>
      <c r="C3" s="17" t="s">
        <v>55</v>
      </c>
      <c r="D3" s="36"/>
      <c r="E3" s="36"/>
      <c r="F3" s="36"/>
      <c r="G3" s="36"/>
      <c r="H3" s="36"/>
      <c r="I3" s="36"/>
      <c r="J3" s="36"/>
      <c r="K3" s="36"/>
      <c r="L3" s="36"/>
      <c r="N3" s="7"/>
      <c r="O3" s="17" t="s">
        <v>56</v>
      </c>
      <c r="P3" s="36"/>
      <c r="Q3" s="36"/>
      <c r="R3" s="36"/>
      <c r="S3" s="36"/>
      <c r="T3" s="36"/>
      <c r="U3" s="36"/>
      <c r="V3" s="36"/>
      <c r="X3" s="7"/>
      <c r="Y3" s="17" t="s">
        <v>57</v>
      </c>
      <c r="Z3" s="36"/>
      <c r="AA3" s="36"/>
      <c r="AB3" s="36"/>
      <c r="AC3" s="36"/>
      <c r="AD3" s="36"/>
      <c r="AE3" s="36"/>
      <c r="AF3" s="36"/>
      <c r="AG3" s="36"/>
      <c r="AH3" s="36"/>
      <c r="AJ3" s="7"/>
      <c r="AK3" s="17" t="s">
        <v>283</v>
      </c>
      <c r="AL3" s="36"/>
      <c r="AM3" s="36"/>
      <c r="AN3" s="36"/>
      <c r="AO3" s="36"/>
      <c r="AP3" s="36"/>
      <c r="AQ3" s="36"/>
      <c r="AR3" s="36"/>
      <c r="AS3" s="36"/>
      <c r="AT3" s="36"/>
      <c r="AV3" s="7"/>
      <c r="AW3" s="17" t="s">
        <v>125</v>
      </c>
      <c r="AX3" s="36"/>
      <c r="AY3" s="36"/>
      <c r="AZ3" s="36"/>
      <c r="BA3" s="36"/>
      <c r="BB3" s="36"/>
    </row>
    <row r="4" spans="1:55" x14ac:dyDescent="0.3">
      <c r="B4" s="14"/>
      <c r="C4" s="9"/>
      <c r="D4" s="74" t="s">
        <v>58</v>
      </c>
      <c r="E4" s="74"/>
      <c r="F4" s="75" t="s">
        <v>59</v>
      </c>
      <c r="G4" s="74"/>
      <c r="H4" s="74"/>
      <c r="I4" s="75" t="s">
        <v>7</v>
      </c>
      <c r="J4" s="74"/>
      <c r="K4" s="74"/>
      <c r="L4" s="37" t="s">
        <v>103</v>
      </c>
      <c r="N4" s="14"/>
      <c r="O4" s="9"/>
      <c r="P4" s="38" t="s">
        <v>60</v>
      </c>
      <c r="Q4" s="75" t="s">
        <v>61</v>
      </c>
      <c r="R4" s="76"/>
      <c r="S4" s="75" t="s">
        <v>646</v>
      </c>
      <c r="T4" s="74"/>
      <c r="U4" s="75" t="s">
        <v>103</v>
      </c>
      <c r="V4" s="74"/>
      <c r="X4" s="14"/>
      <c r="Y4" s="9"/>
      <c r="Z4" s="38" t="s">
        <v>63</v>
      </c>
      <c r="AA4" s="38" t="s">
        <v>62</v>
      </c>
      <c r="AB4" s="38" t="s">
        <v>311</v>
      </c>
      <c r="AC4" s="38" t="s">
        <v>62</v>
      </c>
      <c r="AD4" s="75" t="s">
        <v>126</v>
      </c>
      <c r="AE4" s="76"/>
      <c r="AF4" s="74" t="s">
        <v>127</v>
      </c>
      <c r="AG4" s="74"/>
      <c r="AH4" s="37" t="s">
        <v>103</v>
      </c>
      <c r="AJ4" s="14"/>
      <c r="AK4" s="9"/>
      <c r="AL4" s="38" t="s">
        <v>132</v>
      </c>
      <c r="AM4" s="38" t="s">
        <v>99</v>
      </c>
      <c r="AN4" s="38" t="s">
        <v>289</v>
      </c>
      <c r="AO4" s="75" t="s">
        <v>126</v>
      </c>
      <c r="AP4" s="76"/>
      <c r="AQ4" s="74" t="s">
        <v>127</v>
      </c>
      <c r="AR4" s="74"/>
      <c r="AS4" s="75" t="s">
        <v>103</v>
      </c>
      <c r="AT4" s="74"/>
      <c r="AV4" s="8"/>
      <c r="AY4" s="39" t="s">
        <v>335</v>
      </c>
      <c r="AZ4" s="39" t="s">
        <v>336</v>
      </c>
      <c r="BA4" s="39" t="s">
        <v>300</v>
      </c>
      <c r="BB4" s="39" t="s">
        <v>304</v>
      </c>
    </row>
    <row r="5" spans="1:55" x14ac:dyDescent="0.3">
      <c r="B5" s="14"/>
      <c r="C5" s="9"/>
      <c r="D5" s="40" t="s">
        <v>64</v>
      </c>
      <c r="E5" s="40" t="s">
        <v>65</v>
      </c>
      <c r="F5" s="41" t="s">
        <v>64</v>
      </c>
      <c r="G5" s="40" t="s">
        <v>65</v>
      </c>
      <c r="H5" s="40" t="s">
        <v>66</v>
      </c>
      <c r="I5" s="41" t="s">
        <v>64</v>
      </c>
      <c r="J5" s="40" t="s">
        <v>65</v>
      </c>
      <c r="K5" s="40" t="s">
        <v>67</v>
      </c>
      <c r="L5" s="41" t="s">
        <v>100</v>
      </c>
      <c r="N5" s="14"/>
      <c r="O5" s="9"/>
      <c r="P5" s="40"/>
      <c r="Q5" s="41" t="s">
        <v>68</v>
      </c>
      <c r="R5" s="42" t="s">
        <v>124</v>
      </c>
      <c r="S5" s="40" t="s">
        <v>284</v>
      </c>
      <c r="T5" s="40" t="s">
        <v>286</v>
      </c>
      <c r="U5" s="69" t="s">
        <v>313</v>
      </c>
      <c r="V5" s="40" t="s">
        <v>100</v>
      </c>
      <c r="X5" s="14"/>
      <c r="Y5" s="9"/>
      <c r="Z5" s="38" t="s">
        <v>70</v>
      </c>
      <c r="AA5" s="38" t="s">
        <v>71</v>
      </c>
      <c r="AB5" s="38" t="s">
        <v>312</v>
      </c>
      <c r="AC5" s="38" t="s">
        <v>69</v>
      </c>
      <c r="AD5" s="41" t="s">
        <v>86</v>
      </c>
      <c r="AE5" s="42" t="s">
        <v>87</v>
      </c>
      <c r="AF5" s="40" t="s">
        <v>86</v>
      </c>
      <c r="AG5" s="40" t="s">
        <v>87</v>
      </c>
      <c r="AH5" s="41" t="s">
        <v>100</v>
      </c>
      <c r="AJ5" s="14"/>
      <c r="AK5" s="9"/>
      <c r="AL5" s="38" t="s">
        <v>134</v>
      </c>
      <c r="AM5" s="38" t="s">
        <v>70</v>
      </c>
      <c r="AN5" s="38" t="s">
        <v>123</v>
      </c>
      <c r="AO5" s="41" t="s">
        <v>86</v>
      </c>
      <c r="AP5" s="42" t="s">
        <v>87</v>
      </c>
      <c r="AQ5" s="40" t="s">
        <v>86</v>
      </c>
      <c r="AR5" s="40" t="s">
        <v>87</v>
      </c>
      <c r="AS5" s="41" t="s">
        <v>99</v>
      </c>
      <c r="AT5" s="40" t="s">
        <v>100</v>
      </c>
      <c r="AV5" s="8"/>
      <c r="BA5" s="43"/>
      <c r="BB5" s="44" t="s">
        <v>305</v>
      </c>
    </row>
    <row r="6" spans="1:55" x14ac:dyDescent="0.3">
      <c r="B6" s="8"/>
      <c r="F6" s="45"/>
      <c r="I6" s="45"/>
      <c r="L6" s="45"/>
      <c r="N6" s="8"/>
      <c r="Q6" s="45"/>
      <c r="R6" s="46"/>
      <c r="U6" s="70"/>
      <c r="X6" s="8"/>
      <c r="AD6" s="45"/>
      <c r="AE6" s="46"/>
      <c r="AH6" s="45"/>
      <c r="AJ6" s="8"/>
      <c r="AO6" s="45"/>
      <c r="AP6" s="46"/>
      <c r="AS6" s="45"/>
      <c r="AV6" s="8"/>
      <c r="AW6" s="47" t="s">
        <v>303</v>
      </c>
      <c r="AX6" s="48"/>
      <c r="AY6" s="49" t="s">
        <v>337</v>
      </c>
      <c r="AZ6" s="49" t="s">
        <v>338</v>
      </c>
      <c r="BA6" s="49" t="s">
        <v>206</v>
      </c>
      <c r="BB6" s="49" t="s">
        <v>207</v>
      </c>
    </row>
    <row r="7" spans="1:55" x14ac:dyDescent="0.3">
      <c r="B7" s="8"/>
      <c r="D7" s="50" t="s">
        <v>72</v>
      </c>
      <c r="E7" s="50" t="s">
        <v>73</v>
      </c>
      <c r="F7" s="51" t="s">
        <v>74</v>
      </c>
      <c r="G7" s="50" t="s">
        <v>75</v>
      </c>
      <c r="H7" s="50" t="s">
        <v>76</v>
      </c>
      <c r="I7" s="51" t="s">
        <v>77</v>
      </c>
      <c r="J7" s="50" t="s">
        <v>78</v>
      </c>
      <c r="K7" s="50" t="s">
        <v>79</v>
      </c>
      <c r="L7" s="45"/>
      <c r="N7" s="8"/>
      <c r="P7" s="50" t="s">
        <v>81</v>
      </c>
      <c r="Q7" s="51" t="s">
        <v>82</v>
      </c>
      <c r="R7" s="52" t="s">
        <v>621</v>
      </c>
      <c r="S7" s="50" t="s">
        <v>80</v>
      </c>
      <c r="T7" s="50" t="s">
        <v>285</v>
      </c>
      <c r="U7" s="70"/>
      <c r="X7" s="8"/>
      <c r="Z7" s="50" t="s">
        <v>84</v>
      </c>
      <c r="AA7" s="50" t="s">
        <v>85</v>
      </c>
      <c r="AB7" s="50" t="s">
        <v>310</v>
      </c>
      <c r="AC7" s="50" t="s">
        <v>83</v>
      </c>
      <c r="AD7" s="51" t="s">
        <v>130</v>
      </c>
      <c r="AE7" s="52" t="s">
        <v>131</v>
      </c>
      <c r="AF7" s="50" t="s">
        <v>128</v>
      </c>
      <c r="AG7" s="50" t="s">
        <v>129</v>
      </c>
      <c r="AH7" s="45"/>
      <c r="AJ7" s="8"/>
      <c r="AL7" s="50" t="s">
        <v>133</v>
      </c>
      <c r="AM7" s="50" t="s">
        <v>101</v>
      </c>
      <c r="AN7" s="50" t="s">
        <v>622</v>
      </c>
      <c r="AO7" s="51" t="s">
        <v>130</v>
      </c>
      <c r="AP7" s="52" t="s">
        <v>131</v>
      </c>
      <c r="AQ7" s="50" t="s">
        <v>128</v>
      </c>
      <c r="AR7" s="50" t="s">
        <v>129</v>
      </c>
      <c r="AS7" s="45"/>
      <c r="AV7" s="8"/>
      <c r="AW7" s="9" t="s">
        <v>88</v>
      </c>
      <c r="AX7" s="53" t="s">
        <v>89</v>
      </c>
      <c r="AY7" s="63">
        <f>Notes!$L$4</f>
        <v>2024</v>
      </c>
      <c r="AZ7" s="63">
        <f>Notes!$L$5</f>
        <v>2040</v>
      </c>
      <c r="BA7" s="26">
        <v>0</v>
      </c>
      <c r="BB7" s="34">
        <v>1</v>
      </c>
    </row>
    <row r="8" spans="1:55" x14ac:dyDescent="0.3">
      <c r="B8" s="8"/>
      <c r="C8" s="1" t="s">
        <v>339</v>
      </c>
      <c r="D8" s="63">
        <f>Notes!$L4</f>
        <v>2024</v>
      </c>
      <c r="E8" s="63">
        <f>Notes!$L4</f>
        <v>2024</v>
      </c>
      <c r="F8" s="64">
        <f>Notes!$L4</f>
        <v>2024</v>
      </c>
      <c r="G8" s="63">
        <f>Notes!$L4</f>
        <v>2024</v>
      </c>
      <c r="H8" s="63">
        <f>Notes!$L4</f>
        <v>2024</v>
      </c>
      <c r="I8" s="64">
        <f>Notes!$L4</f>
        <v>2024</v>
      </c>
      <c r="J8" s="63">
        <f>Notes!$L4</f>
        <v>2024</v>
      </c>
      <c r="K8" s="63">
        <f>Notes!$L4</f>
        <v>2024</v>
      </c>
      <c r="L8" s="45"/>
      <c r="N8" s="8"/>
      <c r="O8" s="1" t="s">
        <v>339</v>
      </c>
      <c r="P8" s="63">
        <f>Notes!$L4</f>
        <v>2024</v>
      </c>
      <c r="Q8" s="64">
        <f>Notes!$L4</f>
        <v>2024</v>
      </c>
      <c r="R8" s="63">
        <f>Notes!$L4</f>
        <v>2024</v>
      </c>
      <c r="S8" s="64">
        <f>Notes!$L4</f>
        <v>2024</v>
      </c>
      <c r="T8" s="63">
        <f>Notes!$L4</f>
        <v>2024</v>
      </c>
      <c r="U8" s="70"/>
      <c r="X8" s="8"/>
      <c r="Y8" s="1" t="s">
        <v>339</v>
      </c>
      <c r="Z8" s="63">
        <f>Notes!$L4</f>
        <v>2024</v>
      </c>
      <c r="AA8" s="63">
        <f>Notes!$L4</f>
        <v>2024</v>
      </c>
      <c r="AB8" s="63">
        <f>Notes!$L4</f>
        <v>2024</v>
      </c>
      <c r="AC8" s="63">
        <f>Notes!$L4</f>
        <v>2024</v>
      </c>
      <c r="AD8" s="64">
        <f>Notes!$L4</f>
        <v>2024</v>
      </c>
      <c r="AE8" s="63">
        <f>Notes!$L4</f>
        <v>2024</v>
      </c>
      <c r="AF8" s="64">
        <f>Notes!$L4</f>
        <v>2024</v>
      </c>
      <c r="AG8" s="63">
        <f>Notes!$L4</f>
        <v>2024</v>
      </c>
      <c r="AH8" s="45"/>
      <c r="AJ8" s="8"/>
      <c r="AK8" s="1" t="s">
        <v>339</v>
      </c>
      <c r="AL8" s="63">
        <f>Notes!$L4</f>
        <v>2024</v>
      </c>
      <c r="AM8" s="63">
        <f>Notes!$L4</f>
        <v>2024</v>
      </c>
      <c r="AN8" s="63">
        <f>Notes!$L4</f>
        <v>2024</v>
      </c>
      <c r="AO8" s="64">
        <f>Notes!$L4</f>
        <v>2024</v>
      </c>
      <c r="AP8" s="63">
        <f>Notes!$L4</f>
        <v>2024</v>
      </c>
      <c r="AQ8" s="64">
        <f>Notes!$L$4</f>
        <v>2024</v>
      </c>
      <c r="AR8" s="63">
        <f>Notes!$L4</f>
        <v>2024</v>
      </c>
      <c r="AS8" s="45"/>
      <c r="AV8" s="8"/>
      <c r="AW8" s="9" t="s">
        <v>92</v>
      </c>
      <c r="AX8" s="53" t="s">
        <v>93</v>
      </c>
      <c r="AY8" s="63">
        <f>Notes!$L$4</f>
        <v>2024</v>
      </c>
      <c r="AZ8" s="63">
        <f>Notes!$L$5</f>
        <v>2040</v>
      </c>
      <c r="BA8" s="26">
        <v>0</v>
      </c>
      <c r="BB8" s="34">
        <v>1</v>
      </c>
    </row>
    <row r="9" spans="1:55" x14ac:dyDescent="0.3">
      <c r="B9" s="8"/>
      <c r="C9" s="1" t="s">
        <v>340</v>
      </c>
      <c r="D9" s="63">
        <f>Notes!$L5</f>
        <v>2040</v>
      </c>
      <c r="E9" s="63">
        <f>Notes!$L5</f>
        <v>2040</v>
      </c>
      <c r="F9" s="64">
        <f>Notes!$L5</f>
        <v>2040</v>
      </c>
      <c r="G9" s="63">
        <f>Notes!$L5</f>
        <v>2040</v>
      </c>
      <c r="H9" s="63">
        <f>Notes!$L5</f>
        <v>2040</v>
      </c>
      <c r="I9" s="64">
        <f>Notes!$L5</f>
        <v>2040</v>
      </c>
      <c r="J9" s="63">
        <f>Notes!$L5</f>
        <v>2040</v>
      </c>
      <c r="K9" s="63">
        <f>Notes!$L5</f>
        <v>2040</v>
      </c>
      <c r="L9" s="45"/>
      <c r="N9" s="8"/>
      <c r="O9" s="1" t="s">
        <v>340</v>
      </c>
      <c r="P9" s="63">
        <f>Notes!$L5</f>
        <v>2040</v>
      </c>
      <c r="Q9" s="64">
        <f>Notes!$L5</f>
        <v>2040</v>
      </c>
      <c r="R9" s="63">
        <f>Notes!$L5</f>
        <v>2040</v>
      </c>
      <c r="S9" s="64">
        <f>Notes!$L5</f>
        <v>2040</v>
      </c>
      <c r="T9" s="63">
        <f>Notes!$L5</f>
        <v>2040</v>
      </c>
      <c r="U9" s="70"/>
      <c r="X9" s="8"/>
      <c r="Y9" s="1" t="s">
        <v>340</v>
      </c>
      <c r="Z9" s="63">
        <f>Notes!$L5</f>
        <v>2040</v>
      </c>
      <c r="AA9" s="63">
        <f>Notes!$L5</f>
        <v>2040</v>
      </c>
      <c r="AB9" s="63">
        <f>Notes!$L5</f>
        <v>2040</v>
      </c>
      <c r="AC9" s="63">
        <f>Notes!$L5</f>
        <v>2040</v>
      </c>
      <c r="AD9" s="64">
        <f>Notes!$L5</f>
        <v>2040</v>
      </c>
      <c r="AE9" s="63">
        <f>Notes!$L5</f>
        <v>2040</v>
      </c>
      <c r="AF9" s="64">
        <f>Notes!$L5</f>
        <v>2040</v>
      </c>
      <c r="AG9" s="63">
        <f>Notes!$L5</f>
        <v>2040</v>
      </c>
      <c r="AH9" s="45"/>
      <c r="AJ9" s="8"/>
      <c r="AK9" s="1" t="s">
        <v>340</v>
      </c>
      <c r="AL9" s="63">
        <f>Notes!$L5</f>
        <v>2040</v>
      </c>
      <c r="AM9" s="63">
        <f>Notes!$L5</f>
        <v>2040</v>
      </c>
      <c r="AN9" s="63">
        <f>Notes!$L5</f>
        <v>2040</v>
      </c>
      <c r="AO9" s="64">
        <f>Notes!$L5</f>
        <v>2040</v>
      </c>
      <c r="AP9" s="63">
        <f>Notes!$L5</f>
        <v>2040</v>
      </c>
      <c r="AQ9" s="64">
        <f>Notes!$L5</f>
        <v>2040</v>
      </c>
      <c r="AR9" s="63">
        <f>Notes!$L5</f>
        <v>2040</v>
      </c>
      <c r="AS9" s="45"/>
      <c r="AV9" s="8"/>
      <c r="AW9" s="9" t="s">
        <v>90</v>
      </c>
      <c r="AX9" s="53" t="s">
        <v>91</v>
      </c>
      <c r="AY9" s="63">
        <f>Notes!$L$4</f>
        <v>2024</v>
      </c>
      <c r="AZ9" s="63">
        <f>Notes!$L$5</f>
        <v>2040</v>
      </c>
      <c r="BA9" s="26">
        <v>0</v>
      </c>
      <c r="BB9" s="34">
        <v>1</v>
      </c>
    </row>
    <row r="10" spans="1:55" x14ac:dyDescent="0.3">
      <c r="B10" s="8"/>
      <c r="F10" s="45"/>
      <c r="I10" s="45"/>
      <c r="L10" s="45"/>
      <c r="N10" s="8"/>
      <c r="Q10" s="45"/>
      <c r="R10" s="46"/>
      <c r="U10" s="70"/>
      <c r="X10" s="8"/>
      <c r="AD10" s="45"/>
      <c r="AE10" s="46"/>
      <c r="AH10" s="45"/>
      <c r="AJ10" s="8"/>
      <c r="AO10" s="45"/>
      <c r="AP10" s="46"/>
      <c r="AS10" s="45"/>
      <c r="AV10" s="8"/>
      <c r="AW10" s="9" t="s">
        <v>298</v>
      </c>
      <c r="AX10" s="53" t="s">
        <v>299</v>
      </c>
      <c r="AY10" s="63">
        <f>Notes!$L$4</f>
        <v>2024</v>
      </c>
      <c r="AZ10" s="63">
        <f>Notes!$L$5</f>
        <v>2040</v>
      </c>
      <c r="BA10" s="26">
        <v>0</v>
      </c>
      <c r="BB10" s="34">
        <v>1</v>
      </c>
    </row>
    <row r="11" spans="1:55" x14ac:dyDescent="0.3">
      <c r="B11" s="8"/>
      <c r="C11" s="54" t="s">
        <v>302</v>
      </c>
      <c r="D11" s="55"/>
      <c r="E11" s="55"/>
      <c r="F11" s="56"/>
      <c r="G11" s="55"/>
      <c r="H11" s="55"/>
      <c r="I11" s="56"/>
      <c r="J11" s="55"/>
      <c r="K11" s="55"/>
      <c r="L11" s="56"/>
      <c r="N11" s="8"/>
      <c r="O11" s="54" t="s">
        <v>302</v>
      </c>
      <c r="P11" s="53"/>
      <c r="Q11" s="57"/>
      <c r="R11" s="58"/>
      <c r="S11" s="53"/>
      <c r="T11" s="53"/>
      <c r="U11" s="71"/>
      <c r="V11" s="53"/>
      <c r="X11" s="8"/>
      <c r="Y11" s="54" t="s">
        <v>302</v>
      </c>
      <c r="Z11" s="53"/>
      <c r="AA11" s="53"/>
      <c r="AB11" s="53"/>
      <c r="AC11" s="53"/>
      <c r="AD11" s="57"/>
      <c r="AE11" s="58"/>
      <c r="AF11" s="53"/>
      <c r="AG11" s="53"/>
      <c r="AH11" s="56"/>
      <c r="AJ11" s="8"/>
      <c r="AK11" s="54" t="s">
        <v>302</v>
      </c>
      <c r="AL11" s="54"/>
      <c r="AM11" s="59"/>
      <c r="AN11" s="53"/>
      <c r="AO11" s="57"/>
      <c r="AP11" s="58"/>
      <c r="AQ11" s="53"/>
      <c r="AR11" s="53"/>
      <c r="AS11" s="57"/>
      <c r="AT11" s="53"/>
      <c r="AV11" s="8"/>
      <c r="AW11" s="9" t="s">
        <v>98</v>
      </c>
      <c r="AX11" s="53" t="s">
        <v>101</v>
      </c>
      <c r="AY11" s="63">
        <f>Notes!$L$4</f>
        <v>2024</v>
      </c>
      <c r="AZ11" s="63">
        <f>Notes!$L$5</f>
        <v>2040</v>
      </c>
      <c r="BA11" s="26">
        <v>0</v>
      </c>
      <c r="BB11" s="34">
        <v>1</v>
      </c>
    </row>
    <row r="12" spans="1:55" x14ac:dyDescent="0.3">
      <c r="B12" s="8"/>
      <c r="C12" s="54"/>
      <c r="D12" s="50" t="s">
        <v>72</v>
      </c>
      <c r="E12" s="50" t="s">
        <v>73</v>
      </c>
      <c r="F12" s="51" t="s">
        <v>74</v>
      </c>
      <c r="G12" s="50" t="s">
        <v>75</v>
      </c>
      <c r="H12" s="50" t="s">
        <v>76</v>
      </c>
      <c r="I12" s="51" t="s">
        <v>77</v>
      </c>
      <c r="J12" s="50" t="s">
        <v>78</v>
      </c>
      <c r="K12" s="50" t="s">
        <v>79</v>
      </c>
      <c r="L12" s="56"/>
      <c r="N12" s="8"/>
      <c r="O12" s="54"/>
      <c r="P12" s="50" t="s">
        <v>81</v>
      </c>
      <c r="Q12" s="51" t="s">
        <v>82</v>
      </c>
      <c r="R12" s="52" t="s">
        <v>621</v>
      </c>
      <c r="S12" s="53"/>
      <c r="T12" s="53"/>
      <c r="U12" s="71"/>
      <c r="V12" s="53"/>
      <c r="X12" s="8"/>
      <c r="Y12" s="54"/>
      <c r="Z12" s="50" t="s">
        <v>84</v>
      </c>
      <c r="AA12" s="50" t="s">
        <v>85</v>
      </c>
      <c r="AB12" s="50" t="s">
        <v>310</v>
      </c>
      <c r="AC12" s="50" t="s">
        <v>83</v>
      </c>
      <c r="AD12" s="51" t="s">
        <v>130</v>
      </c>
      <c r="AE12" s="52" t="s">
        <v>131</v>
      </c>
      <c r="AF12" s="50" t="s">
        <v>128</v>
      </c>
      <c r="AG12" s="50" t="s">
        <v>129</v>
      </c>
      <c r="AH12" s="56"/>
      <c r="AJ12" s="8"/>
      <c r="AK12" s="54"/>
      <c r="AL12" s="50" t="s">
        <v>133</v>
      </c>
      <c r="AM12" s="50" t="s">
        <v>101</v>
      </c>
      <c r="AN12" s="50" t="s">
        <v>622</v>
      </c>
      <c r="AO12" s="51" t="s">
        <v>130</v>
      </c>
      <c r="AP12" s="52" t="s">
        <v>131</v>
      </c>
      <c r="AQ12" s="50" t="s">
        <v>128</v>
      </c>
      <c r="AR12" s="50" t="s">
        <v>129</v>
      </c>
      <c r="AS12" s="57"/>
      <c r="AT12" s="53"/>
      <c r="AV12" s="8"/>
      <c r="AW12" s="9" t="s">
        <v>94</v>
      </c>
      <c r="AX12" s="53" t="s">
        <v>95</v>
      </c>
      <c r="AY12" s="63">
        <f>Notes!$L$4</f>
        <v>2024</v>
      </c>
      <c r="AZ12" s="63">
        <f>Notes!$L$5</f>
        <v>2040</v>
      </c>
      <c r="BA12" s="26">
        <v>0</v>
      </c>
      <c r="BB12" s="34">
        <v>1</v>
      </c>
    </row>
    <row r="13" spans="1:55" x14ac:dyDescent="0.3">
      <c r="B13" s="8"/>
      <c r="C13" s="55"/>
      <c r="D13" s="34">
        <v>1</v>
      </c>
      <c r="E13" s="34">
        <v>1</v>
      </c>
      <c r="F13" s="32">
        <v>1</v>
      </c>
      <c r="G13" s="34">
        <v>1</v>
      </c>
      <c r="H13" s="34">
        <v>1</v>
      </c>
      <c r="I13" s="32">
        <v>1</v>
      </c>
      <c r="J13" s="34">
        <v>1</v>
      </c>
      <c r="K13" s="34">
        <v>1</v>
      </c>
      <c r="L13" s="56"/>
      <c r="N13" s="8"/>
      <c r="O13" s="55"/>
      <c r="P13" s="34">
        <v>1</v>
      </c>
      <c r="Q13" s="32">
        <v>1</v>
      </c>
      <c r="R13" s="35">
        <v>1</v>
      </c>
      <c r="S13" s="55"/>
      <c r="T13" s="55"/>
      <c r="U13" s="72"/>
      <c r="V13" s="55"/>
      <c r="X13" s="8"/>
      <c r="Y13" s="55"/>
      <c r="Z13" s="34">
        <v>1</v>
      </c>
      <c r="AA13" s="34">
        <v>1</v>
      </c>
      <c r="AB13" s="34">
        <v>1</v>
      </c>
      <c r="AC13" s="34">
        <v>1</v>
      </c>
      <c r="AD13" s="32">
        <v>1</v>
      </c>
      <c r="AE13" s="35">
        <v>1</v>
      </c>
      <c r="AF13" s="34">
        <v>1</v>
      </c>
      <c r="AG13" s="34">
        <v>1</v>
      </c>
      <c r="AH13" s="56"/>
      <c r="AJ13" s="8"/>
      <c r="AK13" s="55"/>
      <c r="AL13" s="34">
        <v>1</v>
      </c>
      <c r="AM13" s="34">
        <v>1</v>
      </c>
      <c r="AN13" s="34">
        <v>1</v>
      </c>
      <c r="AO13" s="32">
        <v>1</v>
      </c>
      <c r="AP13" s="35">
        <v>1</v>
      </c>
      <c r="AQ13" s="34">
        <v>1</v>
      </c>
      <c r="AR13" s="34">
        <v>1</v>
      </c>
      <c r="AS13" s="56"/>
      <c r="AT13" s="55"/>
      <c r="AV13" s="8"/>
      <c r="AW13" s="9" t="s">
        <v>96</v>
      </c>
      <c r="AX13" s="53" t="s">
        <v>97</v>
      </c>
      <c r="AY13" s="63">
        <f>Notes!$L$4</f>
        <v>2024</v>
      </c>
      <c r="AZ13" s="63">
        <f>Notes!$L$5</f>
        <v>2040</v>
      </c>
      <c r="BA13" s="26">
        <v>0</v>
      </c>
      <c r="BB13" s="34">
        <v>1</v>
      </c>
    </row>
    <row r="14" spans="1:55" x14ac:dyDescent="0.3">
      <c r="B14" s="8"/>
      <c r="C14" s="55"/>
      <c r="F14" s="45"/>
      <c r="I14" s="45"/>
      <c r="L14" s="45"/>
      <c r="N14" s="8"/>
      <c r="O14" s="55"/>
      <c r="Q14" s="45"/>
      <c r="R14" s="46"/>
      <c r="U14" s="70"/>
      <c r="X14" s="8"/>
      <c r="Y14" s="55"/>
      <c r="AD14" s="45"/>
      <c r="AE14" s="46"/>
      <c r="AH14" s="45"/>
      <c r="AJ14" s="8"/>
      <c r="AK14" s="55"/>
      <c r="AL14" s="55"/>
      <c r="AO14" s="45"/>
      <c r="AP14" s="46"/>
      <c r="AS14" s="45"/>
      <c r="AV14" s="8"/>
      <c r="AW14" s="9" t="s">
        <v>297</v>
      </c>
      <c r="AX14" s="53" t="s">
        <v>296</v>
      </c>
      <c r="AY14" s="63">
        <f>Notes!$L$4</f>
        <v>2024</v>
      </c>
      <c r="AZ14" s="63">
        <f>Notes!$L$5</f>
        <v>2040</v>
      </c>
      <c r="BA14" s="26">
        <v>0</v>
      </c>
      <c r="BB14" s="34">
        <v>1</v>
      </c>
    </row>
    <row r="15" spans="1:55" x14ac:dyDescent="0.3">
      <c r="B15" s="8"/>
      <c r="C15" s="54" t="s">
        <v>301</v>
      </c>
      <c r="F15" s="45"/>
      <c r="I15" s="45"/>
      <c r="L15" s="45"/>
      <c r="N15" s="8"/>
      <c r="O15" s="54" t="s">
        <v>301</v>
      </c>
      <c r="P15" s="60"/>
      <c r="Q15" s="45"/>
      <c r="R15" s="46"/>
      <c r="U15" s="70"/>
      <c r="X15" s="8"/>
      <c r="Y15" s="54" t="s">
        <v>301</v>
      </c>
      <c r="Z15" s="60"/>
      <c r="AD15" s="45"/>
      <c r="AE15" s="46"/>
      <c r="AH15" s="45"/>
      <c r="AJ15" s="8"/>
      <c r="AK15" s="54" t="s">
        <v>301</v>
      </c>
      <c r="AL15" s="54"/>
      <c r="AO15" s="45"/>
      <c r="AP15" s="46"/>
      <c r="AS15" s="45"/>
      <c r="AV15" s="8"/>
      <c r="AW15" s="9" t="s">
        <v>762</v>
      </c>
      <c r="AX15" s="53" t="s">
        <v>131</v>
      </c>
      <c r="AY15" s="63">
        <f>Notes!$L$4</f>
        <v>2024</v>
      </c>
      <c r="AZ15" s="63">
        <f>Notes!$L$5</f>
        <v>2040</v>
      </c>
      <c r="BA15" s="26">
        <v>0</v>
      </c>
      <c r="BB15" s="34">
        <v>1</v>
      </c>
    </row>
    <row r="16" spans="1:55" x14ac:dyDescent="0.3">
      <c r="B16" s="8"/>
      <c r="D16" s="50" t="s">
        <v>72</v>
      </c>
      <c r="E16" s="50" t="s">
        <v>73</v>
      </c>
      <c r="F16" s="51" t="s">
        <v>74</v>
      </c>
      <c r="G16" s="50" t="s">
        <v>75</v>
      </c>
      <c r="H16" s="50" t="s">
        <v>76</v>
      </c>
      <c r="I16" s="51" t="s">
        <v>77</v>
      </c>
      <c r="J16" s="50" t="s">
        <v>78</v>
      </c>
      <c r="K16" s="50" t="s">
        <v>79</v>
      </c>
      <c r="L16" s="51" t="s">
        <v>123</v>
      </c>
      <c r="N16" s="8"/>
      <c r="P16" s="50" t="s">
        <v>81</v>
      </c>
      <c r="Q16" s="51" t="s">
        <v>82</v>
      </c>
      <c r="R16" s="52" t="s">
        <v>621</v>
      </c>
      <c r="S16" s="50" t="s">
        <v>80</v>
      </c>
      <c r="T16" s="50" t="s">
        <v>285</v>
      </c>
      <c r="U16" s="73" t="s">
        <v>310</v>
      </c>
      <c r="V16" s="50" t="s">
        <v>123</v>
      </c>
      <c r="X16" s="8"/>
      <c r="Z16" s="50" t="s">
        <v>84</v>
      </c>
      <c r="AA16" s="50" t="s">
        <v>85</v>
      </c>
      <c r="AB16" s="50" t="s">
        <v>310</v>
      </c>
      <c r="AC16" s="50" t="s">
        <v>83</v>
      </c>
      <c r="AD16" s="51" t="s">
        <v>130</v>
      </c>
      <c r="AE16" s="52" t="s">
        <v>131</v>
      </c>
      <c r="AF16" s="50" t="s">
        <v>128</v>
      </c>
      <c r="AG16" s="61" t="s">
        <v>129</v>
      </c>
      <c r="AH16" s="51" t="s">
        <v>123</v>
      </c>
      <c r="AJ16" s="8"/>
      <c r="AL16" s="50" t="s">
        <v>133</v>
      </c>
      <c r="AM16" s="50" t="s">
        <v>101</v>
      </c>
      <c r="AN16" s="50" t="s">
        <v>622</v>
      </c>
      <c r="AO16" s="51" t="s">
        <v>130</v>
      </c>
      <c r="AP16" s="62" t="s">
        <v>131</v>
      </c>
      <c r="AQ16" s="50" t="s">
        <v>128</v>
      </c>
      <c r="AR16" s="61" t="s">
        <v>129</v>
      </c>
      <c r="AS16" s="51" t="s">
        <v>288</v>
      </c>
      <c r="AT16" s="50" t="s">
        <v>123</v>
      </c>
      <c r="AV16" s="8"/>
      <c r="AW16" s="9" t="s">
        <v>763</v>
      </c>
      <c r="AX16" s="53" t="s">
        <v>129</v>
      </c>
      <c r="AY16" s="63">
        <f>Notes!$L$4</f>
        <v>2024</v>
      </c>
      <c r="AZ16" s="63">
        <f>Notes!$L$5</f>
        <v>2040</v>
      </c>
      <c r="BA16" s="26">
        <v>0</v>
      </c>
      <c r="BB16" s="34">
        <v>1</v>
      </c>
    </row>
    <row r="17" spans="2:54" x14ac:dyDescent="0.3">
      <c r="B17" s="8"/>
      <c r="C17" s="2" t="s">
        <v>713</v>
      </c>
      <c r="D17" s="26">
        <v>0</v>
      </c>
      <c r="E17" s="26">
        <v>0</v>
      </c>
      <c r="F17" s="27">
        <v>0</v>
      </c>
      <c r="G17" s="26">
        <v>0</v>
      </c>
      <c r="H17" s="26">
        <v>0</v>
      </c>
      <c r="I17" s="27">
        <v>0</v>
      </c>
      <c r="J17" s="26">
        <v>0</v>
      </c>
      <c r="K17" s="26">
        <v>0</v>
      </c>
      <c r="L17" s="67">
        <v>1</v>
      </c>
      <c r="N17" s="8"/>
      <c r="O17" s="2" t="s">
        <v>649</v>
      </c>
      <c r="P17" s="26">
        <v>0</v>
      </c>
      <c r="Q17" s="27">
        <v>0</v>
      </c>
      <c r="R17" s="30">
        <v>0</v>
      </c>
      <c r="S17" s="27">
        <v>0</v>
      </c>
      <c r="T17" s="30">
        <v>0</v>
      </c>
      <c r="U17" s="34">
        <v>1</v>
      </c>
      <c r="V17" s="34">
        <v>1</v>
      </c>
      <c r="X17" s="8"/>
      <c r="Y17" s="2" t="s">
        <v>852</v>
      </c>
      <c r="Z17" s="26">
        <v>0</v>
      </c>
      <c r="AA17" s="26">
        <v>0</v>
      </c>
      <c r="AB17" s="26">
        <v>0</v>
      </c>
      <c r="AC17" s="26">
        <v>0</v>
      </c>
      <c r="AD17" s="27">
        <v>0</v>
      </c>
      <c r="AE17" s="30">
        <v>0</v>
      </c>
      <c r="AF17" s="26">
        <v>0</v>
      </c>
      <c r="AG17" s="26">
        <v>0</v>
      </c>
      <c r="AH17" s="32">
        <v>1</v>
      </c>
      <c r="AJ17" s="8"/>
      <c r="AK17" s="2" t="s">
        <v>8</v>
      </c>
      <c r="AL17" s="26">
        <v>0</v>
      </c>
      <c r="AM17" s="26">
        <v>0</v>
      </c>
      <c r="AN17" s="26">
        <v>0</v>
      </c>
      <c r="AO17" s="27">
        <v>0</v>
      </c>
      <c r="AP17" s="30">
        <v>0</v>
      </c>
      <c r="AQ17" s="26">
        <v>0</v>
      </c>
      <c r="AR17" s="26">
        <v>0</v>
      </c>
      <c r="AS17" s="32">
        <v>1</v>
      </c>
      <c r="AT17" s="34">
        <v>1</v>
      </c>
      <c r="AV17" s="8"/>
      <c r="AW17" s="9" t="s">
        <v>290</v>
      </c>
      <c r="AX17" s="53" t="s">
        <v>74</v>
      </c>
      <c r="AY17" s="63">
        <f>Notes!$L$4</f>
        <v>2024</v>
      </c>
      <c r="AZ17" s="63">
        <f>Notes!$L$5</f>
        <v>2040</v>
      </c>
      <c r="BA17" s="26">
        <v>0</v>
      </c>
      <c r="BB17" s="34">
        <v>1</v>
      </c>
    </row>
    <row r="18" spans="2:54" x14ac:dyDescent="0.3">
      <c r="B18" s="8"/>
      <c r="C18" s="2" t="s">
        <v>766</v>
      </c>
      <c r="D18" s="26">
        <v>0</v>
      </c>
      <c r="E18" s="26">
        <v>0</v>
      </c>
      <c r="F18" s="27">
        <v>0</v>
      </c>
      <c r="G18" s="26">
        <v>0</v>
      </c>
      <c r="H18" s="26">
        <v>0</v>
      </c>
      <c r="I18" s="27">
        <v>0</v>
      </c>
      <c r="J18" s="26">
        <v>0</v>
      </c>
      <c r="K18" s="26">
        <v>0</v>
      </c>
      <c r="L18" s="67">
        <v>1</v>
      </c>
      <c r="N18" s="8"/>
      <c r="O18" s="2" t="s">
        <v>809</v>
      </c>
      <c r="P18" s="26">
        <v>0</v>
      </c>
      <c r="Q18" s="27">
        <v>0</v>
      </c>
      <c r="R18" s="30">
        <v>0</v>
      </c>
      <c r="S18" s="27">
        <v>0</v>
      </c>
      <c r="T18" s="30">
        <v>0</v>
      </c>
      <c r="U18" s="34">
        <v>1</v>
      </c>
      <c r="V18" s="34">
        <v>1</v>
      </c>
      <c r="X18" s="8"/>
      <c r="Y18" s="2" t="s">
        <v>853</v>
      </c>
      <c r="Z18" s="26">
        <v>0</v>
      </c>
      <c r="AA18" s="26">
        <v>0</v>
      </c>
      <c r="AB18" s="26">
        <v>0</v>
      </c>
      <c r="AC18" s="26">
        <v>0</v>
      </c>
      <c r="AD18" s="27">
        <v>0</v>
      </c>
      <c r="AE18" s="30">
        <v>0</v>
      </c>
      <c r="AF18" s="26">
        <v>0</v>
      </c>
      <c r="AG18" s="26">
        <v>0</v>
      </c>
      <c r="AH18" s="32">
        <v>1</v>
      </c>
      <c r="AJ18" s="8"/>
      <c r="AK18" s="2" t="s">
        <v>985</v>
      </c>
      <c r="AL18" s="26">
        <v>0</v>
      </c>
      <c r="AM18" s="26">
        <v>0</v>
      </c>
      <c r="AN18" s="26">
        <v>0</v>
      </c>
      <c r="AO18" s="27">
        <v>0</v>
      </c>
      <c r="AP18" s="30">
        <v>0</v>
      </c>
      <c r="AQ18" s="26">
        <v>0</v>
      </c>
      <c r="AR18" s="26">
        <v>0</v>
      </c>
      <c r="AS18" s="32">
        <v>1</v>
      </c>
      <c r="AT18" s="34">
        <v>1</v>
      </c>
      <c r="AV18" s="8"/>
      <c r="AW18" s="9" t="s">
        <v>291</v>
      </c>
      <c r="AX18" s="53" t="s">
        <v>75</v>
      </c>
      <c r="AY18" s="63">
        <f>Notes!$L$4</f>
        <v>2024</v>
      </c>
      <c r="AZ18" s="63">
        <f>Notes!$L$5</f>
        <v>2040</v>
      </c>
      <c r="BA18" s="26">
        <v>0</v>
      </c>
      <c r="BB18" s="34">
        <v>1</v>
      </c>
    </row>
    <row r="19" spans="2:54" x14ac:dyDescent="0.3">
      <c r="B19" s="8"/>
      <c r="C19" s="2" t="s">
        <v>976</v>
      </c>
      <c r="D19" s="26">
        <v>0</v>
      </c>
      <c r="E19" s="26">
        <v>0</v>
      </c>
      <c r="F19" s="27">
        <v>0</v>
      </c>
      <c r="G19" s="26">
        <v>0</v>
      </c>
      <c r="H19" s="26">
        <v>0</v>
      </c>
      <c r="I19" s="27">
        <v>0</v>
      </c>
      <c r="J19" s="26">
        <v>0</v>
      </c>
      <c r="K19" s="26">
        <v>0</v>
      </c>
      <c r="L19" s="67">
        <v>1</v>
      </c>
      <c r="N19" s="8"/>
      <c r="O19" s="2" t="s">
        <v>946</v>
      </c>
      <c r="P19" s="26">
        <v>0</v>
      </c>
      <c r="Q19" s="27">
        <v>0</v>
      </c>
      <c r="R19" s="30">
        <v>0</v>
      </c>
      <c r="S19" s="27">
        <v>0</v>
      </c>
      <c r="T19" s="30">
        <v>0</v>
      </c>
      <c r="U19" s="34">
        <v>1</v>
      </c>
      <c r="V19" s="34">
        <v>1</v>
      </c>
      <c r="X19" s="8"/>
      <c r="Y19" s="2" t="s">
        <v>854</v>
      </c>
      <c r="Z19" s="26">
        <v>0</v>
      </c>
      <c r="AA19" s="26">
        <v>0</v>
      </c>
      <c r="AB19" s="26">
        <v>0</v>
      </c>
      <c r="AC19" s="26">
        <v>0</v>
      </c>
      <c r="AD19" s="27">
        <v>0</v>
      </c>
      <c r="AE19" s="30">
        <v>0</v>
      </c>
      <c r="AF19" s="26">
        <v>0</v>
      </c>
      <c r="AG19" s="26">
        <v>0</v>
      </c>
      <c r="AH19" s="32">
        <v>1</v>
      </c>
      <c r="AJ19" s="8"/>
      <c r="AK19" s="2" t="s">
        <v>986</v>
      </c>
      <c r="AL19" s="26">
        <v>0</v>
      </c>
      <c r="AM19" s="26">
        <v>0</v>
      </c>
      <c r="AN19" s="26">
        <v>0</v>
      </c>
      <c r="AO19" s="27">
        <v>0</v>
      </c>
      <c r="AP19" s="30">
        <v>0</v>
      </c>
      <c r="AQ19" s="26">
        <v>0</v>
      </c>
      <c r="AR19" s="26">
        <v>0</v>
      </c>
      <c r="AS19" s="32">
        <v>1</v>
      </c>
      <c r="AT19" s="34">
        <v>1</v>
      </c>
      <c r="AV19" s="8"/>
      <c r="AW19" s="9" t="s">
        <v>292</v>
      </c>
      <c r="AX19" s="53" t="s">
        <v>76</v>
      </c>
      <c r="AY19" s="63">
        <f>Notes!$L$4</f>
        <v>2024</v>
      </c>
      <c r="AZ19" s="63">
        <f>Notes!$L$5</f>
        <v>2040</v>
      </c>
      <c r="BA19" s="26">
        <v>0</v>
      </c>
      <c r="BB19" s="34">
        <v>1</v>
      </c>
    </row>
    <row r="20" spans="2:54" x14ac:dyDescent="0.3">
      <c r="B20" s="8"/>
      <c r="C20" s="2" t="s">
        <v>977</v>
      </c>
      <c r="D20" s="26">
        <v>0</v>
      </c>
      <c r="E20" s="26">
        <v>0</v>
      </c>
      <c r="F20" s="27">
        <v>0</v>
      </c>
      <c r="G20" s="26">
        <v>0</v>
      </c>
      <c r="H20" s="26">
        <v>0</v>
      </c>
      <c r="I20" s="27">
        <v>0</v>
      </c>
      <c r="J20" s="26">
        <v>0</v>
      </c>
      <c r="K20" s="26">
        <v>0</v>
      </c>
      <c r="L20" s="67">
        <v>1</v>
      </c>
      <c r="N20" s="8"/>
      <c r="O20" s="2" t="s">
        <v>947</v>
      </c>
      <c r="P20" s="26">
        <v>0</v>
      </c>
      <c r="Q20" s="27">
        <v>0</v>
      </c>
      <c r="R20" s="30">
        <v>0</v>
      </c>
      <c r="S20" s="27">
        <v>0</v>
      </c>
      <c r="T20" s="30">
        <v>0</v>
      </c>
      <c r="U20" s="34">
        <v>1</v>
      </c>
      <c r="V20" s="34">
        <v>1</v>
      </c>
      <c r="X20" s="8"/>
      <c r="Y20" s="2" t="s">
        <v>855</v>
      </c>
      <c r="Z20" s="26">
        <v>0</v>
      </c>
      <c r="AA20" s="26">
        <v>0</v>
      </c>
      <c r="AB20" s="26">
        <v>0</v>
      </c>
      <c r="AC20" s="26">
        <v>0</v>
      </c>
      <c r="AD20" s="27">
        <v>0</v>
      </c>
      <c r="AE20" s="30">
        <v>0</v>
      </c>
      <c r="AF20" s="26">
        <v>0</v>
      </c>
      <c r="AG20" s="26">
        <v>0</v>
      </c>
      <c r="AH20" s="32">
        <v>1</v>
      </c>
      <c r="AJ20" s="8"/>
      <c r="AK20" s="2" t="s">
        <v>987</v>
      </c>
      <c r="AL20" s="26">
        <v>0</v>
      </c>
      <c r="AM20" s="26">
        <v>0</v>
      </c>
      <c r="AN20" s="26">
        <v>0</v>
      </c>
      <c r="AO20" s="27">
        <v>0</v>
      </c>
      <c r="AP20" s="30">
        <v>0</v>
      </c>
      <c r="AQ20" s="26">
        <v>0</v>
      </c>
      <c r="AR20" s="26">
        <v>0</v>
      </c>
      <c r="AS20" s="32">
        <v>1</v>
      </c>
      <c r="AT20" s="34">
        <v>1</v>
      </c>
      <c r="AV20" s="8"/>
      <c r="AW20" s="9" t="s">
        <v>61</v>
      </c>
      <c r="AX20" s="53" t="s">
        <v>82</v>
      </c>
      <c r="AY20" s="63">
        <f>Notes!$L$4</f>
        <v>2024</v>
      </c>
      <c r="AZ20" s="63">
        <f>Notes!$L$5</f>
        <v>2040</v>
      </c>
      <c r="BA20" s="26">
        <v>0</v>
      </c>
      <c r="BB20" s="34">
        <v>1</v>
      </c>
    </row>
    <row r="21" spans="2:54" x14ac:dyDescent="0.3">
      <c r="B21" s="8"/>
      <c r="C21" s="2" t="s">
        <v>767</v>
      </c>
      <c r="D21" s="26">
        <v>0</v>
      </c>
      <c r="E21" s="26">
        <v>0</v>
      </c>
      <c r="F21" s="27">
        <v>0</v>
      </c>
      <c r="G21" s="26">
        <v>0</v>
      </c>
      <c r="H21" s="26">
        <v>0</v>
      </c>
      <c r="I21" s="27">
        <v>0</v>
      </c>
      <c r="J21" s="26">
        <v>0</v>
      </c>
      <c r="K21" s="26">
        <v>0</v>
      </c>
      <c r="L21" s="67">
        <v>1</v>
      </c>
      <c r="N21" s="8"/>
      <c r="O21" s="2" t="s">
        <v>810</v>
      </c>
      <c r="P21" s="26">
        <v>0</v>
      </c>
      <c r="Q21" s="27">
        <v>0</v>
      </c>
      <c r="R21" s="30">
        <v>0</v>
      </c>
      <c r="S21" s="27">
        <v>0</v>
      </c>
      <c r="T21" s="30">
        <v>0</v>
      </c>
      <c r="U21" s="34">
        <v>1</v>
      </c>
      <c r="V21" s="34">
        <v>1</v>
      </c>
      <c r="X21" s="8"/>
      <c r="Y21" s="2" t="s">
        <v>856</v>
      </c>
      <c r="Z21" s="26">
        <v>0</v>
      </c>
      <c r="AA21" s="26">
        <v>0</v>
      </c>
      <c r="AB21" s="26">
        <v>0</v>
      </c>
      <c r="AC21" s="26">
        <v>0</v>
      </c>
      <c r="AD21" s="27">
        <v>0</v>
      </c>
      <c r="AE21" s="30">
        <v>0</v>
      </c>
      <c r="AF21" s="26">
        <v>0</v>
      </c>
      <c r="AG21" s="26">
        <v>0</v>
      </c>
      <c r="AH21" s="32">
        <v>1</v>
      </c>
      <c r="AJ21" s="8"/>
      <c r="AK21" s="2" t="s">
        <v>988</v>
      </c>
      <c r="AL21" s="26">
        <v>0</v>
      </c>
      <c r="AM21" s="26">
        <v>0</v>
      </c>
      <c r="AN21" s="26">
        <v>0</v>
      </c>
      <c r="AO21" s="27">
        <v>0</v>
      </c>
      <c r="AP21" s="30">
        <v>0</v>
      </c>
      <c r="AQ21" s="26">
        <v>0</v>
      </c>
      <c r="AR21" s="26">
        <v>0</v>
      </c>
      <c r="AS21" s="32">
        <v>1</v>
      </c>
      <c r="AT21" s="34">
        <v>1</v>
      </c>
      <c r="AV21" s="8"/>
      <c r="AW21" s="9" t="s">
        <v>293</v>
      </c>
      <c r="AX21" s="53" t="s">
        <v>621</v>
      </c>
      <c r="AY21" s="63">
        <f>Notes!$L$4</f>
        <v>2024</v>
      </c>
      <c r="AZ21" s="63">
        <f>Notes!$L$5</f>
        <v>2040</v>
      </c>
      <c r="BA21" s="26">
        <v>0</v>
      </c>
      <c r="BB21" s="34">
        <v>1</v>
      </c>
    </row>
    <row r="22" spans="2:54" x14ac:dyDescent="0.3">
      <c r="B22" s="8"/>
      <c r="C22" s="2" t="s">
        <v>714</v>
      </c>
      <c r="D22" s="26">
        <v>0</v>
      </c>
      <c r="E22" s="26">
        <v>0</v>
      </c>
      <c r="F22" s="27">
        <v>0</v>
      </c>
      <c r="G22" s="26">
        <v>0</v>
      </c>
      <c r="H22" s="26">
        <v>0</v>
      </c>
      <c r="I22" s="27">
        <v>0</v>
      </c>
      <c r="J22" s="26">
        <v>0</v>
      </c>
      <c r="K22" s="26">
        <v>0</v>
      </c>
      <c r="L22" s="67">
        <v>1</v>
      </c>
      <c r="N22" s="8"/>
      <c r="O22" s="2" t="s">
        <v>650</v>
      </c>
      <c r="P22" s="26">
        <v>0</v>
      </c>
      <c r="Q22" s="27">
        <v>0</v>
      </c>
      <c r="R22" s="30">
        <v>0</v>
      </c>
      <c r="S22" s="27">
        <v>0</v>
      </c>
      <c r="T22" s="30">
        <v>0</v>
      </c>
      <c r="U22" s="34">
        <v>1</v>
      </c>
      <c r="V22" s="34">
        <v>1</v>
      </c>
      <c r="X22" s="8"/>
      <c r="Y22" s="2" t="s">
        <v>857</v>
      </c>
      <c r="Z22" s="26">
        <v>0</v>
      </c>
      <c r="AA22" s="26">
        <v>0</v>
      </c>
      <c r="AB22" s="26">
        <v>0</v>
      </c>
      <c r="AC22" s="26">
        <v>0</v>
      </c>
      <c r="AD22" s="27">
        <v>0</v>
      </c>
      <c r="AE22" s="30">
        <v>0</v>
      </c>
      <c r="AF22" s="26">
        <v>0</v>
      </c>
      <c r="AG22" s="26">
        <v>0</v>
      </c>
      <c r="AH22" s="32">
        <v>1</v>
      </c>
      <c r="AJ22" s="8"/>
      <c r="AK22" s="2" t="s">
        <v>989</v>
      </c>
      <c r="AL22" s="26">
        <v>0</v>
      </c>
      <c r="AM22" s="26">
        <v>0</v>
      </c>
      <c r="AN22" s="26">
        <v>0</v>
      </c>
      <c r="AO22" s="27">
        <v>0</v>
      </c>
      <c r="AP22" s="30">
        <v>0</v>
      </c>
      <c r="AQ22" s="26">
        <v>0</v>
      </c>
      <c r="AR22" s="26">
        <v>0</v>
      </c>
      <c r="AS22" s="32">
        <v>1</v>
      </c>
      <c r="AT22" s="34">
        <v>1</v>
      </c>
      <c r="AV22" s="8"/>
      <c r="AW22" s="9" t="s">
        <v>294</v>
      </c>
      <c r="AX22" s="53" t="s">
        <v>83</v>
      </c>
      <c r="AY22" s="63">
        <f>Notes!$L$4</f>
        <v>2024</v>
      </c>
      <c r="AZ22" s="63">
        <f>Notes!$L$5</f>
        <v>2040</v>
      </c>
      <c r="BA22" s="26">
        <v>0</v>
      </c>
      <c r="BB22" s="34">
        <v>1</v>
      </c>
    </row>
    <row r="23" spans="2:54" x14ac:dyDescent="0.3">
      <c r="B23" s="8"/>
      <c r="C23" s="2" t="s">
        <v>715</v>
      </c>
      <c r="D23" s="26">
        <v>0</v>
      </c>
      <c r="E23" s="26">
        <v>0</v>
      </c>
      <c r="F23" s="27">
        <v>0</v>
      </c>
      <c r="G23" s="26">
        <v>0</v>
      </c>
      <c r="H23" s="26">
        <v>0</v>
      </c>
      <c r="I23" s="27">
        <v>0</v>
      </c>
      <c r="J23" s="26">
        <v>0</v>
      </c>
      <c r="K23" s="26">
        <v>0</v>
      </c>
      <c r="L23" s="67">
        <v>1</v>
      </c>
      <c r="N23" s="8"/>
      <c r="O23" s="2" t="s">
        <v>651</v>
      </c>
      <c r="P23" s="26">
        <v>0</v>
      </c>
      <c r="Q23" s="27">
        <v>0</v>
      </c>
      <c r="R23" s="30">
        <v>0</v>
      </c>
      <c r="S23" s="27">
        <v>0</v>
      </c>
      <c r="T23" s="30">
        <v>0</v>
      </c>
      <c r="U23" s="34">
        <v>1</v>
      </c>
      <c r="V23" s="34">
        <v>1</v>
      </c>
      <c r="X23" s="8"/>
      <c r="Y23" s="2" t="s">
        <v>858</v>
      </c>
      <c r="Z23" s="26">
        <v>0</v>
      </c>
      <c r="AA23" s="26">
        <v>0</v>
      </c>
      <c r="AB23" s="26">
        <v>0</v>
      </c>
      <c r="AC23" s="26">
        <v>0</v>
      </c>
      <c r="AD23" s="27">
        <v>0</v>
      </c>
      <c r="AE23" s="30">
        <v>0</v>
      </c>
      <c r="AF23" s="26">
        <v>0</v>
      </c>
      <c r="AG23" s="26">
        <v>0</v>
      </c>
      <c r="AH23" s="32">
        <v>1</v>
      </c>
      <c r="AJ23" s="8"/>
      <c r="AK23" s="2" t="s">
        <v>990</v>
      </c>
      <c r="AL23" s="26">
        <v>0</v>
      </c>
      <c r="AM23" s="26">
        <v>0</v>
      </c>
      <c r="AN23" s="26">
        <v>0</v>
      </c>
      <c r="AO23" s="27">
        <v>0</v>
      </c>
      <c r="AP23" s="30">
        <v>0</v>
      </c>
      <c r="AQ23" s="26">
        <v>0</v>
      </c>
      <c r="AR23" s="26">
        <v>0</v>
      </c>
      <c r="AS23" s="32">
        <v>1</v>
      </c>
      <c r="AT23" s="34">
        <v>1</v>
      </c>
      <c r="AV23" s="8"/>
      <c r="AW23" s="9" t="s">
        <v>295</v>
      </c>
      <c r="AX23" s="53" t="s">
        <v>622</v>
      </c>
      <c r="AY23" s="63">
        <f>Notes!$L$4</f>
        <v>2024</v>
      </c>
      <c r="AZ23" s="63">
        <f>Notes!$L$5</f>
        <v>2040</v>
      </c>
      <c r="BA23" s="26">
        <v>0</v>
      </c>
      <c r="BB23" s="34">
        <v>1</v>
      </c>
    </row>
    <row r="24" spans="2:54" x14ac:dyDescent="0.3">
      <c r="B24" s="8"/>
      <c r="C24" s="2" t="s">
        <v>768</v>
      </c>
      <c r="D24" s="26">
        <v>0</v>
      </c>
      <c r="E24" s="26">
        <v>0</v>
      </c>
      <c r="F24" s="27">
        <v>0</v>
      </c>
      <c r="G24" s="26">
        <v>0</v>
      </c>
      <c r="H24" s="26">
        <v>0</v>
      </c>
      <c r="I24" s="27">
        <v>0</v>
      </c>
      <c r="J24" s="26">
        <v>0</v>
      </c>
      <c r="K24" s="26">
        <v>0</v>
      </c>
      <c r="L24" s="67">
        <v>1</v>
      </c>
      <c r="N24" s="8"/>
      <c r="O24" s="2" t="s">
        <v>811</v>
      </c>
      <c r="P24" s="26">
        <v>0</v>
      </c>
      <c r="Q24" s="27">
        <v>0</v>
      </c>
      <c r="R24" s="30">
        <v>0</v>
      </c>
      <c r="S24" s="27">
        <v>0</v>
      </c>
      <c r="T24" s="30">
        <v>0</v>
      </c>
      <c r="U24" s="34">
        <v>1</v>
      </c>
      <c r="V24" s="34">
        <v>1</v>
      </c>
      <c r="X24" s="8"/>
      <c r="Y24" s="2" t="s">
        <v>859</v>
      </c>
      <c r="Z24" s="26">
        <v>0</v>
      </c>
      <c r="AA24" s="26">
        <v>0</v>
      </c>
      <c r="AB24" s="26">
        <v>0</v>
      </c>
      <c r="AC24" s="26">
        <v>0</v>
      </c>
      <c r="AD24" s="27">
        <v>0</v>
      </c>
      <c r="AE24" s="30">
        <v>0</v>
      </c>
      <c r="AF24" s="26">
        <v>0</v>
      </c>
      <c r="AG24" s="26">
        <v>0</v>
      </c>
      <c r="AH24" s="32">
        <v>1</v>
      </c>
      <c r="AJ24" s="8"/>
      <c r="AK24" s="2" t="s">
        <v>991</v>
      </c>
      <c r="AL24" s="26">
        <v>0</v>
      </c>
      <c r="AM24" s="26">
        <v>0</v>
      </c>
      <c r="AN24" s="26">
        <v>0</v>
      </c>
      <c r="AO24" s="27">
        <v>0</v>
      </c>
      <c r="AP24" s="30">
        <v>0</v>
      </c>
      <c r="AQ24" s="26">
        <v>0</v>
      </c>
      <c r="AR24" s="26">
        <v>0</v>
      </c>
      <c r="AS24" s="32">
        <v>1</v>
      </c>
      <c r="AT24" s="34">
        <v>1</v>
      </c>
      <c r="AV24" s="8"/>
      <c r="AW24" s="9" t="s">
        <v>647</v>
      </c>
      <c r="AX24" s="53" t="s">
        <v>648</v>
      </c>
      <c r="AY24" s="63">
        <f>Notes!$L$4</f>
        <v>2024</v>
      </c>
      <c r="AZ24" s="63">
        <f>Notes!$L$5</f>
        <v>2040</v>
      </c>
      <c r="BA24" s="26">
        <v>0</v>
      </c>
      <c r="BB24" s="34">
        <v>1</v>
      </c>
    </row>
    <row r="25" spans="2:54" x14ac:dyDescent="0.3">
      <c r="B25" s="8"/>
      <c r="C25" s="2" t="s">
        <v>716</v>
      </c>
      <c r="D25" s="26">
        <v>0</v>
      </c>
      <c r="E25" s="26">
        <v>0</v>
      </c>
      <c r="F25" s="27">
        <v>0</v>
      </c>
      <c r="G25" s="26">
        <v>0</v>
      </c>
      <c r="H25" s="26">
        <v>0</v>
      </c>
      <c r="I25" s="27">
        <v>0</v>
      </c>
      <c r="J25" s="26">
        <v>0</v>
      </c>
      <c r="K25" s="26">
        <v>0</v>
      </c>
      <c r="L25" s="67">
        <v>1</v>
      </c>
      <c r="N25" s="8"/>
      <c r="O25" s="2" t="s">
        <v>652</v>
      </c>
      <c r="P25" s="26">
        <v>0</v>
      </c>
      <c r="Q25" s="27">
        <v>0</v>
      </c>
      <c r="R25" s="30">
        <v>0</v>
      </c>
      <c r="S25" s="27">
        <v>0</v>
      </c>
      <c r="T25" s="30">
        <v>0</v>
      </c>
      <c r="U25" s="34">
        <v>1</v>
      </c>
      <c r="V25" s="34">
        <v>1</v>
      </c>
      <c r="X25" s="8"/>
      <c r="Y25" s="2" t="s">
        <v>10</v>
      </c>
      <c r="Z25" s="26">
        <v>0</v>
      </c>
      <c r="AA25" s="26">
        <v>0</v>
      </c>
      <c r="AB25" s="26">
        <v>0</v>
      </c>
      <c r="AC25" s="26">
        <v>0</v>
      </c>
      <c r="AD25" s="27">
        <v>0</v>
      </c>
      <c r="AE25" s="30">
        <v>0</v>
      </c>
      <c r="AF25" s="26">
        <v>0</v>
      </c>
      <c r="AG25" s="26">
        <v>0</v>
      </c>
      <c r="AH25" s="32">
        <v>1</v>
      </c>
      <c r="AJ25" s="8"/>
      <c r="AK25" s="2" t="s">
        <v>992</v>
      </c>
      <c r="AL25" s="26">
        <v>0</v>
      </c>
      <c r="AM25" s="26">
        <v>0</v>
      </c>
      <c r="AN25" s="26">
        <v>0</v>
      </c>
      <c r="AO25" s="27">
        <v>0</v>
      </c>
      <c r="AP25" s="30">
        <v>0</v>
      </c>
      <c r="AQ25" s="26">
        <v>0</v>
      </c>
      <c r="AR25" s="26">
        <v>0</v>
      </c>
      <c r="AS25" s="32">
        <v>1</v>
      </c>
      <c r="AT25" s="34">
        <v>1</v>
      </c>
      <c r="AV25" s="8"/>
    </row>
    <row r="26" spans="2:54" x14ac:dyDescent="0.3">
      <c r="B26" s="8"/>
      <c r="C26" s="2" t="s">
        <v>769</v>
      </c>
      <c r="D26" s="26">
        <v>0</v>
      </c>
      <c r="E26" s="26">
        <v>0</v>
      </c>
      <c r="F26" s="27">
        <v>0</v>
      </c>
      <c r="G26" s="26">
        <v>0</v>
      </c>
      <c r="H26" s="26">
        <v>0</v>
      </c>
      <c r="I26" s="27">
        <v>0</v>
      </c>
      <c r="J26" s="26">
        <v>0</v>
      </c>
      <c r="K26" s="26">
        <v>0</v>
      </c>
      <c r="L26" s="67">
        <v>1</v>
      </c>
      <c r="N26" s="8"/>
      <c r="O26" s="2" t="s">
        <v>812</v>
      </c>
      <c r="P26" s="26">
        <v>0</v>
      </c>
      <c r="Q26" s="27">
        <v>0</v>
      </c>
      <c r="R26" s="30">
        <v>0</v>
      </c>
      <c r="S26" s="27">
        <v>0</v>
      </c>
      <c r="T26" s="30">
        <v>0</v>
      </c>
      <c r="U26" s="34">
        <v>1</v>
      </c>
      <c r="V26" s="34">
        <v>1</v>
      </c>
      <c r="X26" s="8"/>
      <c r="Y26" s="2" t="s">
        <v>860</v>
      </c>
      <c r="Z26" s="26">
        <v>0</v>
      </c>
      <c r="AA26" s="26">
        <v>0</v>
      </c>
      <c r="AB26" s="26">
        <v>0</v>
      </c>
      <c r="AC26" s="26">
        <v>0</v>
      </c>
      <c r="AD26" s="27">
        <v>0</v>
      </c>
      <c r="AE26" s="30">
        <v>0</v>
      </c>
      <c r="AF26" s="26">
        <v>0</v>
      </c>
      <c r="AG26" s="26">
        <v>0</v>
      </c>
      <c r="AH26" s="32">
        <v>1</v>
      </c>
      <c r="AJ26" s="8"/>
      <c r="AK26" s="2" t="s">
        <v>993</v>
      </c>
      <c r="AL26" s="26">
        <v>0</v>
      </c>
      <c r="AM26" s="26">
        <v>0</v>
      </c>
      <c r="AN26" s="26">
        <v>0</v>
      </c>
      <c r="AO26" s="27">
        <v>0</v>
      </c>
      <c r="AP26" s="30">
        <v>0</v>
      </c>
      <c r="AQ26" s="26">
        <v>0</v>
      </c>
      <c r="AR26" s="26">
        <v>0</v>
      </c>
      <c r="AS26" s="32">
        <v>1</v>
      </c>
      <c r="AT26" s="34">
        <v>1</v>
      </c>
    </row>
    <row r="27" spans="2:54" x14ac:dyDescent="0.3">
      <c r="B27" s="8"/>
      <c r="C27" s="2" t="s">
        <v>770</v>
      </c>
      <c r="D27" s="26">
        <v>0</v>
      </c>
      <c r="E27" s="26">
        <v>0</v>
      </c>
      <c r="F27" s="27">
        <v>0</v>
      </c>
      <c r="G27" s="26">
        <v>0</v>
      </c>
      <c r="H27" s="26">
        <v>0</v>
      </c>
      <c r="I27" s="27">
        <v>0</v>
      </c>
      <c r="J27" s="26">
        <v>0</v>
      </c>
      <c r="K27" s="26">
        <v>0</v>
      </c>
      <c r="L27" s="67">
        <v>1</v>
      </c>
      <c r="N27" s="8"/>
      <c r="O27" s="2" t="s">
        <v>813</v>
      </c>
      <c r="P27" s="26">
        <v>0</v>
      </c>
      <c r="Q27" s="27">
        <v>0</v>
      </c>
      <c r="R27" s="30">
        <v>0</v>
      </c>
      <c r="S27" s="27">
        <v>0</v>
      </c>
      <c r="T27" s="30">
        <v>0</v>
      </c>
      <c r="U27" s="34">
        <v>1</v>
      </c>
      <c r="V27" s="34">
        <v>1</v>
      </c>
      <c r="X27" s="8"/>
      <c r="Y27" s="2" t="s">
        <v>861</v>
      </c>
      <c r="Z27" s="26">
        <v>0</v>
      </c>
      <c r="AA27" s="26">
        <v>0</v>
      </c>
      <c r="AB27" s="26">
        <v>0</v>
      </c>
      <c r="AC27" s="26">
        <v>0</v>
      </c>
      <c r="AD27" s="27">
        <v>0</v>
      </c>
      <c r="AE27" s="30">
        <v>0</v>
      </c>
      <c r="AF27" s="26">
        <v>0</v>
      </c>
      <c r="AG27" s="26">
        <v>0</v>
      </c>
      <c r="AH27" s="32">
        <v>1</v>
      </c>
      <c r="AJ27" s="8"/>
      <c r="AK27" s="2" t="s">
        <v>994</v>
      </c>
      <c r="AL27" s="26">
        <v>0</v>
      </c>
      <c r="AM27" s="26">
        <v>0</v>
      </c>
      <c r="AN27" s="26">
        <v>0</v>
      </c>
      <c r="AO27" s="27">
        <v>0</v>
      </c>
      <c r="AP27" s="30">
        <v>0</v>
      </c>
      <c r="AQ27" s="26">
        <v>0</v>
      </c>
      <c r="AR27" s="26">
        <v>0</v>
      </c>
      <c r="AS27" s="32">
        <v>1</v>
      </c>
      <c r="AT27" s="34">
        <v>1</v>
      </c>
    </row>
    <row r="28" spans="2:54" x14ac:dyDescent="0.3">
      <c r="B28" s="8"/>
      <c r="C28" s="2" t="s">
        <v>771</v>
      </c>
      <c r="D28" s="26">
        <v>0</v>
      </c>
      <c r="E28" s="26">
        <v>0</v>
      </c>
      <c r="F28" s="27">
        <v>0</v>
      </c>
      <c r="G28" s="26">
        <v>0</v>
      </c>
      <c r="H28" s="26">
        <v>0</v>
      </c>
      <c r="I28" s="27">
        <v>0</v>
      </c>
      <c r="J28" s="26">
        <v>0</v>
      </c>
      <c r="K28" s="26">
        <v>0</v>
      </c>
      <c r="L28" s="67">
        <v>1</v>
      </c>
      <c r="N28" s="8"/>
      <c r="O28" s="2" t="s">
        <v>814</v>
      </c>
      <c r="P28" s="26">
        <v>0</v>
      </c>
      <c r="Q28" s="27">
        <v>0</v>
      </c>
      <c r="R28" s="30">
        <v>0</v>
      </c>
      <c r="S28" s="27">
        <v>0</v>
      </c>
      <c r="T28" s="30">
        <v>0</v>
      </c>
      <c r="U28" s="34">
        <v>1</v>
      </c>
      <c r="V28" s="34">
        <v>1</v>
      </c>
      <c r="X28" s="8"/>
      <c r="Y28" s="2" t="s">
        <v>862</v>
      </c>
      <c r="Z28" s="26">
        <v>0</v>
      </c>
      <c r="AA28" s="26">
        <v>0</v>
      </c>
      <c r="AB28" s="26">
        <v>0</v>
      </c>
      <c r="AC28" s="26">
        <v>0</v>
      </c>
      <c r="AD28" s="27">
        <v>0</v>
      </c>
      <c r="AE28" s="30">
        <v>0</v>
      </c>
      <c r="AF28" s="26">
        <v>0</v>
      </c>
      <c r="AG28" s="26">
        <v>0</v>
      </c>
      <c r="AH28" s="32">
        <v>1</v>
      </c>
      <c r="AJ28" s="8"/>
      <c r="AK28" s="2" t="s">
        <v>995</v>
      </c>
      <c r="AL28" s="26">
        <v>0</v>
      </c>
      <c r="AM28" s="26">
        <v>0</v>
      </c>
      <c r="AN28" s="26">
        <v>0</v>
      </c>
      <c r="AO28" s="27">
        <v>0</v>
      </c>
      <c r="AP28" s="30">
        <v>0</v>
      </c>
      <c r="AQ28" s="26">
        <v>0</v>
      </c>
      <c r="AR28" s="26">
        <v>0</v>
      </c>
      <c r="AS28" s="32">
        <v>1</v>
      </c>
      <c r="AT28" s="34">
        <v>1</v>
      </c>
    </row>
    <row r="29" spans="2:54" x14ac:dyDescent="0.3">
      <c r="B29" s="8"/>
      <c r="C29" s="2" t="s">
        <v>717</v>
      </c>
      <c r="D29" s="26">
        <v>0</v>
      </c>
      <c r="E29" s="26">
        <v>0</v>
      </c>
      <c r="F29" s="27">
        <v>0</v>
      </c>
      <c r="G29" s="26">
        <v>0</v>
      </c>
      <c r="H29" s="26">
        <v>0</v>
      </c>
      <c r="I29" s="27">
        <v>0</v>
      </c>
      <c r="J29" s="26">
        <v>0</v>
      </c>
      <c r="K29" s="26">
        <v>0</v>
      </c>
      <c r="L29" s="67">
        <v>1</v>
      </c>
      <c r="N29" s="8"/>
      <c r="O29" s="2" t="s">
        <v>653</v>
      </c>
      <c r="P29" s="26">
        <v>0</v>
      </c>
      <c r="Q29" s="27">
        <v>0</v>
      </c>
      <c r="R29" s="30">
        <v>0</v>
      </c>
      <c r="S29" s="27">
        <v>0</v>
      </c>
      <c r="T29" s="30">
        <v>0</v>
      </c>
      <c r="U29" s="34">
        <v>1</v>
      </c>
      <c r="V29" s="34">
        <v>1</v>
      </c>
      <c r="X29" s="8"/>
      <c r="Y29" s="2" t="s">
        <v>863</v>
      </c>
      <c r="Z29" s="26">
        <v>0</v>
      </c>
      <c r="AA29" s="26">
        <v>0</v>
      </c>
      <c r="AB29" s="26">
        <v>0</v>
      </c>
      <c r="AC29" s="26">
        <v>0</v>
      </c>
      <c r="AD29" s="27">
        <v>0</v>
      </c>
      <c r="AE29" s="30">
        <v>0</v>
      </c>
      <c r="AF29" s="26">
        <v>0</v>
      </c>
      <c r="AG29" s="26">
        <v>0</v>
      </c>
      <c r="AH29" s="32">
        <v>1</v>
      </c>
      <c r="AJ29" s="8"/>
      <c r="AK29" s="2" t="s">
        <v>996</v>
      </c>
      <c r="AL29" s="26">
        <v>0</v>
      </c>
      <c r="AM29" s="26">
        <v>0</v>
      </c>
      <c r="AN29" s="26">
        <v>0</v>
      </c>
      <c r="AO29" s="27">
        <v>0</v>
      </c>
      <c r="AP29" s="30">
        <v>0</v>
      </c>
      <c r="AQ29" s="26">
        <v>0</v>
      </c>
      <c r="AR29" s="26">
        <v>0</v>
      </c>
      <c r="AS29" s="32">
        <v>1</v>
      </c>
      <c r="AT29" s="34">
        <v>1</v>
      </c>
    </row>
    <row r="30" spans="2:54" x14ac:dyDescent="0.3">
      <c r="B30" s="8"/>
      <c r="C30" s="2" t="s">
        <v>978</v>
      </c>
      <c r="D30" s="26">
        <v>0</v>
      </c>
      <c r="E30" s="26">
        <v>0</v>
      </c>
      <c r="F30" s="27">
        <v>0</v>
      </c>
      <c r="G30" s="26">
        <v>0</v>
      </c>
      <c r="H30" s="26">
        <v>0</v>
      </c>
      <c r="I30" s="27">
        <v>0</v>
      </c>
      <c r="J30" s="26">
        <v>0</v>
      </c>
      <c r="K30" s="26">
        <v>0</v>
      </c>
      <c r="L30" s="67">
        <v>1</v>
      </c>
      <c r="N30" s="8"/>
      <c r="O30" s="2" t="s">
        <v>948</v>
      </c>
      <c r="P30" s="26">
        <v>0</v>
      </c>
      <c r="Q30" s="27">
        <v>0</v>
      </c>
      <c r="R30" s="30">
        <v>0</v>
      </c>
      <c r="S30" s="27">
        <v>0</v>
      </c>
      <c r="T30" s="30">
        <v>0</v>
      </c>
      <c r="U30" s="34">
        <v>1</v>
      </c>
      <c r="V30" s="34">
        <v>1</v>
      </c>
      <c r="X30" s="8"/>
      <c r="Y30" s="2"/>
      <c r="Z30" s="26"/>
      <c r="AA30" s="26"/>
      <c r="AB30" s="26"/>
      <c r="AC30" s="26"/>
      <c r="AD30" s="27"/>
      <c r="AE30" s="30"/>
      <c r="AF30" s="26"/>
      <c r="AG30" s="26"/>
      <c r="AH30" s="32"/>
      <c r="AJ30" s="8"/>
      <c r="AK30" s="2" t="s">
        <v>997</v>
      </c>
      <c r="AL30" s="26">
        <v>0</v>
      </c>
      <c r="AM30" s="26">
        <v>0</v>
      </c>
      <c r="AN30" s="26">
        <v>0</v>
      </c>
      <c r="AO30" s="27">
        <v>0</v>
      </c>
      <c r="AP30" s="30">
        <v>0</v>
      </c>
      <c r="AQ30" s="26">
        <v>0</v>
      </c>
      <c r="AR30" s="26">
        <v>0</v>
      </c>
      <c r="AS30" s="32">
        <v>1</v>
      </c>
      <c r="AT30" s="34">
        <v>1</v>
      </c>
    </row>
    <row r="31" spans="2:54" x14ac:dyDescent="0.3">
      <c r="B31" s="8"/>
      <c r="C31" s="2" t="s">
        <v>718</v>
      </c>
      <c r="D31" s="26">
        <v>0</v>
      </c>
      <c r="E31" s="26">
        <v>0</v>
      </c>
      <c r="F31" s="27">
        <v>0</v>
      </c>
      <c r="G31" s="26">
        <v>0</v>
      </c>
      <c r="H31" s="26">
        <v>0</v>
      </c>
      <c r="I31" s="27">
        <v>0</v>
      </c>
      <c r="J31" s="26">
        <v>0</v>
      </c>
      <c r="K31" s="26">
        <v>0</v>
      </c>
      <c r="L31" s="67">
        <v>1</v>
      </c>
      <c r="N31" s="8"/>
      <c r="O31" s="2" t="s">
        <v>654</v>
      </c>
      <c r="P31" s="26">
        <v>0</v>
      </c>
      <c r="Q31" s="27">
        <v>0</v>
      </c>
      <c r="R31" s="30">
        <v>0</v>
      </c>
      <c r="S31" s="27">
        <v>0</v>
      </c>
      <c r="T31" s="30">
        <v>0</v>
      </c>
      <c r="U31" s="34">
        <v>1</v>
      </c>
      <c r="V31" s="34">
        <v>1</v>
      </c>
      <c r="X31" s="8"/>
      <c r="Y31" s="2"/>
      <c r="Z31" s="26"/>
      <c r="AA31" s="26"/>
      <c r="AB31" s="26"/>
      <c r="AC31" s="26"/>
      <c r="AD31" s="27"/>
      <c r="AE31" s="30"/>
      <c r="AF31" s="26"/>
      <c r="AG31" s="26"/>
      <c r="AH31" s="32"/>
      <c r="AJ31" s="8"/>
      <c r="AK31" s="2" t="s">
        <v>998</v>
      </c>
      <c r="AL31" s="26">
        <v>0</v>
      </c>
      <c r="AM31" s="26">
        <v>0</v>
      </c>
      <c r="AN31" s="26">
        <v>0</v>
      </c>
      <c r="AO31" s="27">
        <v>0</v>
      </c>
      <c r="AP31" s="30">
        <v>0</v>
      </c>
      <c r="AQ31" s="26">
        <v>0</v>
      </c>
      <c r="AR31" s="26">
        <v>0</v>
      </c>
      <c r="AS31" s="32">
        <v>1</v>
      </c>
      <c r="AT31" s="34">
        <v>1</v>
      </c>
    </row>
    <row r="32" spans="2:54" x14ac:dyDescent="0.3">
      <c r="B32" s="8"/>
      <c r="C32" s="2" t="s">
        <v>719</v>
      </c>
      <c r="D32" s="26">
        <v>0</v>
      </c>
      <c r="E32" s="26">
        <v>0</v>
      </c>
      <c r="F32" s="27">
        <v>0</v>
      </c>
      <c r="G32" s="26">
        <v>0</v>
      </c>
      <c r="H32" s="26">
        <v>0</v>
      </c>
      <c r="I32" s="27">
        <v>0</v>
      </c>
      <c r="J32" s="26">
        <v>0</v>
      </c>
      <c r="K32" s="26">
        <v>0</v>
      </c>
      <c r="L32" s="67">
        <v>1</v>
      </c>
      <c r="N32" s="8"/>
      <c r="O32" s="2" t="s">
        <v>655</v>
      </c>
      <c r="P32" s="26">
        <v>0</v>
      </c>
      <c r="Q32" s="27">
        <v>0</v>
      </c>
      <c r="R32" s="30">
        <v>0</v>
      </c>
      <c r="S32" s="27">
        <v>0</v>
      </c>
      <c r="T32" s="30">
        <v>0</v>
      </c>
      <c r="U32" s="34">
        <v>1</v>
      </c>
      <c r="V32" s="34">
        <v>1</v>
      </c>
      <c r="X32" s="8"/>
      <c r="Y32" s="2"/>
      <c r="Z32" s="26"/>
      <c r="AA32" s="26"/>
      <c r="AB32" s="26"/>
      <c r="AC32" s="26"/>
      <c r="AD32" s="27"/>
      <c r="AE32" s="30"/>
      <c r="AF32" s="26"/>
      <c r="AG32" s="26"/>
      <c r="AH32" s="32"/>
      <c r="AJ32" s="8"/>
      <c r="AK32" s="2" t="s">
        <v>999</v>
      </c>
      <c r="AL32" s="26">
        <v>0</v>
      </c>
      <c r="AM32" s="26">
        <v>0</v>
      </c>
      <c r="AN32" s="26">
        <v>0</v>
      </c>
      <c r="AO32" s="27">
        <v>0</v>
      </c>
      <c r="AP32" s="30">
        <v>0</v>
      </c>
      <c r="AQ32" s="26">
        <v>0</v>
      </c>
      <c r="AR32" s="26">
        <v>0</v>
      </c>
      <c r="AS32" s="32">
        <v>1</v>
      </c>
      <c r="AT32" s="34">
        <v>1</v>
      </c>
    </row>
    <row r="33" spans="2:46" x14ac:dyDescent="0.3">
      <c r="B33" s="8"/>
      <c r="C33" s="2" t="s">
        <v>720</v>
      </c>
      <c r="D33" s="26">
        <v>0</v>
      </c>
      <c r="E33" s="26">
        <v>0</v>
      </c>
      <c r="F33" s="27">
        <v>0</v>
      </c>
      <c r="G33" s="26">
        <v>0</v>
      </c>
      <c r="H33" s="26">
        <v>0</v>
      </c>
      <c r="I33" s="27">
        <v>0</v>
      </c>
      <c r="J33" s="26">
        <v>0</v>
      </c>
      <c r="K33" s="26">
        <v>0</v>
      </c>
      <c r="L33" s="67">
        <v>1</v>
      </c>
      <c r="N33" s="8"/>
      <c r="O33" s="2" t="s">
        <v>656</v>
      </c>
      <c r="P33" s="26">
        <v>0</v>
      </c>
      <c r="Q33" s="27">
        <v>0</v>
      </c>
      <c r="R33" s="30">
        <v>0</v>
      </c>
      <c r="S33" s="27">
        <v>0</v>
      </c>
      <c r="T33" s="30">
        <v>0</v>
      </c>
      <c r="U33" s="34">
        <v>1</v>
      </c>
      <c r="V33" s="34">
        <v>1</v>
      </c>
      <c r="X33" s="8"/>
      <c r="Y33" s="2"/>
      <c r="Z33" s="26"/>
      <c r="AA33" s="26"/>
      <c r="AB33" s="26"/>
      <c r="AC33" s="26"/>
      <c r="AD33" s="27"/>
      <c r="AE33" s="30"/>
      <c r="AF33" s="26"/>
      <c r="AG33" s="26"/>
      <c r="AH33" s="32"/>
      <c r="AJ33" s="8"/>
      <c r="AK33" s="2" t="s">
        <v>1000</v>
      </c>
      <c r="AL33" s="26">
        <v>0</v>
      </c>
      <c r="AM33" s="26">
        <v>0</v>
      </c>
      <c r="AN33" s="26">
        <v>0</v>
      </c>
      <c r="AO33" s="27">
        <v>0</v>
      </c>
      <c r="AP33" s="30">
        <v>0</v>
      </c>
      <c r="AQ33" s="26">
        <v>0</v>
      </c>
      <c r="AR33" s="26">
        <v>0</v>
      </c>
      <c r="AS33" s="32">
        <v>1</v>
      </c>
      <c r="AT33" s="34">
        <v>1</v>
      </c>
    </row>
    <row r="34" spans="2:46" x14ac:dyDescent="0.3">
      <c r="B34" s="8"/>
      <c r="C34" s="2" t="s">
        <v>721</v>
      </c>
      <c r="D34" s="26">
        <v>0</v>
      </c>
      <c r="E34" s="26">
        <v>0</v>
      </c>
      <c r="F34" s="27">
        <v>0</v>
      </c>
      <c r="G34" s="26">
        <v>0</v>
      </c>
      <c r="H34" s="26">
        <v>0</v>
      </c>
      <c r="I34" s="27">
        <v>0</v>
      </c>
      <c r="J34" s="26">
        <v>0</v>
      </c>
      <c r="K34" s="26">
        <v>0</v>
      </c>
      <c r="L34" s="67">
        <v>1</v>
      </c>
      <c r="N34" s="8"/>
      <c r="O34" s="2" t="s">
        <v>657</v>
      </c>
      <c r="P34" s="26">
        <v>0</v>
      </c>
      <c r="Q34" s="27">
        <v>0</v>
      </c>
      <c r="R34" s="30">
        <v>0</v>
      </c>
      <c r="S34" s="27">
        <v>0</v>
      </c>
      <c r="T34" s="30">
        <v>0</v>
      </c>
      <c r="U34" s="34">
        <v>1</v>
      </c>
      <c r="V34" s="34">
        <v>1</v>
      </c>
      <c r="X34" s="8"/>
      <c r="Y34" s="2"/>
      <c r="Z34" s="26"/>
      <c r="AA34" s="26"/>
      <c r="AB34" s="26"/>
      <c r="AC34" s="26"/>
      <c r="AD34" s="27"/>
      <c r="AE34" s="30"/>
      <c r="AF34" s="26"/>
      <c r="AG34" s="26"/>
      <c r="AH34" s="32"/>
      <c r="AJ34" s="8"/>
      <c r="AK34" s="2" t="s">
        <v>1001</v>
      </c>
      <c r="AL34" s="26">
        <v>0</v>
      </c>
      <c r="AM34" s="26">
        <v>0</v>
      </c>
      <c r="AN34" s="26">
        <v>0</v>
      </c>
      <c r="AO34" s="27">
        <v>0</v>
      </c>
      <c r="AP34" s="30">
        <v>0</v>
      </c>
      <c r="AQ34" s="26">
        <v>0</v>
      </c>
      <c r="AR34" s="26">
        <v>0</v>
      </c>
      <c r="AS34" s="32">
        <v>1</v>
      </c>
      <c r="AT34" s="34">
        <v>1</v>
      </c>
    </row>
    <row r="35" spans="2:46" x14ac:dyDescent="0.3">
      <c r="B35" s="8"/>
      <c r="C35" s="2" t="s">
        <v>979</v>
      </c>
      <c r="D35" s="26">
        <v>0</v>
      </c>
      <c r="E35" s="26">
        <v>0</v>
      </c>
      <c r="F35" s="27">
        <v>0</v>
      </c>
      <c r="G35" s="26">
        <v>0</v>
      </c>
      <c r="H35" s="26">
        <v>0</v>
      </c>
      <c r="I35" s="27">
        <v>0</v>
      </c>
      <c r="J35" s="26">
        <v>0</v>
      </c>
      <c r="K35" s="26">
        <v>0</v>
      </c>
      <c r="L35" s="67">
        <v>1</v>
      </c>
      <c r="N35" s="8"/>
      <c r="O35" s="2" t="s">
        <v>949</v>
      </c>
      <c r="P35" s="26">
        <v>0</v>
      </c>
      <c r="Q35" s="27">
        <v>0</v>
      </c>
      <c r="R35" s="30">
        <v>0</v>
      </c>
      <c r="S35" s="27">
        <v>0</v>
      </c>
      <c r="T35" s="30">
        <v>0</v>
      </c>
      <c r="U35" s="34">
        <v>1</v>
      </c>
      <c r="V35" s="34">
        <v>1</v>
      </c>
      <c r="X35" s="8"/>
      <c r="Y35" s="2"/>
      <c r="Z35" s="26"/>
      <c r="AA35" s="26"/>
      <c r="AB35" s="26"/>
      <c r="AC35" s="26"/>
      <c r="AD35" s="27"/>
      <c r="AE35" s="30"/>
      <c r="AF35" s="26"/>
      <c r="AG35" s="26"/>
      <c r="AH35" s="32"/>
      <c r="AJ35" s="8"/>
      <c r="AK35" s="2" t="s">
        <v>1002</v>
      </c>
      <c r="AL35" s="26">
        <v>0</v>
      </c>
      <c r="AM35" s="26">
        <v>0</v>
      </c>
      <c r="AN35" s="26">
        <v>0</v>
      </c>
      <c r="AO35" s="27">
        <v>0</v>
      </c>
      <c r="AP35" s="30">
        <v>0</v>
      </c>
      <c r="AQ35" s="26">
        <v>0</v>
      </c>
      <c r="AR35" s="26">
        <v>0</v>
      </c>
      <c r="AS35" s="32">
        <v>1</v>
      </c>
      <c r="AT35" s="34">
        <v>1</v>
      </c>
    </row>
    <row r="36" spans="2:46" x14ac:dyDescent="0.3">
      <c r="B36" s="8"/>
      <c r="C36" s="2" t="s">
        <v>772</v>
      </c>
      <c r="D36" s="26">
        <v>0</v>
      </c>
      <c r="E36" s="26">
        <v>0</v>
      </c>
      <c r="F36" s="27">
        <v>0</v>
      </c>
      <c r="G36" s="26">
        <v>0</v>
      </c>
      <c r="H36" s="26">
        <v>0</v>
      </c>
      <c r="I36" s="27">
        <v>0</v>
      </c>
      <c r="J36" s="26">
        <v>0</v>
      </c>
      <c r="K36" s="26">
        <v>0</v>
      </c>
      <c r="L36" s="67">
        <v>1</v>
      </c>
      <c r="N36" s="8"/>
      <c r="O36" s="2" t="s">
        <v>815</v>
      </c>
      <c r="P36" s="26">
        <v>0</v>
      </c>
      <c r="Q36" s="27">
        <v>0</v>
      </c>
      <c r="R36" s="30">
        <v>0</v>
      </c>
      <c r="S36" s="27">
        <v>0</v>
      </c>
      <c r="T36" s="30">
        <v>0</v>
      </c>
      <c r="U36" s="34">
        <v>1</v>
      </c>
      <c r="V36" s="34">
        <v>1</v>
      </c>
      <c r="X36" s="8"/>
      <c r="Y36" s="2"/>
      <c r="Z36" s="26"/>
      <c r="AA36" s="26"/>
      <c r="AB36" s="26"/>
      <c r="AC36" s="26"/>
      <c r="AD36" s="27"/>
      <c r="AE36" s="30"/>
      <c r="AF36" s="26"/>
      <c r="AG36" s="26"/>
      <c r="AH36" s="32"/>
      <c r="AJ36" s="8"/>
      <c r="AK36" s="2" t="s">
        <v>1003</v>
      </c>
      <c r="AL36" s="26">
        <v>0</v>
      </c>
      <c r="AM36" s="26">
        <v>0</v>
      </c>
      <c r="AN36" s="26">
        <v>0</v>
      </c>
      <c r="AO36" s="27">
        <v>0</v>
      </c>
      <c r="AP36" s="30">
        <v>0</v>
      </c>
      <c r="AQ36" s="26">
        <v>0</v>
      </c>
      <c r="AR36" s="26">
        <v>0</v>
      </c>
      <c r="AS36" s="32">
        <v>1</v>
      </c>
      <c r="AT36" s="34">
        <v>1</v>
      </c>
    </row>
    <row r="37" spans="2:46" x14ac:dyDescent="0.3">
      <c r="B37" s="8"/>
      <c r="C37" s="2" t="s">
        <v>773</v>
      </c>
      <c r="D37" s="26">
        <v>0</v>
      </c>
      <c r="E37" s="26">
        <v>0</v>
      </c>
      <c r="F37" s="27">
        <v>0</v>
      </c>
      <c r="G37" s="26">
        <v>0</v>
      </c>
      <c r="H37" s="26">
        <v>0</v>
      </c>
      <c r="I37" s="27">
        <v>0</v>
      </c>
      <c r="J37" s="26">
        <v>0</v>
      </c>
      <c r="K37" s="26">
        <v>0</v>
      </c>
      <c r="L37" s="67">
        <v>1</v>
      </c>
      <c r="N37" s="8"/>
      <c r="O37" s="2" t="s">
        <v>816</v>
      </c>
      <c r="P37" s="26">
        <v>0</v>
      </c>
      <c r="Q37" s="27">
        <v>0</v>
      </c>
      <c r="R37" s="30">
        <v>0</v>
      </c>
      <c r="S37" s="27">
        <v>0</v>
      </c>
      <c r="T37" s="30">
        <v>0</v>
      </c>
      <c r="U37" s="34">
        <v>1</v>
      </c>
      <c r="V37" s="34">
        <v>1</v>
      </c>
      <c r="X37" s="8"/>
      <c r="Y37" s="2"/>
      <c r="Z37" s="26"/>
      <c r="AA37" s="26"/>
      <c r="AB37" s="26"/>
      <c r="AC37" s="26"/>
      <c r="AD37" s="27"/>
      <c r="AE37" s="30"/>
      <c r="AF37" s="26"/>
      <c r="AG37" s="26"/>
      <c r="AH37" s="32"/>
      <c r="AJ37" s="8"/>
      <c r="AK37" s="2" t="s">
        <v>1004</v>
      </c>
      <c r="AL37" s="26">
        <v>0</v>
      </c>
      <c r="AM37" s="26">
        <v>0</v>
      </c>
      <c r="AN37" s="26">
        <v>0</v>
      </c>
      <c r="AO37" s="27">
        <v>0</v>
      </c>
      <c r="AP37" s="30">
        <v>0</v>
      </c>
      <c r="AQ37" s="26">
        <v>0</v>
      </c>
      <c r="AR37" s="26">
        <v>0</v>
      </c>
      <c r="AS37" s="32">
        <v>1</v>
      </c>
      <c r="AT37" s="34">
        <v>1</v>
      </c>
    </row>
    <row r="38" spans="2:46" x14ac:dyDescent="0.3">
      <c r="B38" s="8"/>
      <c r="C38" s="2" t="s">
        <v>722</v>
      </c>
      <c r="D38" s="26">
        <v>0</v>
      </c>
      <c r="E38" s="26">
        <v>0</v>
      </c>
      <c r="F38" s="27">
        <v>0</v>
      </c>
      <c r="G38" s="26">
        <v>0</v>
      </c>
      <c r="H38" s="26">
        <v>0</v>
      </c>
      <c r="I38" s="27">
        <v>0</v>
      </c>
      <c r="J38" s="26">
        <v>0</v>
      </c>
      <c r="K38" s="26">
        <v>0</v>
      </c>
      <c r="L38" s="67">
        <v>1</v>
      </c>
      <c r="N38" s="8"/>
      <c r="O38" s="2" t="s">
        <v>658</v>
      </c>
      <c r="P38" s="26">
        <v>0</v>
      </c>
      <c r="Q38" s="27">
        <v>0</v>
      </c>
      <c r="R38" s="30">
        <v>0</v>
      </c>
      <c r="S38" s="27">
        <v>0</v>
      </c>
      <c r="T38" s="30">
        <v>0</v>
      </c>
      <c r="U38" s="34">
        <v>1</v>
      </c>
      <c r="V38" s="34">
        <v>1</v>
      </c>
      <c r="X38" s="8"/>
      <c r="Y38" s="2"/>
      <c r="Z38" s="26"/>
      <c r="AA38" s="26"/>
      <c r="AB38" s="26"/>
      <c r="AC38" s="26"/>
      <c r="AD38" s="27"/>
      <c r="AE38" s="30"/>
      <c r="AF38" s="26"/>
      <c r="AG38" s="26"/>
      <c r="AH38" s="32"/>
      <c r="AJ38" s="8"/>
      <c r="AK38" s="2"/>
      <c r="AL38" s="26"/>
      <c r="AM38" s="26"/>
      <c r="AN38" s="26"/>
      <c r="AO38" s="27"/>
      <c r="AP38" s="30"/>
      <c r="AQ38" s="26"/>
      <c r="AR38" s="26"/>
      <c r="AS38" s="32"/>
      <c r="AT38" s="34"/>
    </row>
    <row r="39" spans="2:46" x14ac:dyDescent="0.3">
      <c r="B39" s="8"/>
      <c r="C39" s="2" t="s">
        <v>774</v>
      </c>
      <c r="D39" s="26">
        <v>0</v>
      </c>
      <c r="E39" s="26">
        <v>0</v>
      </c>
      <c r="F39" s="27">
        <v>0</v>
      </c>
      <c r="G39" s="26">
        <v>0</v>
      </c>
      <c r="H39" s="26">
        <v>0</v>
      </c>
      <c r="I39" s="27">
        <v>0</v>
      </c>
      <c r="J39" s="26">
        <v>0</v>
      </c>
      <c r="K39" s="26">
        <v>0</v>
      </c>
      <c r="L39" s="67">
        <v>1</v>
      </c>
      <c r="N39" s="8"/>
      <c r="O39" s="2" t="s">
        <v>817</v>
      </c>
      <c r="P39" s="26">
        <v>0</v>
      </c>
      <c r="Q39" s="27">
        <v>0</v>
      </c>
      <c r="R39" s="30">
        <v>0</v>
      </c>
      <c r="S39" s="27">
        <v>0</v>
      </c>
      <c r="T39" s="30">
        <v>0</v>
      </c>
      <c r="U39" s="34">
        <v>1</v>
      </c>
      <c r="V39" s="34">
        <v>1</v>
      </c>
      <c r="X39" s="8"/>
      <c r="Y39" s="2"/>
      <c r="Z39" s="26"/>
      <c r="AA39" s="26"/>
      <c r="AB39" s="26"/>
      <c r="AC39" s="26"/>
      <c r="AD39" s="27"/>
      <c r="AE39" s="30"/>
      <c r="AF39" s="26"/>
      <c r="AG39" s="26"/>
      <c r="AH39" s="32"/>
      <c r="AJ39" s="8"/>
      <c r="AK39" s="2"/>
      <c r="AL39" s="26"/>
      <c r="AM39" s="26"/>
      <c r="AN39" s="26"/>
      <c r="AO39" s="27"/>
      <c r="AP39" s="30"/>
      <c r="AQ39" s="26"/>
      <c r="AR39" s="26"/>
      <c r="AS39" s="32"/>
      <c r="AT39" s="34"/>
    </row>
    <row r="40" spans="2:46" x14ac:dyDescent="0.3">
      <c r="B40" s="8"/>
      <c r="C40" s="2" t="s">
        <v>723</v>
      </c>
      <c r="D40" s="26">
        <v>0</v>
      </c>
      <c r="E40" s="26">
        <v>0</v>
      </c>
      <c r="F40" s="27">
        <v>0</v>
      </c>
      <c r="G40" s="26">
        <v>0</v>
      </c>
      <c r="H40" s="26">
        <v>0</v>
      </c>
      <c r="I40" s="27">
        <v>0</v>
      </c>
      <c r="J40" s="26">
        <v>0</v>
      </c>
      <c r="K40" s="26">
        <v>0</v>
      </c>
      <c r="L40" s="67">
        <v>1</v>
      </c>
      <c r="N40" s="8"/>
      <c r="O40" s="2" t="s">
        <v>659</v>
      </c>
      <c r="P40" s="26">
        <v>0</v>
      </c>
      <c r="Q40" s="27">
        <v>0</v>
      </c>
      <c r="R40" s="30">
        <v>0</v>
      </c>
      <c r="S40" s="27">
        <v>0</v>
      </c>
      <c r="T40" s="30">
        <v>0</v>
      </c>
      <c r="U40" s="34">
        <v>1</v>
      </c>
      <c r="V40" s="34">
        <v>1</v>
      </c>
      <c r="X40" s="8"/>
      <c r="Y40" s="2"/>
      <c r="Z40" s="26"/>
      <c r="AA40" s="26"/>
      <c r="AB40" s="26"/>
      <c r="AC40" s="26"/>
      <c r="AD40" s="27"/>
      <c r="AE40" s="30"/>
      <c r="AF40" s="26"/>
      <c r="AG40" s="26"/>
      <c r="AH40" s="32"/>
      <c r="AJ40" s="8"/>
      <c r="AK40" s="2"/>
      <c r="AL40" s="26"/>
      <c r="AM40" s="26"/>
      <c r="AN40" s="26"/>
      <c r="AO40" s="27"/>
      <c r="AP40" s="30"/>
      <c r="AQ40" s="26"/>
      <c r="AR40" s="26"/>
      <c r="AS40" s="32"/>
      <c r="AT40" s="34"/>
    </row>
    <row r="41" spans="2:46" x14ac:dyDescent="0.3">
      <c r="B41" s="8"/>
      <c r="C41" s="2" t="s">
        <v>775</v>
      </c>
      <c r="D41" s="26">
        <v>0</v>
      </c>
      <c r="E41" s="26">
        <v>0</v>
      </c>
      <c r="F41" s="27">
        <v>0</v>
      </c>
      <c r="G41" s="26">
        <v>0</v>
      </c>
      <c r="H41" s="26">
        <v>0</v>
      </c>
      <c r="I41" s="27">
        <v>0</v>
      </c>
      <c r="J41" s="26">
        <v>0</v>
      </c>
      <c r="K41" s="26">
        <v>0</v>
      </c>
      <c r="L41" s="67">
        <v>1</v>
      </c>
      <c r="N41" s="8"/>
      <c r="O41" s="2" t="s">
        <v>818</v>
      </c>
      <c r="P41" s="26">
        <v>0</v>
      </c>
      <c r="Q41" s="27">
        <v>0</v>
      </c>
      <c r="R41" s="30">
        <v>0</v>
      </c>
      <c r="S41" s="27">
        <v>0</v>
      </c>
      <c r="T41" s="30">
        <v>0</v>
      </c>
      <c r="U41" s="34">
        <v>1</v>
      </c>
      <c r="V41" s="34">
        <v>1</v>
      </c>
      <c r="X41" s="8"/>
      <c r="Y41" s="2"/>
      <c r="Z41" s="26"/>
      <c r="AA41" s="26"/>
      <c r="AB41" s="26"/>
      <c r="AC41" s="26"/>
      <c r="AD41" s="27"/>
      <c r="AE41" s="30"/>
      <c r="AF41" s="26"/>
      <c r="AG41" s="26"/>
      <c r="AH41" s="32"/>
      <c r="AJ41" s="8"/>
      <c r="AK41" s="2"/>
      <c r="AL41" s="26"/>
      <c r="AM41" s="26"/>
      <c r="AN41" s="26"/>
      <c r="AO41" s="27"/>
      <c r="AP41" s="30"/>
      <c r="AQ41" s="26"/>
      <c r="AR41" s="26"/>
      <c r="AS41" s="32"/>
      <c r="AT41" s="34"/>
    </row>
    <row r="42" spans="2:46" x14ac:dyDescent="0.3">
      <c r="B42" s="8"/>
      <c r="C42" s="2" t="s">
        <v>776</v>
      </c>
      <c r="D42" s="26">
        <v>0</v>
      </c>
      <c r="E42" s="26">
        <v>0</v>
      </c>
      <c r="F42" s="27">
        <v>0</v>
      </c>
      <c r="G42" s="26">
        <v>0</v>
      </c>
      <c r="H42" s="26">
        <v>0</v>
      </c>
      <c r="I42" s="27">
        <v>0</v>
      </c>
      <c r="J42" s="26">
        <v>0</v>
      </c>
      <c r="K42" s="26">
        <v>0</v>
      </c>
      <c r="L42" s="67">
        <v>1</v>
      </c>
      <c r="N42" s="8"/>
      <c r="O42" s="2" t="s">
        <v>819</v>
      </c>
      <c r="P42" s="26">
        <v>0</v>
      </c>
      <c r="Q42" s="27">
        <v>0</v>
      </c>
      <c r="R42" s="30">
        <v>0</v>
      </c>
      <c r="S42" s="27">
        <v>0</v>
      </c>
      <c r="T42" s="30">
        <v>0</v>
      </c>
      <c r="U42" s="34">
        <v>1</v>
      </c>
      <c r="V42" s="34">
        <v>1</v>
      </c>
      <c r="X42" s="8"/>
      <c r="Y42" s="2"/>
      <c r="Z42" s="26"/>
      <c r="AA42" s="26"/>
      <c r="AB42" s="26"/>
      <c r="AC42" s="26"/>
      <c r="AD42" s="27"/>
      <c r="AE42" s="30"/>
      <c r="AF42" s="26"/>
      <c r="AG42" s="26"/>
      <c r="AH42" s="32"/>
      <c r="AJ42" s="8"/>
      <c r="AK42" s="2"/>
      <c r="AL42" s="26"/>
      <c r="AM42" s="26"/>
      <c r="AN42" s="26"/>
      <c r="AO42" s="27"/>
      <c r="AP42" s="30"/>
      <c r="AQ42" s="26"/>
      <c r="AR42" s="26"/>
      <c r="AS42" s="32"/>
      <c r="AT42" s="34"/>
    </row>
    <row r="43" spans="2:46" x14ac:dyDescent="0.3">
      <c r="B43" s="8"/>
      <c r="C43" s="2" t="s">
        <v>777</v>
      </c>
      <c r="D43" s="26">
        <v>0</v>
      </c>
      <c r="E43" s="26">
        <v>0</v>
      </c>
      <c r="F43" s="27">
        <v>0</v>
      </c>
      <c r="G43" s="26">
        <v>0</v>
      </c>
      <c r="H43" s="26">
        <v>0</v>
      </c>
      <c r="I43" s="27">
        <v>0</v>
      </c>
      <c r="J43" s="26">
        <v>0</v>
      </c>
      <c r="K43" s="26">
        <v>0</v>
      </c>
      <c r="L43" s="67">
        <v>1</v>
      </c>
      <c r="N43" s="8"/>
      <c r="O43" s="2" t="s">
        <v>820</v>
      </c>
      <c r="P43" s="26">
        <v>0</v>
      </c>
      <c r="Q43" s="27">
        <v>0</v>
      </c>
      <c r="R43" s="30">
        <v>0</v>
      </c>
      <c r="S43" s="27">
        <v>0</v>
      </c>
      <c r="T43" s="30">
        <v>0</v>
      </c>
      <c r="U43" s="34">
        <v>1</v>
      </c>
      <c r="V43" s="34">
        <v>1</v>
      </c>
      <c r="X43" s="8"/>
      <c r="Y43" s="2"/>
      <c r="Z43" s="26"/>
      <c r="AA43" s="26"/>
      <c r="AB43" s="26"/>
      <c r="AC43" s="26"/>
      <c r="AD43" s="27"/>
      <c r="AE43" s="30"/>
      <c r="AF43" s="26"/>
      <c r="AG43" s="26"/>
      <c r="AH43" s="32"/>
      <c r="AJ43" s="8"/>
      <c r="AK43" s="2"/>
      <c r="AL43" s="26"/>
      <c r="AM43" s="26"/>
      <c r="AN43" s="26"/>
      <c r="AO43" s="27"/>
      <c r="AP43" s="30"/>
      <c r="AQ43" s="26"/>
      <c r="AR43" s="26"/>
      <c r="AS43" s="32"/>
      <c r="AT43" s="34"/>
    </row>
    <row r="44" spans="2:46" x14ac:dyDescent="0.3">
      <c r="B44" s="8"/>
      <c r="C44" s="2" t="s">
        <v>724</v>
      </c>
      <c r="D44" s="26">
        <v>0</v>
      </c>
      <c r="E44" s="26">
        <v>0</v>
      </c>
      <c r="F44" s="27">
        <v>0</v>
      </c>
      <c r="G44" s="26">
        <v>0</v>
      </c>
      <c r="H44" s="26">
        <v>0</v>
      </c>
      <c r="I44" s="27">
        <v>0</v>
      </c>
      <c r="J44" s="26">
        <v>0</v>
      </c>
      <c r="K44" s="26">
        <v>0</v>
      </c>
      <c r="L44" s="67">
        <v>1</v>
      </c>
      <c r="N44" s="8"/>
      <c r="O44" s="2" t="s">
        <v>660</v>
      </c>
      <c r="P44" s="26">
        <v>0</v>
      </c>
      <c r="Q44" s="27">
        <v>0</v>
      </c>
      <c r="R44" s="30">
        <v>0</v>
      </c>
      <c r="S44" s="27">
        <v>0</v>
      </c>
      <c r="T44" s="30">
        <v>0</v>
      </c>
      <c r="U44" s="34">
        <v>1</v>
      </c>
      <c r="V44" s="34">
        <v>1</v>
      </c>
      <c r="X44" s="8"/>
      <c r="Y44" s="2"/>
      <c r="Z44" s="26"/>
      <c r="AA44" s="26"/>
      <c r="AB44" s="26"/>
      <c r="AC44" s="26"/>
      <c r="AD44" s="27"/>
      <c r="AE44" s="30"/>
      <c r="AF44" s="26"/>
      <c r="AG44" s="26"/>
      <c r="AH44" s="32"/>
      <c r="AJ44" s="8"/>
      <c r="AK44" s="2"/>
      <c r="AL44" s="26"/>
      <c r="AM44" s="26"/>
      <c r="AN44" s="26"/>
      <c r="AO44" s="27"/>
      <c r="AP44" s="30"/>
      <c r="AQ44" s="26"/>
      <c r="AR44" s="26"/>
      <c r="AS44" s="32"/>
      <c r="AT44" s="34"/>
    </row>
    <row r="45" spans="2:46" x14ac:dyDescent="0.3">
      <c r="B45" s="8"/>
      <c r="C45" s="2" t="s">
        <v>725</v>
      </c>
      <c r="D45" s="26">
        <v>0</v>
      </c>
      <c r="E45" s="26">
        <v>0</v>
      </c>
      <c r="F45" s="27">
        <v>0</v>
      </c>
      <c r="G45" s="26">
        <v>0</v>
      </c>
      <c r="H45" s="26">
        <v>0</v>
      </c>
      <c r="I45" s="27">
        <v>0</v>
      </c>
      <c r="J45" s="26">
        <v>0</v>
      </c>
      <c r="K45" s="26">
        <v>0</v>
      </c>
      <c r="L45" s="67">
        <v>1</v>
      </c>
      <c r="N45" s="8"/>
      <c r="O45" s="2" t="s">
        <v>661</v>
      </c>
      <c r="P45" s="26">
        <v>0</v>
      </c>
      <c r="Q45" s="27">
        <v>0</v>
      </c>
      <c r="R45" s="30">
        <v>0</v>
      </c>
      <c r="S45" s="27">
        <v>0</v>
      </c>
      <c r="T45" s="30">
        <v>0</v>
      </c>
      <c r="U45" s="34">
        <v>1</v>
      </c>
      <c r="V45" s="34">
        <v>1</v>
      </c>
      <c r="X45" s="8"/>
      <c r="Y45" s="2"/>
      <c r="Z45" s="26"/>
      <c r="AA45" s="26"/>
      <c r="AB45" s="26"/>
      <c r="AC45" s="26"/>
      <c r="AD45" s="27"/>
      <c r="AE45" s="30"/>
      <c r="AF45" s="26"/>
      <c r="AG45" s="26"/>
      <c r="AH45" s="32"/>
      <c r="AJ45" s="8"/>
      <c r="AK45" s="2"/>
      <c r="AL45" s="26"/>
      <c r="AM45" s="26"/>
      <c r="AN45" s="26"/>
      <c r="AO45" s="27"/>
      <c r="AP45" s="30"/>
      <c r="AQ45" s="26"/>
      <c r="AR45" s="26"/>
      <c r="AS45" s="32"/>
      <c r="AT45" s="34"/>
    </row>
    <row r="46" spans="2:46" x14ac:dyDescent="0.3">
      <c r="B46" s="8"/>
      <c r="C46" s="2" t="s">
        <v>778</v>
      </c>
      <c r="D46" s="26">
        <v>0</v>
      </c>
      <c r="E46" s="26">
        <v>0</v>
      </c>
      <c r="F46" s="27">
        <v>0</v>
      </c>
      <c r="G46" s="26">
        <v>0</v>
      </c>
      <c r="H46" s="26">
        <v>0</v>
      </c>
      <c r="I46" s="27">
        <v>0</v>
      </c>
      <c r="J46" s="26">
        <v>0</v>
      </c>
      <c r="K46" s="26">
        <v>0</v>
      </c>
      <c r="L46" s="67">
        <v>1</v>
      </c>
      <c r="N46" s="8"/>
      <c r="O46" s="2" t="s">
        <v>821</v>
      </c>
      <c r="P46" s="26">
        <v>0</v>
      </c>
      <c r="Q46" s="27">
        <v>0</v>
      </c>
      <c r="R46" s="30">
        <v>0</v>
      </c>
      <c r="S46" s="27">
        <v>0</v>
      </c>
      <c r="T46" s="30">
        <v>0</v>
      </c>
      <c r="U46" s="34">
        <v>1</v>
      </c>
      <c r="V46" s="34">
        <v>1</v>
      </c>
      <c r="X46" s="8"/>
      <c r="Y46" s="2"/>
      <c r="Z46" s="26"/>
      <c r="AA46" s="26"/>
      <c r="AB46" s="26"/>
      <c r="AC46" s="26"/>
      <c r="AD46" s="27"/>
      <c r="AE46" s="30"/>
      <c r="AF46" s="26"/>
      <c r="AG46" s="26"/>
      <c r="AH46" s="32"/>
      <c r="AJ46" s="8"/>
      <c r="AK46" s="2"/>
      <c r="AL46" s="26"/>
      <c r="AM46" s="26"/>
      <c r="AN46" s="26"/>
      <c r="AO46" s="27"/>
      <c r="AP46" s="30"/>
      <c r="AQ46" s="26"/>
      <c r="AR46" s="26"/>
      <c r="AS46" s="32"/>
      <c r="AT46" s="34"/>
    </row>
    <row r="47" spans="2:46" x14ac:dyDescent="0.3">
      <c r="B47" s="8"/>
      <c r="C47" s="2" t="s">
        <v>726</v>
      </c>
      <c r="D47" s="26">
        <v>0</v>
      </c>
      <c r="E47" s="26">
        <v>0</v>
      </c>
      <c r="F47" s="27">
        <v>0</v>
      </c>
      <c r="G47" s="26">
        <v>0</v>
      </c>
      <c r="H47" s="26">
        <v>0</v>
      </c>
      <c r="I47" s="27">
        <v>0</v>
      </c>
      <c r="J47" s="26">
        <v>0</v>
      </c>
      <c r="K47" s="26">
        <v>0</v>
      </c>
      <c r="L47" s="67">
        <v>1</v>
      </c>
      <c r="N47" s="8"/>
      <c r="O47" s="2" t="s">
        <v>662</v>
      </c>
      <c r="P47" s="26">
        <v>0</v>
      </c>
      <c r="Q47" s="27">
        <v>0</v>
      </c>
      <c r="R47" s="30">
        <v>0</v>
      </c>
      <c r="S47" s="27">
        <v>0</v>
      </c>
      <c r="T47" s="30">
        <v>0</v>
      </c>
      <c r="U47" s="34">
        <v>1</v>
      </c>
      <c r="V47" s="34">
        <v>1</v>
      </c>
      <c r="X47" s="8"/>
      <c r="Y47" s="2"/>
      <c r="Z47" s="26"/>
      <c r="AA47" s="26"/>
      <c r="AB47" s="26"/>
      <c r="AC47" s="26"/>
      <c r="AD47" s="27"/>
      <c r="AE47" s="30"/>
      <c r="AF47" s="26"/>
      <c r="AG47" s="26"/>
      <c r="AH47" s="32"/>
      <c r="AJ47" s="8"/>
      <c r="AK47" s="2"/>
      <c r="AL47" s="26"/>
      <c r="AM47" s="26"/>
      <c r="AN47" s="26"/>
      <c r="AO47" s="27"/>
      <c r="AP47" s="30"/>
      <c r="AQ47" s="26"/>
      <c r="AR47" s="26"/>
      <c r="AS47" s="32"/>
      <c r="AT47" s="34"/>
    </row>
    <row r="48" spans="2:46" x14ac:dyDescent="0.3">
      <c r="B48" s="8"/>
      <c r="C48" s="2" t="s">
        <v>779</v>
      </c>
      <c r="D48" s="26">
        <v>0</v>
      </c>
      <c r="E48" s="26">
        <v>0</v>
      </c>
      <c r="F48" s="27">
        <v>0</v>
      </c>
      <c r="G48" s="26">
        <v>0</v>
      </c>
      <c r="H48" s="26">
        <v>0</v>
      </c>
      <c r="I48" s="27">
        <v>0</v>
      </c>
      <c r="J48" s="26">
        <v>0</v>
      </c>
      <c r="K48" s="26">
        <v>0</v>
      </c>
      <c r="L48" s="67">
        <v>1</v>
      </c>
      <c r="N48" s="8"/>
      <c r="O48" s="2" t="s">
        <v>822</v>
      </c>
      <c r="P48" s="26">
        <v>0</v>
      </c>
      <c r="Q48" s="27">
        <v>0</v>
      </c>
      <c r="R48" s="30">
        <v>0</v>
      </c>
      <c r="S48" s="27">
        <v>0</v>
      </c>
      <c r="T48" s="30">
        <v>0</v>
      </c>
      <c r="U48" s="34">
        <v>1</v>
      </c>
      <c r="V48" s="34">
        <v>1</v>
      </c>
      <c r="X48" s="8"/>
      <c r="Y48" s="2"/>
      <c r="Z48" s="26"/>
      <c r="AA48" s="26"/>
      <c r="AB48" s="26"/>
      <c r="AC48" s="26"/>
      <c r="AD48" s="27"/>
      <c r="AE48" s="30"/>
      <c r="AF48" s="26"/>
      <c r="AG48" s="26"/>
      <c r="AH48" s="32"/>
      <c r="AJ48" s="8"/>
      <c r="AK48" s="2"/>
      <c r="AL48" s="26"/>
      <c r="AM48" s="26"/>
      <c r="AN48" s="26"/>
      <c r="AO48" s="27"/>
      <c r="AP48" s="30"/>
      <c r="AQ48" s="26"/>
      <c r="AR48" s="26"/>
      <c r="AS48" s="32"/>
      <c r="AT48" s="34"/>
    </row>
    <row r="49" spans="2:46" x14ac:dyDescent="0.3">
      <c r="B49" s="8"/>
      <c r="C49" s="2" t="s">
        <v>780</v>
      </c>
      <c r="D49" s="26">
        <v>0</v>
      </c>
      <c r="E49" s="26">
        <v>0</v>
      </c>
      <c r="F49" s="27">
        <v>0</v>
      </c>
      <c r="G49" s="26">
        <v>0</v>
      </c>
      <c r="H49" s="26">
        <v>0</v>
      </c>
      <c r="I49" s="27">
        <v>0</v>
      </c>
      <c r="J49" s="26">
        <v>0</v>
      </c>
      <c r="K49" s="26">
        <v>0</v>
      </c>
      <c r="L49" s="67">
        <v>1</v>
      </c>
      <c r="N49" s="8"/>
      <c r="O49" s="2" t="s">
        <v>823</v>
      </c>
      <c r="P49" s="26">
        <v>0</v>
      </c>
      <c r="Q49" s="27">
        <v>0</v>
      </c>
      <c r="R49" s="30">
        <v>0</v>
      </c>
      <c r="S49" s="27">
        <v>0</v>
      </c>
      <c r="T49" s="30">
        <v>0</v>
      </c>
      <c r="U49" s="34">
        <v>1</v>
      </c>
      <c r="V49" s="34">
        <v>1</v>
      </c>
      <c r="X49" s="8"/>
      <c r="Y49" s="2"/>
      <c r="Z49" s="26"/>
      <c r="AA49" s="26"/>
      <c r="AB49" s="26"/>
      <c r="AC49" s="26"/>
      <c r="AD49" s="27"/>
      <c r="AE49" s="30"/>
      <c r="AF49" s="26"/>
      <c r="AG49" s="26"/>
      <c r="AH49" s="32"/>
      <c r="AJ49" s="8"/>
      <c r="AK49" s="2"/>
      <c r="AL49" s="26"/>
      <c r="AM49" s="26"/>
      <c r="AN49" s="26"/>
      <c r="AO49" s="27"/>
      <c r="AP49" s="30"/>
      <c r="AQ49" s="26"/>
      <c r="AR49" s="26"/>
      <c r="AS49" s="32"/>
      <c r="AT49" s="34"/>
    </row>
    <row r="50" spans="2:46" x14ac:dyDescent="0.3">
      <c r="B50" s="8"/>
      <c r="C50" s="2" t="s">
        <v>727</v>
      </c>
      <c r="D50" s="26">
        <v>0</v>
      </c>
      <c r="E50" s="26">
        <v>0</v>
      </c>
      <c r="F50" s="27">
        <v>0</v>
      </c>
      <c r="G50" s="26">
        <v>0</v>
      </c>
      <c r="H50" s="26">
        <v>0</v>
      </c>
      <c r="I50" s="27">
        <v>0</v>
      </c>
      <c r="J50" s="26">
        <v>0</v>
      </c>
      <c r="K50" s="26">
        <v>0</v>
      </c>
      <c r="L50" s="67">
        <v>1</v>
      </c>
      <c r="N50" s="8"/>
      <c r="O50" s="2" t="s">
        <v>663</v>
      </c>
      <c r="P50" s="26">
        <v>0</v>
      </c>
      <c r="Q50" s="27">
        <v>0</v>
      </c>
      <c r="R50" s="30">
        <v>0</v>
      </c>
      <c r="S50" s="27">
        <v>0</v>
      </c>
      <c r="T50" s="30">
        <v>0</v>
      </c>
      <c r="U50" s="34">
        <v>1</v>
      </c>
      <c r="V50" s="34">
        <v>1</v>
      </c>
      <c r="X50" s="8"/>
      <c r="Y50" s="2"/>
      <c r="Z50" s="26"/>
      <c r="AA50" s="26"/>
      <c r="AB50" s="26"/>
      <c r="AC50" s="26"/>
      <c r="AD50" s="27"/>
      <c r="AE50" s="30"/>
      <c r="AF50" s="26"/>
      <c r="AG50" s="26"/>
      <c r="AH50" s="32"/>
      <c r="AJ50" s="8"/>
      <c r="AK50" s="2"/>
      <c r="AL50" s="26"/>
      <c r="AM50" s="26"/>
      <c r="AN50" s="26"/>
      <c r="AO50" s="27"/>
      <c r="AP50" s="30"/>
      <c r="AQ50" s="26"/>
      <c r="AR50" s="26"/>
      <c r="AS50" s="32"/>
      <c r="AT50" s="34"/>
    </row>
    <row r="51" spans="2:46" x14ac:dyDescent="0.3">
      <c r="B51" s="8"/>
      <c r="C51" s="2" t="s">
        <v>728</v>
      </c>
      <c r="D51" s="26">
        <v>0</v>
      </c>
      <c r="E51" s="26">
        <v>0</v>
      </c>
      <c r="F51" s="27">
        <v>0</v>
      </c>
      <c r="G51" s="26">
        <v>0</v>
      </c>
      <c r="H51" s="26">
        <v>0</v>
      </c>
      <c r="I51" s="27">
        <v>0</v>
      </c>
      <c r="J51" s="26">
        <v>0</v>
      </c>
      <c r="K51" s="26">
        <v>0</v>
      </c>
      <c r="L51" s="67">
        <v>1</v>
      </c>
      <c r="N51" s="8"/>
      <c r="O51" s="2" t="s">
        <v>664</v>
      </c>
      <c r="P51" s="26">
        <v>0</v>
      </c>
      <c r="Q51" s="27">
        <v>0</v>
      </c>
      <c r="R51" s="30">
        <v>0</v>
      </c>
      <c r="S51" s="27">
        <v>0</v>
      </c>
      <c r="T51" s="30">
        <v>0</v>
      </c>
      <c r="U51" s="34">
        <v>1</v>
      </c>
      <c r="V51" s="34">
        <v>1</v>
      </c>
      <c r="X51" s="8"/>
      <c r="Y51" s="2"/>
      <c r="Z51" s="26"/>
      <c r="AA51" s="26"/>
      <c r="AB51" s="26"/>
      <c r="AC51" s="26"/>
      <c r="AD51" s="27"/>
      <c r="AE51" s="30"/>
      <c r="AF51" s="26"/>
      <c r="AG51" s="26"/>
      <c r="AH51" s="32"/>
      <c r="AJ51" s="8"/>
      <c r="AK51" s="2"/>
      <c r="AL51" s="26"/>
      <c r="AM51" s="26"/>
      <c r="AN51" s="26"/>
      <c r="AO51" s="27"/>
      <c r="AP51" s="30"/>
      <c r="AQ51" s="26"/>
      <c r="AR51" s="26"/>
      <c r="AS51" s="32"/>
      <c r="AT51" s="34"/>
    </row>
    <row r="52" spans="2:46" x14ac:dyDescent="0.3">
      <c r="B52" s="8"/>
      <c r="C52" s="2" t="s">
        <v>781</v>
      </c>
      <c r="D52" s="26">
        <v>0</v>
      </c>
      <c r="E52" s="26">
        <v>0</v>
      </c>
      <c r="F52" s="27">
        <v>0</v>
      </c>
      <c r="G52" s="26">
        <v>0</v>
      </c>
      <c r="H52" s="26">
        <v>0</v>
      </c>
      <c r="I52" s="27">
        <v>0</v>
      </c>
      <c r="J52" s="26">
        <v>0</v>
      </c>
      <c r="K52" s="26">
        <v>0</v>
      </c>
      <c r="L52" s="67">
        <v>1</v>
      </c>
      <c r="N52" s="8"/>
      <c r="O52" s="2" t="s">
        <v>824</v>
      </c>
      <c r="P52" s="26">
        <v>0</v>
      </c>
      <c r="Q52" s="27">
        <v>0</v>
      </c>
      <c r="R52" s="30">
        <v>0</v>
      </c>
      <c r="S52" s="27">
        <v>0</v>
      </c>
      <c r="T52" s="30">
        <v>0</v>
      </c>
      <c r="U52" s="34">
        <v>1</v>
      </c>
      <c r="V52" s="34">
        <v>1</v>
      </c>
      <c r="X52" s="8"/>
      <c r="Y52" s="2"/>
      <c r="Z52" s="26"/>
      <c r="AA52" s="26"/>
      <c r="AB52" s="26"/>
      <c r="AC52" s="26"/>
      <c r="AD52" s="27"/>
      <c r="AE52" s="30"/>
      <c r="AF52" s="26"/>
      <c r="AG52" s="26"/>
      <c r="AH52" s="32"/>
      <c r="AJ52" s="8"/>
      <c r="AK52" s="2"/>
      <c r="AL52" s="26"/>
      <c r="AM52" s="26"/>
      <c r="AN52" s="26"/>
      <c r="AO52" s="27"/>
      <c r="AP52" s="30"/>
      <c r="AQ52" s="26"/>
      <c r="AR52" s="26"/>
      <c r="AS52" s="32"/>
      <c r="AT52" s="34"/>
    </row>
    <row r="53" spans="2:46" x14ac:dyDescent="0.3">
      <c r="B53" s="8"/>
      <c r="C53" s="2" t="s">
        <v>729</v>
      </c>
      <c r="D53" s="26">
        <v>0</v>
      </c>
      <c r="E53" s="26">
        <v>0</v>
      </c>
      <c r="F53" s="27">
        <v>0</v>
      </c>
      <c r="G53" s="26">
        <v>0</v>
      </c>
      <c r="H53" s="26">
        <v>0</v>
      </c>
      <c r="I53" s="27">
        <v>0</v>
      </c>
      <c r="J53" s="26">
        <v>0</v>
      </c>
      <c r="K53" s="26">
        <v>0</v>
      </c>
      <c r="L53" s="67">
        <v>1</v>
      </c>
      <c r="N53" s="8"/>
      <c r="O53" s="2" t="s">
        <v>665</v>
      </c>
      <c r="P53" s="26">
        <v>0</v>
      </c>
      <c r="Q53" s="27">
        <v>0</v>
      </c>
      <c r="R53" s="30">
        <v>0</v>
      </c>
      <c r="S53" s="27">
        <v>0</v>
      </c>
      <c r="T53" s="30">
        <v>0</v>
      </c>
      <c r="U53" s="34">
        <v>1</v>
      </c>
      <c r="V53" s="34">
        <v>1</v>
      </c>
      <c r="X53" s="8"/>
      <c r="Y53" s="2"/>
      <c r="Z53" s="26"/>
      <c r="AA53" s="26"/>
      <c r="AB53" s="26"/>
      <c r="AC53" s="26"/>
      <c r="AD53" s="27"/>
      <c r="AE53" s="30"/>
      <c r="AF53" s="26"/>
      <c r="AG53" s="26"/>
      <c r="AH53" s="32"/>
      <c r="AJ53" s="8"/>
      <c r="AK53" s="2"/>
      <c r="AL53" s="26"/>
      <c r="AM53" s="26"/>
      <c r="AN53" s="26"/>
      <c r="AO53" s="27"/>
      <c r="AP53" s="30"/>
      <c r="AQ53" s="26"/>
      <c r="AR53" s="26"/>
      <c r="AS53" s="32"/>
      <c r="AT53" s="34"/>
    </row>
    <row r="54" spans="2:46" x14ac:dyDescent="0.3">
      <c r="B54" s="8"/>
      <c r="C54" s="2" t="s">
        <v>782</v>
      </c>
      <c r="D54" s="26">
        <v>0</v>
      </c>
      <c r="E54" s="26">
        <v>0</v>
      </c>
      <c r="F54" s="27">
        <v>0</v>
      </c>
      <c r="G54" s="26">
        <v>0</v>
      </c>
      <c r="H54" s="26">
        <v>0</v>
      </c>
      <c r="I54" s="27">
        <v>0</v>
      </c>
      <c r="J54" s="26">
        <v>0</v>
      </c>
      <c r="K54" s="26">
        <v>0</v>
      </c>
      <c r="L54" s="67">
        <v>1</v>
      </c>
      <c r="N54" s="8"/>
      <c r="O54" s="2" t="s">
        <v>825</v>
      </c>
      <c r="P54" s="26">
        <v>0</v>
      </c>
      <c r="Q54" s="27">
        <v>0</v>
      </c>
      <c r="R54" s="30">
        <v>0</v>
      </c>
      <c r="S54" s="27">
        <v>0</v>
      </c>
      <c r="T54" s="30">
        <v>0</v>
      </c>
      <c r="U54" s="34">
        <v>1</v>
      </c>
      <c r="V54" s="34">
        <v>1</v>
      </c>
      <c r="X54" s="8"/>
      <c r="Y54" s="2"/>
      <c r="Z54" s="26"/>
      <c r="AA54" s="26"/>
      <c r="AB54" s="26"/>
      <c r="AC54" s="26"/>
      <c r="AD54" s="27"/>
      <c r="AE54" s="30"/>
      <c r="AF54" s="26"/>
      <c r="AG54" s="26"/>
      <c r="AH54" s="32"/>
      <c r="AJ54" s="8"/>
      <c r="AK54" s="2"/>
      <c r="AL54" s="26"/>
      <c r="AM54" s="26"/>
      <c r="AN54" s="26"/>
      <c r="AO54" s="27"/>
      <c r="AP54" s="30"/>
      <c r="AQ54" s="26"/>
      <c r="AR54" s="26"/>
      <c r="AS54" s="32"/>
      <c r="AT54" s="34"/>
    </row>
    <row r="55" spans="2:46" x14ac:dyDescent="0.3">
      <c r="B55" s="8"/>
      <c r="C55" s="2" t="s">
        <v>783</v>
      </c>
      <c r="D55" s="26">
        <v>0</v>
      </c>
      <c r="E55" s="26">
        <v>0</v>
      </c>
      <c r="F55" s="27">
        <v>0</v>
      </c>
      <c r="G55" s="26">
        <v>0</v>
      </c>
      <c r="H55" s="26">
        <v>0</v>
      </c>
      <c r="I55" s="27">
        <v>0</v>
      </c>
      <c r="J55" s="26">
        <v>0</v>
      </c>
      <c r="K55" s="26">
        <v>0</v>
      </c>
      <c r="L55" s="67">
        <v>1</v>
      </c>
      <c r="N55" s="8"/>
      <c r="O55" s="2" t="s">
        <v>826</v>
      </c>
      <c r="P55" s="26">
        <v>0</v>
      </c>
      <c r="Q55" s="27">
        <v>0</v>
      </c>
      <c r="R55" s="30">
        <v>0</v>
      </c>
      <c r="S55" s="27">
        <v>0</v>
      </c>
      <c r="T55" s="30">
        <v>0</v>
      </c>
      <c r="U55" s="34">
        <v>1</v>
      </c>
      <c r="V55" s="34">
        <v>1</v>
      </c>
      <c r="X55" s="8"/>
      <c r="Y55" s="2"/>
      <c r="Z55" s="26"/>
      <c r="AA55" s="26"/>
      <c r="AB55" s="26"/>
      <c r="AC55" s="26"/>
      <c r="AD55" s="27"/>
      <c r="AE55" s="30"/>
      <c r="AF55" s="26"/>
      <c r="AG55" s="26"/>
      <c r="AH55" s="32"/>
      <c r="AJ55" s="8"/>
      <c r="AK55" s="2"/>
      <c r="AL55" s="26"/>
      <c r="AM55" s="26"/>
      <c r="AN55" s="26"/>
      <c r="AO55" s="27"/>
      <c r="AP55" s="30"/>
      <c r="AQ55" s="26"/>
      <c r="AR55" s="26"/>
      <c r="AS55" s="32"/>
      <c r="AT55" s="34"/>
    </row>
    <row r="56" spans="2:46" x14ac:dyDescent="0.3">
      <c r="B56" s="8"/>
      <c r="C56" s="2" t="s">
        <v>784</v>
      </c>
      <c r="D56" s="26">
        <v>0</v>
      </c>
      <c r="E56" s="26">
        <v>0</v>
      </c>
      <c r="F56" s="27">
        <v>0</v>
      </c>
      <c r="G56" s="26">
        <v>0</v>
      </c>
      <c r="H56" s="26">
        <v>0</v>
      </c>
      <c r="I56" s="27">
        <v>0</v>
      </c>
      <c r="J56" s="26">
        <v>0</v>
      </c>
      <c r="K56" s="26">
        <v>0</v>
      </c>
      <c r="L56" s="67">
        <v>1</v>
      </c>
      <c r="N56" s="8"/>
      <c r="O56" s="2" t="s">
        <v>827</v>
      </c>
      <c r="P56" s="26">
        <v>0</v>
      </c>
      <c r="Q56" s="27">
        <v>0</v>
      </c>
      <c r="R56" s="30">
        <v>0</v>
      </c>
      <c r="S56" s="27">
        <v>0</v>
      </c>
      <c r="T56" s="30">
        <v>0</v>
      </c>
      <c r="U56" s="34">
        <v>1</v>
      </c>
      <c r="V56" s="34">
        <v>1</v>
      </c>
      <c r="X56" s="8"/>
      <c r="Y56" s="2"/>
      <c r="Z56" s="26"/>
      <c r="AA56" s="26"/>
      <c r="AB56" s="26"/>
      <c r="AC56" s="26"/>
      <c r="AD56" s="27"/>
      <c r="AE56" s="30"/>
      <c r="AF56" s="26"/>
      <c r="AG56" s="26"/>
      <c r="AH56" s="32"/>
      <c r="AJ56" s="8"/>
      <c r="AK56" s="2"/>
      <c r="AL56" s="26"/>
      <c r="AM56" s="26"/>
      <c r="AN56" s="26"/>
      <c r="AO56" s="27"/>
      <c r="AP56" s="30"/>
      <c r="AQ56" s="26"/>
      <c r="AR56" s="26"/>
      <c r="AS56" s="32"/>
      <c r="AT56" s="34"/>
    </row>
    <row r="57" spans="2:46" x14ac:dyDescent="0.3">
      <c r="B57" s="8"/>
      <c r="C57" s="2" t="s">
        <v>785</v>
      </c>
      <c r="D57" s="26">
        <v>0</v>
      </c>
      <c r="E57" s="26">
        <v>0</v>
      </c>
      <c r="F57" s="27">
        <v>0</v>
      </c>
      <c r="G57" s="26">
        <v>0</v>
      </c>
      <c r="H57" s="26">
        <v>0</v>
      </c>
      <c r="I57" s="27">
        <v>0</v>
      </c>
      <c r="J57" s="26">
        <v>0</v>
      </c>
      <c r="K57" s="26">
        <v>0</v>
      </c>
      <c r="L57" s="67">
        <v>1</v>
      </c>
      <c r="N57" s="8"/>
      <c r="O57" s="2" t="s">
        <v>828</v>
      </c>
      <c r="P57" s="26">
        <v>0</v>
      </c>
      <c r="Q57" s="27">
        <v>0</v>
      </c>
      <c r="R57" s="30">
        <v>0</v>
      </c>
      <c r="S57" s="27">
        <v>0</v>
      </c>
      <c r="T57" s="30">
        <v>0</v>
      </c>
      <c r="U57" s="34">
        <v>1</v>
      </c>
      <c r="V57" s="34">
        <v>1</v>
      </c>
      <c r="X57" s="8"/>
      <c r="Y57" s="2"/>
      <c r="Z57" s="26"/>
      <c r="AA57" s="26"/>
      <c r="AB57" s="26"/>
      <c r="AC57" s="26"/>
      <c r="AD57" s="27"/>
      <c r="AE57" s="30"/>
      <c r="AF57" s="26"/>
      <c r="AG57" s="26"/>
      <c r="AH57" s="32"/>
      <c r="AJ57" s="8"/>
      <c r="AK57" s="2"/>
      <c r="AL57" s="26"/>
      <c r="AM57" s="26"/>
      <c r="AN57" s="26"/>
      <c r="AO57" s="27"/>
      <c r="AP57" s="30"/>
      <c r="AQ57" s="26"/>
      <c r="AR57" s="26"/>
      <c r="AS57" s="32"/>
      <c r="AT57" s="34"/>
    </row>
    <row r="58" spans="2:46" x14ac:dyDescent="0.3">
      <c r="B58" s="8"/>
      <c r="C58" s="2" t="s">
        <v>786</v>
      </c>
      <c r="D58" s="26">
        <v>0</v>
      </c>
      <c r="E58" s="26">
        <v>0</v>
      </c>
      <c r="F58" s="27">
        <v>0</v>
      </c>
      <c r="G58" s="26">
        <v>0</v>
      </c>
      <c r="H58" s="26">
        <v>0</v>
      </c>
      <c r="I58" s="27">
        <v>0</v>
      </c>
      <c r="J58" s="26">
        <v>0</v>
      </c>
      <c r="K58" s="26">
        <v>0</v>
      </c>
      <c r="L58" s="67">
        <v>1</v>
      </c>
      <c r="N58" s="8"/>
      <c r="O58" s="2" t="s">
        <v>829</v>
      </c>
      <c r="P58" s="26">
        <v>0</v>
      </c>
      <c r="Q58" s="27">
        <v>0</v>
      </c>
      <c r="R58" s="30">
        <v>0</v>
      </c>
      <c r="S58" s="27">
        <v>0</v>
      </c>
      <c r="T58" s="30">
        <v>0</v>
      </c>
      <c r="U58" s="34">
        <v>1</v>
      </c>
      <c r="V58" s="34">
        <v>1</v>
      </c>
      <c r="X58" s="8"/>
      <c r="Y58" s="2"/>
      <c r="Z58" s="26"/>
      <c r="AA58" s="26"/>
      <c r="AB58" s="26"/>
      <c r="AC58" s="26"/>
      <c r="AD58" s="27"/>
      <c r="AE58" s="30"/>
      <c r="AF58" s="26"/>
      <c r="AG58" s="26"/>
      <c r="AH58" s="32"/>
      <c r="AJ58" s="8"/>
      <c r="AK58" s="2"/>
      <c r="AL58" s="26"/>
      <c r="AM58" s="26"/>
      <c r="AN58" s="26"/>
      <c r="AO58" s="27"/>
      <c r="AP58" s="30"/>
      <c r="AQ58" s="26"/>
      <c r="AR58" s="26"/>
      <c r="AS58" s="32"/>
      <c r="AT58" s="34"/>
    </row>
    <row r="59" spans="2:46" x14ac:dyDescent="0.3">
      <c r="B59" s="8"/>
      <c r="C59" s="2" t="s">
        <v>787</v>
      </c>
      <c r="D59" s="26">
        <v>0</v>
      </c>
      <c r="E59" s="26">
        <v>0</v>
      </c>
      <c r="F59" s="27">
        <v>0</v>
      </c>
      <c r="G59" s="26">
        <v>0</v>
      </c>
      <c r="H59" s="26">
        <v>0</v>
      </c>
      <c r="I59" s="27">
        <v>0</v>
      </c>
      <c r="J59" s="26">
        <v>0</v>
      </c>
      <c r="K59" s="26">
        <v>0</v>
      </c>
      <c r="L59" s="67">
        <v>1</v>
      </c>
      <c r="N59" s="8"/>
      <c r="O59" s="2" t="s">
        <v>830</v>
      </c>
      <c r="P59" s="26">
        <v>0</v>
      </c>
      <c r="Q59" s="27">
        <v>0</v>
      </c>
      <c r="R59" s="30">
        <v>0</v>
      </c>
      <c r="S59" s="27">
        <v>0</v>
      </c>
      <c r="T59" s="30">
        <v>0</v>
      </c>
      <c r="U59" s="34">
        <v>1</v>
      </c>
      <c r="V59" s="34">
        <v>1</v>
      </c>
      <c r="X59" s="8"/>
      <c r="Y59" s="2"/>
      <c r="Z59" s="26"/>
      <c r="AA59" s="26"/>
      <c r="AB59" s="26"/>
      <c r="AC59" s="26"/>
      <c r="AD59" s="27"/>
      <c r="AE59" s="30"/>
      <c r="AF59" s="26"/>
      <c r="AG59" s="26"/>
      <c r="AH59" s="32"/>
      <c r="AJ59" s="8"/>
      <c r="AK59" s="2"/>
      <c r="AL59" s="26"/>
      <c r="AM59" s="26"/>
      <c r="AN59" s="26"/>
      <c r="AO59" s="27"/>
      <c r="AP59" s="30"/>
      <c r="AQ59" s="26"/>
      <c r="AR59" s="26"/>
      <c r="AS59" s="32"/>
      <c r="AT59" s="34"/>
    </row>
    <row r="60" spans="2:46" x14ac:dyDescent="0.3">
      <c r="B60" s="8"/>
      <c r="C60" s="2" t="s">
        <v>788</v>
      </c>
      <c r="D60" s="26">
        <v>0</v>
      </c>
      <c r="E60" s="26">
        <v>0</v>
      </c>
      <c r="F60" s="27">
        <v>0</v>
      </c>
      <c r="G60" s="26">
        <v>0</v>
      </c>
      <c r="H60" s="26">
        <v>0</v>
      </c>
      <c r="I60" s="27">
        <v>0</v>
      </c>
      <c r="J60" s="26">
        <v>0</v>
      </c>
      <c r="K60" s="26">
        <v>0</v>
      </c>
      <c r="L60" s="67">
        <v>1</v>
      </c>
      <c r="N60" s="8"/>
      <c r="O60" s="2" t="s">
        <v>831</v>
      </c>
      <c r="P60" s="26">
        <v>0</v>
      </c>
      <c r="Q60" s="27">
        <v>0</v>
      </c>
      <c r="R60" s="30">
        <v>0</v>
      </c>
      <c r="S60" s="27">
        <v>0</v>
      </c>
      <c r="T60" s="30">
        <v>0</v>
      </c>
      <c r="U60" s="34">
        <v>1</v>
      </c>
      <c r="V60" s="34">
        <v>1</v>
      </c>
      <c r="X60" s="8"/>
      <c r="Y60" s="2"/>
      <c r="Z60" s="26"/>
      <c r="AA60" s="26"/>
      <c r="AB60" s="26"/>
      <c r="AC60" s="26"/>
      <c r="AD60" s="27"/>
      <c r="AE60" s="30"/>
      <c r="AF60" s="26"/>
      <c r="AG60" s="26"/>
      <c r="AH60" s="32"/>
      <c r="AJ60" s="8"/>
      <c r="AK60" s="2"/>
      <c r="AL60" s="26"/>
      <c r="AM60" s="26"/>
      <c r="AN60" s="26"/>
      <c r="AO60" s="27"/>
      <c r="AP60" s="30"/>
      <c r="AQ60" s="26"/>
      <c r="AR60" s="26"/>
      <c r="AS60" s="32"/>
      <c r="AT60" s="34"/>
    </row>
    <row r="61" spans="2:46" x14ac:dyDescent="0.3">
      <c r="B61" s="8"/>
      <c r="C61" s="2" t="s">
        <v>789</v>
      </c>
      <c r="D61" s="26">
        <v>0</v>
      </c>
      <c r="E61" s="26">
        <v>0</v>
      </c>
      <c r="F61" s="27">
        <v>0</v>
      </c>
      <c r="G61" s="26">
        <v>0</v>
      </c>
      <c r="H61" s="26">
        <v>0</v>
      </c>
      <c r="I61" s="27">
        <v>0</v>
      </c>
      <c r="J61" s="26">
        <v>0</v>
      </c>
      <c r="K61" s="26">
        <v>0</v>
      </c>
      <c r="L61" s="67">
        <v>1</v>
      </c>
      <c r="N61" s="8"/>
      <c r="O61" s="2" t="s">
        <v>832</v>
      </c>
      <c r="P61" s="26">
        <v>0</v>
      </c>
      <c r="Q61" s="27">
        <v>0</v>
      </c>
      <c r="R61" s="30">
        <v>0</v>
      </c>
      <c r="S61" s="27">
        <v>0</v>
      </c>
      <c r="T61" s="30">
        <v>0</v>
      </c>
      <c r="U61" s="34">
        <v>1</v>
      </c>
      <c r="V61" s="34">
        <v>1</v>
      </c>
      <c r="X61" s="8"/>
      <c r="Y61" s="2"/>
      <c r="Z61" s="26"/>
      <c r="AA61" s="26"/>
      <c r="AB61" s="26"/>
      <c r="AC61" s="26"/>
      <c r="AD61" s="27"/>
      <c r="AE61" s="30"/>
      <c r="AF61" s="26"/>
      <c r="AG61" s="26"/>
      <c r="AH61" s="32"/>
      <c r="AJ61" s="8"/>
      <c r="AK61" s="2"/>
      <c r="AL61" s="26"/>
      <c r="AM61" s="26"/>
      <c r="AN61" s="26"/>
      <c r="AO61" s="27"/>
      <c r="AP61" s="30"/>
      <c r="AQ61" s="26"/>
      <c r="AR61" s="26"/>
      <c r="AS61" s="32"/>
      <c r="AT61" s="34"/>
    </row>
    <row r="62" spans="2:46" x14ac:dyDescent="0.3">
      <c r="B62" s="8"/>
      <c r="C62" s="2" t="s">
        <v>790</v>
      </c>
      <c r="D62" s="26">
        <v>0</v>
      </c>
      <c r="E62" s="26">
        <v>0</v>
      </c>
      <c r="F62" s="27">
        <v>0</v>
      </c>
      <c r="G62" s="26">
        <v>0</v>
      </c>
      <c r="H62" s="26">
        <v>0</v>
      </c>
      <c r="I62" s="27">
        <v>0</v>
      </c>
      <c r="J62" s="26">
        <v>0</v>
      </c>
      <c r="K62" s="26">
        <v>0</v>
      </c>
      <c r="L62" s="67">
        <v>1</v>
      </c>
      <c r="N62" s="8"/>
      <c r="O62" s="2" t="s">
        <v>833</v>
      </c>
      <c r="P62" s="26">
        <v>0</v>
      </c>
      <c r="Q62" s="27">
        <v>0</v>
      </c>
      <c r="R62" s="30">
        <v>0</v>
      </c>
      <c r="S62" s="27">
        <v>0</v>
      </c>
      <c r="T62" s="30">
        <v>0</v>
      </c>
      <c r="U62" s="34">
        <v>1</v>
      </c>
      <c r="V62" s="34">
        <v>1</v>
      </c>
      <c r="X62" s="8"/>
      <c r="Y62" s="2"/>
      <c r="Z62" s="26"/>
      <c r="AA62" s="26"/>
      <c r="AB62" s="26"/>
      <c r="AC62" s="26"/>
      <c r="AD62" s="27"/>
      <c r="AE62" s="30"/>
      <c r="AF62" s="26"/>
      <c r="AG62" s="26"/>
      <c r="AH62" s="32"/>
      <c r="AJ62" s="8"/>
      <c r="AK62" s="2"/>
      <c r="AL62" s="26"/>
      <c r="AM62" s="26"/>
      <c r="AN62" s="26"/>
      <c r="AO62" s="27"/>
      <c r="AP62" s="30"/>
      <c r="AQ62" s="26"/>
      <c r="AR62" s="26"/>
      <c r="AS62" s="32"/>
      <c r="AT62" s="34"/>
    </row>
    <row r="63" spans="2:46" x14ac:dyDescent="0.3">
      <c r="B63" s="8"/>
      <c r="C63" s="2" t="s">
        <v>791</v>
      </c>
      <c r="D63" s="26">
        <v>0</v>
      </c>
      <c r="E63" s="26">
        <v>0</v>
      </c>
      <c r="F63" s="27">
        <v>0</v>
      </c>
      <c r="G63" s="26">
        <v>0</v>
      </c>
      <c r="H63" s="26">
        <v>0</v>
      </c>
      <c r="I63" s="27">
        <v>0</v>
      </c>
      <c r="J63" s="26">
        <v>0</v>
      </c>
      <c r="K63" s="26">
        <v>0</v>
      </c>
      <c r="L63" s="67">
        <v>1</v>
      </c>
      <c r="N63" s="8"/>
      <c r="O63" s="2" t="s">
        <v>834</v>
      </c>
      <c r="P63" s="26">
        <v>0</v>
      </c>
      <c r="Q63" s="27">
        <v>0</v>
      </c>
      <c r="R63" s="30">
        <v>0</v>
      </c>
      <c r="S63" s="27">
        <v>0</v>
      </c>
      <c r="T63" s="30">
        <v>0</v>
      </c>
      <c r="U63" s="34">
        <v>1</v>
      </c>
      <c r="V63" s="34">
        <v>1</v>
      </c>
      <c r="X63" s="8"/>
      <c r="Y63" s="2"/>
      <c r="Z63" s="26"/>
      <c r="AA63" s="26"/>
      <c r="AB63" s="26"/>
      <c r="AC63" s="26"/>
      <c r="AD63" s="27"/>
      <c r="AE63" s="30"/>
      <c r="AF63" s="26"/>
      <c r="AG63" s="26"/>
      <c r="AH63" s="32"/>
      <c r="AJ63" s="8"/>
      <c r="AK63" s="2"/>
      <c r="AL63" s="26"/>
      <c r="AM63" s="26"/>
      <c r="AN63" s="26"/>
      <c r="AO63" s="27"/>
      <c r="AP63" s="30"/>
      <c r="AQ63" s="26"/>
      <c r="AR63" s="26"/>
      <c r="AS63" s="32"/>
      <c r="AT63" s="34"/>
    </row>
    <row r="64" spans="2:46" x14ac:dyDescent="0.3">
      <c r="B64" s="8"/>
      <c r="C64" s="2" t="s">
        <v>792</v>
      </c>
      <c r="D64" s="26">
        <v>0</v>
      </c>
      <c r="E64" s="26">
        <v>0</v>
      </c>
      <c r="F64" s="27">
        <v>0</v>
      </c>
      <c r="G64" s="26">
        <v>0</v>
      </c>
      <c r="H64" s="26">
        <v>0</v>
      </c>
      <c r="I64" s="27">
        <v>0</v>
      </c>
      <c r="J64" s="26">
        <v>0</v>
      </c>
      <c r="K64" s="26">
        <v>0</v>
      </c>
      <c r="L64" s="67">
        <v>1</v>
      </c>
      <c r="N64" s="8"/>
      <c r="O64" s="2" t="s">
        <v>835</v>
      </c>
      <c r="P64" s="26">
        <v>0</v>
      </c>
      <c r="Q64" s="27">
        <v>0</v>
      </c>
      <c r="R64" s="30">
        <v>0</v>
      </c>
      <c r="S64" s="27">
        <v>0</v>
      </c>
      <c r="T64" s="30">
        <v>0</v>
      </c>
      <c r="U64" s="34">
        <v>1</v>
      </c>
      <c r="V64" s="34">
        <v>1</v>
      </c>
      <c r="X64" s="8"/>
      <c r="Y64" s="2"/>
      <c r="Z64" s="26"/>
      <c r="AA64" s="26"/>
      <c r="AB64" s="26"/>
      <c r="AC64" s="26"/>
      <c r="AD64" s="27"/>
      <c r="AE64" s="30"/>
      <c r="AF64" s="26"/>
      <c r="AG64" s="26"/>
      <c r="AH64" s="32"/>
      <c r="AJ64" s="8"/>
      <c r="AK64" s="2"/>
      <c r="AL64" s="26"/>
      <c r="AM64" s="26"/>
      <c r="AN64" s="26"/>
      <c r="AO64" s="27"/>
      <c r="AP64" s="30"/>
      <c r="AQ64" s="26"/>
      <c r="AR64" s="26"/>
      <c r="AS64" s="32"/>
      <c r="AT64" s="34"/>
    </row>
    <row r="65" spans="2:46" x14ac:dyDescent="0.3">
      <c r="B65" s="8"/>
      <c r="C65" s="2" t="s">
        <v>793</v>
      </c>
      <c r="D65" s="26">
        <v>0</v>
      </c>
      <c r="E65" s="26">
        <v>0</v>
      </c>
      <c r="F65" s="27">
        <v>0</v>
      </c>
      <c r="G65" s="26">
        <v>0</v>
      </c>
      <c r="H65" s="26">
        <v>0</v>
      </c>
      <c r="I65" s="27">
        <v>0</v>
      </c>
      <c r="J65" s="26">
        <v>0</v>
      </c>
      <c r="K65" s="26">
        <v>0</v>
      </c>
      <c r="L65" s="67">
        <v>1</v>
      </c>
      <c r="N65" s="8"/>
      <c r="O65" s="2" t="s">
        <v>836</v>
      </c>
      <c r="P65" s="26">
        <v>0</v>
      </c>
      <c r="Q65" s="27">
        <v>0</v>
      </c>
      <c r="R65" s="30">
        <v>0</v>
      </c>
      <c r="S65" s="27">
        <v>0</v>
      </c>
      <c r="T65" s="30">
        <v>0</v>
      </c>
      <c r="U65" s="34">
        <v>1</v>
      </c>
      <c r="V65" s="34">
        <v>1</v>
      </c>
      <c r="X65" s="8"/>
      <c r="Y65" s="2"/>
      <c r="Z65" s="26"/>
      <c r="AA65" s="26"/>
      <c r="AB65" s="26"/>
      <c r="AC65" s="26"/>
      <c r="AD65" s="27"/>
      <c r="AE65" s="30"/>
      <c r="AF65" s="26"/>
      <c r="AG65" s="26"/>
      <c r="AH65" s="32"/>
      <c r="AJ65" s="8"/>
      <c r="AK65" s="2"/>
      <c r="AL65" s="26"/>
      <c r="AM65" s="26"/>
      <c r="AN65" s="26"/>
      <c r="AO65" s="27"/>
      <c r="AP65" s="30"/>
      <c r="AQ65" s="26"/>
      <c r="AR65" s="26"/>
      <c r="AS65" s="32"/>
      <c r="AT65" s="34"/>
    </row>
    <row r="66" spans="2:46" x14ac:dyDescent="0.3">
      <c r="B66" s="8"/>
      <c r="C66" s="2" t="s">
        <v>980</v>
      </c>
      <c r="D66" s="26">
        <v>0</v>
      </c>
      <c r="E66" s="26">
        <v>0</v>
      </c>
      <c r="F66" s="27">
        <v>0</v>
      </c>
      <c r="G66" s="26">
        <v>0</v>
      </c>
      <c r="H66" s="26">
        <v>0</v>
      </c>
      <c r="I66" s="27">
        <v>0</v>
      </c>
      <c r="J66" s="26">
        <v>0</v>
      </c>
      <c r="K66" s="26">
        <v>0</v>
      </c>
      <c r="L66" s="67">
        <v>1</v>
      </c>
      <c r="N66" s="8"/>
      <c r="O66" s="2" t="s">
        <v>950</v>
      </c>
      <c r="P66" s="26">
        <v>0</v>
      </c>
      <c r="Q66" s="27">
        <v>0</v>
      </c>
      <c r="R66" s="30">
        <v>0</v>
      </c>
      <c r="S66" s="27">
        <v>0</v>
      </c>
      <c r="T66" s="30">
        <v>0</v>
      </c>
      <c r="U66" s="34">
        <v>1</v>
      </c>
      <c r="V66" s="34">
        <v>1</v>
      </c>
      <c r="X66" s="8"/>
      <c r="Y66" s="2"/>
      <c r="Z66" s="26"/>
      <c r="AA66" s="26"/>
      <c r="AB66" s="26"/>
      <c r="AC66" s="26"/>
      <c r="AD66" s="27"/>
      <c r="AE66" s="30"/>
      <c r="AF66" s="26"/>
      <c r="AG66" s="26"/>
      <c r="AH66" s="32"/>
      <c r="AJ66" s="8"/>
      <c r="AK66" s="2"/>
      <c r="AL66" s="26"/>
      <c r="AM66" s="26"/>
      <c r="AN66" s="26"/>
      <c r="AO66" s="27"/>
      <c r="AP66" s="30"/>
      <c r="AQ66" s="26"/>
      <c r="AR66" s="26"/>
      <c r="AS66" s="32"/>
      <c r="AT66" s="34"/>
    </row>
    <row r="67" spans="2:46" x14ac:dyDescent="0.3">
      <c r="B67" s="8"/>
      <c r="C67" s="2" t="s">
        <v>981</v>
      </c>
      <c r="D67" s="26">
        <v>0</v>
      </c>
      <c r="E67" s="26">
        <v>0</v>
      </c>
      <c r="F67" s="27">
        <v>0</v>
      </c>
      <c r="G67" s="26">
        <v>0</v>
      </c>
      <c r="H67" s="26">
        <v>0</v>
      </c>
      <c r="I67" s="27">
        <v>0</v>
      </c>
      <c r="J67" s="26">
        <v>0</v>
      </c>
      <c r="K67" s="26">
        <v>0</v>
      </c>
      <c r="L67" s="67">
        <v>1</v>
      </c>
      <c r="N67" s="8"/>
      <c r="O67" s="2" t="s">
        <v>951</v>
      </c>
      <c r="P67" s="26">
        <v>0</v>
      </c>
      <c r="Q67" s="27">
        <v>0</v>
      </c>
      <c r="R67" s="30">
        <v>0</v>
      </c>
      <c r="S67" s="27">
        <v>0</v>
      </c>
      <c r="T67" s="30">
        <v>0</v>
      </c>
      <c r="U67" s="34">
        <v>1</v>
      </c>
      <c r="V67" s="34">
        <v>1</v>
      </c>
      <c r="X67" s="8"/>
      <c r="Y67" s="2"/>
      <c r="Z67" s="26"/>
      <c r="AA67" s="26"/>
      <c r="AB67" s="26"/>
      <c r="AC67" s="26"/>
      <c r="AD67" s="27"/>
      <c r="AE67" s="30"/>
      <c r="AF67" s="26"/>
      <c r="AG67" s="26"/>
      <c r="AH67" s="32"/>
      <c r="AJ67" s="8"/>
      <c r="AK67" s="2"/>
      <c r="AL67" s="26"/>
      <c r="AM67" s="26"/>
      <c r="AN67" s="26"/>
      <c r="AO67" s="27"/>
      <c r="AP67" s="30"/>
      <c r="AQ67" s="26"/>
      <c r="AR67" s="26"/>
      <c r="AS67" s="32"/>
      <c r="AT67" s="34"/>
    </row>
    <row r="68" spans="2:46" x14ac:dyDescent="0.3">
      <c r="B68" s="8"/>
      <c r="C68" s="2" t="s">
        <v>794</v>
      </c>
      <c r="D68" s="26">
        <v>0</v>
      </c>
      <c r="E68" s="26">
        <v>0</v>
      </c>
      <c r="F68" s="27">
        <v>0</v>
      </c>
      <c r="G68" s="26">
        <v>0</v>
      </c>
      <c r="H68" s="26">
        <v>0</v>
      </c>
      <c r="I68" s="27">
        <v>0</v>
      </c>
      <c r="J68" s="26">
        <v>0</v>
      </c>
      <c r="K68" s="26">
        <v>0</v>
      </c>
      <c r="L68" s="67">
        <v>1</v>
      </c>
      <c r="N68" s="8"/>
      <c r="O68" s="2" t="s">
        <v>837</v>
      </c>
      <c r="P68" s="26">
        <v>0</v>
      </c>
      <c r="Q68" s="27">
        <v>0</v>
      </c>
      <c r="R68" s="30">
        <v>0</v>
      </c>
      <c r="S68" s="27">
        <v>0</v>
      </c>
      <c r="T68" s="30">
        <v>0</v>
      </c>
      <c r="U68" s="34">
        <v>1</v>
      </c>
      <c r="V68" s="34">
        <v>1</v>
      </c>
      <c r="X68" s="8"/>
      <c r="Y68" s="2"/>
      <c r="Z68" s="26"/>
      <c r="AA68" s="26"/>
      <c r="AB68" s="26"/>
      <c r="AC68" s="26"/>
      <c r="AD68" s="27"/>
      <c r="AE68" s="30"/>
      <c r="AF68" s="26"/>
      <c r="AG68" s="26"/>
      <c r="AH68" s="32"/>
      <c r="AJ68" s="8"/>
      <c r="AK68" s="2"/>
      <c r="AL68" s="26"/>
      <c r="AM68" s="26"/>
      <c r="AN68" s="26"/>
      <c r="AO68" s="27"/>
      <c r="AP68" s="30"/>
      <c r="AQ68" s="26"/>
      <c r="AR68" s="26"/>
      <c r="AS68" s="32"/>
      <c r="AT68" s="34"/>
    </row>
    <row r="69" spans="2:46" x14ac:dyDescent="0.3">
      <c r="B69" s="8"/>
      <c r="C69" s="2" t="s">
        <v>795</v>
      </c>
      <c r="D69" s="26">
        <v>0</v>
      </c>
      <c r="E69" s="26">
        <v>0</v>
      </c>
      <c r="F69" s="27">
        <v>0</v>
      </c>
      <c r="G69" s="26">
        <v>0</v>
      </c>
      <c r="H69" s="26">
        <v>0</v>
      </c>
      <c r="I69" s="27">
        <v>0</v>
      </c>
      <c r="J69" s="26">
        <v>0</v>
      </c>
      <c r="K69" s="26">
        <v>0</v>
      </c>
      <c r="L69" s="67">
        <v>1</v>
      </c>
      <c r="N69" s="8"/>
      <c r="O69" s="2" t="s">
        <v>838</v>
      </c>
      <c r="P69" s="26">
        <v>0</v>
      </c>
      <c r="Q69" s="27">
        <v>0</v>
      </c>
      <c r="R69" s="30">
        <v>0</v>
      </c>
      <c r="S69" s="27">
        <v>0</v>
      </c>
      <c r="T69" s="30">
        <v>0</v>
      </c>
      <c r="U69" s="34">
        <v>1</v>
      </c>
      <c r="V69" s="34">
        <v>1</v>
      </c>
      <c r="X69" s="8"/>
      <c r="Y69" s="2"/>
      <c r="Z69" s="26"/>
      <c r="AA69" s="26"/>
      <c r="AB69" s="26"/>
      <c r="AC69" s="26"/>
      <c r="AD69" s="27"/>
      <c r="AE69" s="30"/>
      <c r="AF69" s="26"/>
      <c r="AG69" s="26"/>
      <c r="AH69" s="32"/>
      <c r="AJ69" s="8"/>
      <c r="AK69" s="2"/>
      <c r="AL69" s="26"/>
      <c r="AM69" s="26"/>
      <c r="AN69" s="26"/>
      <c r="AO69" s="27"/>
      <c r="AP69" s="30"/>
      <c r="AQ69" s="26"/>
      <c r="AR69" s="26"/>
      <c r="AS69" s="32"/>
      <c r="AT69" s="34"/>
    </row>
    <row r="70" spans="2:46" x14ac:dyDescent="0.3">
      <c r="B70" s="8"/>
      <c r="C70" s="2" t="s">
        <v>796</v>
      </c>
      <c r="D70" s="26">
        <v>0</v>
      </c>
      <c r="E70" s="26">
        <v>0</v>
      </c>
      <c r="F70" s="27">
        <v>0</v>
      </c>
      <c r="G70" s="26">
        <v>0</v>
      </c>
      <c r="H70" s="26">
        <v>0</v>
      </c>
      <c r="I70" s="27">
        <v>0</v>
      </c>
      <c r="J70" s="26">
        <v>0</v>
      </c>
      <c r="K70" s="26">
        <v>0</v>
      </c>
      <c r="L70" s="67">
        <v>1</v>
      </c>
      <c r="N70" s="8"/>
      <c r="O70" s="2" t="s">
        <v>839</v>
      </c>
      <c r="P70" s="26">
        <v>0</v>
      </c>
      <c r="Q70" s="27">
        <v>0</v>
      </c>
      <c r="R70" s="30">
        <v>0</v>
      </c>
      <c r="S70" s="27">
        <v>0</v>
      </c>
      <c r="T70" s="30">
        <v>0</v>
      </c>
      <c r="U70" s="34">
        <v>1</v>
      </c>
      <c r="V70" s="34">
        <v>1</v>
      </c>
      <c r="X70" s="8"/>
      <c r="Y70" s="2"/>
      <c r="Z70" s="26"/>
      <c r="AA70" s="26"/>
      <c r="AB70" s="26"/>
      <c r="AC70" s="26"/>
      <c r="AD70" s="27"/>
      <c r="AE70" s="30"/>
      <c r="AF70" s="26"/>
      <c r="AG70" s="26"/>
      <c r="AH70" s="32"/>
      <c r="AJ70" s="8"/>
      <c r="AK70" s="2"/>
      <c r="AL70" s="26"/>
      <c r="AM70" s="26"/>
      <c r="AN70" s="26"/>
      <c r="AO70" s="27"/>
      <c r="AP70" s="30"/>
      <c r="AQ70" s="26"/>
      <c r="AR70" s="26"/>
      <c r="AS70" s="32"/>
      <c r="AT70" s="34"/>
    </row>
    <row r="71" spans="2:46" x14ac:dyDescent="0.3">
      <c r="B71" s="8"/>
      <c r="C71" s="2" t="s">
        <v>797</v>
      </c>
      <c r="D71" s="26">
        <v>0</v>
      </c>
      <c r="E71" s="26">
        <v>0</v>
      </c>
      <c r="F71" s="27">
        <v>0</v>
      </c>
      <c r="G71" s="26">
        <v>0</v>
      </c>
      <c r="H71" s="26">
        <v>0</v>
      </c>
      <c r="I71" s="27">
        <v>0</v>
      </c>
      <c r="J71" s="26">
        <v>0</v>
      </c>
      <c r="K71" s="26">
        <v>0</v>
      </c>
      <c r="L71" s="67">
        <v>1</v>
      </c>
      <c r="N71" s="8"/>
      <c r="O71" s="2" t="s">
        <v>840</v>
      </c>
      <c r="P71" s="26">
        <v>0</v>
      </c>
      <c r="Q71" s="27">
        <v>0</v>
      </c>
      <c r="R71" s="30">
        <v>0</v>
      </c>
      <c r="S71" s="27">
        <v>0</v>
      </c>
      <c r="T71" s="30">
        <v>0</v>
      </c>
      <c r="U71" s="34">
        <v>1</v>
      </c>
      <c r="V71" s="34">
        <v>1</v>
      </c>
      <c r="X71" s="8"/>
      <c r="Y71" s="2"/>
      <c r="Z71" s="26"/>
      <c r="AA71" s="26"/>
      <c r="AB71" s="26"/>
      <c r="AC71" s="26"/>
      <c r="AD71" s="27"/>
      <c r="AE71" s="30"/>
      <c r="AF71" s="26"/>
      <c r="AG71" s="26"/>
      <c r="AH71" s="32"/>
      <c r="AJ71" s="8"/>
      <c r="AK71" s="2"/>
      <c r="AL71" s="26"/>
      <c r="AM71" s="26"/>
      <c r="AN71" s="26"/>
      <c r="AO71" s="27"/>
      <c r="AP71" s="30"/>
      <c r="AQ71" s="26"/>
      <c r="AR71" s="26"/>
      <c r="AS71" s="32"/>
      <c r="AT71" s="34"/>
    </row>
    <row r="72" spans="2:46" x14ac:dyDescent="0.3">
      <c r="B72" s="8"/>
      <c r="C72" s="2" t="s">
        <v>798</v>
      </c>
      <c r="D72" s="26">
        <v>0</v>
      </c>
      <c r="E72" s="26">
        <v>0</v>
      </c>
      <c r="F72" s="27">
        <v>0</v>
      </c>
      <c r="G72" s="26">
        <v>0</v>
      </c>
      <c r="H72" s="26">
        <v>0</v>
      </c>
      <c r="I72" s="27">
        <v>0</v>
      </c>
      <c r="J72" s="26">
        <v>0</v>
      </c>
      <c r="K72" s="26">
        <v>0</v>
      </c>
      <c r="L72" s="67">
        <v>1</v>
      </c>
      <c r="N72" s="8"/>
      <c r="O72" s="2" t="s">
        <v>841</v>
      </c>
      <c r="P72" s="26">
        <v>0</v>
      </c>
      <c r="Q72" s="27">
        <v>0</v>
      </c>
      <c r="R72" s="30">
        <v>0</v>
      </c>
      <c r="S72" s="27">
        <v>0</v>
      </c>
      <c r="T72" s="30">
        <v>0</v>
      </c>
      <c r="U72" s="34">
        <v>1</v>
      </c>
      <c r="V72" s="34">
        <v>1</v>
      </c>
      <c r="X72" s="8"/>
      <c r="Y72" s="2"/>
      <c r="Z72" s="26"/>
      <c r="AA72" s="26"/>
      <c r="AB72" s="26"/>
      <c r="AC72" s="26"/>
      <c r="AD72" s="27"/>
      <c r="AE72" s="30"/>
      <c r="AF72" s="26"/>
      <c r="AG72" s="26"/>
      <c r="AH72" s="32"/>
      <c r="AJ72" s="8"/>
      <c r="AK72" s="2"/>
      <c r="AL72" s="26"/>
      <c r="AM72" s="26"/>
      <c r="AN72" s="26"/>
      <c r="AO72" s="27"/>
      <c r="AP72" s="30"/>
      <c r="AQ72" s="26"/>
      <c r="AR72" s="26"/>
      <c r="AS72" s="32"/>
      <c r="AT72" s="34"/>
    </row>
    <row r="73" spans="2:46" x14ac:dyDescent="0.3">
      <c r="B73" s="8"/>
      <c r="C73" s="2" t="s">
        <v>730</v>
      </c>
      <c r="D73" s="26">
        <v>0</v>
      </c>
      <c r="E73" s="26">
        <v>0</v>
      </c>
      <c r="F73" s="27">
        <v>0</v>
      </c>
      <c r="G73" s="26">
        <v>0</v>
      </c>
      <c r="H73" s="26">
        <v>0</v>
      </c>
      <c r="I73" s="27">
        <v>0</v>
      </c>
      <c r="J73" s="26">
        <v>0</v>
      </c>
      <c r="K73" s="26">
        <v>0</v>
      </c>
      <c r="L73" s="67">
        <v>1</v>
      </c>
      <c r="N73" s="8"/>
      <c r="O73" s="2" t="s">
        <v>666</v>
      </c>
      <c r="P73" s="26">
        <v>0</v>
      </c>
      <c r="Q73" s="27">
        <v>0</v>
      </c>
      <c r="R73" s="30">
        <v>0</v>
      </c>
      <c r="S73" s="27">
        <v>0</v>
      </c>
      <c r="T73" s="30">
        <v>0</v>
      </c>
      <c r="U73" s="34">
        <v>1</v>
      </c>
      <c r="V73" s="34">
        <v>1</v>
      </c>
      <c r="X73" s="8"/>
      <c r="Y73" s="2"/>
      <c r="Z73" s="26"/>
      <c r="AA73" s="26"/>
      <c r="AB73" s="26"/>
      <c r="AC73" s="26"/>
      <c r="AD73" s="27"/>
      <c r="AE73" s="30"/>
      <c r="AF73" s="26"/>
      <c r="AG73" s="26"/>
      <c r="AH73" s="32"/>
      <c r="AJ73" s="8"/>
      <c r="AK73" s="2"/>
      <c r="AL73" s="26"/>
      <c r="AM73" s="26"/>
      <c r="AN73" s="26"/>
      <c r="AO73" s="27"/>
      <c r="AP73" s="30"/>
      <c r="AQ73" s="26"/>
      <c r="AR73" s="26"/>
      <c r="AS73" s="32"/>
      <c r="AT73" s="34"/>
    </row>
    <row r="74" spans="2:46" x14ac:dyDescent="0.3">
      <c r="B74" s="8"/>
      <c r="C74" s="2" t="s">
        <v>799</v>
      </c>
      <c r="D74" s="26">
        <v>0</v>
      </c>
      <c r="E74" s="26">
        <v>0</v>
      </c>
      <c r="F74" s="27">
        <v>0</v>
      </c>
      <c r="G74" s="26">
        <v>0</v>
      </c>
      <c r="H74" s="26">
        <v>0</v>
      </c>
      <c r="I74" s="27">
        <v>0</v>
      </c>
      <c r="J74" s="26">
        <v>0</v>
      </c>
      <c r="K74" s="26">
        <v>0</v>
      </c>
      <c r="L74" s="67">
        <v>1</v>
      </c>
      <c r="N74" s="8"/>
      <c r="O74" s="2" t="s">
        <v>842</v>
      </c>
      <c r="P74" s="26">
        <v>0</v>
      </c>
      <c r="Q74" s="27">
        <v>0</v>
      </c>
      <c r="R74" s="30">
        <v>0</v>
      </c>
      <c r="S74" s="27">
        <v>0</v>
      </c>
      <c r="T74" s="30">
        <v>0</v>
      </c>
      <c r="U74" s="34">
        <v>1</v>
      </c>
      <c r="V74" s="34">
        <v>1</v>
      </c>
      <c r="X74" s="8"/>
      <c r="Y74" s="2"/>
      <c r="Z74" s="26"/>
      <c r="AA74" s="26"/>
      <c r="AB74" s="26"/>
      <c r="AC74" s="26"/>
      <c r="AD74" s="27"/>
      <c r="AE74" s="30"/>
      <c r="AF74" s="26"/>
      <c r="AG74" s="26"/>
      <c r="AH74" s="32"/>
      <c r="AJ74" s="8"/>
      <c r="AK74" s="2"/>
      <c r="AL74" s="26"/>
      <c r="AM74" s="26"/>
      <c r="AN74" s="26"/>
      <c r="AO74" s="27"/>
      <c r="AP74" s="30"/>
      <c r="AQ74" s="26"/>
      <c r="AR74" s="26"/>
      <c r="AS74" s="32"/>
      <c r="AT74" s="34"/>
    </row>
    <row r="75" spans="2:46" x14ac:dyDescent="0.3">
      <c r="B75" s="8"/>
      <c r="C75" s="2" t="s">
        <v>731</v>
      </c>
      <c r="D75" s="26">
        <v>0</v>
      </c>
      <c r="E75" s="26">
        <v>0</v>
      </c>
      <c r="F75" s="27">
        <v>0</v>
      </c>
      <c r="G75" s="26">
        <v>0</v>
      </c>
      <c r="H75" s="26">
        <v>0</v>
      </c>
      <c r="I75" s="27">
        <v>0</v>
      </c>
      <c r="J75" s="26">
        <v>0</v>
      </c>
      <c r="K75" s="26">
        <v>0</v>
      </c>
      <c r="L75" s="67">
        <v>1</v>
      </c>
      <c r="N75" s="8"/>
      <c r="O75" s="2" t="s">
        <v>667</v>
      </c>
      <c r="P75" s="26">
        <v>0</v>
      </c>
      <c r="Q75" s="27">
        <v>0</v>
      </c>
      <c r="R75" s="30">
        <v>0</v>
      </c>
      <c r="S75" s="27">
        <v>0</v>
      </c>
      <c r="T75" s="30">
        <v>0</v>
      </c>
      <c r="U75" s="34">
        <v>1</v>
      </c>
      <c r="V75" s="34">
        <v>1</v>
      </c>
      <c r="X75" s="8"/>
      <c r="Y75" s="2"/>
      <c r="Z75" s="26"/>
      <c r="AA75" s="26"/>
      <c r="AB75" s="26"/>
      <c r="AC75" s="26"/>
      <c r="AD75" s="27"/>
      <c r="AE75" s="30"/>
      <c r="AF75" s="26"/>
      <c r="AG75" s="26"/>
      <c r="AH75" s="32"/>
      <c r="AJ75" s="8"/>
      <c r="AK75" s="2"/>
      <c r="AL75" s="26"/>
      <c r="AM75" s="26"/>
      <c r="AN75" s="26"/>
      <c r="AO75" s="27"/>
      <c r="AP75" s="30"/>
      <c r="AQ75" s="26"/>
      <c r="AR75" s="26"/>
      <c r="AS75" s="32"/>
      <c r="AT75" s="34"/>
    </row>
    <row r="76" spans="2:46" x14ac:dyDescent="0.3">
      <c r="B76" s="8"/>
      <c r="C76" s="2" t="s">
        <v>800</v>
      </c>
      <c r="D76" s="26">
        <v>0</v>
      </c>
      <c r="E76" s="26">
        <v>0</v>
      </c>
      <c r="F76" s="27">
        <v>0</v>
      </c>
      <c r="G76" s="26">
        <v>0</v>
      </c>
      <c r="H76" s="26">
        <v>0</v>
      </c>
      <c r="I76" s="27">
        <v>0</v>
      </c>
      <c r="J76" s="26">
        <v>0</v>
      </c>
      <c r="K76" s="26">
        <v>0</v>
      </c>
      <c r="L76" s="67">
        <v>1</v>
      </c>
      <c r="N76" s="8"/>
      <c r="O76" s="2" t="s">
        <v>843</v>
      </c>
      <c r="P76" s="26">
        <v>0</v>
      </c>
      <c r="Q76" s="27">
        <v>0</v>
      </c>
      <c r="R76" s="30">
        <v>0</v>
      </c>
      <c r="S76" s="27">
        <v>0</v>
      </c>
      <c r="T76" s="30">
        <v>0</v>
      </c>
      <c r="U76" s="34">
        <v>1</v>
      </c>
      <c r="V76" s="34">
        <v>1</v>
      </c>
      <c r="X76" s="8"/>
      <c r="Y76" s="2"/>
      <c r="Z76" s="26"/>
      <c r="AA76" s="26"/>
      <c r="AB76" s="26"/>
      <c r="AC76" s="26"/>
      <c r="AD76" s="27"/>
      <c r="AE76" s="30"/>
      <c r="AF76" s="26"/>
      <c r="AG76" s="26"/>
      <c r="AH76" s="32"/>
      <c r="AJ76" s="8"/>
      <c r="AK76" s="2"/>
      <c r="AL76" s="26"/>
      <c r="AM76" s="26"/>
      <c r="AN76" s="26"/>
      <c r="AO76" s="27"/>
      <c r="AP76" s="30"/>
      <c r="AQ76" s="26"/>
      <c r="AR76" s="26"/>
      <c r="AS76" s="32"/>
      <c r="AT76" s="34"/>
    </row>
    <row r="77" spans="2:46" x14ac:dyDescent="0.3">
      <c r="B77" s="8"/>
      <c r="C77" s="2" t="s">
        <v>982</v>
      </c>
      <c r="D77" s="26">
        <v>0</v>
      </c>
      <c r="E77" s="26">
        <v>0</v>
      </c>
      <c r="F77" s="27">
        <v>0</v>
      </c>
      <c r="G77" s="26">
        <v>0</v>
      </c>
      <c r="H77" s="26">
        <v>0</v>
      </c>
      <c r="I77" s="27">
        <v>0</v>
      </c>
      <c r="J77" s="26">
        <v>0</v>
      </c>
      <c r="K77" s="26">
        <v>0</v>
      </c>
      <c r="L77" s="67">
        <v>1</v>
      </c>
      <c r="N77" s="8"/>
      <c r="O77" s="2" t="s">
        <v>952</v>
      </c>
      <c r="P77" s="26">
        <v>0</v>
      </c>
      <c r="Q77" s="27">
        <v>0</v>
      </c>
      <c r="R77" s="30">
        <v>0</v>
      </c>
      <c r="S77" s="27">
        <v>0</v>
      </c>
      <c r="T77" s="30">
        <v>0</v>
      </c>
      <c r="U77" s="34">
        <v>1</v>
      </c>
      <c r="V77" s="34">
        <v>1</v>
      </c>
      <c r="X77" s="8"/>
      <c r="Y77" s="2"/>
      <c r="Z77" s="26"/>
      <c r="AA77" s="26"/>
      <c r="AB77" s="26"/>
      <c r="AC77" s="26"/>
      <c r="AD77" s="27"/>
      <c r="AE77" s="30"/>
      <c r="AF77" s="26"/>
      <c r="AG77" s="26"/>
      <c r="AH77" s="32"/>
      <c r="AJ77" s="8"/>
      <c r="AK77" s="2"/>
      <c r="AL77" s="26"/>
      <c r="AM77" s="26"/>
      <c r="AN77" s="26"/>
      <c r="AO77" s="27"/>
      <c r="AP77" s="30"/>
      <c r="AQ77" s="26"/>
      <c r="AR77" s="26"/>
      <c r="AS77" s="32"/>
      <c r="AT77" s="34"/>
    </row>
    <row r="78" spans="2:46" x14ac:dyDescent="0.3">
      <c r="B78" s="8"/>
      <c r="C78" s="2" t="s">
        <v>983</v>
      </c>
      <c r="D78" s="26">
        <v>0</v>
      </c>
      <c r="E78" s="26">
        <v>0</v>
      </c>
      <c r="F78" s="27">
        <v>0</v>
      </c>
      <c r="G78" s="26">
        <v>0</v>
      </c>
      <c r="H78" s="26">
        <v>0</v>
      </c>
      <c r="I78" s="27">
        <v>0</v>
      </c>
      <c r="J78" s="26">
        <v>0</v>
      </c>
      <c r="K78" s="26">
        <v>0</v>
      </c>
      <c r="L78" s="67">
        <v>1</v>
      </c>
      <c r="N78" s="8"/>
      <c r="O78" s="2" t="s">
        <v>953</v>
      </c>
      <c r="P78" s="26">
        <v>0</v>
      </c>
      <c r="Q78" s="27">
        <v>0</v>
      </c>
      <c r="R78" s="30">
        <v>0</v>
      </c>
      <c r="S78" s="27">
        <v>0</v>
      </c>
      <c r="T78" s="30">
        <v>0</v>
      </c>
      <c r="U78" s="34">
        <v>1</v>
      </c>
      <c r="V78" s="34">
        <v>1</v>
      </c>
      <c r="X78" s="8"/>
      <c r="Y78" s="2"/>
      <c r="Z78" s="26"/>
      <c r="AA78" s="26"/>
      <c r="AB78" s="26"/>
      <c r="AC78" s="26"/>
      <c r="AD78" s="27"/>
      <c r="AE78" s="30"/>
      <c r="AF78" s="26"/>
      <c r="AG78" s="26"/>
      <c r="AH78" s="32"/>
      <c r="AJ78" s="8"/>
      <c r="AK78" s="2"/>
      <c r="AL78" s="26"/>
      <c r="AM78" s="26"/>
      <c r="AN78" s="26"/>
      <c r="AO78" s="27"/>
      <c r="AP78" s="30"/>
      <c r="AQ78" s="26"/>
      <c r="AR78" s="26"/>
      <c r="AS78" s="32"/>
      <c r="AT78" s="34"/>
    </row>
    <row r="79" spans="2:46" x14ac:dyDescent="0.3">
      <c r="B79" s="8"/>
      <c r="C79" s="2" t="s">
        <v>984</v>
      </c>
      <c r="D79" s="26">
        <v>0</v>
      </c>
      <c r="E79" s="26">
        <v>0</v>
      </c>
      <c r="F79" s="27">
        <v>0</v>
      </c>
      <c r="G79" s="26">
        <v>0</v>
      </c>
      <c r="H79" s="26">
        <v>0</v>
      </c>
      <c r="I79" s="27">
        <v>0</v>
      </c>
      <c r="J79" s="26">
        <v>0</v>
      </c>
      <c r="K79" s="26">
        <v>0</v>
      </c>
      <c r="L79" s="67">
        <v>1</v>
      </c>
      <c r="N79" s="8"/>
      <c r="O79" s="2" t="s">
        <v>954</v>
      </c>
      <c r="P79" s="26">
        <v>0</v>
      </c>
      <c r="Q79" s="27">
        <v>0</v>
      </c>
      <c r="R79" s="30">
        <v>0</v>
      </c>
      <c r="S79" s="27">
        <v>0</v>
      </c>
      <c r="T79" s="30">
        <v>0</v>
      </c>
      <c r="U79" s="34">
        <v>1</v>
      </c>
      <c r="V79" s="34">
        <v>1</v>
      </c>
      <c r="X79" s="8"/>
      <c r="Y79" s="2"/>
      <c r="Z79" s="26"/>
      <c r="AA79" s="26"/>
      <c r="AB79" s="26"/>
      <c r="AC79" s="26"/>
      <c r="AD79" s="27"/>
      <c r="AE79" s="30"/>
      <c r="AF79" s="26"/>
      <c r="AG79" s="26"/>
      <c r="AH79" s="32"/>
      <c r="AJ79" s="8"/>
      <c r="AK79" s="2"/>
      <c r="AL79" s="26"/>
      <c r="AM79" s="26"/>
      <c r="AN79" s="26"/>
      <c r="AO79" s="27"/>
      <c r="AP79" s="30"/>
      <c r="AQ79" s="26"/>
      <c r="AR79" s="26"/>
      <c r="AS79" s="32"/>
      <c r="AT79" s="34"/>
    </row>
    <row r="80" spans="2:46" x14ac:dyDescent="0.3">
      <c r="B80" s="8"/>
      <c r="C80" s="2" t="s">
        <v>732</v>
      </c>
      <c r="D80" s="26">
        <v>0</v>
      </c>
      <c r="E80" s="26">
        <v>0</v>
      </c>
      <c r="F80" s="27">
        <v>0</v>
      </c>
      <c r="G80" s="26">
        <v>0</v>
      </c>
      <c r="H80" s="26">
        <v>0</v>
      </c>
      <c r="I80" s="27">
        <v>0</v>
      </c>
      <c r="J80" s="26">
        <v>0</v>
      </c>
      <c r="K80" s="26">
        <v>0</v>
      </c>
      <c r="L80" s="67">
        <v>1</v>
      </c>
      <c r="N80" s="8"/>
      <c r="O80" s="2" t="s">
        <v>668</v>
      </c>
      <c r="P80" s="26">
        <v>0</v>
      </c>
      <c r="Q80" s="27">
        <v>0</v>
      </c>
      <c r="R80" s="30">
        <v>0</v>
      </c>
      <c r="S80" s="27">
        <v>0</v>
      </c>
      <c r="T80" s="30">
        <v>0</v>
      </c>
      <c r="U80" s="34">
        <v>1</v>
      </c>
      <c r="V80" s="34">
        <v>1</v>
      </c>
      <c r="X80" s="8"/>
      <c r="Y80" s="2"/>
      <c r="Z80" s="26"/>
      <c r="AA80" s="26"/>
      <c r="AB80" s="26"/>
      <c r="AC80" s="26"/>
      <c r="AD80" s="27"/>
      <c r="AE80" s="30"/>
      <c r="AF80" s="26"/>
      <c r="AG80" s="26"/>
      <c r="AH80" s="32"/>
      <c r="AJ80" s="8"/>
      <c r="AK80" s="2"/>
      <c r="AL80" s="26"/>
      <c r="AM80" s="26"/>
      <c r="AN80" s="26"/>
      <c r="AO80" s="27"/>
      <c r="AP80" s="30"/>
      <c r="AQ80" s="26"/>
      <c r="AR80" s="26"/>
      <c r="AS80" s="32"/>
      <c r="AT80" s="34"/>
    </row>
    <row r="81" spans="2:46" x14ac:dyDescent="0.3">
      <c r="B81" s="8"/>
      <c r="C81" s="2" t="s">
        <v>801</v>
      </c>
      <c r="D81" s="26">
        <v>0</v>
      </c>
      <c r="E81" s="26">
        <v>0</v>
      </c>
      <c r="F81" s="27">
        <v>0</v>
      </c>
      <c r="G81" s="26">
        <v>0</v>
      </c>
      <c r="H81" s="26">
        <v>0</v>
      </c>
      <c r="I81" s="27">
        <v>0</v>
      </c>
      <c r="J81" s="26">
        <v>0</v>
      </c>
      <c r="K81" s="26">
        <v>0</v>
      </c>
      <c r="L81" s="67">
        <v>1</v>
      </c>
      <c r="N81" s="8"/>
      <c r="O81" s="2" t="s">
        <v>844</v>
      </c>
      <c r="P81" s="26">
        <v>0</v>
      </c>
      <c r="Q81" s="27">
        <v>0</v>
      </c>
      <c r="R81" s="30">
        <v>0</v>
      </c>
      <c r="S81" s="27">
        <v>0</v>
      </c>
      <c r="T81" s="30">
        <v>0</v>
      </c>
      <c r="U81" s="34">
        <v>1</v>
      </c>
      <c r="V81" s="34">
        <v>1</v>
      </c>
      <c r="X81" s="8"/>
      <c r="Y81" s="2"/>
      <c r="Z81" s="26"/>
      <c r="AA81" s="26"/>
      <c r="AB81" s="26"/>
      <c r="AC81" s="26"/>
      <c r="AD81" s="27"/>
      <c r="AE81" s="30"/>
      <c r="AF81" s="26"/>
      <c r="AG81" s="26"/>
      <c r="AH81" s="32"/>
      <c r="AJ81" s="8"/>
      <c r="AK81" s="2"/>
      <c r="AL81" s="26"/>
      <c r="AM81" s="26"/>
      <c r="AN81" s="26"/>
      <c r="AO81" s="27"/>
      <c r="AP81" s="30"/>
      <c r="AQ81" s="26"/>
      <c r="AR81" s="26"/>
      <c r="AS81" s="32"/>
      <c r="AT81" s="34"/>
    </row>
    <row r="82" spans="2:46" x14ac:dyDescent="0.3">
      <c r="B82" s="8"/>
      <c r="C82" s="2" t="s">
        <v>802</v>
      </c>
      <c r="D82" s="26">
        <v>0</v>
      </c>
      <c r="E82" s="26">
        <v>0</v>
      </c>
      <c r="F82" s="27">
        <v>0</v>
      </c>
      <c r="G82" s="26">
        <v>0</v>
      </c>
      <c r="H82" s="26">
        <v>0</v>
      </c>
      <c r="I82" s="27">
        <v>0</v>
      </c>
      <c r="J82" s="26">
        <v>0</v>
      </c>
      <c r="K82" s="26">
        <v>0</v>
      </c>
      <c r="L82" s="67">
        <v>1</v>
      </c>
      <c r="N82" s="8"/>
      <c r="O82" s="2" t="s">
        <v>845</v>
      </c>
      <c r="P82" s="26">
        <v>0</v>
      </c>
      <c r="Q82" s="27">
        <v>0</v>
      </c>
      <c r="R82" s="30">
        <v>0</v>
      </c>
      <c r="S82" s="27">
        <v>0</v>
      </c>
      <c r="T82" s="30">
        <v>0</v>
      </c>
      <c r="U82" s="34">
        <v>1</v>
      </c>
      <c r="V82" s="34">
        <v>1</v>
      </c>
      <c r="X82" s="8"/>
      <c r="Y82" s="2"/>
      <c r="Z82" s="26"/>
      <c r="AA82" s="26"/>
      <c r="AB82" s="26"/>
      <c r="AC82" s="26"/>
      <c r="AD82" s="27"/>
      <c r="AE82" s="30"/>
      <c r="AF82" s="26"/>
      <c r="AG82" s="26"/>
      <c r="AH82" s="32"/>
      <c r="AJ82" s="8"/>
      <c r="AK82" s="2"/>
      <c r="AL82" s="26"/>
      <c r="AM82" s="26"/>
      <c r="AN82" s="26"/>
      <c r="AO82" s="27"/>
      <c r="AP82" s="30"/>
      <c r="AQ82" s="26"/>
      <c r="AR82" s="26"/>
      <c r="AS82" s="32"/>
      <c r="AT82" s="34"/>
    </row>
    <row r="83" spans="2:46" x14ac:dyDescent="0.3">
      <c r="B83" s="8"/>
      <c r="C83" s="2" t="s">
        <v>733</v>
      </c>
      <c r="D83" s="26">
        <v>0</v>
      </c>
      <c r="E83" s="26">
        <v>0</v>
      </c>
      <c r="F83" s="27">
        <v>0</v>
      </c>
      <c r="G83" s="26">
        <v>0</v>
      </c>
      <c r="H83" s="26">
        <v>0</v>
      </c>
      <c r="I83" s="27">
        <v>0</v>
      </c>
      <c r="J83" s="26">
        <v>0</v>
      </c>
      <c r="K83" s="26">
        <v>0</v>
      </c>
      <c r="L83" s="67">
        <v>1</v>
      </c>
      <c r="N83" s="8"/>
      <c r="O83" s="2" t="s">
        <v>669</v>
      </c>
      <c r="P83" s="26">
        <v>0</v>
      </c>
      <c r="Q83" s="27">
        <v>0</v>
      </c>
      <c r="R83" s="30">
        <v>0</v>
      </c>
      <c r="S83" s="27">
        <v>0</v>
      </c>
      <c r="T83" s="30">
        <v>0</v>
      </c>
      <c r="U83" s="34">
        <v>1</v>
      </c>
      <c r="V83" s="34">
        <v>1</v>
      </c>
      <c r="X83" s="8"/>
      <c r="Y83" s="2"/>
      <c r="Z83" s="26"/>
      <c r="AA83" s="26"/>
      <c r="AB83" s="26"/>
      <c r="AC83" s="26"/>
      <c r="AD83" s="27"/>
      <c r="AE83" s="30"/>
      <c r="AF83" s="26"/>
      <c r="AG83" s="26"/>
      <c r="AH83" s="32"/>
      <c r="AJ83" s="8"/>
      <c r="AK83" s="2"/>
      <c r="AL83" s="26"/>
      <c r="AM83" s="26"/>
      <c r="AN83" s="26"/>
      <c r="AO83" s="27"/>
      <c r="AP83" s="30"/>
      <c r="AQ83" s="26"/>
      <c r="AR83" s="26"/>
      <c r="AS83" s="32"/>
      <c r="AT83" s="34"/>
    </row>
    <row r="84" spans="2:46" x14ac:dyDescent="0.3">
      <c r="B84" s="8"/>
      <c r="C84" s="2" t="s">
        <v>803</v>
      </c>
      <c r="D84" s="26">
        <v>0</v>
      </c>
      <c r="E84" s="26">
        <v>0</v>
      </c>
      <c r="F84" s="27">
        <v>0</v>
      </c>
      <c r="G84" s="26">
        <v>0</v>
      </c>
      <c r="H84" s="26">
        <v>0</v>
      </c>
      <c r="I84" s="27">
        <v>0</v>
      </c>
      <c r="J84" s="26">
        <v>0</v>
      </c>
      <c r="K84" s="26">
        <v>0</v>
      </c>
      <c r="L84" s="67">
        <v>1</v>
      </c>
      <c r="N84" s="8"/>
      <c r="O84" s="2" t="s">
        <v>846</v>
      </c>
      <c r="P84" s="26">
        <v>0</v>
      </c>
      <c r="Q84" s="27">
        <v>0</v>
      </c>
      <c r="R84" s="30">
        <v>0</v>
      </c>
      <c r="S84" s="27">
        <v>0</v>
      </c>
      <c r="T84" s="30">
        <v>0</v>
      </c>
      <c r="U84" s="34">
        <v>1</v>
      </c>
      <c r="V84" s="34">
        <v>1</v>
      </c>
      <c r="X84" s="8"/>
      <c r="Y84" s="2"/>
      <c r="Z84" s="26"/>
      <c r="AA84" s="26"/>
      <c r="AB84" s="26"/>
      <c r="AC84" s="26"/>
      <c r="AD84" s="27"/>
      <c r="AE84" s="30"/>
      <c r="AF84" s="26"/>
      <c r="AG84" s="26"/>
      <c r="AH84" s="32"/>
      <c r="AJ84" s="8"/>
      <c r="AK84" s="2"/>
      <c r="AL84" s="26"/>
      <c r="AM84" s="26"/>
      <c r="AN84" s="26"/>
      <c r="AO84" s="27"/>
      <c r="AP84" s="30"/>
      <c r="AQ84" s="26"/>
      <c r="AR84" s="26"/>
      <c r="AS84" s="32"/>
      <c r="AT84" s="34"/>
    </row>
    <row r="85" spans="2:46" x14ac:dyDescent="0.3">
      <c r="B85" s="8"/>
      <c r="C85" s="2" t="s">
        <v>804</v>
      </c>
      <c r="D85" s="26">
        <v>0</v>
      </c>
      <c r="E85" s="26">
        <v>0</v>
      </c>
      <c r="F85" s="27">
        <v>0</v>
      </c>
      <c r="G85" s="26">
        <v>0</v>
      </c>
      <c r="H85" s="26">
        <v>0</v>
      </c>
      <c r="I85" s="27">
        <v>0</v>
      </c>
      <c r="J85" s="26">
        <v>0</v>
      </c>
      <c r="K85" s="26">
        <v>0</v>
      </c>
      <c r="L85" s="67">
        <v>1</v>
      </c>
      <c r="N85" s="8"/>
      <c r="O85" s="2" t="s">
        <v>847</v>
      </c>
      <c r="P85" s="26">
        <v>0</v>
      </c>
      <c r="Q85" s="27">
        <v>0</v>
      </c>
      <c r="R85" s="30">
        <v>0</v>
      </c>
      <c r="S85" s="27">
        <v>0</v>
      </c>
      <c r="T85" s="30">
        <v>0</v>
      </c>
      <c r="U85" s="34">
        <v>1</v>
      </c>
      <c r="V85" s="34">
        <v>1</v>
      </c>
      <c r="X85" s="8"/>
      <c r="Y85" s="2"/>
      <c r="Z85" s="26"/>
      <c r="AA85" s="26"/>
      <c r="AB85" s="26"/>
      <c r="AC85" s="26"/>
      <c r="AD85" s="27"/>
      <c r="AE85" s="30"/>
      <c r="AF85" s="26"/>
      <c r="AG85" s="26"/>
      <c r="AH85" s="32"/>
      <c r="AJ85" s="8"/>
      <c r="AK85" s="2"/>
      <c r="AL85" s="26"/>
      <c r="AM85" s="26"/>
      <c r="AN85" s="26"/>
      <c r="AO85" s="27"/>
      <c r="AP85" s="30"/>
      <c r="AQ85" s="26"/>
      <c r="AR85" s="26"/>
      <c r="AS85" s="32"/>
      <c r="AT85" s="34"/>
    </row>
    <row r="86" spans="2:46" x14ac:dyDescent="0.3">
      <c r="B86" s="8"/>
      <c r="C86" s="2" t="s">
        <v>805</v>
      </c>
      <c r="D86" s="26">
        <v>0</v>
      </c>
      <c r="E86" s="26">
        <v>0</v>
      </c>
      <c r="F86" s="27">
        <v>0</v>
      </c>
      <c r="G86" s="26">
        <v>0</v>
      </c>
      <c r="H86" s="26">
        <v>0</v>
      </c>
      <c r="I86" s="27">
        <v>0</v>
      </c>
      <c r="J86" s="26">
        <v>0</v>
      </c>
      <c r="K86" s="26">
        <v>0</v>
      </c>
      <c r="L86" s="67">
        <v>1</v>
      </c>
      <c r="N86" s="8"/>
      <c r="O86" s="2" t="s">
        <v>848</v>
      </c>
      <c r="P86" s="26">
        <v>0</v>
      </c>
      <c r="Q86" s="27">
        <v>0</v>
      </c>
      <c r="R86" s="30">
        <v>0</v>
      </c>
      <c r="S86" s="27">
        <v>0</v>
      </c>
      <c r="T86" s="30">
        <v>0</v>
      </c>
      <c r="U86" s="34">
        <v>1</v>
      </c>
      <c r="V86" s="34">
        <v>1</v>
      </c>
      <c r="X86" s="8"/>
      <c r="Y86" s="2"/>
      <c r="Z86" s="26"/>
      <c r="AA86" s="26"/>
      <c r="AB86" s="26"/>
      <c r="AC86" s="26"/>
      <c r="AD86" s="27"/>
      <c r="AE86" s="30"/>
      <c r="AF86" s="26"/>
      <c r="AG86" s="26"/>
      <c r="AH86" s="32"/>
      <c r="AJ86" s="8"/>
      <c r="AK86" s="2"/>
      <c r="AL86" s="26"/>
      <c r="AM86" s="26"/>
      <c r="AN86" s="26"/>
      <c r="AO86" s="27"/>
      <c r="AP86" s="30"/>
      <c r="AQ86" s="26"/>
      <c r="AR86" s="26"/>
      <c r="AS86" s="32"/>
      <c r="AT86" s="34"/>
    </row>
    <row r="87" spans="2:46" x14ac:dyDescent="0.3">
      <c r="B87" s="8"/>
      <c r="C87" s="2" t="s">
        <v>734</v>
      </c>
      <c r="D87" s="26">
        <v>0</v>
      </c>
      <c r="E87" s="26">
        <v>0</v>
      </c>
      <c r="F87" s="27">
        <v>0</v>
      </c>
      <c r="G87" s="26">
        <v>0</v>
      </c>
      <c r="H87" s="26">
        <v>0</v>
      </c>
      <c r="I87" s="27">
        <v>0</v>
      </c>
      <c r="J87" s="26">
        <v>0</v>
      </c>
      <c r="K87" s="26">
        <v>0</v>
      </c>
      <c r="L87" s="67">
        <v>1</v>
      </c>
      <c r="N87" s="8"/>
      <c r="O87" s="2" t="s">
        <v>670</v>
      </c>
      <c r="P87" s="26">
        <v>0</v>
      </c>
      <c r="Q87" s="27">
        <v>0</v>
      </c>
      <c r="R87" s="30">
        <v>0</v>
      </c>
      <c r="S87" s="27">
        <v>0</v>
      </c>
      <c r="T87" s="30">
        <v>0</v>
      </c>
      <c r="U87" s="34">
        <v>1</v>
      </c>
      <c r="V87" s="34">
        <v>1</v>
      </c>
      <c r="X87" s="8"/>
      <c r="Y87" s="2"/>
      <c r="Z87" s="26"/>
      <c r="AA87" s="26"/>
      <c r="AB87" s="26"/>
      <c r="AC87" s="26"/>
      <c r="AD87" s="27"/>
      <c r="AE87" s="30"/>
      <c r="AF87" s="26"/>
      <c r="AG87" s="26"/>
      <c r="AH87" s="32"/>
      <c r="AJ87" s="8"/>
      <c r="AK87" s="2"/>
      <c r="AL87" s="26"/>
      <c r="AM87" s="26"/>
      <c r="AN87" s="26"/>
      <c r="AO87" s="27"/>
      <c r="AP87" s="30"/>
      <c r="AQ87" s="26"/>
      <c r="AR87" s="26"/>
      <c r="AS87" s="32"/>
      <c r="AT87" s="34"/>
    </row>
    <row r="88" spans="2:46" x14ac:dyDescent="0.3">
      <c r="B88" s="8"/>
      <c r="C88" s="2" t="s">
        <v>735</v>
      </c>
      <c r="D88" s="26">
        <v>0</v>
      </c>
      <c r="E88" s="26">
        <v>0</v>
      </c>
      <c r="F88" s="27">
        <v>0</v>
      </c>
      <c r="G88" s="26">
        <v>0</v>
      </c>
      <c r="H88" s="26">
        <v>0</v>
      </c>
      <c r="I88" s="27">
        <v>0</v>
      </c>
      <c r="J88" s="26">
        <v>0</v>
      </c>
      <c r="K88" s="26">
        <v>0</v>
      </c>
      <c r="L88" s="67">
        <v>1</v>
      </c>
      <c r="N88" s="8"/>
      <c r="O88" s="2" t="s">
        <v>671</v>
      </c>
      <c r="P88" s="26">
        <v>0</v>
      </c>
      <c r="Q88" s="27">
        <v>0</v>
      </c>
      <c r="R88" s="30">
        <v>0</v>
      </c>
      <c r="S88" s="27">
        <v>0</v>
      </c>
      <c r="T88" s="30">
        <v>0</v>
      </c>
      <c r="U88" s="34">
        <v>1</v>
      </c>
      <c r="V88" s="34">
        <v>1</v>
      </c>
      <c r="X88" s="8"/>
      <c r="Y88" s="2"/>
      <c r="Z88" s="26"/>
      <c r="AA88" s="26"/>
      <c r="AB88" s="26"/>
      <c r="AC88" s="26"/>
      <c r="AD88" s="27"/>
      <c r="AE88" s="30"/>
      <c r="AF88" s="26"/>
      <c r="AG88" s="26"/>
      <c r="AH88" s="32"/>
      <c r="AJ88" s="8"/>
      <c r="AK88" s="2"/>
      <c r="AL88" s="26"/>
      <c r="AM88" s="26"/>
      <c r="AN88" s="26"/>
      <c r="AO88" s="27"/>
      <c r="AP88" s="30"/>
      <c r="AQ88" s="26"/>
      <c r="AR88" s="26"/>
      <c r="AS88" s="32"/>
      <c r="AT88" s="34"/>
    </row>
    <row r="89" spans="2:46" x14ac:dyDescent="0.3">
      <c r="B89" s="8"/>
      <c r="C89" s="2" t="s">
        <v>736</v>
      </c>
      <c r="D89" s="26">
        <v>0</v>
      </c>
      <c r="E89" s="26">
        <v>0</v>
      </c>
      <c r="F89" s="27">
        <v>0</v>
      </c>
      <c r="G89" s="26">
        <v>0</v>
      </c>
      <c r="H89" s="26">
        <v>0</v>
      </c>
      <c r="I89" s="27">
        <v>0</v>
      </c>
      <c r="J89" s="26">
        <v>0</v>
      </c>
      <c r="K89" s="26">
        <v>0</v>
      </c>
      <c r="L89" s="67">
        <v>1</v>
      </c>
      <c r="N89" s="8"/>
      <c r="O89" s="2" t="s">
        <v>672</v>
      </c>
      <c r="P89" s="26">
        <v>0</v>
      </c>
      <c r="Q89" s="27">
        <v>0</v>
      </c>
      <c r="R89" s="30">
        <v>0</v>
      </c>
      <c r="S89" s="27">
        <v>0</v>
      </c>
      <c r="T89" s="30">
        <v>0</v>
      </c>
      <c r="U89" s="34">
        <v>1</v>
      </c>
      <c r="V89" s="34">
        <v>1</v>
      </c>
      <c r="X89" s="8"/>
      <c r="Y89" s="2"/>
      <c r="Z89" s="26"/>
      <c r="AA89" s="26"/>
      <c r="AB89" s="26"/>
      <c r="AC89" s="26"/>
      <c r="AD89" s="27"/>
      <c r="AE89" s="30"/>
      <c r="AF89" s="26"/>
      <c r="AG89" s="26"/>
      <c r="AH89" s="32"/>
      <c r="AJ89" s="8"/>
      <c r="AK89" s="2"/>
      <c r="AL89" s="26"/>
      <c r="AM89" s="26"/>
      <c r="AN89" s="26"/>
      <c r="AO89" s="27"/>
      <c r="AP89" s="30"/>
      <c r="AQ89" s="26"/>
      <c r="AR89" s="26"/>
      <c r="AS89" s="32"/>
      <c r="AT89" s="34"/>
    </row>
    <row r="90" spans="2:46" x14ac:dyDescent="0.3">
      <c r="B90" s="8"/>
      <c r="C90" s="2" t="s">
        <v>737</v>
      </c>
      <c r="D90" s="26">
        <v>0</v>
      </c>
      <c r="E90" s="26">
        <v>0</v>
      </c>
      <c r="F90" s="27">
        <v>0</v>
      </c>
      <c r="G90" s="26">
        <v>0</v>
      </c>
      <c r="H90" s="26">
        <v>0</v>
      </c>
      <c r="I90" s="27">
        <v>0</v>
      </c>
      <c r="J90" s="26">
        <v>0</v>
      </c>
      <c r="K90" s="26">
        <v>0</v>
      </c>
      <c r="L90" s="67">
        <v>1</v>
      </c>
      <c r="N90" s="8"/>
      <c r="O90" s="2" t="s">
        <v>673</v>
      </c>
      <c r="P90" s="26">
        <v>0</v>
      </c>
      <c r="Q90" s="27">
        <v>0</v>
      </c>
      <c r="R90" s="30">
        <v>0</v>
      </c>
      <c r="S90" s="27">
        <v>0</v>
      </c>
      <c r="T90" s="30">
        <v>0</v>
      </c>
      <c r="U90" s="34">
        <v>1</v>
      </c>
      <c r="V90" s="34">
        <v>1</v>
      </c>
      <c r="X90" s="8"/>
      <c r="Y90" s="2"/>
      <c r="Z90" s="26"/>
      <c r="AA90" s="26"/>
      <c r="AB90" s="26"/>
      <c r="AC90" s="26"/>
      <c r="AD90" s="27"/>
      <c r="AE90" s="30"/>
      <c r="AF90" s="26"/>
      <c r="AG90" s="26"/>
      <c r="AH90" s="32"/>
      <c r="AJ90" s="8"/>
      <c r="AK90" s="2"/>
      <c r="AL90" s="26"/>
      <c r="AM90" s="26"/>
      <c r="AN90" s="26"/>
      <c r="AO90" s="27"/>
      <c r="AP90" s="30"/>
      <c r="AQ90" s="26"/>
      <c r="AR90" s="26"/>
      <c r="AS90" s="32"/>
      <c r="AT90" s="34"/>
    </row>
    <row r="91" spans="2:46" x14ac:dyDescent="0.3">
      <c r="B91" s="8"/>
      <c r="C91" s="2" t="s">
        <v>806</v>
      </c>
      <c r="D91" s="26">
        <v>0</v>
      </c>
      <c r="E91" s="26">
        <v>0</v>
      </c>
      <c r="F91" s="27">
        <v>0</v>
      </c>
      <c r="G91" s="26">
        <v>0</v>
      </c>
      <c r="H91" s="26">
        <v>0</v>
      </c>
      <c r="I91" s="27">
        <v>0</v>
      </c>
      <c r="J91" s="26">
        <v>0</v>
      </c>
      <c r="K91" s="26">
        <v>0</v>
      </c>
      <c r="L91" s="67">
        <v>1</v>
      </c>
      <c r="N91" s="8"/>
      <c r="O91" s="2" t="s">
        <v>849</v>
      </c>
      <c r="P91" s="26">
        <v>0</v>
      </c>
      <c r="Q91" s="27">
        <v>0</v>
      </c>
      <c r="R91" s="30">
        <v>0</v>
      </c>
      <c r="S91" s="27">
        <v>0</v>
      </c>
      <c r="T91" s="30">
        <v>0</v>
      </c>
      <c r="U91" s="34">
        <v>1</v>
      </c>
      <c r="V91" s="34">
        <v>1</v>
      </c>
      <c r="X91" s="8"/>
      <c r="Y91" s="2"/>
      <c r="Z91" s="26"/>
      <c r="AA91" s="26"/>
      <c r="AB91" s="26"/>
      <c r="AC91" s="26"/>
      <c r="AD91" s="27"/>
      <c r="AE91" s="30"/>
      <c r="AF91" s="26"/>
      <c r="AG91" s="26"/>
      <c r="AH91" s="32"/>
      <c r="AJ91" s="8"/>
      <c r="AK91" s="2"/>
      <c r="AL91" s="26"/>
      <c r="AM91" s="26"/>
      <c r="AN91" s="26"/>
      <c r="AO91" s="27"/>
      <c r="AP91" s="30"/>
      <c r="AQ91" s="26"/>
      <c r="AR91" s="26"/>
      <c r="AS91" s="32"/>
      <c r="AT91" s="34"/>
    </row>
    <row r="92" spans="2:46" x14ac:dyDescent="0.3">
      <c r="B92" s="8"/>
      <c r="C92" s="2" t="s">
        <v>807</v>
      </c>
      <c r="D92" s="26">
        <v>0</v>
      </c>
      <c r="E92" s="26">
        <v>0</v>
      </c>
      <c r="F92" s="27">
        <v>0</v>
      </c>
      <c r="G92" s="26">
        <v>0</v>
      </c>
      <c r="H92" s="26">
        <v>0</v>
      </c>
      <c r="I92" s="27">
        <v>0</v>
      </c>
      <c r="J92" s="26">
        <v>0</v>
      </c>
      <c r="K92" s="26">
        <v>0</v>
      </c>
      <c r="L92" s="67">
        <v>1</v>
      </c>
      <c r="N92" s="8"/>
      <c r="O92" s="2" t="s">
        <v>850</v>
      </c>
      <c r="P92" s="26">
        <v>0</v>
      </c>
      <c r="Q92" s="27">
        <v>0</v>
      </c>
      <c r="R92" s="30">
        <v>0</v>
      </c>
      <c r="S92" s="27">
        <v>0</v>
      </c>
      <c r="T92" s="30">
        <v>0</v>
      </c>
      <c r="U92" s="34">
        <v>1</v>
      </c>
      <c r="V92" s="34">
        <v>1</v>
      </c>
      <c r="X92" s="8"/>
      <c r="Y92" s="2"/>
      <c r="Z92" s="26"/>
      <c r="AA92" s="26"/>
      <c r="AB92" s="26"/>
      <c r="AC92" s="26"/>
      <c r="AD92" s="27"/>
      <c r="AE92" s="30"/>
      <c r="AF92" s="26"/>
      <c r="AG92" s="26"/>
      <c r="AH92" s="32"/>
      <c r="AJ92" s="8"/>
      <c r="AK92" s="2"/>
      <c r="AL92" s="26"/>
      <c r="AM92" s="26"/>
      <c r="AN92" s="26"/>
      <c r="AO92" s="27"/>
      <c r="AP92" s="30"/>
      <c r="AQ92" s="26"/>
      <c r="AR92" s="26"/>
      <c r="AS92" s="32"/>
      <c r="AT92" s="34"/>
    </row>
    <row r="93" spans="2:46" x14ac:dyDescent="0.3">
      <c r="B93" s="8"/>
      <c r="C93" s="2" t="s">
        <v>738</v>
      </c>
      <c r="D93" s="26">
        <v>0</v>
      </c>
      <c r="E93" s="26">
        <v>0</v>
      </c>
      <c r="F93" s="27">
        <v>0</v>
      </c>
      <c r="G93" s="26">
        <v>0</v>
      </c>
      <c r="H93" s="26">
        <v>0</v>
      </c>
      <c r="I93" s="27">
        <v>0</v>
      </c>
      <c r="J93" s="26">
        <v>0</v>
      </c>
      <c r="K93" s="26">
        <v>0</v>
      </c>
      <c r="L93" s="67">
        <v>1</v>
      </c>
      <c r="N93" s="8"/>
      <c r="O93" s="2" t="s">
        <v>674</v>
      </c>
      <c r="P93" s="26">
        <v>0</v>
      </c>
      <c r="Q93" s="27">
        <v>0</v>
      </c>
      <c r="R93" s="30">
        <v>0</v>
      </c>
      <c r="S93" s="27">
        <v>0</v>
      </c>
      <c r="T93" s="30">
        <v>0</v>
      </c>
      <c r="U93" s="34">
        <v>1</v>
      </c>
      <c r="V93" s="34">
        <v>1</v>
      </c>
      <c r="X93" s="8"/>
      <c r="Y93" s="2"/>
      <c r="Z93" s="26"/>
      <c r="AA93" s="26"/>
      <c r="AB93" s="26"/>
      <c r="AC93" s="26"/>
      <c r="AD93" s="27"/>
      <c r="AE93" s="30"/>
      <c r="AF93" s="26"/>
      <c r="AG93" s="26"/>
      <c r="AH93" s="32"/>
      <c r="AJ93" s="8"/>
      <c r="AK93" s="2"/>
      <c r="AL93" s="26"/>
      <c r="AM93" s="26"/>
      <c r="AN93" s="26"/>
      <c r="AO93" s="27"/>
      <c r="AP93" s="30"/>
      <c r="AQ93" s="26"/>
      <c r="AR93" s="26"/>
      <c r="AS93" s="32"/>
      <c r="AT93" s="34"/>
    </row>
    <row r="94" spans="2:46" x14ac:dyDescent="0.3">
      <c r="B94" s="8"/>
      <c r="C94" s="2" t="s">
        <v>739</v>
      </c>
      <c r="D94" s="26">
        <v>0</v>
      </c>
      <c r="E94" s="26">
        <v>0</v>
      </c>
      <c r="F94" s="27">
        <v>0</v>
      </c>
      <c r="G94" s="26">
        <v>0</v>
      </c>
      <c r="H94" s="26">
        <v>0</v>
      </c>
      <c r="I94" s="27">
        <v>0</v>
      </c>
      <c r="J94" s="26">
        <v>0</v>
      </c>
      <c r="K94" s="26">
        <v>0</v>
      </c>
      <c r="L94" s="67">
        <v>1</v>
      </c>
      <c r="N94" s="8"/>
      <c r="O94" s="2" t="s">
        <v>675</v>
      </c>
      <c r="P94" s="26">
        <v>0</v>
      </c>
      <c r="Q94" s="27">
        <v>0</v>
      </c>
      <c r="R94" s="30">
        <v>0</v>
      </c>
      <c r="S94" s="27">
        <v>0</v>
      </c>
      <c r="T94" s="30">
        <v>0</v>
      </c>
      <c r="U94" s="34">
        <v>1</v>
      </c>
      <c r="V94" s="34">
        <v>1</v>
      </c>
      <c r="X94" s="8"/>
      <c r="Y94" s="2"/>
      <c r="Z94" s="26"/>
      <c r="AA94" s="26"/>
      <c r="AB94" s="26"/>
      <c r="AC94" s="26"/>
      <c r="AD94" s="27"/>
      <c r="AE94" s="30"/>
      <c r="AF94" s="26"/>
      <c r="AG94" s="26"/>
      <c r="AH94" s="32"/>
      <c r="AJ94" s="8"/>
      <c r="AK94" s="2"/>
      <c r="AL94" s="26"/>
      <c r="AM94" s="26"/>
      <c r="AN94" s="26"/>
      <c r="AO94" s="27"/>
      <c r="AP94" s="30"/>
      <c r="AQ94" s="26"/>
      <c r="AR94" s="26"/>
      <c r="AS94" s="32"/>
      <c r="AT94" s="34"/>
    </row>
    <row r="95" spans="2:46" x14ac:dyDescent="0.3">
      <c r="B95" s="8"/>
      <c r="C95" s="2" t="s">
        <v>740</v>
      </c>
      <c r="D95" s="26">
        <v>0</v>
      </c>
      <c r="E95" s="26">
        <v>0</v>
      </c>
      <c r="F95" s="27">
        <v>0</v>
      </c>
      <c r="G95" s="26">
        <v>0</v>
      </c>
      <c r="H95" s="26">
        <v>0</v>
      </c>
      <c r="I95" s="27">
        <v>0</v>
      </c>
      <c r="J95" s="26">
        <v>0</v>
      </c>
      <c r="K95" s="26">
        <v>0</v>
      </c>
      <c r="L95" s="67">
        <v>1</v>
      </c>
      <c r="N95" s="8"/>
      <c r="O95" s="2" t="s">
        <v>676</v>
      </c>
      <c r="P95" s="26">
        <v>0</v>
      </c>
      <c r="Q95" s="27">
        <v>0</v>
      </c>
      <c r="R95" s="30">
        <v>0</v>
      </c>
      <c r="S95" s="27">
        <v>0</v>
      </c>
      <c r="T95" s="30">
        <v>0</v>
      </c>
      <c r="U95" s="34">
        <v>1</v>
      </c>
      <c r="V95" s="34">
        <v>1</v>
      </c>
      <c r="X95" s="8"/>
      <c r="Y95" s="2"/>
      <c r="Z95" s="26"/>
      <c r="AA95" s="26"/>
      <c r="AB95" s="26"/>
      <c r="AC95" s="26"/>
      <c r="AD95" s="27"/>
      <c r="AE95" s="30"/>
      <c r="AF95" s="26"/>
      <c r="AG95" s="26"/>
      <c r="AH95" s="32"/>
      <c r="AJ95" s="8"/>
      <c r="AK95" s="2"/>
      <c r="AL95" s="26"/>
      <c r="AM95" s="26"/>
      <c r="AN95" s="26"/>
      <c r="AO95" s="27"/>
      <c r="AP95" s="30"/>
      <c r="AQ95" s="26"/>
      <c r="AR95" s="26"/>
      <c r="AS95" s="32"/>
      <c r="AT95" s="34"/>
    </row>
    <row r="96" spans="2:46" x14ac:dyDescent="0.3">
      <c r="B96" s="8"/>
      <c r="C96" s="2" t="s">
        <v>741</v>
      </c>
      <c r="D96" s="26">
        <v>0</v>
      </c>
      <c r="E96" s="26">
        <v>0</v>
      </c>
      <c r="F96" s="27">
        <v>0</v>
      </c>
      <c r="G96" s="26">
        <v>0</v>
      </c>
      <c r="H96" s="26">
        <v>0</v>
      </c>
      <c r="I96" s="27">
        <v>0</v>
      </c>
      <c r="J96" s="26">
        <v>0</v>
      </c>
      <c r="K96" s="26">
        <v>0</v>
      </c>
      <c r="L96" s="67">
        <v>1</v>
      </c>
      <c r="N96" s="8"/>
      <c r="O96" s="2" t="s">
        <v>677</v>
      </c>
      <c r="P96" s="26">
        <v>0</v>
      </c>
      <c r="Q96" s="27">
        <v>0</v>
      </c>
      <c r="R96" s="30">
        <v>0</v>
      </c>
      <c r="S96" s="27">
        <v>0</v>
      </c>
      <c r="T96" s="30">
        <v>0</v>
      </c>
      <c r="U96" s="34">
        <v>1</v>
      </c>
      <c r="V96" s="34">
        <v>1</v>
      </c>
      <c r="X96" s="8"/>
      <c r="Y96" s="2"/>
      <c r="Z96" s="26"/>
      <c r="AA96" s="26"/>
      <c r="AB96" s="26"/>
      <c r="AC96" s="26"/>
      <c r="AD96" s="27"/>
      <c r="AE96" s="30"/>
      <c r="AF96" s="26"/>
      <c r="AG96" s="26"/>
      <c r="AH96" s="32"/>
      <c r="AJ96" s="8"/>
      <c r="AK96" s="2"/>
      <c r="AL96" s="26"/>
      <c r="AM96" s="26"/>
      <c r="AN96" s="26"/>
      <c r="AO96" s="27"/>
      <c r="AP96" s="30"/>
      <c r="AQ96" s="26"/>
      <c r="AR96" s="26"/>
      <c r="AS96" s="32"/>
      <c r="AT96" s="34"/>
    </row>
    <row r="97" spans="2:46" x14ac:dyDescent="0.3">
      <c r="B97" s="8"/>
      <c r="C97" s="2" t="s">
        <v>742</v>
      </c>
      <c r="D97" s="26">
        <v>0</v>
      </c>
      <c r="E97" s="26">
        <v>0</v>
      </c>
      <c r="F97" s="27">
        <v>0</v>
      </c>
      <c r="G97" s="26">
        <v>0</v>
      </c>
      <c r="H97" s="26">
        <v>0</v>
      </c>
      <c r="I97" s="27">
        <v>0</v>
      </c>
      <c r="J97" s="26">
        <v>0</v>
      </c>
      <c r="K97" s="26">
        <v>0</v>
      </c>
      <c r="L97" s="67">
        <v>1</v>
      </c>
      <c r="N97" s="8"/>
      <c r="O97" s="2" t="s">
        <v>678</v>
      </c>
      <c r="P97" s="26">
        <v>0</v>
      </c>
      <c r="Q97" s="27">
        <v>0</v>
      </c>
      <c r="R97" s="30">
        <v>0</v>
      </c>
      <c r="S97" s="27">
        <v>0</v>
      </c>
      <c r="T97" s="30">
        <v>0</v>
      </c>
      <c r="U97" s="34">
        <v>1</v>
      </c>
      <c r="V97" s="34">
        <v>1</v>
      </c>
      <c r="X97" s="8"/>
      <c r="Y97" s="2"/>
      <c r="Z97" s="26"/>
      <c r="AA97" s="26"/>
      <c r="AB97" s="26"/>
      <c r="AC97" s="26"/>
      <c r="AD97" s="27"/>
      <c r="AE97" s="30"/>
      <c r="AF97" s="26"/>
      <c r="AG97" s="26"/>
      <c r="AH97" s="32"/>
      <c r="AJ97" s="8"/>
      <c r="AK97" s="2"/>
      <c r="AL97" s="26"/>
      <c r="AM97" s="26"/>
      <c r="AN97" s="26"/>
      <c r="AO97" s="27"/>
      <c r="AP97" s="30"/>
      <c r="AQ97" s="26"/>
      <c r="AR97" s="26"/>
      <c r="AS97" s="32"/>
      <c r="AT97" s="34"/>
    </row>
    <row r="98" spans="2:46" x14ac:dyDescent="0.3">
      <c r="B98" s="8"/>
      <c r="C98" s="2" t="s">
        <v>743</v>
      </c>
      <c r="D98" s="26">
        <v>0</v>
      </c>
      <c r="E98" s="26">
        <v>0</v>
      </c>
      <c r="F98" s="27">
        <v>0</v>
      </c>
      <c r="G98" s="26">
        <v>0</v>
      </c>
      <c r="H98" s="26">
        <v>0</v>
      </c>
      <c r="I98" s="27">
        <v>0</v>
      </c>
      <c r="J98" s="26">
        <v>0</v>
      </c>
      <c r="K98" s="26">
        <v>0</v>
      </c>
      <c r="L98" s="67">
        <v>1</v>
      </c>
      <c r="N98" s="8"/>
      <c r="O98" s="2" t="s">
        <v>679</v>
      </c>
      <c r="P98" s="26">
        <v>0</v>
      </c>
      <c r="Q98" s="27">
        <v>0</v>
      </c>
      <c r="R98" s="30">
        <v>0</v>
      </c>
      <c r="S98" s="27">
        <v>0</v>
      </c>
      <c r="T98" s="30">
        <v>0</v>
      </c>
      <c r="U98" s="34">
        <v>1</v>
      </c>
      <c r="V98" s="34">
        <v>1</v>
      </c>
      <c r="X98" s="8"/>
      <c r="Y98" s="2"/>
      <c r="Z98" s="26"/>
      <c r="AA98" s="26"/>
      <c r="AB98" s="26"/>
      <c r="AC98" s="26"/>
      <c r="AD98" s="27"/>
      <c r="AE98" s="30"/>
      <c r="AF98" s="26"/>
      <c r="AG98" s="26"/>
      <c r="AH98" s="32"/>
      <c r="AJ98" s="8"/>
      <c r="AK98" s="2"/>
      <c r="AL98" s="26"/>
      <c r="AM98" s="26"/>
      <c r="AN98" s="26"/>
      <c r="AO98" s="27"/>
      <c r="AP98" s="30"/>
      <c r="AQ98" s="26"/>
      <c r="AR98" s="26"/>
      <c r="AS98" s="32"/>
      <c r="AT98" s="34"/>
    </row>
    <row r="99" spans="2:46" x14ac:dyDescent="0.3">
      <c r="B99" s="8"/>
      <c r="C99" s="2" t="s">
        <v>744</v>
      </c>
      <c r="D99" s="26">
        <v>0</v>
      </c>
      <c r="E99" s="26">
        <v>0</v>
      </c>
      <c r="F99" s="27">
        <v>0</v>
      </c>
      <c r="G99" s="26">
        <v>0</v>
      </c>
      <c r="H99" s="26">
        <v>0</v>
      </c>
      <c r="I99" s="27">
        <v>0</v>
      </c>
      <c r="J99" s="26">
        <v>0</v>
      </c>
      <c r="K99" s="26">
        <v>0</v>
      </c>
      <c r="L99" s="67">
        <v>1</v>
      </c>
      <c r="N99" s="8"/>
      <c r="O99" s="2" t="s">
        <v>680</v>
      </c>
      <c r="P99" s="26">
        <v>0</v>
      </c>
      <c r="Q99" s="27">
        <v>0</v>
      </c>
      <c r="R99" s="30">
        <v>0</v>
      </c>
      <c r="S99" s="27">
        <v>0</v>
      </c>
      <c r="T99" s="30">
        <v>0</v>
      </c>
      <c r="U99" s="34">
        <v>1</v>
      </c>
      <c r="V99" s="34">
        <v>1</v>
      </c>
      <c r="X99" s="8"/>
      <c r="Y99" s="2"/>
      <c r="Z99" s="26"/>
      <c r="AA99" s="26"/>
      <c r="AB99" s="26"/>
      <c r="AC99" s="26"/>
      <c r="AD99" s="27"/>
      <c r="AE99" s="30"/>
      <c r="AF99" s="26"/>
      <c r="AG99" s="26"/>
      <c r="AH99" s="32"/>
      <c r="AJ99" s="8"/>
      <c r="AK99" s="2"/>
      <c r="AL99" s="26"/>
      <c r="AM99" s="26"/>
      <c r="AN99" s="26"/>
      <c r="AO99" s="27"/>
      <c r="AP99" s="30"/>
      <c r="AQ99" s="26"/>
      <c r="AR99" s="26"/>
      <c r="AS99" s="32"/>
      <c r="AT99" s="34"/>
    </row>
    <row r="100" spans="2:46" x14ac:dyDescent="0.3">
      <c r="B100" s="8"/>
      <c r="C100" s="2" t="s">
        <v>808</v>
      </c>
      <c r="D100" s="26">
        <v>0</v>
      </c>
      <c r="E100" s="26">
        <v>0</v>
      </c>
      <c r="F100" s="27">
        <v>0</v>
      </c>
      <c r="G100" s="26">
        <v>0</v>
      </c>
      <c r="H100" s="26">
        <v>0</v>
      </c>
      <c r="I100" s="27">
        <v>0</v>
      </c>
      <c r="J100" s="26">
        <v>0</v>
      </c>
      <c r="K100" s="26">
        <v>0</v>
      </c>
      <c r="L100" s="67">
        <v>1</v>
      </c>
      <c r="N100" s="8"/>
      <c r="O100" s="2" t="s">
        <v>851</v>
      </c>
      <c r="P100" s="26">
        <v>0</v>
      </c>
      <c r="Q100" s="27">
        <v>0</v>
      </c>
      <c r="R100" s="30">
        <v>0</v>
      </c>
      <c r="S100" s="27">
        <v>0</v>
      </c>
      <c r="T100" s="30">
        <v>0</v>
      </c>
      <c r="U100" s="34">
        <v>1</v>
      </c>
      <c r="V100" s="34">
        <v>1</v>
      </c>
      <c r="X100" s="8"/>
      <c r="Y100" s="2"/>
      <c r="Z100" s="26"/>
      <c r="AA100" s="26"/>
      <c r="AB100" s="26"/>
      <c r="AC100" s="26"/>
      <c r="AD100" s="27"/>
      <c r="AE100" s="30"/>
      <c r="AF100" s="26"/>
      <c r="AG100" s="26"/>
      <c r="AH100" s="32"/>
      <c r="AJ100" s="8"/>
      <c r="AK100" s="2"/>
      <c r="AL100" s="26"/>
      <c r="AM100" s="26"/>
      <c r="AN100" s="26"/>
      <c r="AO100" s="27"/>
      <c r="AP100" s="30"/>
      <c r="AQ100" s="26"/>
      <c r="AR100" s="26"/>
      <c r="AS100" s="32"/>
      <c r="AT100" s="34"/>
    </row>
    <row r="101" spans="2:46" x14ac:dyDescent="0.3">
      <c r="B101" s="8"/>
      <c r="C101" s="2" t="s">
        <v>745</v>
      </c>
      <c r="D101" s="26">
        <v>0</v>
      </c>
      <c r="E101" s="26">
        <v>0</v>
      </c>
      <c r="F101" s="27">
        <v>0</v>
      </c>
      <c r="G101" s="26">
        <v>0</v>
      </c>
      <c r="H101" s="26">
        <v>0</v>
      </c>
      <c r="I101" s="27">
        <v>0</v>
      </c>
      <c r="J101" s="26">
        <v>0</v>
      </c>
      <c r="K101" s="26">
        <v>0</v>
      </c>
      <c r="L101" s="67">
        <v>1</v>
      </c>
      <c r="N101" s="8"/>
      <c r="O101" s="2" t="s">
        <v>681</v>
      </c>
      <c r="P101" s="26">
        <v>0</v>
      </c>
      <c r="Q101" s="27">
        <v>0</v>
      </c>
      <c r="R101" s="30">
        <v>0</v>
      </c>
      <c r="S101" s="27">
        <v>0</v>
      </c>
      <c r="T101" s="30">
        <v>0</v>
      </c>
      <c r="U101" s="34">
        <v>1</v>
      </c>
      <c r="V101" s="34">
        <v>1</v>
      </c>
      <c r="X101" s="8"/>
      <c r="Y101" s="2"/>
      <c r="Z101" s="26"/>
      <c r="AA101" s="26"/>
      <c r="AB101" s="26"/>
      <c r="AC101" s="26"/>
      <c r="AD101" s="27"/>
      <c r="AE101" s="30"/>
      <c r="AF101" s="26"/>
      <c r="AG101" s="26"/>
      <c r="AH101" s="32"/>
      <c r="AJ101" s="8"/>
      <c r="AK101" s="2"/>
      <c r="AL101" s="26"/>
      <c r="AM101" s="26"/>
      <c r="AN101" s="26"/>
      <c r="AO101" s="27"/>
      <c r="AP101" s="30"/>
      <c r="AQ101" s="26"/>
      <c r="AR101" s="26"/>
      <c r="AS101" s="32"/>
      <c r="AT101" s="34"/>
    </row>
    <row r="102" spans="2:46" x14ac:dyDescent="0.3">
      <c r="B102" s="8"/>
      <c r="C102" s="2" t="s">
        <v>746</v>
      </c>
      <c r="D102" s="26">
        <v>0</v>
      </c>
      <c r="E102" s="26">
        <v>0</v>
      </c>
      <c r="F102" s="27">
        <v>0</v>
      </c>
      <c r="G102" s="26">
        <v>0</v>
      </c>
      <c r="H102" s="26">
        <v>0</v>
      </c>
      <c r="I102" s="27">
        <v>0</v>
      </c>
      <c r="J102" s="26">
        <v>0</v>
      </c>
      <c r="K102" s="26">
        <v>0</v>
      </c>
      <c r="L102" s="67">
        <v>1</v>
      </c>
      <c r="N102" s="8"/>
      <c r="O102" s="2" t="s">
        <v>682</v>
      </c>
      <c r="P102" s="26">
        <v>0</v>
      </c>
      <c r="Q102" s="27">
        <v>0</v>
      </c>
      <c r="R102" s="30">
        <v>0</v>
      </c>
      <c r="S102" s="27">
        <v>0</v>
      </c>
      <c r="T102" s="30">
        <v>0</v>
      </c>
      <c r="U102" s="34">
        <v>1</v>
      </c>
      <c r="V102" s="34">
        <v>1</v>
      </c>
      <c r="X102" s="8"/>
      <c r="Y102" s="2"/>
      <c r="Z102" s="26"/>
      <c r="AA102" s="26"/>
      <c r="AB102" s="26"/>
      <c r="AC102" s="26"/>
      <c r="AD102" s="27"/>
      <c r="AE102" s="30"/>
      <c r="AF102" s="26"/>
      <c r="AG102" s="26"/>
      <c r="AH102" s="32"/>
      <c r="AJ102" s="8"/>
      <c r="AK102" s="2"/>
      <c r="AL102" s="26"/>
      <c r="AM102" s="26"/>
      <c r="AN102" s="26"/>
      <c r="AO102" s="27"/>
      <c r="AP102" s="30"/>
      <c r="AQ102" s="26"/>
      <c r="AR102" s="26"/>
      <c r="AS102" s="32"/>
      <c r="AT102" s="34"/>
    </row>
    <row r="103" spans="2:46" x14ac:dyDescent="0.3">
      <c r="B103" s="8"/>
      <c r="C103" s="2" t="s">
        <v>747</v>
      </c>
      <c r="D103" s="26">
        <v>0</v>
      </c>
      <c r="E103" s="26">
        <v>0</v>
      </c>
      <c r="F103" s="27">
        <v>0</v>
      </c>
      <c r="G103" s="26">
        <v>0</v>
      </c>
      <c r="H103" s="26">
        <v>0</v>
      </c>
      <c r="I103" s="27">
        <v>0</v>
      </c>
      <c r="J103" s="26">
        <v>0</v>
      </c>
      <c r="K103" s="26">
        <v>0</v>
      </c>
      <c r="L103" s="67">
        <v>1</v>
      </c>
      <c r="N103" s="8"/>
      <c r="O103" s="2" t="s">
        <v>683</v>
      </c>
      <c r="P103" s="26">
        <v>0</v>
      </c>
      <c r="Q103" s="27">
        <v>0</v>
      </c>
      <c r="R103" s="30">
        <v>0</v>
      </c>
      <c r="S103" s="27">
        <v>0</v>
      </c>
      <c r="T103" s="30">
        <v>0</v>
      </c>
      <c r="U103" s="34">
        <v>1</v>
      </c>
      <c r="V103" s="34">
        <v>1</v>
      </c>
      <c r="X103" s="8"/>
      <c r="Y103" s="2"/>
      <c r="Z103" s="26"/>
      <c r="AA103" s="26"/>
      <c r="AB103" s="26"/>
      <c r="AC103" s="26"/>
      <c r="AD103" s="27"/>
      <c r="AE103" s="30"/>
      <c r="AF103" s="26"/>
      <c r="AG103" s="26"/>
      <c r="AH103" s="32"/>
      <c r="AJ103" s="8"/>
      <c r="AK103" s="2"/>
      <c r="AL103" s="26"/>
      <c r="AM103" s="26"/>
      <c r="AN103" s="26"/>
      <c r="AO103" s="27"/>
      <c r="AP103" s="30"/>
      <c r="AQ103" s="26"/>
      <c r="AR103" s="26"/>
      <c r="AS103" s="32"/>
      <c r="AT103" s="34"/>
    </row>
    <row r="104" spans="2:46" x14ac:dyDescent="0.3">
      <c r="B104" s="8"/>
      <c r="C104" s="2" t="s">
        <v>748</v>
      </c>
      <c r="D104" s="26">
        <v>0</v>
      </c>
      <c r="E104" s="26">
        <v>0</v>
      </c>
      <c r="F104" s="27">
        <v>0</v>
      </c>
      <c r="G104" s="26">
        <v>0</v>
      </c>
      <c r="H104" s="26">
        <v>0</v>
      </c>
      <c r="I104" s="27">
        <v>0</v>
      </c>
      <c r="J104" s="26">
        <v>0</v>
      </c>
      <c r="K104" s="26">
        <v>0</v>
      </c>
      <c r="L104" s="67">
        <v>1</v>
      </c>
      <c r="N104" s="8"/>
      <c r="O104" s="2" t="s">
        <v>684</v>
      </c>
      <c r="P104" s="26">
        <v>0</v>
      </c>
      <c r="Q104" s="27">
        <v>0</v>
      </c>
      <c r="R104" s="30">
        <v>0</v>
      </c>
      <c r="S104" s="27">
        <v>0</v>
      </c>
      <c r="T104" s="30">
        <v>0</v>
      </c>
      <c r="U104" s="34">
        <v>1</v>
      </c>
      <c r="V104" s="34">
        <v>1</v>
      </c>
      <c r="X104" s="8"/>
      <c r="Y104" s="2"/>
      <c r="Z104" s="26"/>
      <c r="AA104" s="26"/>
      <c r="AB104" s="26"/>
      <c r="AC104" s="26"/>
      <c r="AD104" s="27"/>
      <c r="AE104" s="30"/>
      <c r="AF104" s="26"/>
      <c r="AG104" s="26"/>
      <c r="AH104" s="32"/>
      <c r="AJ104" s="8"/>
      <c r="AK104" s="2"/>
      <c r="AL104" s="26"/>
      <c r="AM104" s="26"/>
      <c r="AN104" s="26"/>
      <c r="AO104" s="27"/>
      <c r="AP104" s="30"/>
      <c r="AQ104" s="26"/>
      <c r="AR104" s="26"/>
      <c r="AS104" s="32"/>
      <c r="AT104" s="34"/>
    </row>
    <row r="105" spans="2:46" x14ac:dyDescent="0.3">
      <c r="B105" s="8"/>
      <c r="C105" s="2" t="s">
        <v>749</v>
      </c>
      <c r="D105" s="26">
        <v>0</v>
      </c>
      <c r="E105" s="26">
        <v>0</v>
      </c>
      <c r="F105" s="27">
        <v>0</v>
      </c>
      <c r="G105" s="26">
        <v>0</v>
      </c>
      <c r="H105" s="26">
        <v>0</v>
      </c>
      <c r="I105" s="27">
        <v>0</v>
      </c>
      <c r="J105" s="26">
        <v>0</v>
      </c>
      <c r="K105" s="26">
        <v>0</v>
      </c>
      <c r="L105" s="67">
        <v>1</v>
      </c>
      <c r="N105" s="8"/>
      <c r="O105" s="2" t="s">
        <v>685</v>
      </c>
      <c r="P105" s="26">
        <v>0</v>
      </c>
      <c r="Q105" s="27">
        <v>0</v>
      </c>
      <c r="R105" s="30">
        <v>0</v>
      </c>
      <c r="S105" s="27">
        <v>0</v>
      </c>
      <c r="T105" s="30">
        <v>0</v>
      </c>
      <c r="U105" s="34">
        <v>1</v>
      </c>
      <c r="V105" s="34">
        <v>1</v>
      </c>
      <c r="X105" s="8"/>
      <c r="Y105" s="2"/>
      <c r="Z105" s="26"/>
      <c r="AA105" s="26"/>
      <c r="AB105" s="26"/>
      <c r="AC105" s="26"/>
      <c r="AD105" s="27"/>
      <c r="AE105" s="30"/>
      <c r="AF105" s="26"/>
      <c r="AG105" s="26"/>
      <c r="AH105" s="32"/>
      <c r="AJ105" s="8"/>
      <c r="AK105" s="2"/>
      <c r="AL105" s="26"/>
      <c r="AM105" s="26"/>
      <c r="AN105" s="26"/>
      <c r="AO105" s="27"/>
      <c r="AP105" s="30"/>
      <c r="AQ105" s="26"/>
      <c r="AR105" s="26"/>
      <c r="AS105" s="32"/>
      <c r="AT105" s="34"/>
    </row>
    <row r="106" spans="2:46" x14ac:dyDescent="0.3">
      <c r="B106" s="8"/>
      <c r="C106" s="2" t="s">
        <v>750</v>
      </c>
      <c r="D106" s="26">
        <v>0</v>
      </c>
      <c r="E106" s="26">
        <v>0</v>
      </c>
      <c r="F106" s="27">
        <v>0</v>
      </c>
      <c r="G106" s="26">
        <v>0</v>
      </c>
      <c r="H106" s="26">
        <v>0</v>
      </c>
      <c r="I106" s="27">
        <v>0</v>
      </c>
      <c r="J106" s="26">
        <v>0</v>
      </c>
      <c r="K106" s="26">
        <v>0</v>
      </c>
      <c r="L106" s="67">
        <v>1</v>
      </c>
      <c r="N106" s="8"/>
      <c r="O106" s="2" t="s">
        <v>686</v>
      </c>
      <c r="P106" s="26">
        <v>0</v>
      </c>
      <c r="Q106" s="27">
        <v>0</v>
      </c>
      <c r="R106" s="30">
        <v>0</v>
      </c>
      <c r="S106" s="27">
        <v>0</v>
      </c>
      <c r="T106" s="30">
        <v>0</v>
      </c>
      <c r="U106" s="34">
        <v>1</v>
      </c>
      <c r="V106" s="34">
        <v>1</v>
      </c>
      <c r="X106" s="8"/>
      <c r="Y106" s="2"/>
      <c r="Z106" s="26"/>
      <c r="AA106" s="26"/>
      <c r="AB106" s="26"/>
      <c r="AC106" s="26"/>
      <c r="AD106" s="27"/>
      <c r="AE106" s="30"/>
      <c r="AF106" s="26"/>
      <c r="AG106" s="26"/>
      <c r="AH106" s="32"/>
      <c r="AJ106" s="8"/>
      <c r="AK106" s="2"/>
      <c r="AL106" s="26"/>
      <c r="AM106" s="26"/>
      <c r="AN106" s="26"/>
      <c r="AO106" s="27"/>
      <c r="AP106" s="30"/>
      <c r="AQ106" s="26"/>
      <c r="AR106" s="26"/>
      <c r="AS106" s="32"/>
      <c r="AT106" s="34"/>
    </row>
    <row r="107" spans="2:46" x14ac:dyDescent="0.3">
      <c r="B107" s="8"/>
      <c r="C107" s="2" t="s">
        <v>751</v>
      </c>
      <c r="D107" s="26">
        <v>0</v>
      </c>
      <c r="E107" s="26">
        <v>0</v>
      </c>
      <c r="F107" s="27">
        <v>0</v>
      </c>
      <c r="G107" s="26">
        <v>0</v>
      </c>
      <c r="H107" s="26">
        <v>0</v>
      </c>
      <c r="I107" s="27">
        <v>0</v>
      </c>
      <c r="J107" s="26">
        <v>0</v>
      </c>
      <c r="K107" s="26">
        <v>0</v>
      </c>
      <c r="L107" s="67">
        <v>1</v>
      </c>
      <c r="N107" s="8"/>
      <c r="O107" s="2" t="s">
        <v>687</v>
      </c>
      <c r="P107" s="26">
        <v>0</v>
      </c>
      <c r="Q107" s="27">
        <v>0</v>
      </c>
      <c r="R107" s="30">
        <v>0</v>
      </c>
      <c r="S107" s="27">
        <v>0</v>
      </c>
      <c r="T107" s="30">
        <v>0</v>
      </c>
      <c r="U107" s="34">
        <v>1</v>
      </c>
      <c r="V107" s="34">
        <v>1</v>
      </c>
      <c r="X107" s="8"/>
      <c r="Y107" s="2"/>
      <c r="Z107" s="26"/>
      <c r="AA107" s="26"/>
      <c r="AB107" s="26"/>
      <c r="AC107" s="26"/>
      <c r="AD107" s="27"/>
      <c r="AE107" s="30"/>
      <c r="AF107" s="26"/>
      <c r="AG107" s="26"/>
      <c r="AH107" s="32"/>
      <c r="AJ107" s="8"/>
      <c r="AK107" s="2"/>
      <c r="AL107" s="26"/>
      <c r="AM107" s="26"/>
      <c r="AN107" s="26"/>
      <c r="AO107" s="27"/>
      <c r="AP107" s="30"/>
      <c r="AQ107" s="26"/>
      <c r="AR107" s="26"/>
      <c r="AS107" s="32"/>
      <c r="AT107" s="34"/>
    </row>
    <row r="108" spans="2:46" x14ac:dyDescent="0.3">
      <c r="B108" s="8"/>
      <c r="C108" s="2" t="s">
        <v>752</v>
      </c>
      <c r="D108" s="26">
        <v>0</v>
      </c>
      <c r="E108" s="26">
        <v>0</v>
      </c>
      <c r="F108" s="27">
        <v>0</v>
      </c>
      <c r="G108" s="26">
        <v>0</v>
      </c>
      <c r="H108" s="26">
        <v>0</v>
      </c>
      <c r="I108" s="27">
        <v>0</v>
      </c>
      <c r="J108" s="26">
        <v>0</v>
      </c>
      <c r="K108" s="26">
        <v>0</v>
      </c>
      <c r="L108" s="67">
        <v>1</v>
      </c>
      <c r="N108" s="8"/>
      <c r="O108" s="2" t="s">
        <v>688</v>
      </c>
      <c r="P108" s="26">
        <v>0</v>
      </c>
      <c r="Q108" s="27">
        <v>0</v>
      </c>
      <c r="R108" s="30">
        <v>0</v>
      </c>
      <c r="S108" s="27">
        <v>0</v>
      </c>
      <c r="T108" s="30">
        <v>0</v>
      </c>
      <c r="U108" s="34">
        <v>1</v>
      </c>
      <c r="V108" s="34">
        <v>1</v>
      </c>
      <c r="X108" s="8"/>
      <c r="Y108" s="2"/>
      <c r="Z108" s="26"/>
      <c r="AA108" s="26"/>
      <c r="AB108" s="26"/>
      <c r="AC108" s="26"/>
      <c r="AD108" s="27"/>
      <c r="AE108" s="30"/>
      <c r="AF108" s="26"/>
      <c r="AG108" s="26"/>
      <c r="AH108" s="32"/>
      <c r="AJ108" s="8"/>
      <c r="AK108" s="2"/>
      <c r="AL108" s="26"/>
      <c r="AM108" s="26"/>
      <c r="AN108" s="26"/>
      <c r="AO108" s="27"/>
      <c r="AP108" s="30"/>
      <c r="AQ108" s="26"/>
      <c r="AR108" s="26"/>
      <c r="AS108" s="32"/>
      <c r="AT108" s="34"/>
    </row>
    <row r="109" spans="2:46" x14ac:dyDescent="0.3">
      <c r="B109" s="8"/>
      <c r="C109" s="2"/>
      <c r="D109" s="26"/>
      <c r="E109" s="26"/>
      <c r="F109" s="27"/>
      <c r="G109" s="26"/>
      <c r="H109" s="26"/>
      <c r="I109" s="27"/>
      <c r="J109" s="26"/>
      <c r="K109" s="26"/>
      <c r="L109" s="67"/>
      <c r="N109" s="8"/>
      <c r="O109" s="2"/>
      <c r="P109" s="26"/>
      <c r="Q109" s="27"/>
      <c r="R109" s="30"/>
      <c r="S109" s="27"/>
      <c r="T109" s="30"/>
      <c r="U109" s="34"/>
      <c r="V109" s="34"/>
      <c r="X109" s="8"/>
      <c r="Y109" s="2"/>
      <c r="Z109" s="26"/>
      <c r="AA109" s="26"/>
      <c r="AB109" s="26"/>
      <c r="AC109" s="26"/>
      <c r="AD109" s="27"/>
      <c r="AE109" s="30"/>
      <c r="AF109" s="26"/>
      <c r="AG109" s="26"/>
      <c r="AH109" s="32"/>
      <c r="AJ109" s="8"/>
      <c r="AK109" s="2"/>
      <c r="AL109" s="26"/>
      <c r="AM109" s="26"/>
      <c r="AN109" s="26"/>
      <c r="AO109" s="27"/>
      <c r="AP109" s="30"/>
      <c r="AQ109" s="26"/>
      <c r="AR109" s="26"/>
      <c r="AS109" s="32"/>
      <c r="AT109" s="34"/>
    </row>
    <row r="110" spans="2:46" x14ac:dyDescent="0.3">
      <c r="B110" s="8"/>
      <c r="C110" s="2"/>
      <c r="D110" s="26"/>
      <c r="E110" s="26"/>
      <c r="F110" s="27"/>
      <c r="G110" s="26"/>
      <c r="H110" s="26"/>
      <c r="I110" s="27"/>
      <c r="J110" s="26"/>
      <c r="K110" s="26"/>
      <c r="L110" s="67"/>
      <c r="N110" s="8"/>
      <c r="O110" s="2"/>
      <c r="P110" s="26"/>
      <c r="Q110" s="27"/>
      <c r="R110" s="30"/>
      <c r="S110" s="27"/>
      <c r="T110" s="30"/>
      <c r="U110" s="34"/>
      <c r="V110" s="34"/>
      <c r="X110" s="8"/>
      <c r="Y110" s="2"/>
      <c r="Z110" s="26"/>
      <c r="AA110" s="26"/>
      <c r="AB110" s="26"/>
      <c r="AC110" s="26"/>
      <c r="AD110" s="27"/>
      <c r="AE110" s="30"/>
      <c r="AF110" s="26"/>
      <c r="AG110" s="26"/>
      <c r="AH110" s="32"/>
      <c r="AJ110" s="8"/>
      <c r="AK110" s="2"/>
      <c r="AL110" s="26"/>
      <c r="AM110" s="26"/>
      <c r="AN110" s="26"/>
      <c r="AO110" s="27"/>
      <c r="AP110" s="30"/>
      <c r="AQ110" s="26"/>
      <c r="AR110" s="26"/>
      <c r="AS110" s="32"/>
      <c r="AT110" s="34"/>
    </row>
    <row r="111" spans="2:46" x14ac:dyDescent="0.3">
      <c r="B111" s="8"/>
      <c r="C111" s="2"/>
      <c r="D111" s="26"/>
      <c r="E111" s="26"/>
      <c r="F111" s="27"/>
      <c r="G111" s="26"/>
      <c r="H111" s="26"/>
      <c r="I111" s="27"/>
      <c r="J111" s="26"/>
      <c r="K111" s="26"/>
      <c r="L111" s="67"/>
      <c r="N111" s="8"/>
      <c r="O111" s="2"/>
      <c r="P111" s="26"/>
      <c r="Q111" s="27"/>
      <c r="R111" s="30"/>
      <c r="S111" s="27"/>
      <c r="T111" s="30"/>
      <c r="U111" s="34"/>
      <c r="V111" s="34"/>
      <c r="X111" s="8"/>
      <c r="Y111" s="2"/>
      <c r="Z111" s="26"/>
      <c r="AA111" s="26"/>
      <c r="AB111" s="26"/>
      <c r="AC111" s="26"/>
      <c r="AD111" s="27"/>
      <c r="AE111" s="30"/>
      <c r="AF111" s="26"/>
      <c r="AG111" s="26"/>
      <c r="AH111" s="32"/>
      <c r="AJ111" s="8"/>
      <c r="AK111" s="2"/>
      <c r="AL111" s="26"/>
      <c r="AM111" s="26"/>
      <c r="AN111" s="26"/>
      <c r="AO111" s="27"/>
      <c r="AP111" s="30"/>
      <c r="AQ111" s="26"/>
      <c r="AR111" s="26"/>
      <c r="AS111" s="32"/>
      <c r="AT111" s="34"/>
    </row>
    <row r="112" spans="2:46" x14ac:dyDescent="0.3">
      <c r="B112" s="8"/>
      <c r="C112" s="2"/>
      <c r="D112" s="26"/>
      <c r="E112" s="26"/>
      <c r="F112" s="27"/>
      <c r="G112" s="26"/>
      <c r="H112" s="26"/>
      <c r="I112" s="27"/>
      <c r="J112" s="26"/>
      <c r="K112" s="26"/>
      <c r="L112" s="67"/>
      <c r="N112" s="8"/>
      <c r="O112" s="2"/>
      <c r="P112" s="26"/>
      <c r="Q112" s="27"/>
      <c r="R112" s="30"/>
      <c r="S112" s="27"/>
      <c r="T112" s="30"/>
      <c r="U112" s="34"/>
      <c r="V112" s="34"/>
      <c r="X112" s="8"/>
      <c r="Y112" s="2"/>
      <c r="Z112" s="26"/>
      <c r="AA112" s="26"/>
      <c r="AB112" s="26"/>
      <c r="AC112" s="26"/>
      <c r="AD112" s="27"/>
      <c r="AE112" s="30"/>
      <c r="AF112" s="26"/>
      <c r="AG112" s="26"/>
      <c r="AH112" s="32"/>
      <c r="AJ112" s="8"/>
      <c r="AK112" s="2"/>
      <c r="AL112" s="26"/>
      <c r="AM112" s="26"/>
      <c r="AN112" s="26"/>
      <c r="AO112" s="27"/>
      <c r="AP112" s="30"/>
      <c r="AQ112" s="26"/>
      <c r="AR112" s="26"/>
      <c r="AS112" s="32"/>
      <c r="AT112" s="34"/>
    </row>
    <row r="113" spans="2:46" x14ac:dyDescent="0.3">
      <c r="B113" s="8"/>
      <c r="C113" s="2"/>
      <c r="D113" s="26"/>
      <c r="E113" s="26"/>
      <c r="F113" s="27"/>
      <c r="G113" s="26"/>
      <c r="H113" s="26"/>
      <c r="I113" s="27"/>
      <c r="J113" s="26"/>
      <c r="K113" s="26"/>
      <c r="L113" s="67"/>
      <c r="N113" s="8"/>
      <c r="O113" s="2"/>
      <c r="P113" s="26"/>
      <c r="Q113" s="27"/>
      <c r="R113" s="30"/>
      <c r="S113" s="27"/>
      <c r="T113" s="30"/>
      <c r="U113" s="34"/>
      <c r="V113" s="34"/>
      <c r="X113" s="8"/>
      <c r="Y113" s="2"/>
      <c r="Z113" s="26"/>
      <c r="AA113" s="26"/>
      <c r="AB113" s="26"/>
      <c r="AC113" s="26"/>
      <c r="AD113" s="27"/>
      <c r="AE113" s="30"/>
      <c r="AF113" s="26"/>
      <c r="AG113" s="26"/>
      <c r="AH113" s="32"/>
      <c r="AJ113" s="8"/>
      <c r="AK113" s="2"/>
      <c r="AL113" s="26"/>
      <c r="AM113" s="26"/>
      <c r="AN113" s="26"/>
      <c r="AO113" s="27"/>
      <c r="AP113" s="30"/>
      <c r="AQ113" s="26"/>
      <c r="AR113" s="26"/>
      <c r="AS113" s="32"/>
      <c r="AT113" s="34"/>
    </row>
    <row r="114" spans="2:46" x14ac:dyDescent="0.3">
      <c r="B114" s="8"/>
      <c r="C114" s="2"/>
      <c r="D114" s="26"/>
      <c r="E114" s="26"/>
      <c r="F114" s="27"/>
      <c r="G114" s="26"/>
      <c r="H114" s="26"/>
      <c r="I114" s="27"/>
      <c r="J114" s="26"/>
      <c r="K114" s="26"/>
      <c r="L114" s="67"/>
      <c r="N114" s="8"/>
      <c r="O114" s="2"/>
      <c r="P114" s="26"/>
      <c r="Q114" s="27"/>
      <c r="R114" s="30"/>
      <c r="S114" s="27"/>
      <c r="T114" s="30"/>
      <c r="U114" s="34"/>
      <c r="V114" s="34"/>
      <c r="X114" s="8"/>
      <c r="Y114" s="2"/>
      <c r="Z114" s="26"/>
      <c r="AA114" s="26"/>
      <c r="AB114" s="26"/>
      <c r="AC114" s="26"/>
      <c r="AD114" s="27"/>
      <c r="AE114" s="30"/>
      <c r="AF114" s="26"/>
      <c r="AG114" s="26"/>
      <c r="AH114" s="32"/>
      <c r="AJ114" s="8"/>
      <c r="AK114" s="2"/>
      <c r="AL114" s="26"/>
      <c r="AM114" s="26"/>
      <c r="AN114" s="26"/>
      <c r="AO114" s="27"/>
      <c r="AP114" s="30"/>
      <c r="AQ114" s="26"/>
      <c r="AR114" s="26"/>
      <c r="AS114" s="32"/>
      <c r="AT114" s="34"/>
    </row>
    <row r="115" spans="2:46" x14ac:dyDescent="0.3">
      <c r="B115" s="8"/>
      <c r="C115" s="2"/>
      <c r="D115" s="26"/>
      <c r="E115" s="26"/>
      <c r="F115" s="27"/>
      <c r="G115" s="26"/>
      <c r="H115" s="26"/>
      <c r="I115" s="27"/>
      <c r="J115" s="26"/>
      <c r="K115" s="26"/>
      <c r="L115" s="67"/>
      <c r="N115" s="8"/>
      <c r="O115" s="2"/>
      <c r="P115" s="26"/>
      <c r="Q115" s="27"/>
      <c r="R115" s="30"/>
      <c r="S115" s="27"/>
      <c r="T115" s="30"/>
      <c r="U115" s="34"/>
      <c r="V115" s="34"/>
      <c r="X115" s="8"/>
      <c r="Y115" s="2"/>
      <c r="Z115" s="26"/>
      <c r="AA115" s="26"/>
      <c r="AB115" s="26"/>
      <c r="AC115" s="26"/>
      <c r="AD115" s="27"/>
      <c r="AE115" s="30"/>
      <c r="AF115" s="26"/>
      <c r="AG115" s="26"/>
      <c r="AH115" s="32"/>
      <c r="AJ115" s="8"/>
      <c r="AK115" s="2"/>
      <c r="AL115" s="26"/>
      <c r="AM115" s="26"/>
      <c r="AN115" s="26"/>
      <c r="AO115" s="27"/>
      <c r="AP115" s="30"/>
      <c r="AQ115" s="26"/>
      <c r="AR115" s="26"/>
      <c r="AS115" s="32"/>
      <c r="AT115" s="34"/>
    </row>
    <row r="116" spans="2:46" x14ac:dyDescent="0.3">
      <c r="B116" s="8"/>
      <c r="C116" s="2"/>
      <c r="D116" s="26"/>
      <c r="E116" s="26"/>
      <c r="F116" s="27"/>
      <c r="G116" s="26"/>
      <c r="H116" s="26"/>
      <c r="I116" s="27"/>
      <c r="J116" s="26"/>
      <c r="K116" s="26"/>
      <c r="L116" s="67"/>
      <c r="N116" s="8"/>
      <c r="O116" s="2"/>
      <c r="P116" s="26"/>
      <c r="Q116" s="27"/>
      <c r="R116" s="30"/>
      <c r="S116" s="27"/>
      <c r="T116" s="30"/>
      <c r="U116" s="34"/>
      <c r="V116" s="34"/>
      <c r="X116" s="8"/>
      <c r="Y116" s="2"/>
      <c r="Z116" s="26"/>
      <c r="AA116" s="26"/>
      <c r="AB116" s="26"/>
      <c r="AC116" s="26"/>
      <c r="AD116" s="27"/>
      <c r="AE116" s="30"/>
      <c r="AF116" s="26"/>
      <c r="AG116" s="26"/>
      <c r="AH116" s="32"/>
      <c r="AJ116" s="8"/>
      <c r="AK116" s="2"/>
      <c r="AL116" s="26"/>
      <c r="AM116" s="26"/>
      <c r="AN116" s="26"/>
      <c r="AO116" s="27"/>
      <c r="AP116" s="30"/>
      <c r="AQ116" s="26"/>
      <c r="AR116" s="26"/>
      <c r="AS116" s="32"/>
      <c r="AT116" s="34"/>
    </row>
    <row r="117" spans="2:46" x14ac:dyDescent="0.3">
      <c r="B117" s="8"/>
      <c r="C117" s="2"/>
      <c r="D117" s="26"/>
      <c r="E117" s="26"/>
      <c r="F117" s="27"/>
      <c r="G117" s="26"/>
      <c r="H117" s="26"/>
      <c r="I117" s="27"/>
      <c r="J117" s="26"/>
      <c r="K117" s="26"/>
      <c r="L117" s="67"/>
      <c r="N117" s="8"/>
      <c r="O117" s="2"/>
      <c r="P117" s="26"/>
      <c r="Q117" s="27"/>
      <c r="R117" s="30"/>
      <c r="S117" s="27"/>
      <c r="T117" s="30"/>
      <c r="U117" s="34"/>
      <c r="V117" s="34"/>
      <c r="X117" s="8"/>
      <c r="Y117" s="2"/>
      <c r="Z117" s="26"/>
      <c r="AA117" s="26"/>
      <c r="AB117" s="26"/>
      <c r="AC117" s="26"/>
      <c r="AD117" s="27"/>
      <c r="AE117" s="30"/>
      <c r="AF117" s="26"/>
      <c r="AG117" s="26"/>
      <c r="AH117" s="32"/>
      <c r="AJ117" s="8"/>
      <c r="AK117" s="2"/>
      <c r="AL117" s="26"/>
      <c r="AM117" s="26"/>
      <c r="AN117" s="26"/>
      <c r="AO117" s="27"/>
      <c r="AP117" s="30"/>
      <c r="AQ117" s="26"/>
      <c r="AR117" s="26"/>
      <c r="AS117" s="32"/>
      <c r="AT117" s="34"/>
    </row>
    <row r="118" spans="2:46" x14ac:dyDescent="0.3">
      <c r="B118" s="8"/>
      <c r="C118" s="2"/>
      <c r="D118" s="26"/>
      <c r="E118" s="26"/>
      <c r="F118" s="27"/>
      <c r="G118" s="26"/>
      <c r="H118" s="26"/>
      <c r="I118" s="27"/>
      <c r="J118" s="26"/>
      <c r="K118" s="26"/>
      <c r="L118" s="67"/>
      <c r="N118" s="8"/>
      <c r="O118" s="2"/>
      <c r="P118" s="26"/>
      <c r="Q118" s="27"/>
      <c r="R118" s="30"/>
      <c r="S118" s="27"/>
      <c r="T118" s="30"/>
      <c r="U118" s="34"/>
      <c r="V118" s="34"/>
      <c r="X118" s="8"/>
      <c r="Y118" s="2"/>
      <c r="Z118" s="26"/>
      <c r="AA118" s="26"/>
      <c r="AB118" s="26"/>
      <c r="AC118" s="26"/>
      <c r="AD118" s="27"/>
      <c r="AE118" s="30"/>
      <c r="AF118" s="26"/>
      <c r="AG118" s="26"/>
      <c r="AH118" s="32"/>
      <c r="AJ118" s="8"/>
      <c r="AK118" s="2"/>
      <c r="AL118" s="26"/>
      <c r="AM118" s="26"/>
      <c r="AN118" s="26"/>
      <c r="AO118" s="27"/>
      <c r="AP118" s="30"/>
      <c r="AQ118" s="26"/>
      <c r="AR118" s="26"/>
      <c r="AS118" s="32"/>
      <c r="AT118" s="34"/>
    </row>
    <row r="119" spans="2:46" x14ac:dyDescent="0.3">
      <c r="B119" s="8"/>
      <c r="C119" s="2"/>
      <c r="D119" s="26"/>
      <c r="E119" s="26"/>
      <c r="F119" s="27"/>
      <c r="G119" s="26"/>
      <c r="H119" s="26"/>
      <c r="I119" s="27"/>
      <c r="J119" s="26"/>
      <c r="K119" s="26"/>
      <c r="L119" s="67"/>
      <c r="N119" s="8"/>
      <c r="O119" s="2"/>
      <c r="P119" s="26"/>
      <c r="Q119" s="27"/>
      <c r="R119" s="30"/>
      <c r="S119" s="27"/>
      <c r="T119" s="30"/>
      <c r="U119" s="34"/>
      <c r="V119" s="34"/>
      <c r="X119" s="8"/>
      <c r="Y119" s="2"/>
      <c r="Z119" s="26"/>
      <c r="AA119" s="26"/>
      <c r="AB119" s="26"/>
      <c r="AC119" s="26"/>
      <c r="AD119" s="27"/>
      <c r="AE119" s="30"/>
      <c r="AF119" s="26"/>
      <c r="AG119" s="26"/>
      <c r="AH119" s="32"/>
      <c r="AJ119" s="8"/>
      <c r="AK119" s="2"/>
      <c r="AL119" s="26"/>
      <c r="AM119" s="26"/>
      <c r="AN119" s="26"/>
      <c r="AO119" s="27"/>
      <c r="AP119" s="30"/>
      <c r="AQ119" s="26"/>
      <c r="AR119" s="26"/>
      <c r="AS119" s="32"/>
      <c r="AT119" s="34"/>
    </row>
    <row r="120" spans="2:46" x14ac:dyDescent="0.3">
      <c r="B120" s="8"/>
      <c r="C120" s="2"/>
      <c r="D120" s="26"/>
      <c r="E120" s="26"/>
      <c r="F120" s="27"/>
      <c r="G120" s="26"/>
      <c r="H120" s="26"/>
      <c r="I120" s="27"/>
      <c r="J120" s="26"/>
      <c r="K120" s="26"/>
      <c r="L120" s="67"/>
      <c r="N120" s="8"/>
      <c r="O120" s="2"/>
      <c r="P120" s="26"/>
      <c r="Q120" s="27"/>
      <c r="R120" s="30"/>
      <c r="S120" s="27"/>
      <c r="T120" s="30"/>
      <c r="U120" s="34"/>
      <c r="V120" s="34"/>
      <c r="X120" s="8"/>
      <c r="Y120" s="2"/>
      <c r="Z120" s="26"/>
      <c r="AA120" s="26"/>
      <c r="AB120" s="26"/>
      <c r="AC120" s="26"/>
      <c r="AD120" s="27"/>
      <c r="AE120" s="30"/>
      <c r="AF120" s="26"/>
      <c r="AG120" s="26"/>
      <c r="AH120" s="32"/>
      <c r="AJ120" s="8"/>
      <c r="AK120" s="2"/>
      <c r="AL120" s="26"/>
      <c r="AM120" s="26"/>
      <c r="AN120" s="26"/>
      <c r="AO120" s="27"/>
      <c r="AP120" s="30"/>
      <c r="AQ120" s="26"/>
      <c r="AR120" s="26"/>
      <c r="AS120" s="32"/>
      <c r="AT120" s="34"/>
    </row>
    <row r="121" spans="2:46" x14ac:dyDescent="0.3">
      <c r="B121" s="8"/>
      <c r="C121" s="2"/>
      <c r="D121" s="26"/>
      <c r="E121" s="26"/>
      <c r="F121" s="27"/>
      <c r="G121" s="26"/>
      <c r="H121" s="26"/>
      <c r="I121" s="27"/>
      <c r="J121" s="26"/>
      <c r="K121" s="26"/>
      <c r="L121" s="67"/>
      <c r="N121" s="8"/>
      <c r="O121" s="2"/>
      <c r="P121" s="26"/>
      <c r="Q121" s="27"/>
      <c r="R121" s="30"/>
      <c r="S121" s="27"/>
      <c r="T121" s="30"/>
      <c r="U121" s="34"/>
      <c r="V121" s="34"/>
      <c r="X121" s="8"/>
      <c r="Y121" s="2"/>
      <c r="Z121" s="26"/>
      <c r="AA121" s="26"/>
      <c r="AB121" s="26"/>
      <c r="AC121" s="26"/>
      <c r="AD121" s="27"/>
      <c r="AE121" s="30"/>
      <c r="AF121" s="26"/>
      <c r="AG121" s="26"/>
      <c r="AH121" s="32"/>
      <c r="AJ121" s="8"/>
      <c r="AK121" s="2"/>
      <c r="AL121" s="26"/>
      <c r="AM121" s="26"/>
      <c r="AN121" s="26"/>
      <c r="AO121" s="27"/>
      <c r="AP121" s="30"/>
      <c r="AQ121" s="26"/>
      <c r="AR121" s="26"/>
      <c r="AS121" s="32"/>
      <c r="AT121" s="34"/>
    </row>
    <row r="122" spans="2:46" x14ac:dyDescent="0.3">
      <c r="B122" s="8"/>
      <c r="C122" s="2"/>
      <c r="D122" s="26"/>
      <c r="E122" s="26"/>
      <c r="F122" s="27"/>
      <c r="G122" s="26"/>
      <c r="H122" s="26"/>
      <c r="I122" s="27"/>
      <c r="J122" s="26"/>
      <c r="K122" s="26"/>
      <c r="L122" s="67"/>
      <c r="N122" s="8"/>
      <c r="O122" s="2"/>
      <c r="P122" s="26"/>
      <c r="Q122" s="27"/>
      <c r="R122" s="30"/>
      <c r="S122" s="27"/>
      <c r="T122" s="30"/>
      <c r="U122" s="34"/>
      <c r="V122" s="34"/>
      <c r="X122" s="8"/>
      <c r="Y122" s="2"/>
      <c r="Z122" s="26"/>
      <c r="AA122" s="26"/>
      <c r="AB122" s="26"/>
      <c r="AC122" s="26"/>
      <c r="AD122" s="27"/>
      <c r="AE122" s="30"/>
      <c r="AF122" s="26"/>
      <c r="AG122" s="26"/>
      <c r="AH122" s="32"/>
      <c r="AJ122" s="8"/>
      <c r="AK122" s="2"/>
      <c r="AL122" s="26"/>
      <c r="AM122" s="26"/>
      <c r="AN122" s="26"/>
      <c r="AO122" s="27"/>
      <c r="AP122" s="30"/>
      <c r="AQ122" s="26"/>
      <c r="AR122" s="26"/>
      <c r="AS122" s="32"/>
      <c r="AT122" s="34"/>
    </row>
    <row r="123" spans="2:46" x14ac:dyDescent="0.3">
      <c r="B123" s="8"/>
      <c r="C123" s="2"/>
      <c r="D123" s="26"/>
      <c r="E123" s="26"/>
      <c r="F123" s="27"/>
      <c r="G123" s="26"/>
      <c r="H123" s="26"/>
      <c r="I123" s="27"/>
      <c r="J123" s="26"/>
      <c r="K123" s="26"/>
      <c r="L123" s="67"/>
      <c r="N123" s="8"/>
      <c r="O123" s="2"/>
      <c r="P123" s="26"/>
      <c r="Q123" s="27"/>
      <c r="R123" s="30"/>
      <c r="S123" s="27"/>
      <c r="T123" s="30"/>
      <c r="U123" s="34"/>
      <c r="V123" s="34"/>
      <c r="X123" s="8"/>
      <c r="Y123" s="2"/>
      <c r="Z123" s="26"/>
      <c r="AA123" s="26"/>
      <c r="AB123" s="26"/>
      <c r="AC123" s="26"/>
      <c r="AD123" s="27"/>
      <c r="AE123" s="30"/>
      <c r="AF123" s="26"/>
      <c r="AG123" s="26"/>
      <c r="AH123" s="32"/>
      <c r="AJ123" s="8"/>
      <c r="AK123" s="2"/>
      <c r="AL123" s="26"/>
      <c r="AM123" s="26"/>
      <c r="AN123" s="26"/>
      <c r="AO123" s="27"/>
      <c r="AP123" s="30"/>
      <c r="AQ123" s="26"/>
      <c r="AR123" s="26"/>
      <c r="AS123" s="32"/>
      <c r="AT123" s="34"/>
    </row>
    <row r="124" spans="2:46" x14ac:dyDescent="0.3">
      <c r="B124" s="8"/>
      <c r="C124" s="2"/>
      <c r="D124" s="26"/>
      <c r="E124" s="26"/>
      <c r="F124" s="27"/>
      <c r="G124" s="26"/>
      <c r="H124" s="26"/>
      <c r="I124" s="27"/>
      <c r="J124" s="26"/>
      <c r="K124" s="26"/>
      <c r="L124" s="67"/>
      <c r="N124" s="8"/>
      <c r="O124" s="2"/>
      <c r="P124" s="26"/>
      <c r="Q124" s="27"/>
      <c r="R124" s="30"/>
      <c r="S124" s="27"/>
      <c r="T124" s="30"/>
      <c r="U124" s="34"/>
      <c r="V124" s="34"/>
      <c r="X124" s="8"/>
      <c r="Y124" s="2"/>
      <c r="Z124" s="26"/>
      <c r="AA124" s="26"/>
      <c r="AB124" s="26"/>
      <c r="AC124" s="26"/>
      <c r="AD124" s="27"/>
      <c r="AE124" s="30"/>
      <c r="AF124" s="26"/>
      <c r="AG124" s="26"/>
      <c r="AH124" s="32"/>
      <c r="AJ124" s="8"/>
      <c r="AK124" s="2"/>
      <c r="AL124" s="26"/>
      <c r="AM124" s="26"/>
      <c r="AN124" s="26"/>
      <c r="AO124" s="27"/>
      <c r="AP124" s="30"/>
      <c r="AQ124" s="26"/>
      <c r="AR124" s="26"/>
      <c r="AS124" s="32"/>
      <c r="AT124" s="34"/>
    </row>
    <row r="125" spans="2:46" x14ac:dyDescent="0.3">
      <c r="B125" s="8"/>
      <c r="C125" s="2"/>
      <c r="D125" s="26"/>
      <c r="E125" s="26"/>
      <c r="F125" s="27"/>
      <c r="G125" s="26"/>
      <c r="H125" s="26"/>
      <c r="I125" s="27"/>
      <c r="J125" s="26"/>
      <c r="K125" s="26"/>
      <c r="L125" s="67"/>
      <c r="N125" s="8"/>
      <c r="O125" s="2"/>
      <c r="P125" s="26"/>
      <c r="Q125" s="27"/>
      <c r="R125" s="30"/>
      <c r="S125" s="27"/>
      <c r="T125" s="30"/>
      <c r="U125" s="34"/>
      <c r="V125" s="34"/>
      <c r="X125" s="8"/>
      <c r="Y125" s="2"/>
      <c r="Z125" s="26"/>
      <c r="AA125" s="26"/>
      <c r="AB125" s="26"/>
      <c r="AC125" s="26"/>
      <c r="AD125" s="27"/>
      <c r="AE125" s="30"/>
      <c r="AF125" s="26"/>
      <c r="AG125" s="26"/>
      <c r="AH125" s="32"/>
      <c r="AJ125" s="8"/>
      <c r="AK125" s="2"/>
      <c r="AL125" s="26"/>
      <c r="AM125" s="26"/>
      <c r="AN125" s="26"/>
      <c r="AO125" s="27"/>
      <c r="AP125" s="30"/>
      <c r="AQ125" s="26"/>
      <c r="AR125" s="26"/>
      <c r="AS125" s="32"/>
      <c r="AT125" s="34"/>
    </row>
    <row r="126" spans="2:46" x14ac:dyDescent="0.3">
      <c r="B126" s="8"/>
      <c r="C126" s="2"/>
      <c r="D126" s="26"/>
      <c r="E126" s="26"/>
      <c r="F126" s="27"/>
      <c r="G126" s="26"/>
      <c r="H126" s="26"/>
      <c r="I126" s="27"/>
      <c r="J126" s="26"/>
      <c r="K126" s="26"/>
      <c r="L126" s="67"/>
      <c r="N126" s="8"/>
      <c r="O126" s="2"/>
      <c r="P126" s="26"/>
      <c r="Q126" s="27"/>
      <c r="R126" s="30"/>
      <c r="S126" s="27"/>
      <c r="T126" s="30"/>
      <c r="U126" s="34"/>
      <c r="V126" s="34"/>
      <c r="X126" s="8"/>
      <c r="Y126" s="2"/>
      <c r="Z126" s="26"/>
      <c r="AA126" s="26"/>
      <c r="AB126" s="26"/>
      <c r="AC126" s="26"/>
      <c r="AD126" s="27"/>
      <c r="AE126" s="30"/>
      <c r="AF126" s="26"/>
      <c r="AG126" s="26"/>
      <c r="AH126" s="32"/>
      <c r="AJ126" s="8"/>
      <c r="AK126" s="2"/>
      <c r="AL126" s="26"/>
      <c r="AM126" s="26"/>
      <c r="AN126" s="26"/>
      <c r="AO126" s="27"/>
      <c r="AP126" s="30"/>
      <c r="AQ126" s="26"/>
      <c r="AR126" s="26"/>
      <c r="AS126" s="32"/>
      <c r="AT126" s="34"/>
    </row>
    <row r="127" spans="2:46" x14ac:dyDescent="0.3">
      <c r="B127" s="8"/>
      <c r="C127" s="2"/>
      <c r="D127" s="26"/>
      <c r="E127" s="26"/>
      <c r="F127" s="27"/>
      <c r="G127" s="26"/>
      <c r="H127" s="26"/>
      <c r="I127" s="27"/>
      <c r="J127" s="26"/>
      <c r="K127" s="26"/>
      <c r="L127" s="67"/>
      <c r="N127" s="8"/>
      <c r="O127" s="2"/>
      <c r="P127" s="26"/>
      <c r="Q127" s="27"/>
      <c r="R127" s="30"/>
      <c r="S127" s="27"/>
      <c r="T127" s="30"/>
      <c r="U127" s="34"/>
      <c r="V127" s="34"/>
      <c r="X127" s="8"/>
      <c r="Y127" s="2"/>
      <c r="Z127" s="26"/>
      <c r="AA127" s="26"/>
      <c r="AB127" s="26"/>
      <c r="AC127" s="26"/>
      <c r="AD127" s="27"/>
      <c r="AE127" s="30"/>
      <c r="AF127" s="26"/>
      <c r="AG127" s="26"/>
      <c r="AH127" s="32"/>
      <c r="AJ127" s="8"/>
      <c r="AK127" s="2"/>
      <c r="AL127" s="26"/>
      <c r="AM127" s="26"/>
      <c r="AN127" s="26"/>
      <c r="AO127" s="27"/>
      <c r="AP127" s="30"/>
      <c r="AQ127" s="26"/>
      <c r="AR127" s="26"/>
      <c r="AS127" s="32"/>
      <c r="AT127" s="34"/>
    </row>
    <row r="128" spans="2:46" x14ac:dyDescent="0.3">
      <c r="B128" s="8"/>
      <c r="C128" s="2"/>
      <c r="D128" s="26"/>
      <c r="E128" s="26"/>
      <c r="F128" s="27"/>
      <c r="G128" s="26"/>
      <c r="H128" s="26"/>
      <c r="I128" s="27"/>
      <c r="J128" s="26"/>
      <c r="K128" s="26"/>
      <c r="L128" s="67"/>
      <c r="N128" s="8"/>
      <c r="O128" s="2"/>
      <c r="P128" s="26"/>
      <c r="Q128" s="27"/>
      <c r="R128" s="30"/>
      <c r="S128" s="27"/>
      <c r="T128" s="30"/>
      <c r="U128" s="34"/>
      <c r="V128" s="34"/>
      <c r="X128" s="8"/>
      <c r="Y128" s="2"/>
      <c r="Z128" s="26"/>
      <c r="AA128" s="26"/>
      <c r="AB128" s="26"/>
      <c r="AC128" s="26"/>
      <c r="AD128" s="27"/>
      <c r="AE128" s="30"/>
      <c r="AF128" s="26"/>
      <c r="AG128" s="26"/>
      <c r="AH128" s="32"/>
      <c r="AJ128" s="8"/>
      <c r="AK128" s="2"/>
      <c r="AL128" s="26"/>
      <c r="AM128" s="26"/>
      <c r="AN128" s="26"/>
      <c r="AO128" s="27"/>
      <c r="AP128" s="30"/>
      <c r="AQ128" s="26"/>
      <c r="AR128" s="26"/>
      <c r="AS128" s="32"/>
      <c r="AT128" s="34"/>
    </row>
    <row r="129" spans="2:46" x14ac:dyDescent="0.3">
      <c r="B129" s="8"/>
      <c r="C129" s="2"/>
      <c r="D129" s="26"/>
      <c r="E129" s="26"/>
      <c r="F129" s="27"/>
      <c r="G129" s="26"/>
      <c r="H129" s="26"/>
      <c r="I129" s="27"/>
      <c r="J129" s="26"/>
      <c r="K129" s="26"/>
      <c r="L129" s="67"/>
      <c r="N129" s="8"/>
      <c r="O129" s="2"/>
      <c r="P129" s="26"/>
      <c r="Q129" s="27"/>
      <c r="R129" s="30"/>
      <c r="S129" s="27"/>
      <c r="T129" s="30"/>
      <c r="U129" s="34"/>
      <c r="V129" s="34"/>
      <c r="X129" s="8"/>
      <c r="Y129" s="2"/>
      <c r="Z129" s="26"/>
      <c r="AA129" s="26"/>
      <c r="AB129" s="26"/>
      <c r="AC129" s="26"/>
      <c r="AD129" s="27"/>
      <c r="AE129" s="30"/>
      <c r="AF129" s="26"/>
      <c r="AG129" s="26"/>
      <c r="AH129" s="32"/>
      <c r="AJ129" s="8"/>
      <c r="AK129" s="2"/>
      <c r="AL129" s="26"/>
      <c r="AM129" s="26"/>
      <c r="AN129" s="26"/>
      <c r="AO129" s="27"/>
      <c r="AP129" s="30"/>
      <c r="AQ129" s="26"/>
      <c r="AR129" s="26"/>
      <c r="AS129" s="32"/>
      <c r="AT129" s="34"/>
    </row>
    <row r="130" spans="2:46" x14ac:dyDescent="0.3">
      <c r="B130" s="8"/>
      <c r="C130" s="2"/>
      <c r="D130" s="26"/>
      <c r="E130" s="26"/>
      <c r="F130" s="27"/>
      <c r="G130" s="26"/>
      <c r="H130" s="26"/>
      <c r="I130" s="27"/>
      <c r="J130" s="26"/>
      <c r="K130" s="26"/>
      <c r="L130" s="67"/>
      <c r="N130" s="8"/>
      <c r="O130" s="2"/>
      <c r="P130" s="26"/>
      <c r="Q130" s="27"/>
      <c r="R130" s="30"/>
      <c r="S130" s="27"/>
      <c r="T130" s="30"/>
      <c r="U130" s="34"/>
      <c r="V130" s="34"/>
      <c r="X130" s="8"/>
      <c r="Y130" s="2"/>
      <c r="Z130" s="26"/>
      <c r="AA130" s="26"/>
      <c r="AB130" s="26"/>
      <c r="AC130" s="26"/>
      <c r="AD130" s="27"/>
      <c r="AE130" s="30"/>
      <c r="AF130" s="26"/>
      <c r="AG130" s="26"/>
      <c r="AH130" s="32"/>
      <c r="AJ130" s="8"/>
      <c r="AK130" s="2"/>
      <c r="AL130" s="26"/>
      <c r="AM130" s="26"/>
      <c r="AN130" s="26"/>
      <c r="AO130" s="27"/>
      <c r="AP130" s="30"/>
      <c r="AQ130" s="26"/>
      <c r="AR130" s="26"/>
      <c r="AS130" s="32"/>
      <c r="AT130" s="34"/>
    </row>
    <row r="131" spans="2:46" x14ac:dyDescent="0.3">
      <c r="B131" s="8"/>
      <c r="C131" s="2"/>
      <c r="D131" s="26"/>
      <c r="E131" s="26"/>
      <c r="F131" s="27"/>
      <c r="G131" s="26"/>
      <c r="H131" s="26"/>
      <c r="I131" s="27"/>
      <c r="J131" s="26"/>
      <c r="K131" s="26"/>
      <c r="L131" s="67"/>
      <c r="N131" s="8"/>
      <c r="O131" s="2"/>
      <c r="P131" s="26"/>
      <c r="Q131" s="27"/>
      <c r="R131" s="30"/>
      <c r="S131" s="27"/>
      <c r="T131" s="30"/>
      <c r="U131" s="34"/>
      <c r="V131" s="34"/>
      <c r="X131" s="8"/>
      <c r="Y131" s="2"/>
      <c r="Z131" s="26"/>
      <c r="AA131" s="26"/>
      <c r="AB131" s="26"/>
      <c r="AC131" s="26"/>
      <c r="AD131" s="27"/>
      <c r="AE131" s="30"/>
      <c r="AF131" s="26"/>
      <c r="AG131" s="26"/>
      <c r="AH131" s="32"/>
      <c r="AJ131" s="8"/>
      <c r="AK131" s="2"/>
      <c r="AL131" s="26"/>
      <c r="AM131" s="26"/>
      <c r="AN131" s="26"/>
      <c r="AO131" s="27"/>
      <c r="AP131" s="30"/>
      <c r="AQ131" s="26"/>
      <c r="AR131" s="26"/>
      <c r="AS131" s="32"/>
      <c r="AT131" s="34"/>
    </row>
    <row r="132" spans="2:46" x14ac:dyDescent="0.3">
      <c r="B132" s="8"/>
      <c r="C132" s="2"/>
      <c r="D132" s="26"/>
      <c r="E132" s="26"/>
      <c r="F132" s="27"/>
      <c r="G132" s="26"/>
      <c r="H132" s="26"/>
      <c r="I132" s="27"/>
      <c r="J132" s="26"/>
      <c r="K132" s="26"/>
      <c r="L132" s="67"/>
      <c r="N132" s="8"/>
      <c r="O132" s="2"/>
      <c r="P132" s="26"/>
      <c r="Q132" s="27"/>
      <c r="R132" s="30"/>
      <c r="S132" s="27"/>
      <c r="T132" s="30"/>
      <c r="U132" s="34"/>
      <c r="V132" s="34"/>
      <c r="X132" s="8"/>
      <c r="Y132" s="2"/>
      <c r="Z132" s="26"/>
      <c r="AA132" s="26"/>
      <c r="AB132" s="26"/>
      <c r="AC132" s="26"/>
      <c r="AD132" s="27"/>
      <c r="AE132" s="30"/>
      <c r="AF132" s="26"/>
      <c r="AG132" s="26"/>
      <c r="AH132" s="32"/>
      <c r="AJ132" s="8"/>
      <c r="AK132" s="2"/>
      <c r="AL132" s="26"/>
      <c r="AM132" s="26"/>
      <c r="AN132" s="26"/>
      <c r="AO132" s="27"/>
      <c r="AP132" s="30"/>
      <c r="AQ132" s="26"/>
      <c r="AR132" s="26"/>
      <c r="AS132" s="32"/>
      <c r="AT132" s="34"/>
    </row>
    <row r="133" spans="2:46" x14ac:dyDescent="0.3">
      <c r="B133" s="8"/>
      <c r="C133" s="2"/>
      <c r="D133" s="26"/>
      <c r="E133" s="26"/>
      <c r="F133" s="27"/>
      <c r="G133" s="26"/>
      <c r="H133" s="26"/>
      <c r="I133" s="27"/>
      <c r="J133" s="26"/>
      <c r="K133" s="26"/>
      <c r="L133" s="67"/>
      <c r="N133" s="8"/>
      <c r="O133" s="2"/>
      <c r="P133" s="26"/>
      <c r="Q133" s="27"/>
      <c r="R133" s="30"/>
      <c r="S133" s="27"/>
      <c r="T133" s="30"/>
      <c r="U133" s="34"/>
      <c r="V133" s="34"/>
      <c r="X133" s="8"/>
      <c r="Y133" s="2"/>
      <c r="Z133" s="26"/>
      <c r="AA133" s="26"/>
      <c r="AB133" s="26"/>
      <c r="AC133" s="26"/>
      <c r="AD133" s="27"/>
      <c r="AE133" s="30"/>
      <c r="AF133" s="26"/>
      <c r="AG133" s="26"/>
      <c r="AH133" s="32"/>
      <c r="AJ133" s="8"/>
      <c r="AK133" s="2"/>
      <c r="AL133" s="26"/>
      <c r="AM133" s="26"/>
      <c r="AN133" s="26"/>
      <c r="AO133" s="27"/>
      <c r="AP133" s="30"/>
      <c r="AQ133" s="26"/>
      <c r="AR133" s="26"/>
      <c r="AS133" s="32"/>
      <c r="AT133" s="34"/>
    </row>
    <row r="134" spans="2:46" x14ac:dyDescent="0.3">
      <c r="B134" s="8"/>
      <c r="C134" s="2"/>
      <c r="D134" s="26"/>
      <c r="E134" s="26"/>
      <c r="F134" s="27"/>
      <c r="G134" s="26"/>
      <c r="H134" s="26"/>
      <c r="I134" s="27"/>
      <c r="J134" s="26"/>
      <c r="K134" s="26"/>
      <c r="L134" s="67"/>
      <c r="N134" s="8"/>
      <c r="O134" s="2"/>
      <c r="P134" s="26"/>
      <c r="Q134" s="27"/>
      <c r="R134" s="30"/>
      <c r="S134" s="27"/>
      <c r="T134" s="30"/>
      <c r="U134" s="34"/>
      <c r="V134" s="34"/>
      <c r="X134" s="8"/>
      <c r="Y134" s="2"/>
      <c r="Z134" s="26"/>
      <c r="AA134" s="26"/>
      <c r="AB134" s="26"/>
      <c r="AC134" s="26"/>
      <c r="AD134" s="27"/>
      <c r="AE134" s="30"/>
      <c r="AF134" s="26"/>
      <c r="AG134" s="26"/>
      <c r="AH134" s="32"/>
      <c r="AJ134" s="8"/>
      <c r="AK134" s="2"/>
      <c r="AL134" s="26"/>
      <c r="AM134" s="26"/>
      <c r="AN134" s="26"/>
      <c r="AO134" s="27"/>
      <c r="AP134" s="30"/>
      <c r="AQ134" s="26"/>
      <c r="AR134" s="26"/>
      <c r="AS134" s="32"/>
      <c r="AT134" s="34"/>
    </row>
    <row r="135" spans="2:46" x14ac:dyDescent="0.3">
      <c r="B135" s="8"/>
      <c r="C135" s="2"/>
      <c r="D135" s="26"/>
      <c r="E135" s="26"/>
      <c r="F135" s="27"/>
      <c r="G135" s="26"/>
      <c r="H135" s="26"/>
      <c r="I135" s="27"/>
      <c r="J135" s="26"/>
      <c r="K135" s="26"/>
      <c r="L135" s="67"/>
      <c r="N135" s="8"/>
      <c r="O135" s="2"/>
      <c r="P135" s="26"/>
      <c r="Q135" s="27"/>
      <c r="R135" s="30"/>
      <c r="S135" s="27"/>
      <c r="T135" s="30"/>
      <c r="U135" s="34"/>
      <c r="V135" s="34"/>
      <c r="X135" s="8"/>
      <c r="Y135" s="2"/>
      <c r="Z135" s="26"/>
      <c r="AA135" s="26"/>
      <c r="AB135" s="26"/>
      <c r="AC135" s="26"/>
      <c r="AD135" s="27"/>
      <c r="AE135" s="30"/>
      <c r="AF135" s="26"/>
      <c r="AG135" s="26"/>
      <c r="AH135" s="32"/>
      <c r="AJ135" s="8"/>
      <c r="AK135" s="2"/>
      <c r="AL135" s="26"/>
      <c r="AM135" s="26"/>
      <c r="AN135" s="26"/>
      <c r="AO135" s="27"/>
      <c r="AP135" s="30"/>
      <c r="AQ135" s="26"/>
      <c r="AR135" s="26"/>
      <c r="AS135" s="32"/>
      <c r="AT135" s="34"/>
    </row>
    <row r="136" spans="2:46" x14ac:dyDescent="0.3">
      <c r="B136" s="8"/>
      <c r="C136" s="2"/>
      <c r="D136" s="26"/>
      <c r="E136" s="26"/>
      <c r="F136" s="27"/>
      <c r="G136" s="26"/>
      <c r="H136" s="26"/>
      <c r="I136" s="27"/>
      <c r="J136" s="26"/>
      <c r="K136" s="26"/>
      <c r="L136" s="67"/>
      <c r="N136" s="8"/>
      <c r="O136" s="2"/>
      <c r="P136" s="26"/>
      <c r="Q136" s="27"/>
      <c r="R136" s="30"/>
      <c r="S136" s="27"/>
      <c r="T136" s="30"/>
      <c r="U136" s="34"/>
      <c r="V136" s="34"/>
      <c r="X136" s="8"/>
      <c r="Y136" s="2"/>
      <c r="Z136" s="26"/>
      <c r="AA136" s="26"/>
      <c r="AB136" s="26"/>
      <c r="AC136" s="26"/>
      <c r="AD136" s="27"/>
      <c r="AE136" s="30"/>
      <c r="AF136" s="26"/>
      <c r="AG136" s="26"/>
      <c r="AH136" s="32"/>
      <c r="AJ136" s="8"/>
      <c r="AK136" s="2"/>
      <c r="AL136" s="26"/>
      <c r="AM136" s="26"/>
      <c r="AN136" s="26"/>
      <c r="AO136" s="27"/>
      <c r="AP136" s="30"/>
      <c r="AQ136" s="26"/>
      <c r="AR136" s="26"/>
      <c r="AS136" s="32"/>
      <c r="AT136" s="34"/>
    </row>
    <row r="137" spans="2:46" x14ac:dyDescent="0.3">
      <c r="B137" s="8"/>
      <c r="C137" s="2"/>
      <c r="D137" s="26"/>
      <c r="E137" s="26"/>
      <c r="F137" s="27"/>
      <c r="G137" s="26"/>
      <c r="H137" s="26"/>
      <c r="I137" s="27"/>
      <c r="J137" s="26"/>
      <c r="K137" s="26"/>
      <c r="L137" s="67"/>
      <c r="N137" s="8"/>
      <c r="O137" s="2"/>
      <c r="P137" s="26"/>
      <c r="Q137" s="27"/>
      <c r="R137" s="30"/>
      <c r="S137" s="27"/>
      <c r="T137" s="30"/>
      <c r="U137" s="34"/>
      <c r="V137" s="34"/>
      <c r="X137" s="8"/>
      <c r="Y137" s="2"/>
      <c r="Z137" s="26"/>
      <c r="AA137" s="26"/>
      <c r="AB137" s="26"/>
      <c r="AC137" s="26"/>
      <c r="AD137" s="27"/>
      <c r="AE137" s="30"/>
      <c r="AF137" s="26"/>
      <c r="AG137" s="26"/>
      <c r="AH137" s="32"/>
      <c r="AJ137" s="8"/>
      <c r="AK137" s="2"/>
      <c r="AL137" s="26"/>
      <c r="AM137" s="26"/>
      <c r="AN137" s="26"/>
      <c r="AO137" s="27"/>
      <c r="AP137" s="30"/>
      <c r="AQ137" s="26"/>
      <c r="AR137" s="26"/>
      <c r="AS137" s="32"/>
      <c r="AT137" s="34"/>
    </row>
    <row r="138" spans="2:46" x14ac:dyDescent="0.3">
      <c r="B138" s="8"/>
      <c r="C138" s="2"/>
      <c r="D138" s="26"/>
      <c r="E138" s="26"/>
      <c r="F138" s="27"/>
      <c r="G138" s="26"/>
      <c r="H138" s="26"/>
      <c r="I138" s="27"/>
      <c r="J138" s="26"/>
      <c r="K138" s="26"/>
      <c r="L138" s="67"/>
      <c r="N138" s="8"/>
      <c r="O138" s="2"/>
      <c r="P138" s="26"/>
      <c r="Q138" s="27"/>
      <c r="R138" s="30"/>
      <c r="S138" s="27"/>
      <c r="T138" s="30"/>
      <c r="U138" s="34"/>
      <c r="V138" s="34"/>
      <c r="X138" s="8"/>
      <c r="Y138" s="2"/>
      <c r="Z138" s="26"/>
      <c r="AA138" s="26"/>
      <c r="AB138" s="26"/>
      <c r="AC138" s="26"/>
      <c r="AD138" s="27"/>
      <c r="AE138" s="30"/>
      <c r="AF138" s="26"/>
      <c r="AG138" s="26"/>
      <c r="AH138" s="32"/>
      <c r="AJ138" s="8"/>
      <c r="AK138" s="2"/>
      <c r="AL138" s="26"/>
      <c r="AM138" s="26"/>
      <c r="AN138" s="26"/>
      <c r="AO138" s="27"/>
      <c r="AP138" s="30"/>
      <c r="AQ138" s="26"/>
      <c r="AR138" s="26"/>
      <c r="AS138" s="32"/>
      <c r="AT138" s="34"/>
    </row>
    <row r="139" spans="2:46" x14ac:dyDescent="0.3">
      <c r="B139" s="8"/>
      <c r="C139" s="2"/>
      <c r="D139" s="26"/>
      <c r="E139" s="26"/>
      <c r="F139" s="27"/>
      <c r="G139" s="26"/>
      <c r="H139" s="26"/>
      <c r="I139" s="27"/>
      <c r="J139" s="26"/>
      <c r="K139" s="26"/>
      <c r="L139" s="67"/>
      <c r="N139" s="8"/>
      <c r="O139" s="2"/>
      <c r="P139" s="26"/>
      <c r="Q139" s="27"/>
      <c r="R139" s="30"/>
      <c r="S139" s="27"/>
      <c r="T139" s="30"/>
      <c r="U139" s="34"/>
      <c r="V139" s="34"/>
      <c r="X139" s="8"/>
      <c r="Y139" s="2"/>
      <c r="Z139" s="26"/>
      <c r="AA139" s="26"/>
      <c r="AB139" s="26"/>
      <c r="AC139" s="26"/>
      <c r="AD139" s="27"/>
      <c r="AE139" s="30"/>
      <c r="AF139" s="26"/>
      <c r="AG139" s="26"/>
      <c r="AH139" s="32"/>
      <c r="AJ139" s="8"/>
      <c r="AK139" s="2"/>
      <c r="AL139" s="26"/>
      <c r="AM139" s="26"/>
      <c r="AN139" s="26"/>
      <c r="AO139" s="27"/>
      <c r="AP139" s="30"/>
      <c r="AQ139" s="26"/>
      <c r="AR139" s="26"/>
      <c r="AS139" s="32"/>
      <c r="AT139" s="34"/>
    </row>
    <row r="140" spans="2:46" x14ac:dyDescent="0.3">
      <c r="B140" s="8"/>
      <c r="C140" s="2"/>
      <c r="D140" s="26"/>
      <c r="E140" s="26"/>
      <c r="F140" s="27"/>
      <c r="G140" s="26"/>
      <c r="H140" s="26"/>
      <c r="I140" s="27"/>
      <c r="J140" s="26"/>
      <c r="K140" s="26"/>
      <c r="L140" s="67"/>
      <c r="N140" s="8"/>
      <c r="O140" s="2"/>
      <c r="P140" s="26"/>
      <c r="Q140" s="27"/>
      <c r="R140" s="30"/>
      <c r="S140" s="27"/>
      <c r="T140" s="30"/>
      <c r="U140" s="34"/>
      <c r="V140" s="34"/>
      <c r="X140" s="8"/>
      <c r="Y140" s="2"/>
      <c r="Z140" s="26"/>
      <c r="AA140" s="26"/>
      <c r="AB140" s="26"/>
      <c r="AC140" s="26"/>
      <c r="AD140" s="27"/>
      <c r="AE140" s="30"/>
      <c r="AF140" s="26"/>
      <c r="AG140" s="26"/>
      <c r="AH140" s="32"/>
      <c r="AJ140" s="8"/>
      <c r="AK140" s="2"/>
      <c r="AL140" s="26"/>
      <c r="AM140" s="26"/>
      <c r="AN140" s="26"/>
      <c r="AO140" s="27"/>
      <c r="AP140" s="30"/>
      <c r="AQ140" s="26"/>
      <c r="AR140" s="26"/>
      <c r="AS140" s="32"/>
      <c r="AT140" s="34"/>
    </row>
    <row r="141" spans="2:46" x14ac:dyDescent="0.3">
      <c r="B141" s="8"/>
      <c r="C141" s="2"/>
      <c r="D141" s="26"/>
      <c r="E141" s="26"/>
      <c r="F141" s="27"/>
      <c r="G141" s="26"/>
      <c r="H141" s="26"/>
      <c r="I141" s="27"/>
      <c r="J141" s="26"/>
      <c r="K141" s="26"/>
      <c r="L141" s="67"/>
      <c r="N141" s="8"/>
      <c r="O141" s="2"/>
      <c r="P141" s="26"/>
      <c r="Q141" s="27"/>
      <c r="R141" s="30"/>
      <c r="S141" s="27"/>
      <c r="T141" s="30"/>
      <c r="U141" s="34"/>
      <c r="V141" s="34"/>
      <c r="X141" s="8"/>
      <c r="Y141" s="2"/>
      <c r="Z141" s="26"/>
      <c r="AA141" s="26"/>
      <c r="AB141" s="26"/>
      <c r="AC141" s="26"/>
      <c r="AD141" s="27"/>
      <c r="AE141" s="30"/>
      <c r="AF141" s="26"/>
      <c r="AG141" s="26"/>
      <c r="AH141" s="32"/>
      <c r="AJ141" s="8"/>
      <c r="AK141" s="2"/>
      <c r="AL141" s="26"/>
      <c r="AM141" s="26"/>
      <c r="AN141" s="26"/>
      <c r="AO141" s="27"/>
      <c r="AP141" s="30"/>
      <c r="AQ141" s="26"/>
      <c r="AR141" s="26"/>
      <c r="AS141" s="32"/>
      <c r="AT141" s="34"/>
    </row>
    <row r="142" spans="2:46" x14ac:dyDescent="0.3">
      <c r="B142" s="8"/>
      <c r="C142" s="2"/>
      <c r="D142" s="26"/>
      <c r="E142" s="26"/>
      <c r="F142" s="27"/>
      <c r="G142" s="26"/>
      <c r="H142" s="26"/>
      <c r="I142" s="27"/>
      <c r="J142" s="26"/>
      <c r="K142" s="26"/>
      <c r="L142" s="67"/>
      <c r="N142" s="8"/>
      <c r="O142" s="2"/>
      <c r="P142" s="26"/>
      <c r="Q142" s="27"/>
      <c r="R142" s="30"/>
      <c r="S142" s="27"/>
      <c r="T142" s="30"/>
      <c r="U142" s="34"/>
      <c r="V142" s="34"/>
      <c r="X142" s="8"/>
      <c r="Y142" s="2"/>
      <c r="Z142" s="26"/>
      <c r="AA142" s="26"/>
      <c r="AB142" s="26"/>
      <c r="AC142" s="26"/>
      <c r="AD142" s="27"/>
      <c r="AE142" s="30"/>
      <c r="AF142" s="26"/>
      <c r="AG142" s="26"/>
      <c r="AH142" s="32"/>
      <c r="AJ142" s="8"/>
      <c r="AK142" s="2"/>
      <c r="AL142" s="26"/>
      <c r="AM142" s="26"/>
      <c r="AN142" s="26"/>
      <c r="AO142" s="27"/>
      <c r="AP142" s="30"/>
      <c r="AQ142" s="26"/>
      <c r="AR142" s="26"/>
      <c r="AS142" s="32"/>
      <c r="AT142" s="34"/>
    </row>
    <row r="143" spans="2:46" x14ac:dyDescent="0.3">
      <c r="B143" s="8"/>
      <c r="C143" s="2"/>
      <c r="D143" s="26"/>
      <c r="E143" s="26"/>
      <c r="F143" s="27"/>
      <c r="G143" s="26"/>
      <c r="H143" s="26"/>
      <c r="I143" s="27"/>
      <c r="J143" s="26"/>
      <c r="K143" s="26"/>
      <c r="L143" s="67"/>
      <c r="N143" s="8"/>
      <c r="O143" s="2"/>
      <c r="P143" s="26"/>
      <c r="Q143" s="27"/>
      <c r="R143" s="30"/>
      <c r="S143" s="27"/>
      <c r="T143" s="30"/>
      <c r="U143" s="34"/>
      <c r="V143" s="34"/>
      <c r="X143" s="8"/>
      <c r="Y143" s="2"/>
      <c r="Z143" s="26"/>
      <c r="AA143" s="26"/>
      <c r="AB143" s="26"/>
      <c r="AC143" s="26"/>
      <c r="AD143" s="27"/>
      <c r="AE143" s="30"/>
      <c r="AF143" s="26"/>
      <c r="AG143" s="26"/>
      <c r="AH143" s="32"/>
      <c r="AJ143" s="8"/>
      <c r="AK143" s="2"/>
      <c r="AL143" s="26"/>
      <c r="AM143" s="26"/>
      <c r="AN143" s="26"/>
      <c r="AO143" s="27"/>
      <c r="AP143" s="30"/>
      <c r="AQ143" s="26"/>
      <c r="AR143" s="26"/>
      <c r="AS143" s="32"/>
      <c r="AT143" s="34"/>
    </row>
    <row r="144" spans="2:46" x14ac:dyDescent="0.3">
      <c r="B144" s="8"/>
      <c r="C144" s="2"/>
      <c r="D144" s="26"/>
      <c r="E144" s="26"/>
      <c r="F144" s="27"/>
      <c r="G144" s="26"/>
      <c r="H144" s="26"/>
      <c r="I144" s="27"/>
      <c r="J144" s="26"/>
      <c r="K144" s="26"/>
      <c r="L144" s="67"/>
      <c r="N144" s="8"/>
      <c r="O144" s="2"/>
      <c r="P144" s="26"/>
      <c r="Q144" s="27"/>
      <c r="R144" s="30"/>
      <c r="S144" s="27"/>
      <c r="T144" s="30"/>
      <c r="U144" s="34"/>
      <c r="V144" s="34"/>
      <c r="X144" s="8"/>
      <c r="Y144" s="2"/>
      <c r="Z144" s="26"/>
      <c r="AA144" s="26"/>
      <c r="AB144" s="26"/>
      <c r="AC144" s="26"/>
      <c r="AD144" s="27"/>
      <c r="AE144" s="30"/>
      <c r="AF144" s="26"/>
      <c r="AG144" s="26"/>
      <c r="AH144" s="32"/>
      <c r="AJ144" s="8"/>
      <c r="AK144" s="2"/>
      <c r="AL144" s="26"/>
      <c r="AM144" s="26"/>
      <c r="AN144" s="26"/>
      <c r="AO144" s="27"/>
      <c r="AP144" s="30"/>
      <c r="AQ144" s="26"/>
      <c r="AR144" s="26"/>
      <c r="AS144" s="32"/>
      <c r="AT144" s="34"/>
    </row>
    <row r="145" spans="2:46" x14ac:dyDescent="0.3">
      <c r="B145" s="8"/>
      <c r="C145" s="2"/>
      <c r="D145" s="26"/>
      <c r="E145" s="26"/>
      <c r="F145" s="27"/>
      <c r="G145" s="26"/>
      <c r="H145" s="26"/>
      <c r="I145" s="27"/>
      <c r="J145" s="26"/>
      <c r="K145" s="26"/>
      <c r="L145" s="67"/>
      <c r="N145" s="8"/>
      <c r="O145" s="2"/>
      <c r="P145" s="26"/>
      <c r="Q145" s="27"/>
      <c r="R145" s="30"/>
      <c r="S145" s="27"/>
      <c r="T145" s="30"/>
      <c r="U145" s="34"/>
      <c r="V145" s="34"/>
      <c r="X145" s="8"/>
      <c r="Y145" s="2"/>
      <c r="Z145" s="26"/>
      <c r="AA145" s="26"/>
      <c r="AB145" s="26"/>
      <c r="AC145" s="26"/>
      <c r="AD145" s="27"/>
      <c r="AE145" s="30"/>
      <c r="AF145" s="26"/>
      <c r="AG145" s="26"/>
      <c r="AH145" s="32"/>
      <c r="AJ145" s="8"/>
      <c r="AK145" s="2"/>
      <c r="AL145" s="26"/>
      <c r="AM145" s="26"/>
      <c r="AN145" s="26"/>
      <c r="AO145" s="27"/>
      <c r="AP145" s="30"/>
      <c r="AQ145" s="26"/>
      <c r="AR145" s="26"/>
      <c r="AS145" s="32"/>
      <c r="AT145" s="34"/>
    </row>
    <row r="146" spans="2:46" x14ac:dyDescent="0.3">
      <c r="B146" s="8"/>
      <c r="C146" s="2"/>
      <c r="D146" s="26"/>
      <c r="E146" s="26"/>
      <c r="F146" s="27"/>
      <c r="G146" s="26"/>
      <c r="H146" s="26"/>
      <c r="I146" s="27"/>
      <c r="J146" s="26"/>
      <c r="K146" s="26"/>
      <c r="L146" s="67"/>
      <c r="N146" s="8"/>
      <c r="O146" s="2"/>
      <c r="P146" s="26"/>
      <c r="Q146" s="27"/>
      <c r="R146" s="30"/>
      <c r="S146" s="27"/>
      <c r="T146" s="30"/>
      <c r="U146" s="34"/>
      <c r="V146" s="34"/>
      <c r="X146" s="8"/>
      <c r="Y146" s="2"/>
      <c r="Z146" s="26"/>
      <c r="AA146" s="26"/>
      <c r="AB146" s="26"/>
      <c r="AC146" s="26"/>
      <c r="AD146" s="27"/>
      <c r="AE146" s="30"/>
      <c r="AF146" s="26"/>
      <c r="AG146" s="26"/>
      <c r="AH146" s="32"/>
      <c r="AJ146" s="8"/>
      <c r="AK146" s="2"/>
      <c r="AL146" s="26"/>
      <c r="AM146" s="26"/>
      <c r="AN146" s="26"/>
      <c r="AO146" s="27"/>
      <c r="AP146" s="30"/>
      <c r="AQ146" s="26"/>
      <c r="AR146" s="26"/>
      <c r="AS146" s="32"/>
      <c r="AT146" s="34"/>
    </row>
    <row r="147" spans="2:46" x14ac:dyDescent="0.3">
      <c r="B147" s="8"/>
      <c r="C147" s="2"/>
      <c r="D147" s="26"/>
      <c r="E147" s="26"/>
      <c r="F147" s="27"/>
      <c r="G147" s="26"/>
      <c r="H147" s="26"/>
      <c r="I147" s="27"/>
      <c r="J147" s="26"/>
      <c r="K147" s="26"/>
      <c r="L147" s="67"/>
      <c r="N147" s="8"/>
      <c r="O147" s="2"/>
      <c r="P147" s="26"/>
      <c r="Q147" s="27"/>
      <c r="R147" s="30"/>
      <c r="S147" s="27"/>
      <c r="T147" s="30"/>
      <c r="U147" s="34"/>
      <c r="V147" s="34"/>
      <c r="X147" s="8"/>
      <c r="Y147" s="2"/>
      <c r="Z147" s="26"/>
      <c r="AA147" s="26"/>
      <c r="AB147" s="26"/>
      <c r="AC147" s="26"/>
      <c r="AD147" s="27"/>
      <c r="AE147" s="30"/>
      <c r="AF147" s="26"/>
      <c r="AG147" s="26"/>
      <c r="AH147" s="32"/>
      <c r="AJ147" s="8"/>
      <c r="AK147" s="2"/>
      <c r="AL147" s="26"/>
      <c r="AM147" s="26"/>
      <c r="AN147" s="26"/>
      <c r="AO147" s="27"/>
      <c r="AP147" s="30"/>
      <c r="AQ147" s="26"/>
      <c r="AR147" s="26"/>
      <c r="AS147" s="32"/>
      <c r="AT147" s="34"/>
    </row>
    <row r="148" spans="2:46" x14ac:dyDescent="0.3">
      <c r="B148" s="8"/>
      <c r="C148" s="2"/>
      <c r="D148" s="26"/>
      <c r="E148" s="26"/>
      <c r="F148" s="27"/>
      <c r="G148" s="26"/>
      <c r="H148" s="26"/>
      <c r="I148" s="27"/>
      <c r="J148" s="26"/>
      <c r="K148" s="26"/>
      <c r="L148" s="67"/>
      <c r="N148" s="8"/>
      <c r="O148" s="2"/>
      <c r="P148" s="26"/>
      <c r="Q148" s="27"/>
      <c r="R148" s="30"/>
      <c r="S148" s="27"/>
      <c r="T148" s="30"/>
      <c r="U148" s="34"/>
      <c r="V148" s="34"/>
      <c r="X148" s="8"/>
      <c r="Y148" s="2"/>
      <c r="Z148" s="26"/>
      <c r="AA148" s="26"/>
      <c r="AB148" s="26"/>
      <c r="AC148" s="26"/>
      <c r="AD148" s="27"/>
      <c r="AE148" s="30"/>
      <c r="AF148" s="26"/>
      <c r="AG148" s="26"/>
      <c r="AH148" s="32"/>
      <c r="AJ148" s="8"/>
      <c r="AK148" s="2"/>
      <c r="AL148" s="26"/>
      <c r="AM148" s="26"/>
      <c r="AN148" s="26"/>
      <c r="AO148" s="27"/>
      <c r="AP148" s="30"/>
      <c r="AQ148" s="26"/>
      <c r="AR148" s="26"/>
      <c r="AS148" s="32"/>
      <c r="AT148" s="34"/>
    </row>
    <row r="149" spans="2:46" x14ac:dyDescent="0.3">
      <c r="B149" s="8"/>
      <c r="C149" s="2"/>
      <c r="D149" s="26"/>
      <c r="E149" s="26"/>
      <c r="F149" s="27"/>
      <c r="G149" s="26"/>
      <c r="H149" s="26"/>
      <c r="I149" s="27"/>
      <c r="J149" s="26"/>
      <c r="K149" s="26"/>
      <c r="L149" s="67"/>
      <c r="N149" s="8"/>
      <c r="O149" s="2"/>
      <c r="P149" s="26"/>
      <c r="Q149" s="27"/>
      <c r="R149" s="30"/>
      <c r="S149" s="27"/>
      <c r="T149" s="30"/>
      <c r="U149" s="34"/>
      <c r="V149" s="34"/>
      <c r="X149" s="8"/>
      <c r="Y149" s="2"/>
      <c r="Z149" s="26"/>
      <c r="AA149" s="26"/>
      <c r="AB149" s="26"/>
      <c r="AC149" s="26"/>
      <c r="AD149" s="27"/>
      <c r="AE149" s="30"/>
      <c r="AF149" s="26"/>
      <c r="AG149" s="26"/>
      <c r="AH149" s="32"/>
      <c r="AJ149" s="8"/>
      <c r="AK149" s="2"/>
      <c r="AL149" s="26"/>
      <c r="AM149" s="26"/>
      <c r="AN149" s="26"/>
      <c r="AO149" s="27"/>
      <c r="AP149" s="30"/>
      <c r="AQ149" s="26"/>
      <c r="AR149" s="26"/>
      <c r="AS149" s="32"/>
      <c r="AT149" s="34"/>
    </row>
    <row r="150" spans="2:46" x14ac:dyDescent="0.3">
      <c r="B150" s="8"/>
      <c r="C150" s="2"/>
      <c r="D150" s="26"/>
      <c r="E150" s="26"/>
      <c r="F150" s="27"/>
      <c r="G150" s="26"/>
      <c r="H150" s="26"/>
      <c r="I150" s="27"/>
      <c r="J150" s="26"/>
      <c r="K150" s="26"/>
      <c r="L150" s="67"/>
      <c r="N150" s="8"/>
      <c r="O150" s="2"/>
      <c r="P150" s="26"/>
      <c r="Q150" s="27"/>
      <c r="R150" s="30"/>
      <c r="S150" s="27"/>
      <c r="T150" s="30"/>
      <c r="U150" s="34"/>
      <c r="V150" s="34"/>
      <c r="X150" s="8"/>
      <c r="Y150" s="2"/>
      <c r="Z150" s="26"/>
      <c r="AA150" s="26"/>
      <c r="AB150" s="26"/>
      <c r="AC150" s="26"/>
      <c r="AD150" s="27"/>
      <c r="AE150" s="30"/>
      <c r="AF150" s="26"/>
      <c r="AG150" s="26"/>
      <c r="AH150" s="32"/>
      <c r="AJ150" s="8"/>
      <c r="AK150" s="2"/>
      <c r="AL150" s="26"/>
      <c r="AM150" s="26"/>
      <c r="AN150" s="26"/>
      <c r="AO150" s="27"/>
      <c r="AP150" s="30"/>
      <c r="AQ150" s="26"/>
      <c r="AR150" s="26"/>
      <c r="AS150" s="32"/>
      <c r="AT150" s="34"/>
    </row>
    <row r="151" spans="2:46" x14ac:dyDescent="0.3">
      <c r="B151" s="8"/>
      <c r="C151" s="2"/>
      <c r="D151" s="26"/>
      <c r="E151" s="26"/>
      <c r="F151" s="27"/>
      <c r="G151" s="26"/>
      <c r="H151" s="26"/>
      <c r="I151" s="27"/>
      <c r="J151" s="26"/>
      <c r="K151" s="26"/>
      <c r="L151" s="67"/>
      <c r="N151" s="8"/>
      <c r="O151" s="2"/>
      <c r="P151" s="26"/>
      <c r="Q151" s="27"/>
      <c r="R151" s="30"/>
      <c r="S151" s="27"/>
      <c r="T151" s="30"/>
      <c r="U151" s="34"/>
      <c r="V151" s="34"/>
      <c r="X151" s="8"/>
      <c r="Y151" s="2"/>
      <c r="Z151" s="26"/>
      <c r="AA151" s="26"/>
      <c r="AB151" s="26"/>
      <c r="AC151" s="26"/>
      <c r="AD151" s="27"/>
      <c r="AE151" s="30"/>
      <c r="AF151" s="26"/>
      <c r="AG151" s="26"/>
      <c r="AH151" s="32"/>
      <c r="AJ151" s="8"/>
      <c r="AK151" s="2"/>
      <c r="AL151" s="26"/>
      <c r="AM151" s="26"/>
      <c r="AN151" s="26"/>
      <c r="AO151" s="27"/>
      <c r="AP151" s="30"/>
      <c r="AQ151" s="26"/>
      <c r="AR151" s="26"/>
      <c r="AS151" s="32"/>
      <c r="AT151" s="34"/>
    </row>
    <row r="152" spans="2:46" x14ac:dyDescent="0.3">
      <c r="B152" s="8"/>
      <c r="C152" s="2"/>
      <c r="D152" s="26"/>
      <c r="E152" s="26"/>
      <c r="F152" s="27"/>
      <c r="G152" s="26"/>
      <c r="H152" s="26"/>
      <c r="I152" s="27"/>
      <c r="J152" s="26"/>
      <c r="K152" s="26"/>
      <c r="L152" s="67"/>
      <c r="N152" s="8"/>
      <c r="O152" s="2"/>
      <c r="P152" s="26"/>
      <c r="Q152" s="27"/>
      <c r="R152" s="30"/>
      <c r="S152" s="27"/>
      <c r="T152" s="30"/>
      <c r="U152" s="34"/>
      <c r="V152" s="34"/>
      <c r="X152" s="8"/>
      <c r="Y152" s="2"/>
      <c r="Z152" s="26"/>
      <c r="AA152" s="26"/>
      <c r="AB152" s="26"/>
      <c r="AC152" s="26"/>
      <c r="AD152" s="27"/>
      <c r="AE152" s="30"/>
      <c r="AF152" s="26"/>
      <c r="AG152" s="26"/>
      <c r="AH152" s="32"/>
      <c r="AJ152" s="8"/>
      <c r="AK152" s="2"/>
      <c r="AL152" s="26"/>
      <c r="AM152" s="26"/>
      <c r="AN152" s="26"/>
      <c r="AO152" s="27"/>
      <c r="AP152" s="30"/>
      <c r="AQ152" s="26"/>
      <c r="AR152" s="26"/>
      <c r="AS152" s="32"/>
      <c r="AT152" s="34"/>
    </row>
    <row r="153" spans="2:46" x14ac:dyDescent="0.3">
      <c r="B153" s="8"/>
      <c r="C153" s="2"/>
      <c r="D153" s="26"/>
      <c r="E153" s="26"/>
      <c r="F153" s="27"/>
      <c r="G153" s="26"/>
      <c r="H153" s="26"/>
      <c r="I153" s="27"/>
      <c r="J153" s="26"/>
      <c r="K153" s="26"/>
      <c r="L153" s="67"/>
      <c r="N153" s="8"/>
      <c r="O153" s="2"/>
      <c r="P153" s="26"/>
      <c r="Q153" s="27"/>
      <c r="R153" s="30"/>
      <c r="S153" s="27"/>
      <c r="T153" s="30"/>
      <c r="U153" s="34"/>
      <c r="V153" s="34"/>
      <c r="X153" s="8"/>
      <c r="Y153" s="2"/>
      <c r="Z153" s="26"/>
      <c r="AA153" s="26"/>
      <c r="AB153" s="26"/>
      <c r="AC153" s="26"/>
      <c r="AD153" s="27"/>
      <c r="AE153" s="30"/>
      <c r="AF153" s="26"/>
      <c r="AG153" s="26"/>
      <c r="AH153" s="32"/>
      <c r="AJ153" s="8"/>
      <c r="AK153" s="2"/>
      <c r="AL153" s="26"/>
      <c r="AM153" s="26"/>
      <c r="AN153" s="26"/>
      <c r="AO153" s="27"/>
      <c r="AP153" s="30"/>
      <c r="AQ153" s="26"/>
      <c r="AR153" s="26"/>
      <c r="AS153" s="32"/>
      <c r="AT153" s="34"/>
    </row>
    <row r="154" spans="2:46" x14ac:dyDescent="0.3">
      <c r="B154" s="8"/>
      <c r="C154" s="2"/>
      <c r="D154" s="26"/>
      <c r="E154" s="26"/>
      <c r="F154" s="27"/>
      <c r="G154" s="26"/>
      <c r="H154" s="26"/>
      <c r="I154" s="27"/>
      <c r="J154" s="26"/>
      <c r="K154" s="26"/>
      <c r="L154" s="67"/>
      <c r="N154" s="8"/>
      <c r="O154" s="2"/>
      <c r="P154" s="26"/>
      <c r="Q154" s="27"/>
      <c r="R154" s="30"/>
      <c r="S154" s="27"/>
      <c r="T154" s="30"/>
      <c r="U154" s="34"/>
      <c r="V154" s="34"/>
      <c r="X154" s="8"/>
      <c r="Y154" s="2"/>
      <c r="Z154" s="26"/>
      <c r="AA154" s="26"/>
      <c r="AB154" s="26"/>
      <c r="AC154" s="26"/>
      <c r="AD154" s="27"/>
      <c r="AE154" s="30"/>
      <c r="AF154" s="26"/>
      <c r="AG154" s="26"/>
      <c r="AH154" s="32"/>
      <c r="AJ154" s="8"/>
      <c r="AK154" s="2"/>
      <c r="AL154" s="26"/>
      <c r="AM154" s="26"/>
      <c r="AN154" s="26"/>
      <c r="AO154" s="27"/>
      <c r="AP154" s="30"/>
      <c r="AQ154" s="26"/>
      <c r="AR154" s="26"/>
      <c r="AS154" s="32"/>
      <c r="AT154" s="34"/>
    </row>
    <row r="155" spans="2:46" x14ac:dyDescent="0.3">
      <c r="B155" s="8"/>
      <c r="C155" s="2"/>
      <c r="D155" s="26"/>
      <c r="E155" s="26"/>
      <c r="F155" s="27"/>
      <c r="G155" s="26"/>
      <c r="H155" s="26"/>
      <c r="I155" s="27"/>
      <c r="J155" s="26"/>
      <c r="K155" s="26"/>
      <c r="L155" s="67"/>
      <c r="N155" s="8"/>
      <c r="O155" s="2"/>
      <c r="P155" s="26"/>
      <c r="Q155" s="27"/>
      <c r="R155" s="30"/>
      <c r="S155" s="27"/>
      <c r="T155" s="30"/>
      <c r="U155" s="34"/>
      <c r="V155" s="34"/>
      <c r="X155" s="8"/>
      <c r="Y155" s="2"/>
      <c r="Z155" s="26"/>
      <c r="AA155" s="26"/>
      <c r="AB155" s="26"/>
      <c r="AC155" s="26"/>
      <c r="AD155" s="27"/>
      <c r="AE155" s="30"/>
      <c r="AF155" s="26"/>
      <c r="AG155" s="26"/>
      <c r="AH155" s="32"/>
      <c r="AJ155" s="8"/>
      <c r="AK155" s="2"/>
      <c r="AL155" s="26"/>
      <c r="AM155" s="26"/>
      <c r="AN155" s="26"/>
      <c r="AO155" s="27"/>
      <c r="AP155" s="30"/>
      <c r="AQ155" s="26"/>
      <c r="AR155" s="26"/>
      <c r="AS155" s="32"/>
      <c r="AT155" s="34"/>
    </row>
    <row r="156" spans="2:46" x14ac:dyDescent="0.3">
      <c r="B156" s="8"/>
      <c r="C156" s="2"/>
      <c r="D156" s="26"/>
      <c r="E156" s="26"/>
      <c r="F156" s="27"/>
      <c r="G156" s="26"/>
      <c r="H156" s="26"/>
      <c r="I156" s="27"/>
      <c r="J156" s="26"/>
      <c r="K156" s="26"/>
      <c r="L156" s="67"/>
      <c r="N156" s="8"/>
      <c r="O156" s="2"/>
      <c r="P156" s="26"/>
      <c r="Q156" s="27"/>
      <c r="R156" s="30"/>
      <c r="S156" s="27"/>
      <c r="T156" s="30"/>
      <c r="U156" s="34"/>
      <c r="V156" s="34"/>
      <c r="X156" s="8"/>
      <c r="Y156" s="2"/>
      <c r="Z156" s="26"/>
      <c r="AA156" s="26"/>
      <c r="AB156" s="26"/>
      <c r="AC156" s="26"/>
      <c r="AD156" s="27"/>
      <c r="AE156" s="30"/>
      <c r="AF156" s="26"/>
      <c r="AG156" s="26"/>
      <c r="AH156" s="32"/>
      <c r="AJ156" s="8"/>
      <c r="AK156" s="2"/>
      <c r="AL156" s="26"/>
      <c r="AM156" s="26"/>
      <c r="AN156" s="26"/>
      <c r="AO156" s="27"/>
      <c r="AP156" s="30"/>
      <c r="AQ156" s="26"/>
      <c r="AR156" s="26"/>
      <c r="AS156" s="32"/>
      <c r="AT156" s="34"/>
    </row>
    <row r="157" spans="2:46" x14ac:dyDescent="0.3">
      <c r="B157" s="8"/>
      <c r="C157" s="2"/>
      <c r="D157" s="26"/>
      <c r="E157" s="26"/>
      <c r="F157" s="27"/>
      <c r="G157" s="26"/>
      <c r="H157" s="26"/>
      <c r="I157" s="27"/>
      <c r="J157" s="26"/>
      <c r="K157" s="26"/>
      <c r="L157" s="67"/>
      <c r="N157" s="8"/>
      <c r="O157" s="2"/>
      <c r="P157" s="26"/>
      <c r="Q157" s="27"/>
      <c r="R157" s="30"/>
      <c r="S157" s="27"/>
      <c r="T157" s="30"/>
      <c r="U157" s="34"/>
      <c r="V157" s="34"/>
      <c r="X157" s="8"/>
      <c r="Y157" s="2"/>
      <c r="Z157" s="26"/>
      <c r="AA157" s="26"/>
      <c r="AB157" s="26"/>
      <c r="AC157" s="26"/>
      <c r="AD157" s="27"/>
      <c r="AE157" s="30"/>
      <c r="AF157" s="26"/>
      <c r="AG157" s="26"/>
      <c r="AH157" s="32"/>
      <c r="AJ157" s="8"/>
      <c r="AK157" s="2"/>
      <c r="AL157" s="26"/>
      <c r="AM157" s="26"/>
      <c r="AN157" s="26"/>
      <c r="AO157" s="27"/>
      <c r="AP157" s="30"/>
      <c r="AQ157" s="26"/>
      <c r="AR157" s="26"/>
      <c r="AS157" s="32"/>
      <c r="AT157" s="34"/>
    </row>
    <row r="158" spans="2:46" x14ac:dyDescent="0.3">
      <c r="B158" s="8"/>
      <c r="C158" s="2"/>
      <c r="D158" s="26"/>
      <c r="E158" s="26"/>
      <c r="F158" s="27"/>
      <c r="G158" s="26"/>
      <c r="H158" s="26"/>
      <c r="I158" s="27"/>
      <c r="J158" s="26"/>
      <c r="K158" s="26"/>
      <c r="L158" s="67"/>
      <c r="N158" s="8"/>
      <c r="O158" s="2"/>
      <c r="P158" s="26"/>
      <c r="Q158" s="27"/>
      <c r="R158" s="30"/>
      <c r="S158" s="27"/>
      <c r="T158" s="30"/>
      <c r="U158" s="34"/>
      <c r="V158" s="34"/>
      <c r="X158" s="8"/>
      <c r="Y158" s="2"/>
      <c r="Z158" s="26"/>
      <c r="AA158" s="26"/>
      <c r="AB158" s="26"/>
      <c r="AC158" s="26"/>
      <c r="AD158" s="27"/>
      <c r="AE158" s="30"/>
      <c r="AF158" s="26"/>
      <c r="AG158" s="26"/>
      <c r="AH158" s="32"/>
      <c r="AJ158" s="8"/>
      <c r="AK158" s="2"/>
      <c r="AL158" s="26"/>
      <c r="AM158" s="26"/>
      <c r="AN158" s="26"/>
      <c r="AO158" s="27"/>
      <c r="AP158" s="30"/>
      <c r="AQ158" s="26"/>
      <c r="AR158" s="26"/>
      <c r="AS158" s="32"/>
      <c r="AT158" s="34"/>
    </row>
    <row r="159" spans="2:46" x14ac:dyDescent="0.3">
      <c r="B159" s="8"/>
      <c r="C159" s="2"/>
      <c r="D159" s="26"/>
      <c r="E159" s="26"/>
      <c r="F159" s="27"/>
      <c r="G159" s="26"/>
      <c r="H159" s="26"/>
      <c r="I159" s="27"/>
      <c r="J159" s="26"/>
      <c r="K159" s="26"/>
      <c r="L159" s="67"/>
      <c r="N159" s="8"/>
      <c r="O159" s="2"/>
      <c r="P159" s="26"/>
      <c r="Q159" s="27"/>
      <c r="R159" s="30"/>
      <c r="S159" s="27"/>
      <c r="T159" s="30"/>
      <c r="U159" s="34"/>
      <c r="V159" s="34"/>
      <c r="X159" s="8"/>
      <c r="Y159" s="2"/>
      <c r="Z159" s="26"/>
      <c r="AA159" s="26"/>
      <c r="AB159" s="26"/>
      <c r="AC159" s="26"/>
      <c r="AD159" s="27"/>
      <c r="AE159" s="30"/>
      <c r="AF159" s="26"/>
      <c r="AG159" s="26"/>
      <c r="AH159" s="32"/>
      <c r="AJ159" s="8"/>
      <c r="AK159" s="2"/>
      <c r="AL159" s="26"/>
      <c r="AM159" s="26"/>
      <c r="AN159" s="26"/>
      <c r="AO159" s="27"/>
      <c r="AP159" s="30"/>
      <c r="AQ159" s="26"/>
      <c r="AR159" s="26"/>
      <c r="AS159" s="32"/>
      <c r="AT159" s="34"/>
    </row>
    <row r="160" spans="2:46" x14ac:dyDescent="0.3">
      <c r="B160" s="8"/>
      <c r="C160" s="2"/>
      <c r="D160" s="26"/>
      <c r="E160" s="26"/>
      <c r="F160" s="27"/>
      <c r="G160" s="26"/>
      <c r="H160" s="26"/>
      <c r="I160" s="27"/>
      <c r="J160" s="26"/>
      <c r="K160" s="26"/>
      <c r="L160" s="67"/>
      <c r="N160" s="8"/>
      <c r="O160" s="2"/>
      <c r="P160" s="26"/>
      <c r="Q160" s="27"/>
      <c r="R160" s="30"/>
      <c r="S160" s="27"/>
      <c r="T160" s="30"/>
      <c r="U160" s="34"/>
      <c r="V160" s="34"/>
      <c r="X160" s="8"/>
      <c r="Y160" s="2"/>
      <c r="Z160" s="26"/>
      <c r="AA160" s="26"/>
      <c r="AB160" s="26"/>
      <c r="AC160" s="26"/>
      <c r="AD160" s="27"/>
      <c r="AE160" s="30"/>
      <c r="AF160" s="26"/>
      <c r="AG160" s="26"/>
      <c r="AH160" s="32"/>
      <c r="AJ160" s="8"/>
      <c r="AK160" s="2"/>
      <c r="AL160" s="26"/>
      <c r="AM160" s="26"/>
      <c r="AN160" s="26"/>
      <c r="AO160" s="27"/>
      <c r="AP160" s="30"/>
      <c r="AQ160" s="26"/>
      <c r="AR160" s="26"/>
      <c r="AS160" s="32"/>
      <c r="AT160" s="34"/>
    </row>
    <row r="161" spans="2:46" x14ac:dyDescent="0.3">
      <c r="B161" s="8"/>
      <c r="C161" s="2"/>
      <c r="D161" s="26"/>
      <c r="E161" s="26"/>
      <c r="F161" s="27"/>
      <c r="G161" s="26"/>
      <c r="H161" s="26"/>
      <c r="I161" s="27"/>
      <c r="J161" s="26"/>
      <c r="K161" s="26"/>
      <c r="L161" s="67"/>
      <c r="N161" s="8"/>
      <c r="O161" s="2"/>
      <c r="P161" s="26"/>
      <c r="Q161" s="27"/>
      <c r="R161" s="30"/>
      <c r="S161" s="27"/>
      <c r="T161" s="30"/>
      <c r="U161" s="34"/>
      <c r="V161" s="34"/>
      <c r="X161" s="8"/>
      <c r="Y161" s="2"/>
      <c r="Z161" s="26"/>
      <c r="AA161" s="26"/>
      <c r="AB161" s="26"/>
      <c r="AC161" s="26"/>
      <c r="AD161" s="27"/>
      <c r="AE161" s="30"/>
      <c r="AF161" s="26"/>
      <c r="AG161" s="26"/>
      <c r="AH161" s="32"/>
      <c r="AJ161" s="8"/>
      <c r="AK161" s="2"/>
      <c r="AL161" s="26"/>
      <c r="AM161" s="26"/>
      <c r="AN161" s="26"/>
      <c r="AO161" s="27"/>
      <c r="AP161" s="30"/>
      <c r="AQ161" s="26"/>
      <c r="AR161" s="26"/>
      <c r="AS161" s="32"/>
      <c r="AT161" s="34"/>
    </row>
    <row r="162" spans="2:46" x14ac:dyDescent="0.3">
      <c r="B162" s="8"/>
      <c r="C162" s="2"/>
      <c r="D162" s="26"/>
      <c r="E162" s="26"/>
      <c r="F162" s="27"/>
      <c r="G162" s="26"/>
      <c r="H162" s="26"/>
      <c r="I162" s="27"/>
      <c r="J162" s="26"/>
      <c r="K162" s="26"/>
      <c r="L162" s="67"/>
      <c r="N162" s="8"/>
      <c r="O162" s="2"/>
      <c r="P162" s="26"/>
      <c r="Q162" s="27"/>
      <c r="R162" s="30"/>
      <c r="S162" s="27"/>
      <c r="T162" s="30"/>
      <c r="U162" s="34"/>
      <c r="V162" s="34"/>
      <c r="X162" s="8"/>
      <c r="Y162" s="2"/>
      <c r="Z162" s="26"/>
      <c r="AA162" s="26"/>
      <c r="AB162" s="26"/>
      <c r="AC162" s="26"/>
      <c r="AD162" s="27"/>
      <c r="AE162" s="30"/>
      <c r="AF162" s="26"/>
      <c r="AG162" s="26"/>
      <c r="AH162" s="32"/>
      <c r="AJ162" s="8"/>
      <c r="AK162" s="2"/>
      <c r="AL162" s="26"/>
      <c r="AM162" s="26"/>
      <c r="AN162" s="26"/>
      <c r="AO162" s="27"/>
      <c r="AP162" s="30"/>
      <c r="AQ162" s="26"/>
      <c r="AR162" s="26"/>
      <c r="AS162" s="32"/>
      <c r="AT162" s="34"/>
    </row>
    <row r="163" spans="2:46" x14ac:dyDescent="0.3">
      <c r="B163" s="8"/>
      <c r="C163" s="2"/>
      <c r="D163" s="26"/>
      <c r="E163" s="26"/>
      <c r="F163" s="27"/>
      <c r="G163" s="26"/>
      <c r="H163" s="26"/>
      <c r="I163" s="27"/>
      <c r="J163" s="26"/>
      <c r="K163" s="26"/>
      <c r="L163" s="67"/>
      <c r="N163" s="8"/>
      <c r="O163" s="2"/>
      <c r="P163" s="26"/>
      <c r="Q163" s="27"/>
      <c r="R163" s="30"/>
      <c r="S163" s="27"/>
      <c r="T163" s="30"/>
      <c r="U163" s="34"/>
      <c r="V163" s="34"/>
      <c r="X163" s="8"/>
      <c r="Y163" s="2"/>
      <c r="Z163" s="26"/>
      <c r="AA163" s="26"/>
      <c r="AB163" s="26"/>
      <c r="AC163" s="26"/>
      <c r="AD163" s="27"/>
      <c r="AE163" s="30"/>
      <c r="AF163" s="26"/>
      <c r="AG163" s="26"/>
      <c r="AH163" s="32"/>
      <c r="AJ163" s="8"/>
      <c r="AK163" s="2"/>
      <c r="AL163" s="26"/>
      <c r="AM163" s="26"/>
      <c r="AN163" s="26"/>
      <c r="AO163" s="27"/>
      <c r="AP163" s="30"/>
      <c r="AQ163" s="26"/>
      <c r="AR163" s="26"/>
      <c r="AS163" s="32"/>
      <c r="AT163" s="34"/>
    </row>
    <row r="164" spans="2:46" x14ac:dyDescent="0.3">
      <c r="B164" s="8"/>
      <c r="C164" s="2"/>
      <c r="D164" s="26"/>
      <c r="E164" s="26"/>
      <c r="F164" s="27"/>
      <c r="G164" s="26"/>
      <c r="H164" s="26"/>
      <c r="I164" s="27"/>
      <c r="J164" s="26"/>
      <c r="K164" s="26"/>
      <c r="L164" s="67"/>
      <c r="N164" s="8"/>
      <c r="O164" s="2"/>
      <c r="P164" s="26"/>
      <c r="Q164" s="27"/>
      <c r="R164" s="30"/>
      <c r="S164" s="27"/>
      <c r="T164" s="30"/>
      <c r="U164" s="34"/>
      <c r="V164" s="34"/>
      <c r="X164" s="8"/>
      <c r="Y164" s="2"/>
      <c r="Z164" s="26"/>
      <c r="AA164" s="26"/>
      <c r="AB164" s="26"/>
      <c r="AC164" s="26"/>
      <c r="AD164" s="27"/>
      <c r="AE164" s="30"/>
      <c r="AF164" s="26"/>
      <c r="AG164" s="26"/>
      <c r="AH164" s="32"/>
      <c r="AJ164" s="8"/>
      <c r="AK164" s="2"/>
      <c r="AL164" s="26"/>
      <c r="AM164" s="26"/>
      <c r="AN164" s="26"/>
      <c r="AO164" s="27"/>
      <c r="AP164" s="30"/>
      <c r="AQ164" s="26"/>
      <c r="AR164" s="26"/>
      <c r="AS164" s="32"/>
      <c r="AT164" s="34"/>
    </row>
    <row r="165" spans="2:46" x14ac:dyDescent="0.3">
      <c r="B165" s="8"/>
      <c r="C165" s="2"/>
      <c r="D165" s="26"/>
      <c r="E165" s="26"/>
      <c r="F165" s="27"/>
      <c r="G165" s="26"/>
      <c r="H165" s="26"/>
      <c r="I165" s="27"/>
      <c r="J165" s="26"/>
      <c r="K165" s="26"/>
      <c r="L165" s="67"/>
      <c r="N165" s="8"/>
      <c r="O165" s="2"/>
      <c r="P165" s="26"/>
      <c r="Q165" s="27"/>
      <c r="R165" s="30"/>
      <c r="S165" s="27"/>
      <c r="T165" s="30"/>
      <c r="U165" s="34"/>
      <c r="V165" s="34"/>
      <c r="X165" s="8"/>
      <c r="Y165" s="2"/>
      <c r="Z165" s="26"/>
      <c r="AA165" s="26"/>
      <c r="AB165" s="26"/>
      <c r="AC165" s="26"/>
      <c r="AD165" s="27"/>
      <c r="AE165" s="30"/>
      <c r="AF165" s="26"/>
      <c r="AG165" s="26"/>
      <c r="AH165" s="32"/>
      <c r="AJ165" s="8"/>
      <c r="AK165" s="2"/>
      <c r="AL165" s="26"/>
      <c r="AM165" s="26"/>
      <c r="AN165" s="26"/>
      <c r="AO165" s="27"/>
      <c r="AP165" s="30"/>
      <c r="AQ165" s="26"/>
      <c r="AR165" s="26"/>
      <c r="AS165" s="32"/>
      <c r="AT165" s="34"/>
    </row>
    <row r="166" spans="2:46" x14ac:dyDescent="0.3">
      <c r="B166" s="8"/>
      <c r="C166" s="2"/>
      <c r="D166" s="26"/>
      <c r="E166" s="26"/>
      <c r="F166" s="28"/>
      <c r="G166" s="29"/>
      <c r="H166" s="29"/>
      <c r="I166" s="28"/>
      <c r="J166" s="29"/>
      <c r="K166" s="29"/>
      <c r="L166" s="68"/>
      <c r="N166" s="8"/>
      <c r="O166" s="2"/>
      <c r="P166" s="26"/>
      <c r="Q166" s="28"/>
      <c r="R166" s="31"/>
      <c r="S166" s="28"/>
      <c r="T166" s="31"/>
      <c r="U166" s="34"/>
      <c r="V166" s="34"/>
      <c r="X166" s="8"/>
      <c r="Y166" s="2"/>
      <c r="Z166" s="26"/>
      <c r="AA166" s="26"/>
      <c r="AB166" s="26"/>
      <c r="AC166" s="26"/>
      <c r="AD166" s="28"/>
      <c r="AE166" s="31"/>
      <c r="AF166" s="26"/>
      <c r="AG166" s="26"/>
      <c r="AH166" s="33"/>
      <c r="AJ166" s="8"/>
      <c r="AK166" s="2"/>
      <c r="AL166" s="26"/>
      <c r="AM166" s="26"/>
      <c r="AN166" s="26"/>
      <c r="AO166" s="28"/>
      <c r="AP166" s="31"/>
      <c r="AQ166" s="26"/>
      <c r="AR166" s="26"/>
      <c r="AS166" s="32"/>
      <c r="AT166" s="34"/>
    </row>
    <row r="167" spans="2:46" x14ac:dyDescent="0.3">
      <c r="B167" s="22"/>
      <c r="C167" s="22"/>
      <c r="D167" s="22"/>
      <c r="E167" s="22"/>
      <c r="F167" s="22"/>
      <c r="G167" s="22"/>
      <c r="H167" s="22"/>
      <c r="I167" s="22"/>
      <c r="J167" s="22"/>
      <c r="K167" s="22"/>
      <c r="L167" s="22"/>
      <c r="N167" s="22"/>
      <c r="O167" s="22"/>
      <c r="P167" s="22"/>
      <c r="Q167" s="22"/>
      <c r="R167" s="22"/>
      <c r="S167" s="22"/>
      <c r="T167" s="22"/>
      <c r="U167" s="22"/>
      <c r="V167" s="22"/>
      <c r="X167" s="22"/>
      <c r="Y167" s="22"/>
      <c r="Z167" s="22"/>
      <c r="AA167" s="22"/>
      <c r="AB167" s="22"/>
      <c r="AC167" s="22"/>
      <c r="AD167" s="22"/>
      <c r="AE167" s="22"/>
      <c r="AF167" s="22"/>
      <c r="AG167" s="22"/>
      <c r="AH167" s="22"/>
      <c r="AJ167" s="22"/>
      <c r="AK167" s="22"/>
      <c r="AL167" s="22"/>
      <c r="AM167" s="22"/>
      <c r="AN167" s="22"/>
      <c r="AO167" s="22"/>
      <c r="AP167" s="22"/>
      <c r="AQ167" s="22"/>
      <c r="AR167" s="22"/>
      <c r="AS167" s="22"/>
      <c r="AT167" s="22"/>
    </row>
  </sheetData>
  <mergeCells count="11">
    <mergeCell ref="AF4:AG4"/>
    <mergeCell ref="AO4:AP4"/>
    <mergeCell ref="AQ4:AR4"/>
    <mergeCell ref="AS4:AT4"/>
    <mergeCell ref="D4:E4"/>
    <mergeCell ref="F4:H4"/>
    <mergeCell ref="I4:K4"/>
    <mergeCell ref="Q4:R4"/>
    <mergeCell ref="AD4:AE4"/>
    <mergeCell ref="S4:T4"/>
    <mergeCell ref="U4:V4"/>
  </mergeCells>
  <conditionalFormatting sqref="D13:K13 P13:R13 Z13:AG13 AL13:AR13">
    <cfRule type="cellIs" dxfId="164" priority="11" operator="greaterThan">
      <formula>1</formula>
    </cfRule>
  </conditionalFormatting>
  <conditionalFormatting sqref="D17:K166 Z17:AG166 AL17:AR166">
    <cfRule type="cellIs" dxfId="163" priority="12" operator="lessThan">
      <formula>0</formula>
    </cfRule>
    <cfRule type="cellIs" dxfId="162" priority="13" operator="greaterThan">
      <formula>0</formula>
    </cfRule>
  </conditionalFormatting>
  <conditionalFormatting sqref="U17:V166">
    <cfRule type="cellIs" dxfId="161" priority="9" operator="greaterThan">
      <formula>1</formula>
    </cfRule>
  </conditionalFormatting>
  <conditionalFormatting sqref="AH17:AH166">
    <cfRule type="cellIs" dxfId="160" priority="8" operator="greaterThan">
      <formula>1</formula>
    </cfRule>
  </conditionalFormatting>
  <conditionalFormatting sqref="AS17:AT166">
    <cfRule type="cellIs" dxfId="159" priority="6" operator="greaterThan">
      <formula>1</formula>
    </cfRule>
  </conditionalFormatting>
  <conditionalFormatting sqref="BA7:BA24 P17:T166">
    <cfRule type="cellIs" dxfId="156" priority="3" operator="lessThan">
      <formula>0</formula>
    </cfRule>
    <cfRule type="cellIs" dxfId="155" priority="4" operator="greaterThan">
      <formula>0</formula>
    </cfRule>
  </conditionalFormatting>
  <conditionalFormatting sqref="BB7:BB24 L17:L166">
    <cfRule type="cellIs" dxfId="154" priority="5" operator="greaterThan">
      <formula>1</formula>
    </cfRule>
  </conditionalFormatting>
  <dataValidations count="4">
    <dataValidation type="whole" errorStyle="information" allowBlank="1" showInputMessage="1" showErrorMessage="1" errorTitle="Must select 1 or 2" error="1 = Multiplicative_x000a_2 = Additive" sqref="AL13:AR13 Z13:AG13 P13:R13 D13:K13 BB7:BB24" xr:uid="{C23349FC-4EB3-4921-A962-8E933036A5B1}">
      <formula1>1</formula1>
      <formula2>2</formula2>
    </dataValidation>
    <dataValidation type="decimal" errorStyle="information" allowBlank="1" showInputMessage="1" showErrorMessage="1" errorTitle="Must select a number" error="Cannot choose letters or special characters." sqref="D17:K166 P17:T166 BA7:BA24 Z17:AG166 AO17:AR166 AL17:AN37" xr:uid="{364ADE4F-0C3C-454B-9375-1C9BAB424F48}">
      <formula1>-1000000000</formula1>
      <formula2>1000000000</formula2>
    </dataValidation>
    <dataValidation type="whole" errorStyle="information" allowBlank="1" showInputMessage="1" showErrorMessage="1" errorTitle="Must select 1 or 2" error="1 = Included in shock_x000a_2 = Excluded" sqref="U17:U166" xr:uid="{DBBDFFC0-2D96-4574-95B8-CF69813F171D}">
      <formula1>1</formula1>
      <formula2>2</formula2>
    </dataValidation>
    <dataValidation type="whole" errorStyle="information" allowBlank="1" showInputMessage="1" showErrorMessage="1" errorTitle="Must select 1 or 2" error="1 = Included in closure_x000a_2 = Excluded" sqref="V17:V166 AH17:AH166 L17:L166 AS17:AT166" xr:uid="{8C8C2304-1409-4D2F-9DEF-FB7A12D722B6}">
      <formula1>1</formula1>
      <formula2>2</formula2>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cellIs" priority="15" operator="equal" id="{9F47C8FC-0F82-4F96-AD00-E1609A73B83F}">
            <xm:f>Notes!$L$4</xm:f>
            <x14:dxf>
              <font>
                <b val="0"/>
                <i val="0"/>
                <strike val="0"/>
                <color theme="0" tint="-0.34998626667073579"/>
              </font>
              <fill>
                <patternFill patternType="none">
                  <bgColor auto="1"/>
                </patternFill>
              </fill>
            </x14:dxf>
          </x14:cfRule>
          <xm:sqref>AY7:AY24 D8:K8 P8:T8 Z8:AG8 AL8:AR8</xm:sqref>
        </x14:conditionalFormatting>
        <x14:conditionalFormatting xmlns:xm="http://schemas.microsoft.com/office/excel/2006/main">
          <x14:cfRule type="cellIs" priority="14" operator="equal" id="{3A07D2C2-808F-4FE2-80C4-C5529C47EEFB}">
            <xm:f>Notes!$L$5</xm:f>
            <x14:dxf>
              <font>
                <b val="0"/>
                <i val="0"/>
                <strike val="0"/>
                <color theme="0" tint="-0.34998626667073579"/>
              </font>
              <fill>
                <patternFill patternType="none">
                  <bgColor auto="1"/>
                </patternFill>
              </fill>
            </x14:dxf>
          </x14:cfRule>
          <xm:sqref>AZ7:AZ24 D9:K9 P9:T9 Z9:AG9 AL9:AR9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Out of range" error="Time periods must fall within the range specified on the &quot;Base&quot; worksheet." xr:uid="{9ECECAFB-452C-4BC1-95EB-3E20227EDB4E}">
          <x14:formula1>
            <xm:f>Main!$H$5:$H$58</xm:f>
          </x14:formula1>
          <xm:sqref>D8:K9 AY7:AZ24 AL8:AR9 P8:T9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3D294-EFC5-48AB-8873-48483293279D}">
  <sheetPr>
    <tabColor theme="8" tint="-0.499984740745262"/>
  </sheetPr>
  <dimension ref="A1:BE167"/>
  <sheetViews>
    <sheetView zoomScale="55" zoomScaleNormal="55" workbookViewId="0">
      <pane ySplit="16" topLeftCell="A17" activePane="bottomLeft" state="frozen"/>
      <selection activeCell="V17" sqref="V17"/>
      <selection pane="bottomLeft" activeCell="V17" sqref="V17"/>
    </sheetView>
  </sheetViews>
  <sheetFormatPr defaultColWidth="0" defaultRowHeight="14.4" zeroHeight="1" x14ac:dyDescent="0.3"/>
  <cols>
    <col min="1" max="2" width="2.44140625" customWidth="1"/>
    <col min="3" max="12" width="9.109375" customWidth="1"/>
    <col min="13" max="14" width="2.44140625" customWidth="1"/>
    <col min="15" max="22" width="9.109375" customWidth="1"/>
    <col min="23" max="24" width="2.44140625" customWidth="1"/>
    <col min="25" max="34" width="9.109375" customWidth="1"/>
    <col min="35" max="36" width="2.44140625" customWidth="1"/>
    <col min="37" max="37" width="11.77734375" customWidth="1"/>
    <col min="38" max="46" width="9.109375" customWidth="1"/>
    <col min="47" max="48" width="2.44140625" customWidth="1"/>
    <col min="49" max="49" width="18.88671875" bestFit="1" customWidth="1"/>
    <col min="50" max="54" width="9.109375" customWidth="1"/>
    <col min="55" max="55" width="2.44140625" customWidth="1"/>
    <col min="56" max="57" width="0" hidden="1" customWidth="1"/>
    <col min="58" max="16384" width="9.109375" hidden="1"/>
  </cols>
  <sheetData>
    <row r="1" spans="1:55" ht="18" x14ac:dyDescent="0.35">
      <c r="A1" s="6" t="str">
        <f>"Simulation "&amp;AC1&amp;IF(AD1&lt;&gt;""," : "&amp;AD1,"")</f>
        <v>Simulation sim2</v>
      </c>
      <c r="B1" s="6"/>
      <c r="C1" s="4"/>
      <c r="D1" s="4"/>
      <c r="E1" s="4"/>
      <c r="F1" s="4"/>
      <c r="G1" s="4"/>
      <c r="H1" s="4"/>
      <c r="I1" s="4"/>
      <c r="J1" s="4"/>
      <c r="K1" s="4"/>
      <c r="L1" s="4"/>
      <c r="M1" s="4"/>
      <c r="N1" s="4"/>
      <c r="O1" s="4"/>
      <c r="P1" s="4"/>
      <c r="Q1" s="4"/>
      <c r="R1" s="4"/>
      <c r="S1" s="4"/>
      <c r="T1" s="4"/>
      <c r="U1" s="4"/>
      <c r="V1" s="4"/>
      <c r="W1" s="4"/>
      <c r="X1" s="4"/>
      <c r="Y1" s="4"/>
      <c r="Z1" s="4"/>
      <c r="AA1" s="4"/>
      <c r="AB1" s="4"/>
      <c r="AC1" s="4" t="str">
        <f>Main!C8</f>
        <v>sim2</v>
      </c>
      <c r="AD1" s="4" t="str">
        <f>IF(Main!E8&lt;&gt;"",Main!E8,"")</f>
        <v/>
      </c>
      <c r="AE1" s="4"/>
      <c r="AF1" s="4"/>
      <c r="AG1" s="4"/>
      <c r="AH1" s="4"/>
      <c r="AI1" s="4"/>
      <c r="AJ1" s="4"/>
      <c r="AK1" s="4"/>
      <c r="AL1" s="4"/>
      <c r="AM1" s="4"/>
      <c r="AN1" s="4"/>
      <c r="AO1" s="4"/>
      <c r="AP1" s="4"/>
      <c r="AQ1" s="4"/>
      <c r="AR1" s="4"/>
      <c r="AS1" s="4"/>
      <c r="AT1" s="4"/>
      <c r="AU1" s="4"/>
      <c r="AV1" s="4"/>
      <c r="AW1" s="4"/>
      <c r="AX1" s="4"/>
      <c r="AY1" s="4"/>
      <c r="AZ1" s="4"/>
      <c r="BA1" s="4"/>
      <c r="BB1" s="4"/>
      <c r="BC1" s="4"/>
    </row>
    <row r="2" spans="1:55" x14ac:dyDescent="0.3"/>
    <row r="3" spans="1:55" ht="15.6" x14ac:dyDescent="0.3">
      <c r="B3" s="7"/>
      <c r="C3" s="17" t="s">
        <v>55</v>
      </c>
      <c r="D3" s="36"/>
      <c r="E3" s="36"/>
      <c r="F3" s="36"/>
      <c r="G3" s="36"/>
      <c r="H3" s="36"/>
      <c r="I3" s="36"/>
      <c r="J3" s="36"/>
      <c r="K3" s="36"/>
      <c r="L3" s="36"/>
      <c r="N3" s="7"/>
      <c r="O3" s="17" t="s">
        <v>56</v>
      </c>
      <c r="P3" s="36"/>
      <c r="Q3" s="36"/>
      <c r="R3" s="36"/>
      <c r="S3" s="36"/>
      <c r="T3" s="36"/>
      <c r="U3" s="36"/>
      <c r="V3" s="36"/>
      <c r="X3" s="7"/>
      <c r="Y3" s="17" t="s">
        <v>57</v>
      </c>
      <c r="Z3" s="36"/>
      <c r="AA3" s="36"/>
      <c r="AB3" s="36"/>
      <c r="AC3" s="36"/>
      <c r="AD3" s="36"/>
      <c r="AE3" s="36"/>
      <c r="AF3" s="36"/>
      <c r="AG3" s="36"/>
      <c r="AH3" s="36"/>
      <c r="AJ3" s="7"/>
      <c r="AK3" s="17" t="s">
        <v>283</v>
      </c>
      <c r="AL3" s="36"/>
      <c r="AM3" s="36"/>
      <c r="AN3" s="36"/>
      <c r="AO3" s="36"/>
      <c r="AP3" s="36"/>
      <c r="AQ3" s="36"/>
      <c r="AR3" s="36"/>
      <c r="AS3" s="36"/>
      <c r="AT3" s="36"/>
      <c r="AV3" s="7"/>
      <c r="AW3" s="17" t="s">
        <v>125</v>
      </c>
      <c r="AX3" s="36"/>
      <c r="AY3" s="36"/>
      <c r="AZ3" s="36"/>
      <c r="BA3" s="36"/>
      <c r="BB3" s="36"/>
    </row>
    <row r="4" spans="1:55" x14ac:dyDescent="0.3">
      <c r="B4" s="14"/>
      <c r="C4" s="9"/>
      <c r="D4" s="74" t="s">
        <v>58</v>
      </c>
      <c r="E4" s="74"/>
      <c r="F4" s="75" t="s">
        <v>59</v>
      </c>
      <c r="G4" s="74"/>
      <c r="H4" s="74"/>
      <c r="I4" s="75" t="s">
        <v>7</v>
      </c>
      <c r="J4" s="74"/>
      <c r="K4" s="74"/>
      <c r="L4" s="37" t="s">
        <v>103</v>
      </c>
      <c r="N4" s="14"/>
      <c r="O4" s="9"/>
      <c r="P4" s="38" t="s">
        <v>60</v>
      </c>
      <c r="Q4" s="75" t="s">
        <v>61</v>
      </c>
      <c r="R4" s="76"/>
      <c r="S4" s="75" t="s">
        <v>646</v>
      </c>
      <c r="T4" s="74"/>
      <c r="U4" s="75" t="s">
        <v>103</v>
      </c>
      <c r="V4" s="74"/>
      <c r="X4" s="14"/>
      <c r="Y4" s="9"/>
      <c r="Z4" s="38" t="s">
        <v>63</v>
      </c>
      <c r="AA4" s="38" t="s">
        <v>62</v>
      </c>
      <c r="AB4" s="38" t="s">
        <v>311</v>
      </c>
      <c r="AC4" s="38" t="s">
        <v>62</v>
      </c>
      <c r="AD4" s="75" t="s">
        <v>126</v>
      </c>
      <c r="AE4" s="76"/>
      <c r="AF4" s="74" t="s">
        <v>127</v>
      </c>
      <c r="AG4" s="74"/>
      <c r="AH4" s="37" t="s">
        <v>103</v>
      </c>
      <c r="AJ4" s="14"/>
      <c r="AK4" s="9"/>
      <c r="AL4" s="38" t="s">
        <v>132</v>
      </c>
      <c r="AM4" s="38" t="s">
        <v>99</v>
      </c>
      <c r="AN4" s="38" t="s">
        <v>289</v>
      </c>
      <c r="AO4" s="75" t="s">
        <v>126</v>
      </c>
      <c r="AP4" s="76"/>
      <c r="AQ4" s="74" t="s">
        <v>127</v>
      </c>
      <c r="AR4" s="74"/>
      <c r="AS4" s="75" t="s">
        <v>103</v>
      </c>
      <c r="AT4" s="74"/>
      <c r="AV4" s="8"/>
      <c r="AY4" s="39" t="s">
        <v>335</v>
      </c>
      <c r="AZ4" s="39" t="s">
        <v>336</v>
      </c>
      <c r="BA4" s="39" t="s">
        <v>300</v>
      </c>
      <c r="BB4" s="39" t="s">
        <v>304</v>
      </c>
    </row>
    <row r="5" spans="1:55" x14ac:dyDescent="0.3">
      <c r="B5" s="14"/>
      <c r="C5" s="9"/>
      <c r="D5" s="40" t="s">
        <v>64</v>
      </c>
      <c r="E5" s="40" t="s">
        <v>65</v>
      </c>
      <c r="F5" s="41" t="s">
        <v>64</v>
      </c>
      <c r="G5" s="40" t="s">
        <v>65</v>
      </c>
      <c r="H5" s="40" t="s">
        <v>66</v>
      </c>
      <c r="I5" s="41" t="s">
        <v>64</v>
      </c>
      <c r="J5" s="40" t="s">
        <v>65</v>
      </c>
      <c r="K5" s="40" t="s">
        <v>67</v>
      </c>
      <c r="L5" s="41" t="s">
        <v>100</v>
      </c>
      <c r="N5" s="14"/>
      <c r="O5" s="9"/>
      <c r="P5" s="40"/>
      <c r="Q5" s="41" t="s">
        <v>68</v>
      </c>
      <c r="R5" s="42" t="s">
        <v>124</v>
      </c>
      <c r="S5" s="40" t="s">
        <v>284</v>
      </c>
      <c r="T5" s="40" t="s">
        <v>286</v>
      </c>
      <c r="U5" s="69" t="s">
        <v>313</v>
      </c>
      <c r="V5" s="40" t="s">
        <v>100</v>
      </c>
      <c r="X5" s="14"/>
      <c r="Y5" s="9"/>
      <c r="Z5" s="38" t="s">
        <v>70</v>
      </c>
      <c r="AA5" s="38" t="s">
        <v>71</v>
      </c>
      <c r="AB5" s="38" t="s">
        <v>312</v>
      </c>
      <c r="AC5" s="38" t="s">
        <v>69</v>
      </c>
      <c r="AD5" s="41" t="s">
        <v>86</v>
      </c>
      <c r="AE5" s="42" t="s">
        <v>87</v>
      </c>
      <c r="AF5" s="40" t="s">
        <v>86</v>
      </c>
      <c r="AG5" s="40" t="s">
        <v>87</v>
      </c>
      <c r="AH5" s="41" t="s">
        <v>100</v>
      </c>
      <c r="AJ5" s="14"/>
      <c r="AK5" s="9"/>
      <c r="AL5" s="38" t="s">
        <v>134</v>
      </c>
      <c r="AM5" s="38" t="s">
        <v>70</v>
      </c>
      <c r="AN5" s="38" t="s">
        <v>123</v>
      </c>
      <c r="AO5" s="41" t="s">
        <v>86</v>
      </c>
      <c r="AP5" s="42" t="s">
        <v>87</v>
      </c>
      <c r="AQ5" s="40" t="s">
        <v>86</v>
      </c>
      <c r="AR5" s="40" t="s">
        <v>87</v>
      </c>
      <c r="AS5" s="41" t="s">
        <v>99</v>
      </c>
      <c r="AT5" s="40" t="s">
        <v>100</v>
      </c>
      <c r="AV5" s="8"/>
      <c r="BA5" s="43"/>
      <c r="BB5" s="44" t="s">
        <v>305</v>
      </c>
    </row>
    <row r="6" spans="1:55" x14ac:dyDescent="0.3">
      <c r="B6" s="8"/>
      <c r="F6" s="45"/>
      <c r="I6" s="45"/>
      <c r="L6" s="45"/>
      <c r="N6" s="8"/>
      <c r="Q6" s="45"/>
      <c r="R6" s="46"/>
      <c r="U6" s="70"/>
      <c r="X6" s="8"/>
      <c r="AD6" s="45"/>
      <c r="AE6" s="46"/>
      <c r="AH6" s="45"/>
      <c r="AJ6" s="8"/>
      <c r="AO6" s="45"/>
      <c r="AP6" s="46"/>
      <c r="AS6" s="45"/>
      <c r="AV6" s="8"/>
      <c r="AW6" s="47" t="s">
        <v>303</v>
      </c>
      <c r="AX6" s="48"/>
      <c r="AY6" s="49" t="s">
        <v>337</v>
      </c>
      <c r="AZ6" s="49" t="s">
        <v>338</v>
      </c>
      <c r="BA6" s="49" t="s">
        <v>206</v>
      </c>
      <c r="BB6" s="49" t="s">
        <v>207</v>
      </c>
    </row>
    <row r="7" spans="1:55" x14ac:dyDescent="0.3">
      <c r="B7" s="8"/>
      <c r="D7" s="50" t="s">
        <v>72</v>
      </c>
      <c r="E7" s="50" t="s">
        <v>73</v>
      </c>
      <c r="F7" s="51" t="s">
        <v>74</v>
      </c>
      <c r="G7" s="50" t="s">
        <v>75</v>
      </c>
      <c r="H7" s="50" t="s">
        <v>76</v>
      </c>
      <c r="I7" s="51" t="s">
        <v>77</v>
      </c>
      <c r="J7" s="50" t="s">
        <v>78</v>
      </c>
      <c r="K7" s="50" t="s">
        <v>79</v>
      </c>
      <c r="L7" s="45"/>
      <c r="N7" s="8"/>
      <c r="P7" s="50" t="s">
        <v>81</v>
      </c>
      <c r="Q7" s="51" t="s">
        <v>82</v>
      </c>
      <c r="R7" s="52" t="s">
        <v>621</v>
      </c>
      <c r="S7" s="50" t="s">
        <v>80</v>
      </c>
      <c r="T7" s="50" t="s">
        <v>285</v>
      </c>
      <c r="U7" s="70"/>
      <c r="X7" s="8"/>
      <c r="Z7" s="50" t="s">
        <v>84</v>
      </c>
      <c r="AA7" s="50" t="s">
        <v>85</v>
      </c>
      <c r="AB7" s="50" t="s">
        <v>310</v>
      </c>
      <c r="AC7" s="50" t="s">
        <v>83</v>
      </c>
      <c r="AD7" s="51" t="s">
        <v>130</v>
      </c>
      <c r="AE7" s="52" t="s">
        <v>131</v>
      </c>
      <c r="AF7" s="50" t="s">
        <v>128</v>
      </c>
      <c r="AG7" s="50" t="s">
        <v>129</v>
      </c>
      <c r="AH7" s="45"/>
      <c r="AJ7" s="8"/>
      <c r="AL7" s="50" t="s">
        <v>133</v>
      </c>
      <c r="AM7" s="50" t="s">
        <v>101</v>
      </c>
      <c r="AN7" s="50" t="s">
        <v>622</v>
      </c>
      <c r="AO7" s="51" t="s">
        <v>130</v>
      </c>
      <c r="AP7" s="52" t="s">
        <v>131</v>
      </c>
      <c r="AQ7" s="50" t="s">
        <v>128</v>
      </c>
      <c r="AR7" s="50" t="s">
        <v>129</v>
      </c>
      <c r="AS7" s="45"/>
      <c r="AV7" s="8"/>
      <c r="AW7" s="9" t="s">
        <v>88</v>
      </c>
      <c r="AX7" s="53" t="s">
        <v>89</v>
      </c>
      <c r="AY7" s="63">
        <f>Notes!$L$4</f>
        <v>2024</v>
      </c>
      <c r="AZ7" s="63">
        <f>Notes!$L$5</f>
        <v>2040</v>
      </c>
      <c r="BA7" s="26">
        <v>0</v>
      </c>
      <c r="BB7" s="34">
        <v>1</v>
      </c>
    </row>
    <row r="8" spans="1:55" x14ac:dyDescent="0.3">
      <c r="B8" s="8"/>
      <c r="C8" s="1" t="s">
        <v>339</v>
      </c>
      <c r="D8" s="63">
        <f>Notes!$L4</f>
        <v>2024</v>
      </c>
      <c r="E8" s="63">
        <f>Notes!$L4</f>
        <v>2024</v>
      </c>
      <c r="F8" s="64">
        <f>Notes!$L4</f>
        <v>2024</v>
      </c>
      <c r="G8" s="63">
        <f>Notes!$L4</f>
        <v>2024</v>
      </c>
      <c r="H8" s="63">
        <f>Notes!$L4</f>
        <v>2024</v>
      </c>
      <c r="I8" s="64">
        <f>Notes!$L4</f>
        <v>2024</v>
      </c>
      <c r="J8" s="63">
        <f>Notes!$L4</f>
        <v>2024</v>
      </c>
      <c r="K8" s="63">
        <f>Notes!$L4</f>
        <v>2024</v>
      </c>
      <c r="L8" s="45"/>
      <c r="N8" s="8"/>
      <c r="O8" s="1" t="s">
        <v>339</v>
      </c>
      <c r="P8" s="63">
        <f>Notes!$L4</f>
        <v>2024</v>
      </c>
      <c r="Q8" s="64">
        <f>Notes!$L4</f>
        <v>2024</v>
      </c>
      <c r="R8" s="63">
        <f>Notes!$L4</f>
        <v>2024</v>
      </c>
      <c r="S8" s="64">
        <f>Notes!$L4</f>
        <v>2024</v>
      </c>
      <c r="T8" s="63">
        <f>Notes!$L4</f>
        <v>2024</v>
      </c>
      <c r="U8" s="70"/>
      <c r="X8" s="8"/>
      <c r="Y8" s="1" t="s">
        <v>339</v>
      </c>
      <c r="Z8" s="63">
        <f>Notes!$L4</f>
        <v>2024</v>
      </c>
      <c r="AA8" s="63">
        <f>Notes!$L4</f>
        <v>2024</v>
      </c>
      <c r="AB8" s="63">
        <f>Notes!$L4</f>
        <v>2024</v>
      </c>
      <c r="AC8" s="63">
        <f>Notes!$L4</f>
        <v>2024</v>
      </c>
      <c r="AD8" s="64">
        <f>Notes!$L4</f>
        <v>2024</v>
      </c>
      <c r="AE8" s="63">
        <f>Notes!$L4</f>
        <v>2024</v>
      </c>
      <c r="AF8" s="64">
        <f>Notes!$L4</f>
        <v>2024</v>
      </c>
      <c r="AG8" s="63">
        <f>Notes!$L4</f>
        <v>2024</v>
      </c>
      <c r="AH8" s="45"/>
      <c r="AJ8" s="8"/>
      <c r="AK8" s="1" t="s">
        <v>339</v>
      </c>
      <c r="AL8" s="63">
        <f>Notes!$L4</f>
        <v>2024</v>
      </c>
      <c r="AM8" s="63">
        <f>Notes!$L4</f>
        <v>2024</v>
      </c>
      <c r="AN8" s="63">
        <f>Notes!$L4</f>
        <v>2024</v>
      </c>
      <c r="AO8" s="64">
        <f>Notes!$L4</f>
        <v>2024</v>
      </c>
      <c r="AP8" s="63">
        <f>Notes!$L4</f>
        <v>2024</v>
      </c>
      <c r="AQ8" s="64">
        <f>Notes!$L$4</f>
        <v>2024</v>
      </c>
      <c r="AR8" s="63">
        <f>Notes!$L4</f>
        <v>2024</v>
      </c>
      <c r="AS8" s="45"/>
      <c r="AV8" s="8"/>
      <c r="AW8" s="9" t="s">
        <v>92</v>
      </c>
      <c r="AX8" s="53" t="s">
        <v>93</v>
      </c>
      <c r="AY8" s="63">
        <f>Notes!$L$4</f>
        <v>2024</v>
      </c>
      <c r="AZ8" s="63">
        <f>Notes!$L$5</f>
        <v>2040</v>
      </c>
      <c r="BA8" s="26">
        <v>0</v>
      </c>
      <c r="BB8" s="34">
        <v>1</v>
      </c>
    </row>
    <row r="9" spans="1:55" x14ac:dyDescent="0.3">
      <c r="B9" s="8"/>
      <c r="C9" s="1" t="s">
        <v>340</v>
      </c>
      <c r="D9" s="63">
        <f>Notes!$L5</f>
        <v>2040</v>
      </c>
      <c r="E9" s="63">
        <f>Notes!$L5</f>
        <v>2040</v>
      </c>
      <c r="F9" s="64">
        <f>Notes!$L5</f>
        <v>2040</v>
      </c>
      <c r="G9" s="63">
        <f>Notes!$L5</f>
        <v>2040</v>
      </c>
      <c r="H9" s="63">
        <f>Notes!$L5</f>
        <v>2040</v>
      </c>
      <c r="I9" s="64">
        <f>Notes!$L5</f>
        <v>2040</v>
      </c>
      <c r="J9" s="63">
        <f>Notes!$L5</f>
        <v>2040</v>
      </c>
      <c r="K9" s="63">
        <f>Notes!$L5</f>
        <v>2040</v>
      </c>
      <c r="L9" s="45"/>
      <c r="N9" s="8"/>
      <c r="O9" s="1" t="s">
        <v>340</v>
      </c>
      <c r="P9" s="63">
        <f>Notes!$L5</f>
        <v>2040</v>
      </c>
      <c r="Q9" s="64">
        <f>Notes!$L5</f>
        <v>2040</v>
      </c>
      <c r="R9" s="63">
        <f>Notes!$L5</f>
        <v>2040</v>
      </c>
      <c r="S9" s="64">
        <f>Notes!$L5</f>
        <v>2040</v>
      </c>
      <c r="T9" s="63">
        <f>Notes!$L5</f>
        <v>2040</v>
      </c>
      <c r="U9" s="70"/>
      <c r="X9" s="8"/>
      <c r="Y9" s="1" t="s">
        <v>340</v>
      </c>
      <c r="Z9" s="63">
        <f>Notes!$L5</f>
        <v>2040</v>
      </c>
      <c r="AA9" s="63">
        <f>Notes!$L5</f>
        <v>2040</v>
      </c>
      <c r="AB9" s="63">
        <f>Notes!$L5</f>
        <v>2040</v>
      </c>
      <c r="AC9" s="63">
        <f>Notes!$L5</f>
        <v>2040</v>
      </c>
      <c r="AD9" s="64">
        <f>Notes!$L5</f>
        <v>2040</v>
      </c>
      <c r="AE9" s="63">
        <f>Notes!$L5</f>
        <v>2040</v>
      </c>
      <c r="AF9" s="64">
        <f>Notes!$L5</f>
        <v>2040</v>
      </c>
      <c r="AG9" s="63">
        <f>Notes!$L5</f>
        <v>2040</v>
      </c>
      <c r="AH9" s="45"/>
      <c r="AJ9" s="8"/>
      <c r="AK9" s="1" t="s">
        <v>340</v>
      </c>
      <c r="AL9" s="63">
        <f>Notes!$L5</f>
        <v>2040</v>
      </c>
      <c r="AM9" s="63">
        <f>Notes!$L5</f>
        <v>2040</v>
      </c>
      <c r="AN9" s="63">
        <f>Notes!$L5</f>
        <v>2040</v>
      </c>
      <c r="AO9" s="64">
        <f>Notes!$L5</f>
        <v>2040</v>
      </c>
      <c r="AP9" s="63">
        <f>Notes!$L5</f>
        <v>2040</v>
      </c>
      <c r="AQ9" s="64">
        <f>Notes!$L5</f>
        <v>2040</v>
      </c>
      <c r="AR9" s="63">
        <f>Notes!$L5</f>
        <v>2040</v>
      </c>
      <c r="AS9" s="45"/>
      <c r="AV9" s="8"/>
      <c r="AW9" s="9" t="s">
        <v>90</v>
      </c>
      <c r="AX9" s="53" t="s">
        <v>91</v>
      </c>
      <c r="AY9" s="63">
        <f>Notes!$L$4</f>
        <v>2024</v>
      </c>
      <c r="AZ9" s="63">
        <f>Notes!$L$5</f>
        <v>2040</v>
      </c>
      <c r="BA9" s="26">
        <v>0</v>
      </c>
      <c r="BB9" s="34">
        <v>1</v>
      </c>
    </row>
    <row r="10" spans="1:55" x14ac:dyDescent="0.3">
      <c r="B10" s="8"/>
      <c r="F10" s="45"/>
      <c r="I10" s="45"/>
      <c r="L10" s="45"/>
      <c r="N10" s="8"/>
      <c r="Q10" s="45"/>
      <c r="R10" s="46"/>
      <c r="U10" s="70"/>
      <c r="X10" s="8"/>
      <c r="AD10" s="45"/>
      <c r="AE10" s="46"/>
      <c r="AH10" s="45"/>
      <c r="AJ10" s="8"/>
      <c r="AO10" s="45"/>
      <c r="AP10" s="46"/>
      <c r="AS10" s="45"/>
      <c r="AV10" s="8"/>
      <c r="AW10" s="9" t="s">
        <v>298</v>
      </c>
      <c r="AX10" s="53" t="s">
        <v>299</v>
      </c>
      <c r="AY10" s="63">
        <f>Notes!$L$4</f>
        <v>2024</v>
      </c>
      <c r="AZ10" s="63">
        <f>Notes!$L$5</f>
        <v>2040</v>
      </c>
      <c r="BA10" s="26">
        <v>0</v>
      </c>
      <c r="BB10" s="34">
        <v>1</v>
      </c>
    </row>
    <row r="11" spans="1:55" x14ac:dyDescent="0.3">
      <c r="B11" s="8"/>
      <c r="C11" s="54" t="s">
        <v>302</v>
      </c>
      <c r="D11" s="55"/>
      <c r="E11" s="55"/>
      <c r="F11" s="56"/>
      <c r="G11" s="55"/>
      <c r="H11" s="55"/>
      <c r="I11" s="56"/>
      <c r="J11" s="55"/>
      <c r="K11" s="55"/>
      <c r="L11" s="56"/>
      <c r="N11" s="8"/>
      <c r="O11" s="54" t="s">
        <v>302</v>
      </c>
      <c r="P11" s="53"/>
      <c r="Q11" s="57"/>
      <c r="R11" s="58"/>
      <c r="S11" s="53"/>
      <c r="T11" s="53"/>
      <c r="U11" s="71"/>
      <c r="V11" s="53"/>
      <c r="X11" s="8"/>
      <c r="Y11" s="54" t="s">
        <v>302</v>
      </c>
      <c r="Z11" s="53"/>
      <c r="AA11" s="53"/>
      <c r="AB11" s="53"/>
      <c r="AC11" s="53"/>
      <c r="AD11" s="57"/>
      <c r="AE11" s="58"/>
      <c r="AF11" s="53"/>
      <c r="AG11" s="53"/>
      <c r="AH11" s="56"/>
      <c r="AJ11" s="8"/>
      <c r="AK11" s="54" t="s">
        <v>302</v>
      </c>
      <c r="AL11" s="54"/>
      <c r="AM11" s="59"/>
      <c r="AN11" s="53"/>
      <c r="AO11" s="57"/>
      <c r="AP11" s="58"/>
      <c r="AQ11" s="53"/>
      <c r="AR11" s="53"/>
      <c r="AS11" s="57"/>
      <c r="AT11" s="53"/>
      <c r="AV11" s="8"/>
      <c r="AW11" s="9" t="s">
        <v>98</v>
      </c>
      <c r="AX11" s="53" t="s">
        <v>101</v>
      </c>
      <c r="AY11" s="63">
        <f>Notes!$L$4</f>
        <v>2024</v>
      </c>
      <c r="AZ11" s="63">
        <f>Notes!$L$5</f>
        <v>2040</v>
      </c>
      <c r="BA11" s="26">
        <v>0</v>
      </c>
      <c r="BB11" s="34">
        <v>1</v>
      </c>
    </row>
    <row r="12" spans="1:55" x14ac:dyDescent="0.3">
      <c r="B12" s="8"/>
      <c r="C12" s="54"/>
      <c r="D12" s="50" t="s">
        <v>72</v>
      </c>
      <c r="E12" s="50" t="s">
        <v>73</v>
      </c>
      <c r="F12" s="51" t="s">
        <v>74</v>
      </c>
      <c r="G12" s="50" t="s">
        <v>75</v>
      </c>
      <c r="H12" s="50" t="s">
        <v>76</v>
      </c>
      <c r="I12" s="51" t="s">
        <v>77</v>
      </c>
      <c r="J12" s="50" t="s">
        <v>78</v>
      </c>
      <c r="K12" s="50" t="s">
        <v>79</v>
      </c>
      <c r="L12" s="56"/>
      <c r="N12" s="8"/>
      <c r="O12" s="54"/>
      <c r="P12" s="50" t="s">
        <v>81</v>
      </c>
      <c r="Q12" s="51" t="s">
        <v>82</v>
      </c>
      <c r="R12" s="52" t="s">
        <v>621</v>
      </c>
      <c r="S12" s="53"/>
      <c r="T12" s="53"/>
      <c r="U12" s="71"/>
      <c r="V12" s="53"/>
      <c r="X12" s="8"/>
      <c r="Y12" s="54"/>
      <c r="Z12" s="50" t="s">
        <v>84</v>
      </c>
      <c r="AA12" s="50" t="s">
        <v>85</v>
      </c>
      <c r="AB12" s="50" t="s">
        <v>310</v>
      </c>
      <c r="AC12" s="50" t="s">
        <v>83</v>
      </c>
      <c r="AD12" s="51" t="s">
        <v>130</v>
      </c>
      <c r="AE12" s="52" t="s">
        <v>131</v>
      </c>
      <c r="AF12" s="50" t="s">
        <v>128</v>
      </c>
      <c r="AG12" s="50" t="s">
        <v>129</v>
      </c>
      <c r="AH12" s="56"/>
      <c r="AJ12" s="8"/>
      <c r="AK12" s="54"/>
      <c r="AL12" s="50" t="s">
        <v>133</v>
      </c>
      <c r="AM12" s="50" t="s">
        <v>101</v>
      </c>
      <c r="AN12" s="50" t="s">
        <v>622</v>
      </c>
      <c r="AO12" s="51" t="s">
        <v>130</v>
      </c>
      <c r="AP12" s="52" t="s">
        <v>131</v>
      </c>
      <c r="AQ12" s="50" t="s">
        <v>128</v>
      </c>
      <c r="AR12" s="50" t="s">
        <v>129</v>
      </c>
      <c r="AS12" s="57"/>
      <c r="AT12" s="53"/>
      <c r="AV12" s="8"/>
      <c r="AW12" s="9" t="s">
        <v>94</v>
      </c>
      <c r="AX12" s="53" t="s">
        <v>95</v>
      </c>
      <c r="AY12" s="63">
        <f>Notes!$L$4</f>
        <v>2024</v>
      </c>
      <c r="AZ12" s="63">
        <f>Notes!$L$5</f>
        <v>2040</v>
      </c>
      <c r="BA12" s="26">
        <v>0</v>
      </c>
      <c r="BB12" s="34">
        <v>1</v>
      </c>
    </row>
    <row r="13" spans="1:55" x14ac:dyDescent="0.3">
      <c r="B13" s="8"/>
      <c r="C13" s="55"/>
      <c r="D13" s="34">
        <v>1</v>
      </c>
      <c r="E13" s="34">
        <v>1</v>
      </c>
      <c r="F13" s="32">
        <v>1</v>
      </c>
      <c r="G13" s="34">
        <v>1</v>
      </c>
      <c r="H13" s="34">
        <v>1</v>
      </c>
      <c r="I13" s="32">
        <v>1</v>
      </c>
      <c r="J13" s="34">
        <v>1</v>
      </c>
      <c r="K13" s="34">
        <v>1</v>
      </c>
      <c r="L13" s="56"/>
      <c r="N13" s="8"/>
      <c r="O13" s="55"/>
      <c r="P13" s="34">
        <v>1</v>
      </c>
      <c r="Q13" s="32">
        <v>1</v>
      </c>
      <c r="R13" s="35">
        <v>1</v>
      </c>
      <c r="S13" s="55"/>
      <c r="T13" s="55"/>
      <c r="U13" s="72"/>
      <c r="V13" s="55"/>
      <c r="X13" s="8"/>
      <c r="Y13" s="55"/>
      <c r="Z13" s="34">
        <v>1</v>
      </c>
      <c r="AA13" s="34">
        <v>1</v>
      </c>
      <c r="AB13" s="34">
        <v>1</v>
      </c>
      <c r="AC13" s="34">
        <v>1</v>
      </c>
      <c r="AD13" s="32">
        <v>1</v>
      </c>
      <c r="AE13" s="35">
        <v>1</v>
      </c>
      <c r="AF13" s="34">
        <v>1</v>
      </c>
      <c r="AG13" s="34">
        <v>1</v>
      </c>
      <c r="AH13" s="56"/>
      <c r="AJ13" s="8"/>
      <c r="AK13" s="55"/>
      <c r="AL13" s="34">
        <v>1</v>
      </c>
      <c r="AM13" s="34">
        <v>1</v>
      </c>
      <c r="AN13" s="34">
        <v>1</v>
      </c>
      <c r="AO13" s="32">
        <v>1</v>
      </c>
      <c r="AP13" s="35">
        <v>1</v>
      </c>
      <c r="AQ13" s="34">
        <v>1</v>
      </c>
      <c r="AR13" s="34">
        <v>1</v>
      </c>
      <c r="AS13" s="56"/>
      <c r="AT13" s="55"/>
      <c r="AV13" s="8"/>
      <c r="AW13" s="9" t="s">
        <v>96</v>
      </c>
      <c r="AX13" s="53" t="s">
        <v>97</v>
      </c>
      <c r="AY13" s="63">
        <f>Notes!$L$4</f>
        <v>2024</v>
      </c>
      <c r="AZ13" s="63">
        <f>Notes!$L$5</f>
        <v>2040</v>
      </c>
      <c r="BA13" s="26">
        <v>0</v>
      </c>
      <c r="BB13" s="34">
        <v>1</v>
      </c>
    </row>
    <row r="14" spans="1:55" x14ac:dyDescent="0.3">
      <c r="B14" s="8"/>
      <c r="C14" s="55"/>
      <c r="F14" s="45"/>
      <c r="I14" s="45"/>
      <c r="L14" s="45"/>
      <c r="N14" s="8"/>
      <c r="O14" s="55"/>
      <c r="Q14" s="45"/>
      <c r="R14" s="46"/>
      <c r="U14" s="70"/>
      <c r="X14" s="8"/>
      <c r="Y14" s="55"/>
      <c r="AD14" s="45"/>
      <c r="AE14" s="46"/>
      <c r="AH14" s="45"/>
      <c r="AJ14" s="8"/>
      <c r="AK14" s="55"/>
      <c r="AL14" s="55"/>
      <c r="AO14" s="45"/>
      <c r="AP14" s="46"/>
      <c r="AS14" s="45"/>
      <c r="AV14" s="8"/>
      <c r="AW14" s="9" t="s">
        <v>297</v>
      </c>
      <c r="AX14" s="53" t="s">
        <v>296</v>
      </c>
      <c r="AY14" s="63">
        <f>Notes!$L$4</f>
        <v>2024</v>
      </c>
      <c r="AZ14" s="63">
        <f>Notes!$L$5</f>
        <v>2040</v>
      </c>
      <c r="BA14" s="26">
        <v>0</v>
      </c>
      <c r="BB14" s="34">
        <v>1</v>
      </c>
    </row>
    <row r="15" spans="1:55" x14ac:dyDescent="0.3">
      <c r="B15" s="8"/>
      <c r="C15" s="54" t="s">
        <v>301</v>
      </c>
      <c r="F15" s="45"/>
      <c r="I15" s="45"/>
      <c r="L15" s="45"/>
      <c r="N15" s="8"/>
      <c r="O15" s="54" t="s">
        <v>301</v>
      </c>
      <c r="P15" s="60"/>
      <c r="Q15" s="45"/>
      <c r="R15" s="46"/>
      <c r="U15" s="70"/>
      <c r="X15" s="8"/>
      <c r="Y15" s="54" t="s">
        <v>301</v>
      </c>
      <c r="Z15" s="60"/>
      <c r="AD15" s="45"/>
      <c r="AE15" s="46"/>
      <c r="AH15" s="45"/>
      <c r="AJ15" s="8"/>
      <c r="AK15" s="54" t="s">
        <v>301</v>
      </c>
      <c r="AL15" s="54"/>
      <c r="AO15" s="45"/>
      <c r="AP15" s="46"/>
      <c r="AS15" s="45"/>
      <c r="AV15" s="8"/>
      <c r="AW15" s="9" t="s">
        <v>762</v>
      </c>
      <c r="AX15" s="53" t="s">
        <v>131</v>
      </c>
      <c r="AY15" s="63">
        <f>Notes!$L$4</f>
        <v>2024</v>
      </c>
      <c r="AZ15" s="63">
        <f>Notes!$L$5</f>
        <v>2040</v>
      </c>
      <c r="BA15" s="26">
        <v>0</v>
      </c>
      <c r="BB15" s="34">
        <v>1</v>
      </c>
    </row>
    <row r="16" spans="1:55" x14ac:dyDescent="0.3">
      <c r="B16" s="8"/>
      <c r="D16" s="50" t="s">
        <v>72</v>
      </c>
      <c r="E16" s="50" t="s">
        <v>73</v>
      </c>
      <c r="F16" s="51" t="s">
        <v>74</v>
      </c>
      <c r="G16" s="50" t="s">
        <v>75</v>
      </c>
      <c r="H16" s="50" t="s">
        <v>76</v>
      </c>
      <c r="I16" s="51" t="s">
        <v>77</v>
      </c>
      <c r="J16" s="50" t="s">
        <v>78</v>
      </c>
      <c r="K16" s="50" t="s">
        <v>79</v>
      </c>
      <c r="L16" s="51" t="s">
        <v>123</v>
      </c>
      <c r="N16" s="8"/>
      <c r="P16" s="50" t="s">
        <v>81</v>
      </c>
      <c r="Q16" s="51" t="s">
        <v>82</v>
      </c>
      <c r="R16" s="52" t="s">
        <v>621</v>
      </c>
      <c r="S16" s="50" t="s">
        <v>80</v>
      </c>
      <c r="T16" s="50" t="s">
        <v>285</v>
      </c>
      <c r="U16" s="73" t="s">
        <v>310</v>
      </c>
      <c r="V16" s="50" t="s">
        <v>123</v>
      </c>
      <c r="X16" s="8"/>
      <c r="Z16" s="50" t="s">
        <v>84</v>
      </c>
      <c r="AA16" s="50" t="s">
        <v>85</v>
      </c>
      <c r="AB16" s="50" t="s">
        <v>310</v>
      </c>
      <c r="AC16" s="50" t="s">
        <v>83</v>
      </c>
      <c r="AD16" s="51" t="s">
        <v>130</v>
      </c>
      <c r="AE16" s="52" t="s">
        <v>131</v>
      </c>
      <c r="AF16" s="50" t="s">
        <v>128</v>
      </c>
      <c r="AG16" s="61" t="s">
        <v>129</v>
      </c>
      <c r="AH16" s="51" t="s">
        <v>123</v>
      </c>
      <c r="AJ16" s="8"/>
      <c r="AL16" s="50" t="s">
        <v>133</v>
      </c>
      <c r="AM16" s="50" t="s">
        <v>101</v>
      </c>
      <c r="AN16" s="50" t="s">
        <v>622</v>
      </c>
      <c r="AO16" s="51" t="s">
        <v>130</v>
      </c>
      <c r="AP16" s="62" t="s">
        <v>131</v>
      </c>
      <c r="AQ16" s="50" t="s">
        <v>128</v>
      </c>
      <c r="AR16" s="61" t="s">
        <v>129</v>
      </c>
      <c r="AS16" s="51" t="s">
        <v>288</v>
      </c>
      <c r="AT16" s="50" t="s">
        <v>123</v>
      </c>
      <c r="AV16" s="8"/>
      <c r="AW16" s="9" t="s">
        <v>763</v>
      </c>
      <c r="AX16" s="53" t="s">
        <v>129</v>
      </c>
      <c r="AY16" s="63">
        <f>Notes!$L$4</f>
        <v>2024</v>
      </c>
      <c r="AZ16" s="63">
        <f>Notes!$L$5</f>
        <v>2040</v>
      </c>
      <c r="BA16" s="26">
        <v>0</v>
      </c>
      <c r="BB16" s="34">
        <v>1</v>
      </c>
    </row>
    <row r="17" spans="2:54" x14ac:dyDescent="0.3">
      <c r="B17" s="8"/>
      <c r="C17" s="2" t="s">
        <v>713</v>
      </c>
      <c r="D17" s="26">
        <v>0</v>
      </c>
      <c r="E17" s="26">
        <v>0</v>
      </c>
      <c r="F17" s="27">
        <v>0</v>
      </c>
      <c r="G17" s="26">
        <v>0</v>
      </c>
      <c r="H17" s="26">
        <v>0</v>
      </c>
      <c r="I17" s="27">
        <v>0</v>
      </c>
      <c r="J17" s="26">
        <v>0</v>
      </c>
      <c r="K17" s="26">
        <v>0</v>
      </c>
      <c r="L17" s="67">
        <v>1</v>
      </c>
      <c r="N17" s="8"/>
      <c r="O17" s="2" t="s">
        <v>649</v>
      </c>
      <c r="P17" s="26">
        <v>0</v>
      </c>
      <c r="Q17" s="27">
        <v>0</v>
      </c>
      <c r="R17" s="30">
        <v>0</v>
      </c>
      <c r="S17" s="27">
        <v>0</v>
      </c>
      <c r="T17" s="30">
        <v>0</v>
      </c>
      <c r="U17" s="34">
        <v>1</v>
      </c>
      <c r="V17" s="34">
        <v>1</v>
      </c>
      <c r="X17" s="8"/>
      <c r="Y17" s="2" t="s">
        <v>852</v>
      </c>
      <c r="Z17" s="26">
        <v>0</v>
      </c>
      <c r="AA17" s="26">
        <v>0</v>
      </c>
      <c r="AB17" s="26">
        <v>0</v>
      </c>
      <c r="AC17" s="26">
        <v>0</v>
      </c>
      <c r="AD17" s="27">
        <v>0</v>
      </c>
      <c r="AE17" s="30">
        <v>0</v>
      </c>
      <c r="AF17" s="26">
        <v>0</v>
      </c>
      <c r="AG17" s="26">
        <v>0</v>
      </c>
      <c r="AH17" s="32">
        <v>1</v>
      </c>
      <c r="AJ17" s="8"/>
      <c r="AK17" s="2" t="s">
        <v>8</v>
      </c>
      <c r="AL17" s="26">
        <v>0</v>
      </c>
      <c r="AM17" s="26">
        <v>0</v>
      </c>
      <c r="AN17" s="26">
        <v>0</v>
      </c>
      <c r="AO17" s="27">
        <v>0</v>
      </c>
      <c r="AP17" s="30">
        <v>0</v>
      </c>
      <c r="AQ17" s="26">
        <v>0</v>
      </c>
      <c r="AR17" s="26">
        <v>0</v>
      </c>
      <c r="AS17" s="32">
        <v>1</v>
      </c>
      <c r="AT17" s="34">
        <v>1</v>
      </c>
      <c r="AV17" s="8"/>
      <c r="AW17" s="9" t="s">
        <v>290</v>
      </c>
      <c r="AX17" s="53" t="s">
        <v>74</v>
      </c>
      <c r="AY17" s="63">
        <f>Notes!$L$4</f>
        <v>2024</v>
      </c>
      <c r="AZ17" s="63">
        <f>Notes!$L$5</f>
        <v>2040</v>
      </c>
      <c r="BA17" s="26">
        <v>0</v>
      </c>
      <c r="BB17" s="34">
        <v>1</v>
      </c>
    </row>
    <row r="18" spans="2:54" x14ac:dyDescent="0.3">
      <c r="B18" s="8"/>
      <c r="C18" s="2" t="s">
        <v>766</v>
      </c>
      <c r="D18" s="26">
        <v>0</v>
      </c>
      <c r="E18" s="26">
        <v>0</v>
      </c>
      <c r="F18" s="27">
        <v>0</v>
      </c>
      <c r="G18" s="26">
        <v>0</v>
      </c>
      <c r="H18" s="26">
        <v>0</v>
      </c>
      <c r="I18" s="27">
        <v>0</v>
      </c>
      <c r="J18" s="26">
        <v>0</v>
      </c>
      <c r="K18" s="26">
        <v>0</v>
      </c>
      <c r="L18" s="67">
        <v>1</v>
      </c>
      <c r="N18" s="8"/>
      <c r="O18" s="2" t="s">
        <v>809</v>
      </c>
      <c r="P18" s="26">
        <v>0</v>
      </c>
      <c r="Q18" s="27">
        <v>0</v>
      </c>
      <c r="R18" s="30">
        <v>0</v>
      </c>
      <c r="S18" s="27">
        <v>0</v>
      </c>
      <c r="T18" s="30">
        <v>0</v>
      </c>
      <c r="U18" s="34">
        <v>1</v>
      </c>
      <c r="V18" s="34">
        <v>1</v>
      </c>
      <c r="X18" s="8"/>
      <c r="Y18" s="2" t="s">
        <v>853</v>
      </c>
      <c r="Z18" s="26">
        <v>0</v>
      </c>
      <c r="AA18" s="26">
        <v>0</v>
      </c>
      <c r="AB18" s="26">
        <v>0</v>
      </c>
      <c r="AC18" s="26">
        <v>0</v>
      </c>
      <c r="AD18" s="27">
        <v>0</v>
      </c>
      <c r="AE18" s="30">
        <v>0</v>
      </c>
      <c r="AF18" s="26">
        <v>0</v>
      </c>
      <c r="AG18" s="26">
        <v>0</v>
      </c>
      <c r="AH18" s="32">
        <v>1</v>
      </c>
      <c r="AJ18" s="8"/>
      <c r="AK18" s="2" t="s">
        <v>985</v>
      </c>
      <c r="AL18" s="26">
        <v>0</v>
      </c>
      <c r="AM18" s="26">
        <v>0</v>
      </c>
      <c r="AN18" s="26">
        <v>0</v>
      </c>
      <c r="AO18" s="27">
        <v>0</v>
      </c>
      <c r="AP18" s="30">
        <v>0</v>
      </c>
      <c r="AQ18" s="26">
        <v>0</v>
      </c>
      <c r="AR18" s="26">
        <v>0</v>
      </c>
      <c r="AS18" s="32">
        <v>1</v>
      </c>
      <c r="AT18" s="34">
        <v>1</v>
      </c>
      <c r="AV18" s="8"/>
      <c r="AW18" s="9" t="s">
        <v>291</v>
      </c>
      <c r="AX18" s="53" t="s">
        <v>75</v>
      </c>
      <c r="AY18" s="63">
        <f>Notes!$L$4</f>
        <v>2024</v>
      </c>
      <c r="AZ18" s="63">
        <f>Notes!$L$5</f>
        <v>2040</v>
      </c>
      <c r="BA18" s="26">
        <v>0</v>
      </c>
      <c r="BB18" s="34">
        <v>1</v>
      </c>
    </row>
    <row r="19" spans="2:54" x14ac:dyDescent="0.3">
      <c r="B19" s="8"/>
      <c r="C19" s="2" t="s">
        <v>976</v>
      </c>
      <c r="D19" s="26">
        <v>0</v>
      </c>
      <c r="E19" s="26">
        <v>0</v>
      </c>
      <c r="F19" s="27">
        <v>0</v>
      </c>
      <c r="G19" s="26">
        <v>0</v>
      </c>
      <c r="H19" s="26">
        <v>0</v>
      </c>
      <c r="I19" s="27">
        <v>0</v>
      </c>
      <c r="J19" s="26">
        <v>0</v>
      </c>
      <c r="K19" s="26">
        <v>0</v>
      </c>
      <c r="L19" s="67">
        <v>1</v>
      </c>
      <c r="N19" s="8"/>
      <c r="O19" s="2" t="s">
        <v>946</v>
      </c>
      <c r="P19" s="26">
        <v>0</v>
      </c>
      <c r="Q19" s="27">
        <v>0</v>
      </c>
      <c r="R19" s="30">
        <v>0</v>
      </c>
      <c r="S19" s="27">
        <v>0</v>
      </c>
      <c r="T19" s="30">
        <v>0</v>
      </c>
      <c r="U19" s="34">
        <v>1</v>
      </c>
      <c r="V19" s="34">
        <v>1</v>
      </c>
      <c r="X19" s="8"/>
      <c r="Y19" s="2" t="s">
        <v>854</v>
      </c>
      <c r="Z19" s="26">
        <v>0</v>
      </c>
      <c r="AA19" s="26">
        <v>0</v>
      </c>
      <c r="AB19" s="26">
        <v>0</v>
      </c>
      <c r="AC19" s="26">
        <v>0</v>
      </c>
      <c r="AD19" s="27">
        <v>0</v>
      </c>
      <c r="AE19" s="30">
        <v>0</v>
      </c>
      <c r="AF19" s="26">
        <v>0</v>
      </c>
      <c r="AG19" s="26">
        <v>0</v>
      </c>
      <c r="AH19" s="32">
        <v>1</v>
      </c>
      <c r="AJ19" s="8"/>
      <c r="AK19" s="2" t="s">
        <v>986</v>
      </c>
      <c r="AL19" s="26">
        <v>0</v>
      </c>
      <c r="AM19" s="26">
        <v>0</v>
      </c>
      <c r="AN19" s="26">
        <v>0</v>
      </c>
      <c r="AO19" s="27">
        <v>0</v>
      </c>
      <c r="AP19" s="30">
        <v>0</v>
      </c>
      <c r="AQ19" s="26">
        <v>0</v>
      </c>
      <c r="AR19" s="26">
        <v>0</v>
      </c>
      <c r="AS19" s="32">
        <v>1</v>
      </c>
      <c r="AT19" s="34">
        <v>1</v>
      </c>
      <c r="AV19" s="8"/>
      <c r="AW19" s="9" t="s">
        <v>292</v>
      </c>
      <c r="AX19" s="53" t="s">
        <v>76</v>
      </c>
      <c r="AY19" s="63">
        <f>Notes!$L$4</f>
        <v>2024</v>
      </c>
      <c r="AZ19" s="63">
        <f>Notes!$L$5</f>
        <v>2040</v>
      </c>
      <c r="BA19" s="26">
        <v>0</v>
      </c>
      <c r="BB19" s="34">
        <v>1</v>
      </c>
    </row>
    <row r="20" spans="2:54" x14ac:dyDescent="0.3">
      <c r="B20" s="8"/>
      <c r="C20" s="2" t="s">
        <v>977</v>
      </c>
      <c r="D20" s="26">
        <v>0</v>
      </c>
      <c r="E20" s="26">
        <v>0</v>
      </c>
      <c r="F20" s="27">
        <v>0</v>
      </c>
      <c r="G20" s="26">
        <v>0</v>
      </c>
      <c r="H20" s="26">
        <v>0</v>
      </c>
      <c r="I20" s="27">
        <v>0</v>
      </c>
      <c r="J20" s="26">
        <v>0</v>
      </c>
      <c r="K20" s="26">
        <v>0</v>
      </c>
      <c r="L20" s="67">
        <v>1</v>
      </c>
      <c r="N20" s="8"/>
      <c r="O20" s="2" t="s">
        <v>947</v>
      </c>
      <c r="P20" s="26">
        <v>0</v>
      </c>
      <c r="Q20" s="27">
        <v>0</v>
      </c>
      <c r="R20" s="30">
        <v>0</v>
      </c>
      <c r="S20" s="27">
        <v>0</v>
      </c>
      <c r="T20" s="30">
        <v>0</v>
      </c>
      <c r="U20" s="34">
        <v>1</v>
      </c>
      <c r="V20" s="34">
        <v>1</v>
      </c>
      <c r="X20" s="8"/>
      <c r="Y20" s="2" t="s">
        <v>855</v>
      </c>
      <c r="Z20" s="26">
        <v>0</v>
      </c>
      <c r="AA20" s="26">
        <v>0</v>
      </c>
      <c r="AB20" s="26">
        <v>0</v>
      </c>
      <c r="AC20" s="26">
        <v>0</v>
      </c>
      <c r="AD20" s="27">
        <v>0</v>
      </c>
      <c r="AE20" s="30">
        <v>0</v>
      </c>
      <c r="AF20" s="26">
        <v>0</v>
      </c>
      <c r="AG20" s="26">
        <v>0</v>
      </c>
      <c r="AH20" s="32">
        <v>1</v>
      </c>
      <c r="AJ20" s="8"/>
      <c r="AK20" s="2" t="s">
        <v>987</v>
      </c>
      <c r="AL20" s="26">
        <v>0</v>
      </c>
      <c r="AM20" s="26">
        <v>0</v>
      </c>
      <c r="AN20" s="26">
        <v>0</v>
      </c>
      <c r="AO20" s="27">
        <v>0</v>
      </c>
      <c r="AP20" s="30">
        <v>0</v>
      </c>
      <c r="AQ20" s="26">
        <v>0</v>
      </c>
      <c r="AR20" s="26">
        <v>0</v>
      </c>
      <c r="AS20" s="32">
        <v>1</v>
      </c>
      <c r="AT20" s="34">
        <v>1</v>
      </c>
      <c r="AV20" s="8"/>
      <c r="AW20" s="9" t="s">
        <v>61</v>
      </c>
      <c r="AX20" s="53" t="s">
        <v>82</v>
      </c>
      <c r="AY20" s="63">
        <f>Notes!$L$4</f>
        <v>2024</v>
      </c>
      <c r="AZ20" s="63">
        <f>Notes!$L$5</f>
        <v>2040</v>
      </c>
      <c r="BA20" s="26">
        <v>0</v>
      </c>
      <c r="BB20" s="34">
        <v>1</v>
      </c>
    </row>
    <row r="21" spans="2:54" x14ac:dyDescent="0.3">
      <c r="B21" s="8"/>
      <c r="C21" s="2" t="s">
        <v>767</v>
      </c>
      <c r="D21" s="26">
        <v>0</v>
      </c>
      <c r="E21" s="26">
        <v>0</v>
      </c>
      <c r="F21" s="27">
        <v>0</v>
      </c>
      <c r="G21" s="26">
        <v>0</v>
      </c>
      <c r="H21" s="26">
        <v>0</v>
      </c>
      <c r="I21" s="27">
        <v>0</v>
      </c>
      <c r="J21" s="26">
        <v>0</v>
      </c>
      <c r="K21" s="26">
        <v>0</v>
      </c>
      <c r="L21" s="67">
        <v>1</v>
      </c>
      <c r="N21" s="8"/>
      <c r="O21" s="2" t="s">
        <v>810</v>
      </c>
      <c r="P21" s="26">
        <v>0</v>
      </c>
      <c r="Q21" s="27">
        <v>0</v>
      </c>
      <c r="R21" s="30">
        <v>0</v>
      </c>
      <c r="S21" s="27">
        <v>0</v>
      </c>
      <c r="T21" s="30">
        <v>0</v>
      </c>
      <c r="U21" s="34">
        <v>1</v>
      </c>
      <c r="V21" s="34">
        <v>1</v>
      </c>
      <c r="X21" s="8"/>
      <c r="Y21" s="2" t="s">
        <v>856</v>
      </c>
      <c r="Z21" s="26">
        <v>0</v>
      </c>
      <c r="AA21" s="26">
        <v>0</v>
      </c>
      <c r="AB21" s="26">
        <v>0</v>
      </c>
      <c r="AC21" s="26">
        <v>0</v>
      </c>
      <c r="AD21" s="27">
        <v>0</v>
      </c>
      <c r="AE21" s="30">
        <v>0</v>
      </c>
      <c r="AF21" s="26">
        <v>0</v>
      </c>
      <c r="AG21" s="26">
        <v>0</v>
      </c>
      <c r="AH21" s="32">
        <v>1</v>
      </c>
      <c r="AJ21" s="8"/>
      <c r="AK21" s="2" t="s">
        <v>988</v>
      </c>
      <c r="AL21" s="26">
        <v>0</v>
      </c>
      <c r="AM21" s="26">
        <v>0</v>
      </c>
      <c r="AN21" s="26">
        <v>0</v>
      </c>
      <c r="AO21" s="27">
        <v>0</v>
      </c>
      <c r="AP21" s="30">
        <v>0</v>
      </c>
      <c r="AQ21" s="26">
        <v>0</v>
      </c>
      <c r="AR21" s="26">
        <v>0</v>
      </c>
      <c r="AS21" s="32">
        <v>1</v>
      </c>
      <c r="AT21" s="34">
        <v>1</v>
      </c>
      <c r="AV21" s="8"/>
      <c r="AW21" s="9" t="s">
        <v>293</v>
      </c>
      <c r="AX21" s="53" t="s">
        <v>621</v>
      </c>
      <c r="AY21" s="63">
        <f>Notes!$L$4</f>
        <v>2024</v>
      </c>
      <c r="AZ21" s="63">
        <f>Notes!$L$5</f>
        <v>2040</v>
      </c>
      <c r="BA21" s="26">
        <v>0</v>
      </c>
      <c r="BB21" s="34">
        <v>1</v>
      </c>
    </row>
    <row r="22" spans="2:54" x14ac:dyDescent="0.3">
      <c r="B22" s="8"/>
      <c r="C22" s="2" t="s">
        <v>714</v>
      </c>
      <c r="D22" s="26">
        <v>0</v>
      </c>
      <c r="E22" s="26">
        <v>0</v>
      </c>
      <c r="F22" s="27">
        <v>0</v>
      </c>
      <c r="G22" s="26">
        <v>0</v>
      </c>
      <c r="H22" s="26">
        <v>0</v>
      </c>
      <c r="I22" s="27">
        <v>0</v>
      </c>
      <c r="J22" s="26">
        <v>0</v>
      </c>
      <c r="K22" s="26">
        <v>0</v>
      </c>
      <c r="L22" s="67">
        <v>1</v>
      </c>
      <c r="N22" s="8"/>
      <c r="O22" s="2" t="s">
        <v>650</v>
      </c>
      <c r="P22" s="26">
        <v>0</v>
      </c>
      <c r="Q22" s="27">
        <v>0</v>
      </c>
      <c r="R22" s="30">
        <v>0</v>
      </c>
      <c r="S22" s="27">
        <v>0</v>
      </c>
      <c r="T22" s="30">
        <v>0</v>
      </c>
      <c r="U22" s="34">
        <v>1</v>
      </c>
      <c r="V22" s="34">
        <v>1</v>
      </c>
      <c r="X22" s="8"/>
      <c r="Y22" s="2" t="s">
        <v>857</v>
      </c>
      <c r="Z22" s="26">
        <v>0</v>
      </c>
      <c r="AA22" s="26">
        <v>0</v>
      </c>
      <c r="AB22" s="26">
        <v>0</v>
      </c>
      <c r="AC22" s="26">
        <v>0</v>
      </c>
      <c r="AD22" s="27">
        <v>0</v>
      </c>
      <c r="AE22" s="30">
        <v>0</v>
      </c>
      <c r="AF22" s="26">
        <v>0</v>
      </c>
      <c r="AG22" s="26">
        <v>0</v>
      </c>
      <c r="AH22" s="32">
        <v>1</v>
      </c>
      <c r="AJ22" s="8"/>
      <c r="AK22" s="2" t="s">
        <v>989</v>
      </c>
      <c r="AL22" s="26">
        <v>0</v>
      </c>
      <c r="AM22" s="26">
        <v>0</v>
      </c>
      <c r="AN22" s="26">
        <v>0</v>
      </c>
      <c r="AO22" s="27">
        <v>0</v>
      </c>
      <c r="AP22" s="30">
        <v>0</v>
      </c>
      <c r="AQ22" s="26">
        <v>0</v>
      </c>
      <c r="AR22" s="26">
        <v>0</v>
      </c>
      <c r="AS22" s="32">
        <v>1</v>
      </c>
      <c r="AT22" s="34">
        <v>1</v>
      </c>
      <c r="AV22" s="8"/>
      <c r="AW22" s="9" t="s">
        <v>294</v>
      </c>
      <c r="AX22" s="53" t="s">
        <v>83</v>
      </c>
      <c r="AY22" s="63">
        <f>Notes!$L$4</f>
        <v>2024</v>
      </c>
      <c r="AZ22" s="63">
        <f>Notes!$L$5</f>
        <v>2040</v>
      </c>
      <c r="BA22" s="26">
        <v>0</v>
      </c>
      <c r="BB22" s="34">
        <v>1</v>
      </c>
    </row>
    <row r="23" spans="2:54" x14ac:dyDescent="0.3">
      <c r="B23" s="8"/>
      <c r="C23" s="2" t="s">
        <v>715</v>
      </c>
      <c r="D23" s="26">
        <v>0</v>
      </c>
      <c r="E23" s="26">
        <v>0</v>
      </c>
      <c r="F23" s="27">
        <v>0</v>
      </c>
      <c r="G23" s="26">
        <v>0</v>
      </c>
      <c r="H23" s="26">
        <v>0</v>
      </c>
      <c r="I23" s="27">
        <v>0</v>
      </c>
      <c r="J23" s="26">
        <v>0</v>
      </c>
      <c r="K23" s="26">
        <v>0</v>
      </c>
      <c r="L23" s="67">
        <v>1</v>
      </c>
      <c r="N23" s="8"/>
      <c r="O23" s="2" t="s">
        <v>651</v>
      </c>
      <c r="P23" s="26">
        <v>0</v>
      </c>
      <c r="Q23" s="27">
        <v>0</v>
      </c>
      <c r="R23" s="30">
        <v>0</v>
      </c>
      <c r="S23" s="27">
        <v>0</v>
      </c>
      <c r="T23" s="30">
        <v>0</v>
      </c>
      <c r="U23" s="34">
        <v>1</v>
      </c>
      <c r="V23" s="34">
        <v>1</v>
      </c>
      <c r="X23" s="8"/>
      <c r="Y23" s="2" t="s">
        <v>858</v>
      </c>
      <c r="Z23" s="26">
        <v>0</v>
      </c>
      <c r="AA23" s="26">
        <v>0</v>
      </c>
      <c r="AB23" s="26">
        <v>0</v>
      </c>
      <c r="AC23" s="26">
        <v>0</v>
      </c>
      <c r="AD23" s="27">
        <v>0</v>
      </c>
      <c r="AE23" s="30">
        <v>0</v>
      </c>
      <c r="AF23" s="26">
        <v>0</v>
      </c>
      <c r="AG23" s="26">
        <v>0</v>
      </c>
      <c r="AH23" s="32">
        <v>1</v>
      </c>
      <c r="AJ23" s="8"/>
      <c r="AK23" s="2" t="s">
        <v>990</v>
      </c>
      <c r="AL23" s="26">
        <v>0</v>
      </c>
      <c r="AM23" s="26">
        <v>0</v>
      </c>
      <c r="AN23" s="26">
        <v>0</v>
      </c>
      <c r="AO23" s="27">
        <v>0</v>
      </c>
      <c r="AP23" s="30">
        <v>0</v>
      </c>
      <c r="AQ23" s="26">
        <v>0</v>
      </c>
      <c r="AR23" s="26">
        <v>0</v>
      </c>
      <c r="AS23" s="32">
        <v>1</v>
      </c>
      <c r="AT23" s="34">
        <v>1</v>
      </c>
      <c r="AV23" s="8"/>
      <c r="AW23" s="9" t="s">
        <v>295</v>
      </c>
      <c r="AX23" s="53" t="s">
        <v>622</v>
      </c>
      <c r="AY23" s="63">
        <f>Notes!$L$4</f>
        <v>2024</v>
      </c>
      <c r="AZ23" s="63">
        <f>Notes!$L$5</f>
        <v>2040</v>
      </c>
      <c r="BA23" s="26">
        <v>0</v>
      </c>
      <c r="BB23" s="34">
        <v>1</v>
      </c>
    </row>
    <row r="24" spans="2:54" x14ac:dyDescent="0.3">
      <c r="B24" s="8"/>
      <c r="C24" s="2" t="s">
        <v>768</v>
      </c>
      <c r="D24" s="26">
        <v>0</v>
      </c>
      <c r="E24" s="26">
        <v>0</v>
      </c>
      <c r="F24" s="27">
        <v>0</v>
      </c>
      <c r="G24" s="26">
        <v>0</v>
      </c>
      <c r="H24" s="26">
        <v>0</v>
      </c>
      <c r="I24" s="27">
        <v>0</v>
      </c>
      <c r="J24" s="26">
        <v>0</v>
      </c>
      <c r="K24" s="26">
        <v>0</v>
      </c>
      <c r="L24" s="67">
        <v>1</v>
      </c>
      <c r="N24" s="8"/>
      <c r="O24" s="2" t="s">
        <v>811</v>
      </c>
      <c r="P24" s="26">
        <v>0</v>
      </c>
      <c r="Q24" s="27">
        <v>0</v>
      </c>
      <c r="R24" s="30">
        <v>0</v>
      </c>
      <c r="S24" s="27">
        <v>0</v>
      </c>
      <c r="T24" s="30">
        <v>0</v>
      </c>
      <c r="U24" s="34">
        <v>1</v>
      </c>
      <c r="V24" s="34">
        <v>1</v>
      </c>
      <c r="X24" s="8"/>
      <c r="Y24" s="2" t="s">
        <v>859</v>
      </c>
      <c r="Z24" s="26">
        <v>0</v>
      </c>
      <c r="AA24" s="26">
        <v>0</v>
      </c>
      <c r="AB24" s="26">
        <v>0</v>
      </c>
      <c r="AC24" s="26">
        <v>0</v>
      </c>
      <c r="AD24" s="27">
        <v>0</v>
      </c>
      <c r="AE24" s="30">
        <v>0</v>
      </c>
      <c r="AF24" s="26">
        <v>0</v>
      </c>
      <c r="AG24" s="26">
        <v>0</v>
      </c>
      <c r="AH24" s="32">
        <v>1</v>
      </c>
      <c r="AJ24" s="8"/>
      <c r="AK24" s="2" t="s">
        <v>991</v>
      </c>
      <c r="AL24" s="26">
        <v>0</v>
      </c>
      <c r="AM24" s="26">
        <v>0</v>
      </c>
      <c r="AN24" s="26">
        <v>0</v>
      </c>
      <c r="AO24" s="27">
        <v>0</v>
      </c>
      <c r="AP24" s="30">
        <v>0</v>
      </c>
      <c r="AQ24" s="26">
        <v>0</v>
      </c>
      <c r="AR24" s="26">
        <v>0</v>
      </c>
      <c r="AS24" s="32">
        <v>1</v>
      </c>
      <c r="AT24" s="34">
        <v>1</v>
      </c>
      <c r="AV24" s="8"/>
      <c r="AW24" s="9" t="s">
        <v>647</v>
      </c>
      <c r="AX24" s="53" t="s">
        <v>648</v>
      </c>
      <c r="AY24" s="63">
        <f>Notes!$L$4</f>
        <v>2024</v>
      </c>
      <c r="AZ24" s="63">
        <f>Notes!$L$5</f>
        <v>2040</v>
      </c>
      <c r="BA24" s="26">
        <v>0</v>
      </c>
      <c r="BB24" s="34">
        <v>1</v>
      </c>
    </row>
    <row r="25" spans="2:54" x14ac:dyDescent="0.3">
      <c r="B25" s="8"/>
      <c r="C25" s="2" t="s">
        <v>716</v>
      </c>
      <c r="D25" s="26">
        <v>0</v>
      </c>
      <c r="E25" s="26">
        <v>0</v>
      </c>
      <c r="F25" s="27">
        <v>0</v>
      </c>
      <c r="G25" s="26">
        <v>0</v>
      </c>
      <c r="H25" s="26">
        <v>0</v>
      </c>
      <c r="I25" s="27">
        <v>0</v>
      </c>
      <c r="J25" s="26">
        <v>0</v>
      </c>
      <c r="K25" s="26">
        <v>0</v>
      </c>
      <c r="L25" s="67">
        <v>1</v>
      </c>
      <c r="N25" s="8"/>
      <c r="O25" s="2" t="s">
        <v>652</v>
      </c>
      <c r="P25" s="26">
        <v>0</v>
      </c>
      <c r="Q25" s="27">
        <v>0</v>
      </c>
      <c r="R25" s="30">
        <v>0</v>
      </c>
      <c r="S25" s="27">
        <v>0</v>
      </c>
      <c r="T25" s="30">
        <v>0</v>
      </c>
      <c r="U25" s="34">
        <v>1</v>
      </c>
      <c r="V25" s="34">
        <v>1</v>
      </c>
      <c r="X25" s="8"/>
      <c r="Y25" s="2" t="s">
        <v>10</v>
      </c>
      <c r="Z25" s="26">
        <v>0</v>
      </c>
      <c r="AA25" s="26">
        <v>0</v>
      </c>
      <c r="AB25" s="26">
        <v>0</v>
      </c>
      <c r="AC25" s="26">
        <v>0</v>
      </c>
      <c r="AD25" s="27">
        <v>0</v>
      </c>
      <c r="AE25" s="30">
        <v>0</v>
      </c>
      <c r="AF25" s="26">
        <v>0</v>
      </c>
      <c r="AG25" s="26">
        <v>0</v>
      </c>
      <c r="AH25" s="32">
        <v>1</v>
      </c>
      <c r="AJ25" s="8"/>
      <c r="AK25" s="2" t="s">
        <v>992</v>
      </c>
      <c r="AL25" s="26">
        <v>0</v>
      </c>
      <c r="AM25" s="26">
        <v>0</v>
      </c>
      <c r="AN25" s="26">
        <v>0</v>
      </c>
      <c r="AO25" s="27">
        <v>0</v>
      </c>
      <c r="AP25" s="30">
        <v>0</v>
      </c>
      <c r="AQ25" s="26">
        <v>0</v>
      </c>
      <c r="AR25" s="26">
        <v>0</v>
      </c>
      <c r="AS25" s="32">
        <v>1</v>
      </c>
      <c r="AT25" s="34">
        <v>1</v>
      </c>
      <c r="AV25" s="8"/>
    </row>
    <row r="26" spans="2:54" x14ac:dyDescent="0.3">
      <c r="B26" s="8"/>
      <c r="C26" s="2" t="s">
        <v>769</v>
      </c>
      <c r="D26" s="26">
        <v>0</v>
      </c>
      <c r="E26" s="26">
        <v>0</v>
      </c>
      <c r="F26" s="27">
        <v>0</v>
      </c>
      <c r="G26" s="26">
        <v>0</v>
      </c>
      <c r="H26" s="26">
        <v>0</v>
      </c>
      <c r="I26" s="27">
        <v>0</v>
      </c>
      <c r="J26" s="26">
        <v>0</v>
      </c>
      <c r="K26" s="26">
        <v>0</v>
      </c>
      <c r="L26" s="67">
        <v>1</v>
      </c>
      <c r="N26" s="8"/>
      <c r="O26" s="2" t="s">
        <v>812</v>
      </c>
      <c r="P26" s="26">
        <v>0</v>
      </c>
      <c r="Q26" s="27">
        <v>0</v>
      </c>
      <c r="R26" s="30">
        <v>0</v>
      </c>
      <c r="S26" s="27">
        <v>0</v>
      </c>
      <c r="T26" s="30">
        <v>0</v>
      </c>
      <c r="U26" s="34">
        <v>1</v>
      </c>
      <c r="V26" s="34">
        <v>1</v>
      </c>
      <c r="X26" s="8"/>
      <c r="Y26" s="2" t="s">
        <v>860</v>
      </c>
      <c r="Z26" s="26">
        <v>0</v>
      </c>
      <c r="AA26" s="26">
        <v>0</v>
      </c>
      <c r="AB26" s="26">
        <v>0</v>
      </c>
      <c r="AC26" s="26">
        <v>0</v>
      </c>
      <c r="AD26" s="27">
        <v>0</v>
      </c>
      <c r="AE26" s="30">
        <v>0</v>
      </c>
      <c r="AF26" s="26">
        <v>0</v>
      </c>
      <c r="AG26" s="26">
        <v>0</v>
      </c>
      <c r="AH26" s="32">
        <v>1</v>
      </c>
      <c r="AJ26" s="8"/>
      <c r="AK26" s="2" t="s">
        <v>993</v>
      </c>
      <c r="AL26" s="26">
        <v>0</v>
      </c>
      <c r="AM26" s="26">
        <v>0</v>
      </c>
      <c r="AN26" s="26">
        <v>0</v>
      </c>
      <c r="AO26" s="27">
        <v>0</v>
      </c>
      <c r="AP26" s="30">
        <v>0</v>
      </c>
      <c r="AQ26" s="26">
        <v>0</v>
      </c>
      <c r="AR26" s="26">
        <v>0</v>
      </c>
      <c r="AS26" s="32">
        <v>1</v>
      </c>
      <c r="AT26" s="34">
        <v>1</v>
      </c>
    </row>
    <row r="27" spans="2:54" x14ac:dyDescent="0.3">
      <c r="B27" s="8"/>
      <c r="C27" s="2" t="s">
        <v>770</v>
      </c>
      <c r="D27" s="26">
        <v>0</v>
      </c>
      <c r="E27" s="26">
        <v>0</v>
      </c>
      <c r="F27" s="27">
        <v>0</v>
      </c>
      <c r="G27" s="26">
        <v>0</v>
      </c>
      <c r="H27" s="26">
        <v>0</v>
      </c>
      <c r="I27" s="27">
        <v>0</v>
      </c>
      <c r="J27" s="26">
        <v>0</v>
      </c>
      <c r="K27" s="26">
        <v>0</v>
      </c>
      <c r="L27" s="67">
        <v>1</v>
      </c>
      <c r="N27" s="8"/>
      <c r="O27" s="2" t="s">
        <v>813</v>
      </c>
      <c r="P27" s="26">
        <v>0</v>
      </c>
      <c r="Q27" s="27">
        <v>0</v>
      </c>
      <c r="R27" s="30">
        <v>0</v>
      </c>
      <c r="S27" s="27">
        <v>0</v>
      </c>
      <c r="T27" s="30">
        <v>0</v>
      </c>
      <c r="U27" s="34">
        <v>1</v>
      </c>
      <c r="V27" s="34">
        <v>1</v>
      </c>
      <c r="X27" s="8"/>
      <c r="Y27" s="2" t="s">
        <v>861</v>
      </c>
      <c r="Z27" s="26">
        <v>0</v>
      </c>
      <c r="AA27" s="26">
        <v>0</v>
      </c>
      <c r="AB27" s="26">
        <v>0</v>
      </c>
      <c r="AC27" s="26">
        <v>0</v>
      </c>
      <c r="AD27" s="27">
        <v>0</v>
      </c>
      <c r="AE27" s="30">
        <v>0</v>
      </c>
      <c r="AF27" s="26">
        <v>0</v>
      </c>
      <c r="AG27" s="26">
        <v>0</v>
      </c>
      <c r="AH27" s="32">
        <v>1</v>
      </c>
      <c r="AJ27" s="8"/>
      <c r="AK27" s="2" t="s">
        <v>994</v>
      </c>
      <c r="AL27" s="26">
        <v>0</v>
      </c>
      <c r="AM27" s="26">
        <v>0</v>
      </c>
      <c r="AN27" s="26">
        <v>0</v>
      </c>
      <c r="AO27" s="27">
        <v>0</v>
      </c>
      <c r="AP27" s="30">
        <v>0</v>
      </c>
      <c r="AQ27" s="26">
        <v>0</v>
      </c>
      <c r="AR27" s="26">
        <v>0</v>
      </c>
      <c r="AS27" s="32">
        <v>1</v>
      </c>
      <c r="AT27" s="34">
        <v>1</v>
      </c>
    </row>
    <row r="28" spans="2:54" x14ac:dyDescent="0.3">
      <c r="B28" s="8"/>
      <c r="C28" s="2" t="s">
        <v>771</v>
      </c>
      <c r="D28" s="26">
        <v>0</v>
      </c>
      <c r="E28" s="26">
        <v>0</v>
      </c>
      <c r="F28" s="27">
        <v>0</v>
      </c>
      <c r="G28" s="26">
        <v>0</v>
      </c>
      <c r="H28" s="26">
        <v>0</v>
      </c>
      <c r="I28" s="27">
        <v>0</v>
      </c>
      <c r="J28" s="26">
        <v>0</v>
      </c>
      <c r="K28" s="26">
        <v>0</v>
      </c>
      <c r="L28" s="67">
        <v>1</v>
      </c>
      <c r="N28" s="8"/>
      <c r="O28" s="2" t="s">
        <v>814</v>
      </c>
      <c r="P28" s="26">
        <v>0</v>
      </c>
      <c r="Q28" s="27">
        <v>0</v>
      </c>
      <c r="R28" s="30">
        <v>0</v>
      </c>
      <c r="S28" s="27">
        <v>0</v>
      </c>
      <c r="T28" s="30">
        <v>0</v>
      </c>
      <c r="U28" s="34">
        <v>1</v>
      </c>
      <c r="V28" s="34">
        <v>1</v>
      </c>
      <c r="X28" s="8"/>
      <c r="Y28" s="2" t="s">
        <v>862</v>
      </c>
      <c r="Z28" s="26">
        <v>0</v>
      </c>
      <c r="AA28" s="26">
        <v>0</v>
      </c>
      <c r="AB28" s="26">
        <v>0</v>
      </c>
      <c r="AC28" s="26">
        <v>0</v>
      </c>
      <c r="AD28" s="27">
        <v>0</v>
      </c>
      <c r="AE28" s="30">
        <v>0</v>
      </c>
      <c r="AF28" s="26">
        <v>0</v>
      </c>
      <c r="AG28" s="26">
        <v>0</v>
      </c>
      <c r="AH28" s="32">
        <v>1</v>
      </c>
      <c r="AJ28" s="8"/>
      <c r="AK28" s="2" t="s">
        <v>995</v>
      </c>
      <c r="AL28" s="26">
        <v>0</v>
      </c>
      <c r="AM28" s="26">
        <v>0</v>
      </c>
      <c r="AN28" s="26">
        <v>0</v>
      </c>
      <c r="AO28" s="27">
        <v>0</v>
      </c>
      <c r="AP28" s="30">
        <v>0</v>
      </c>
      <c r="AQ28" s="26">
        <v>0</v>
      </c>
      <c r="AR28" s="26">
        <v>0</v>
      </c>
      <c r="AS28" s="32">
        <v>1</v>
      </c>
      <c r="AT28" s="34">
        <v>1</v>
      </c>
    </row>
    <row r="29" spans="2:54" x14ac:dyDescent="0.3">
      <c r="B29" s="8"/>
      <c r="C29" s="2" t="s">
        <v>717</v>
      </c>
      <c r="D29" s="26">
        <v>0</v>
      </c>
      <c r="E29" s="26">
        <v>0</v>
      </c>
      <c r="F29" s="27">
        <v>0</v>
      </c>
      <c r="G29" s="26">
        <v>0</v>
      </c>
      <c r="H29" s="26">
        <v>0</v>
      </c>
      <c r="I29" s="27">
        <v>0</v>
      </c>
      <c r="J29" s="26">
        <v>0</v>
      </c>
      <c r="K29" s="26">
        <v>0</v>
      </c>
      <c r="L29" s="67">
        <v>1</v>
      </c>
      <c r="N29" s="8"/>
      <c r="O29" s="2" t="s">
        <v>653</v>
      </c>
      <c r="P29" s="26">
        <v>0</v>
      </c>
      <c r="Q29" s="27">
        <v>0</v>
      </c>
      <c r="R29" s="30">
        <v>0</v>
      </c>
      <c r="S29" s="27">
        <v>0</v>
      </c>
      <c r="T29" s="30">
        <v>0</v>
      </c>
      <c r="U29" s="34">
        <v>1</v>
      </c>
      <c r="V29" s="34">
        <v>1</v>
      </c>
      <c r="X29" s="8"/>
      <c r="Y29" s="2" t="s">
        <v>863</v>
      </c>
      <c r="Z29" s="26">
        <v>0</v>
      </c>
      <c r="AA29" s="26">
        <v>0</v>
      </c>
      <c r="AB29" s="26">
        <v>0</v>
      </c>
      <c r="AC29" s="26">
        <v>0</v>
      </c>
      <c r="AD29" s="27">
        <v>0</v>
      </c>
      <c r="AE29" s="30">
        <v>0</v>
      </c>
      <c r="AF29" s="26">
        <v>0</v>
      </c>
      <c r="AG29" s="26">
        <v>0</v>
      </c>
      <c r="AH29" s="32">
        <v>1</v>
      </c>
      <c r="AJ29" s="8"/>
      <c r="AK29" s="2" t="s">
        <v>996</v>
      </c>
      <c r="AL29" s="26">
        <v>0</v>
      </c>
      <c r="AM29" s="26">
        <v>0</v>
      </c>
      <c r="AN29" s="26">
        <v>0</v>
      </c>
      <c r="AO29" s="27">
        <v>0</v>
      </c>
      <c r="AP29" s="30">
        <v>0</v>
      </c>
      <c r="AQ29" s="26">
        <v>0</v>
      </c>
      <c r="AR29" s="26">
        <v>0</v>
      </c>
      <c r="AS29" s="32">
        <v>1</v>
      </c>
      <c r="AT29" s="34">
        <v>1</v>
      </c>
    </row>
    <row r="30" spans="2:54" x14ac:dyDescent="0.3">
      <c r="B30" s="8"/>
      <c r="C30" s="2" t="s">
        <v>978</v>
      </c>
      <c r="D30" s="26">
        <v>0</v>
      </c>
      <c r="E30" s="26">
        <v>0</v>
      </c>
      <c r="F30" s="27">
        <v>0</v>
      </c>
      <c r="G30" s="26">
        <v>0</v>
      </c>
      <c r="H30" s="26">
        <v>0</v>
      </c>
      <c r="I30" s="27">
        <v>0</v>
      </c>
      <c r="J30" s="26">
        <v>0</v>
      </c>
      <c r="K30" s="26">
        <v>0</v>
      </c>
      <c r="L30" s="67">
        <v>1</v>
      </c>
      <c r="N30" s="8"/>
      <c r="O30" s="2" t="s">
        <v>948</v>
      </c>
      <c r="P30" s="26">
        <v>0</v>
      </c>
      <c r="Q30" s="27">
        <v>0</v>
      </c>
      <c r="R30" s="30">
        <v>0</v>
      </c>
      <c r="S30" s="27">
        <v>0</v>
      </c>
      <c r="T30" s="30">
        <v>0</v>
      </c>
      <c r="U30" s="34">
        <v>1</v>
      </c>
      <c r="V30" s="34">
        <v>1</v>
      </c>
      <c r="X30" s="8"/>
      <c r="Y30" s="2"/>
      <c r="Z30" s="26"/>
      <c r="AA30" s="26"/>
      <c r="AB30" s="26"/>
      <c r="AC30" s="26"/>
      <c r="AD30" s="27"/>
      <c r="AE30" s="30"/>
      <c r="AF30" s="26"/>
      <c r="AG30" s="26"/>
      <c r="AH30" s="32"/>
      <c r="AJ30" s="8"/>
      <c r="AK30" s="2" t="s">
        <v>997</v>
      </c>
      <c r="AL30" s="26">
        <v>0</v>
      </c>
      <c r="AM30" s="26">
        <v>0</v>
      </c>
      <c r="AN30" s="26">
        <v>0</v>
      </c>
      <c r="AO30" s="27">
        <v>0</v>
      </c>
      <c r="AP30" s="30">
        <v>0</v>
      </c>
      <c r="AQ30" s="26">
        <v>0</v>
      </c>
      <c r="AR30" s="26">
        <v>0</v>
      </c>
      <c r="AS30" s="32">
        <v>1</v>
      </c>
      <c r="AT30" s="34">
        <v>1</v>
      </c>
    </row>
    <row r="31" spans="2:54" x14ac:dyDescent="0.3">
      <c r="B31" s="8"/>
      <c r="C31" s="2" t="s">
        <v>718</v>
      </c>
      <c r="D31" s="26">
        <v>0</v>
      </c>
      <c r="E31" s="26">
        <v>0</v>
      </c>
      <c r="F31" s="27">
        <v>0</v>
      </c>
      <c r="G31" s="26">
        <v>0</v>
      </c>
      <c r="H31" s="26">
        <v>0</v>
      </c>
      <c r="I31" s="27">
        <v>0</v>
      </c>
      <c r="J31" s="26">
        <v>0</v>
      </c>
      <c r="K31" s="26">
        <v>0</v>
      </c>
      <c r="L31" s="67">
        <v>1</v>
      </c>
      <c r="N31" s="8"/>
      <c r="O31" s="2" t="s">
        <v>654</v>
      </c>
      <c r="P31" s="26">
        <v>0</v>
      </c>
      <c r="Q31" s="27">
        <v>0</v>
      </c>
      <c r="R31" s="30">
        <v>0</v>
      </c>
      <c r="S31" s="27">
        <v>0</v>
      </c>
      <c r="T31" s="30">
        <v>0</v>
      </c>
      <c r="U31" s="34">
        <v>1</v>
      </c>
      <c r="V31" s="34">
        <v>1</v>
      </c>
      <c r="X31" s="8"/>
      <c r="Y31" s="2"/>
      <c r="Z31" s="26"/>
      <c r="AA31" s="26"/>
      <c r="AB31" s="26"/>
      <c r="AC31" s="26"/>
      <c r="AD31" s="27"/>
      <c r="AE31" s="30"/>
      <c r="AF31" s="26"/>
      <c r="AG31" s="26"/>
      <c r="AH31" s="32"/>
      <c r="AJ31" s="8"/>
      <c r="AK31" s="2" t="s">
        <v>998</v>
      </c>
      <c r="AL31" s="26">
        <v>0</v>
      </c>
      <c r="AM31" s="26">
        <v>0</v>
      </c>
      <c r="AN31" s="26">
        <v>0</v>
      </c>
      <c r="AO31" s="27">
        <v>0</v>
      </c>
      <c r="AP31" s="30">
        <v>0</v>
      </c>
      <c r="AQ31" s="26">
        <v>0</v>
      </c>
      <c r="AR31" s="26">
        <v>0</v>
      </c>
      <c r="AS31" s="32">
        <v>1</v>
      </c>
      <c r="AT31" s="34">
        <v>1</v>
      </c>
    </row>
    <row r="32" spans="2:54" x14ac:dyDescent="0.3">
      <c r="B32" s="8"/>
      <c r="C32" s="2" t="s">
        <v>719</v>
      </c>
      <c r="D32" s="26">
        <v>0</v>
      </c>
      <c r="E32" s="26">
        <v>0</v>
      </c>
      <c r="F32" s="27">
        <v>0</v>
      </c>
      <c r="G32" s="26">
        <v>0</v>
      </c>
      <c r="H32" s="26">
        <v>0</v>
      </c>
      <c r="I32" s="27">
        <v>0</v>
      </c>
      <c r="J32" s="26">
        <v>0</v>
      </c>
      <c r="K32" s="26">
        <v>0</v>
      </c>
      <c r="L32" s="67">
        <v>1</v>
      </c>
      <c r="N32" s="8"/>
      <c r="O32" s="2" t="s">
        <v>655</v>
      </c>
      <c r="P32" s="26">
        <v>0</v>
      </c>
      <c r="Q32" s="27">
        <v>0</v>
      </c>
      <c r="R32" s="30">
        <v>0</v>
      </c>
      <c r="S32" s="27">
        <v>0</v>
      </c>
      <c r="T32" s="30">
        <v>0</v>
      </c>
      <c r="U32" s="34">
        <v>1</v>
      </c>
      <c r="V32" s="34">
        <v>1</v>
      </c>
      <c r="X32" s="8"/>
      <c r="Y32" s="2"/>
      <c r="Z32" s="26"/>
      <c r="AA32" s="26"/>
      <c r="AB32" s="26"/>
      <c r="AC32" s="26"/>
      <c r="AD32" s="27"/>
      <c r="AE32" s="30"/>
      <c r="AF32" s="26"/>
      <c r="AG32" s="26"/>
      <c r="AH32" s="32"/>
      <c r="AJ32" s="8"/>
      <c r="AK32" s="2" t="s">
        <v>999</v>
      </c>
      <c r="AL32" s="26">
        <v>0</v>
      </c>
      <c r="AM32" s="26">
        <v>0</v>
      </c>
      <c r="AN32" s="26">
        <v>0</v>
      </c>
      <c r="AO32" s="27">
        <v>0</v>
      </c>
      <c r="AP32" s="30">
        <v>0</v>
      </c>
      <c r="AQ32" s="26">
        <v>0</v>
      </c>
      <c r="AR32" s="26">
        <v>0</v>
      </c>
      <c r="AS32" s="32">
        <v>1</v>
      </c>
      <c r="AT32" s="34">
        <v>1</v>
      </c>
    </row>
    <row r="33" spans="2:46" x14ac:dyDescent="0.3">
      <c r="B33" s="8"/>
      <c r="C33" s="2" t="s">
        <v>720</v>
      </c>
      <c r="D33" s="26">
        <v>0</v>
      </c>
      <c r="E33" s="26">
        <v>0</v>
      </c>
      <c r="F33" s="27">
        <v>0</v>
      </c>
      <c r="G33" s="26">
        <v>0</v>
      </c>
      <c r="H33" s="26">
        <v>0</v>
      </c>
      <c r="I33" s="27">
        <v>0</v>
      </c>
      <c r="J33" s="26">
        <v>0</v>
      </c>
      <c r="K33" s="26">
        <v>0</v>
      </c>
      <c r="L33" s="67">
        <v>1</v>
      </c>
      <c r="N33" s="8"/>
      <c r="O33" s="2" t="s">
        <v>656</v>
      </c>
      <c r="P33" s="26">
        <v>0</v>
      </c>
      <c r="Q33" s="27">
        <v>0</v>
      </c>
      <c r="R33" s="30">
        <v>0</v>
      </c>
      <c r="S33" s="27">
        <v>0</v>
      </c>
      <c r="T33" s="30">
        <v>0</v>
      </c>
      <c r="U33" s="34">
        <v>1</v>
      </c>
      <c r="V33" s="34">
        <v>1</v>
      </c>
      <c r="X33" s="8"/>
      <c r="Y33" s="2"/>
      <c r="Z33" s="26"/>
      <c r="AA33" s="26"/>
      <c r="AB33" s="26"/>
      <c r="AC33" s="26"/>
      <c r="AD33" s="27"/>
      <c r="AE33" s="30"/>
      <c r="AF33" s="26"/>
      <c r="AG33" s="26"/>
      <c r="AH33" s="32"/>
      <c r="AJ33" s="8"/>
      <c r="AK33" s="2" t="s">
        <v>1000</v>
      </c>
      <c r="AL33" s="26">
        <v>0</v>
      </c>
      <c r="AM33" s="26">
        <v>0</v>
      </c>
      <c r="AN33" s="26">
        <v>0</v>
      </c>
      <c r="AO33" s="27">
        <v>0</v>
      </c>
      <c r="AP33" s="30">
        <v>0</v>
      </c>
      <c r="AQ33" s="26">
        <v>0</v>
      </c>
      <c r="AR33" s="26">
        <v>0</v>
      </c>
      <c r="AS33" s="32">
        <v>1</v>
      </c>
      <c r="AT33" s="34">
        <v>1</v>
      </c>
    </row>
    <row r="34" spans="2:46" x14ac:dyDescent="0.3">
      <c r="B34" s="8"/>
      <c r="C34" s="2" t="s">
        <v>721</v>
      </c>
      <c r="D34" s="26">
        <v>0</v>
      </c>
      <c r="E34" s="26">
        <v>0</v>
      </c>
      <c r="F34" s="27">
        <v>0</v>
      </c>
      <c r="G34" s="26">
        <v>0</v>
      </c>
      <c r="H34" s="26">
        <v>0</v>
      </c>
      <c r="I34" s="27">
        <v>0</v>
      </c>
      <c r="J34" s="26">
        <v>0</v>
      </c>
      <c r="K34" s="26">
        <v>0</v>
      </c>
      <c r="L34" s="67">
        <v>1</v>
      </c>
      <c r="N34" s="8"/>
      <c r="O34" s="2" t="s">
        <v>657</v>
      </c>
      <c r="P34" s="26">
        <v>0</v>
      </c>
      <c r="Q34" s="27">
        <v>0</v>
      </c>
      <c r="R34" s="30">
        <v>0</v>
      </c>
      <c r="S34" s="27">
        <v>0</v>
      </c>
      <c r="T34" s="30">
        <v>0</v>
      </c>
      <c r="U34" s="34">
        <v>1</v>
      </c>
      <c r="V34" s="34">
        <v>1</v>
      </c>
      <c r="X34" s="8"/>
      <c r="Y34" s="2"/>
      <c r="Z34" s="26"/>
      <c r="AA34" s="26"/>
      <c r="AB34" s="26"/>
      <c r="AC34" s="26"/>
      <c r="AD34" s="27"/>
      <c r="AE34" s="30"/>
      <c r="AF34" s="26"/>
      <c r="AG34" s="26"/>
      <c r="AH34" s="32"/>
      <c r="AJ34" s="8"/>
      <c r="AK34" s="2" t="s">
        <v>1001</v>
      </c>
      <c r="AL34" s="26">
        <v>0</v>
      </c>
      <c r="AM34" s="26">
        <v>0</v>
      </c>
      <c r="AN34" s="26">
        <v>0</v>
      </c>
      <c r="AO34" s="27">
        <v>0</v>
      </c>
      <c r="AP34" s="30">
        <v>0</v>
      </c>
      <c r="AQ34" s="26">
        <v>0</v>
      </c>
      <c r="AR34" s="26">
        <v>0</v>
      </c>
      <c r="AS34" s="32">
        <v>1</v>
      </c>
      <c r="AT34" s="34">
        <v>1</v>
      </c>
    </row>
    <row r="35" spans="2:46" x14ac:dyDescent="0.3">
      <c r="B35" s="8"/>
      <c r="C35" s="2" t="s">
        <v>979</v>
      </c>
      <c r="D35" s="26">
        <v>0</v>
      </c>
      <c r="E35" s="26">
        <v>0</v>
      </c>
      <c r="F35" s="27">
        <v>0</v>
      </c>
      <c r="G35" s="26">
        <v>0</v>
      </c>
      <c r="H35" s="26">
        <v>0</v>
      </c>
      <c r="I35" s="27">
        <v>0</v>
      </c>
      <c r="J35" s="26">
        <v>0</v>
      </c>
      <c r="K35" s="26">
        <v>0</v>
      </c>
      <c r="L35" s="67">
        <v>1</v>
      </c>
      <c r="N35" s="8"/>
      <c r="O35" s="2" t="s">
        <v>949</v>
      </c>
      <c r="P35" s="26">
        <v>0</v>
      </c>
      <c r="Q35" s="27">
        <v>0</v>
      </c>
      <c r="R35" s="30">
        <v>0</v>
      </c>
      <c r="S35" s="27">
        <v>0</v>
      </c>
      <c r="T35" s="30">
        <v>0</v>
      </c>
      <c r="U35" s="34">
        <v>1</v>
      </c>
      <c r="V35" s="34">
        <v>1</v>
      </c>
      <c r="X35" s="8"/>
      <c r="Y35" s="2"/>
      <c r="Z35" s="26"/>
      <c r="AA35" s="26"/>
      <c r="AB35" s="26"/>
      <c r="AC35" s="26"/>
      <c r="AD35" s="27"/>
      <c r="AE35" s="30"/>
      <c r="AF35" s="26"/>
      <c r="AG35" s="26"/>
      <c r="AH35" s="32"/>
      <c r="AJ35" s="8"/>
      <c r="AK35" s="2" t="s">
        <v>1002</v>
      </c>
      <c r="AL35" s="26">
        <v>0</v>
      </c>
      <c r="AM35" s="26">
        <v>0</v>
      </c>
      <c r="AN35" s="26">
        <v>0</v>
      </c>
      <c r="AO35" s="27">
        <v>0</v>
      </c>
      <c r="AP35" s="30">
        <v>0</v>
      </c>
      <c r="AQ35" s="26">
        <v>0</v>
      </c>
      <c r="AR35" s="26">
        <v>0</v>
      </c>
      <c r="AS35" s="32">
        <v>1</v>
      </c>
      <c r="AT35" s="34">
        <v>1</v>
      </c>
    </row>
    <row r="36" spans="2:46" x14ac:dyDescent="0.3">
      <c r="B36" s="8"/>
      <c r="C36" s="2" t="s">
        <v>772</v>
      </c>
      <c r="D36" s="26">
        <v>0</v>
      </c>
      <c r="E36" s="26">
        <v>0</v>
      </c>
      <c r="F36" s="27">
        <v>0</v>
      </c>
      <c r="G36" s="26">
        <v>0</v>
      </c>
      <c r="H36" s="26">
        <v>0</v>
      </c>
      <c r="I36" s="27">
        <v>0</v>
      </c>
      <c r="J36" s="26">
        <v>0</v>
      </c>
      <c r="K36" s="26">
        <v>0</v>
      </c>
      <c r="L36" s="67">
        <v>1</v>
      </c>
      <c r="N36" s="8"/>
      <c r="O36" s="2" t="s">
        <v>815</v>
      </c>
      <c r="P36" s="26">
        <v>0</v>
      </c>
      <c r="Q36" s="27">
        <v>0</v>
      </c>
      <c r="R36" s="30">
        <v>0</v>
      </c>
      <c r="S36" s="27">
        <v>0</v>
      </c>
      <c r="T36" s="30">
        <v>0</v>
      </c>
      <c r="U36" s="34">
        <v>1</v>
      </c>
      <c r="V36" s="34">
        <v>1</v>
      </c>
      <c r="X36" s="8"/>
      <c r="Y36" s="2"/>
      <c r="Z36" s="26"/>
      <c r="AA36" s="26"/>
      <c r="AB36" s="26"/>
      <c r="AC36" s="26"/>
      <c r="AD36" s="27"/>
      <c r="AE36" s="30"/>
      <c r="AF36" s="26"/>
      <c r="AG36" s="26"/>
      <c r="AH36" s="32"/>
      <c r="AJ36" s="8"/>
      <c r="AK36" s="2" t="s">
        <v>1003</v>
      </c>
      <c r="AL36" s="26">
        <v>0</v>
      </c>
      <c r="AM36" s="26">
        <v>0</v>
      </c>
      <c r="AN36" s="26">
        <v>0</v>
      </c>
      <c r="AO36" s="27">
        <v>0</v>
      </c>
      <c r="AP36" s="30">
        <v>0</v>
      </c>
      <c r="AQ36" s="26">
        <v>0</v>
      </c>
      <c r="AR36" s="26">
        <v>0</v>
      </c>
      <c r="AS36" s="32">
        <v>1</v>
      </c>
      <c r="AT36" s="34">
        <v>1</v>
      </c>
    </row>
    <row r="37" spans="2:46" x14ac:dyDescent="0.3">
      <c r="B37" s="8"/>
      <c r="C37" s="2" t="s">
        <v>773</v>
      </c>
      <c r="D37" s="26">
        <v>0</v>
      </c>
      <c r="E37" s="26">
        <v>0</v>
      </c>
      <c r="F37" s="27">
        <v>0</v>
      </c>
      <c r="G37" s="26">
        <v>0</v>
      </c>
      <c r="H37" s="26">
        <v>0</v>
      </c>
      <c r="I37" s="27">
        <v>0</v>
      </c>
      <c r="J37" s="26">
        <v>0</v>
      </c>
      <c r="K37" s="26">
        <v>0</v>
      </c>
      <c r="L37" s="67">
        <v>1</v>
      </c>
      <c r="N37" s="8"/>
      <c r="O37" s="2" t="s">
        <v>816</v>
      </c>
      <c r="P37" s="26">
        <v>0</v>
      </c>
      <c r="Q37" s="27">
        <v>0</v>
      </c>
      <c r="R37" s="30">
        <v>0</v>
      </c>
      <c r="S37" s="27">
        <v>0</v>
      </c>
      <c r="T37" s="30">
        <v>0</v>
      </c>
      <c r="U37" s="34">
        <v>1</v>
      </c>
      <c r="V37" s="34">
        <v>1</v>
      </c>
      <c r="X37" s="8"/>
      <c r="Y37" s="2"/>
      <c r="Z37" s="26"/>
      <c r="AA37" s="26"/>
      <c r="AB37" s="26"/>
      <c r="AC37" s="26"/>
      <c r="AD37" s="27"/>
      <c r="AE37" s="30"/>
      <c r="AF37" s="26"/>
      <c r="AG37" s="26"/>
      <c r="AH37" s="32"/>
      <c r="AJ37" s="8"/>
      <c r="AK37" s="2" t="s">
        <v>1004</v>
      </c>
      <c r="AL37" s="26">
        <v>0</v>
      </c>
      <c r="AM37" s="26">
        <v>0</v>
      </c>
      <c r="AN37" s="26">
        <v>0</v>
      </c>
      <c r="AO37" s="27">
        <v>0</v>
      </c>
      <c r="AP37" s="30">
        <v>0</v>
      </c>
      <c r="AQ37" s="26">
        <v>0</v>
      </c>
      <c r="AR37" s="26">
        <v>0</v>
      </c>
      <c r="AS37" s="32">
        <v>1</v>
      </c>
      <c r="AT37" s="34">
        <v>1</v>
      </c>
    </row>
    <row r="38" spans="2:46" x14ac:dyDescent="0.3">
      <c r="B38" s="8"/>
      <c r="C38" s="2" t="s">
        <v>722</v>
      </c>
      <c r="D38" s="26">
        <v>0</v>
      </c>
      <c r="E38" s="26">
        <v>0</v>
      </c>
      <c r="F38" s="27">
        <v>0</v>
      </c>
      <c r="G38" s="26">
        <v>0</v>
      </c>
      <c r="H38" s="26">
        <v>0</v>
      </c>
      <c r="I38" s="27">
        <v>0</v>
      </c>
      <c r="J38" s="26">
        <v>0</v>
      </c>
      <c r="K38" s="26">
        <v>0</v>
      </c>
      <c r="L38" s="67">
        <v>1</v>
      </c>
      <c r="N38" s="8"/>
      <c r="O38" s="2" t="s">
        <v>658</v>
      </c>
      <c r="P38" s="26">
        <v>0</v>
      </c>
      <c r="Q38" s="27">
        <v>0</v>
      </c>
      <c r="R38" s="30">
        <v>0</v>
      </c>
      <c r="S38" s="27">
        <v>0</v>
      </c>
      <c r="T38" s="30">
        <v>0</v>
      </c>
      <c r="U38" s="34">
        <v>1</v>
      </c>
      <c r="V38" s="34">
        <v>1</v>
      </c>
      <c r="X38" s="8"/>
      <c r="Y38" s="2"/>
      <c r="Z38" s="26"/>
      <c r="AA38" s="26"/>
      <c r="AB38" s="26"/>
      <c r="AC38" s="26"/>
      <c r="AD38" s="27"/>
      <c r="AE38" s="30"/>
      <c r="AF38" s="26"/>
      <c r="AG38" s="26"/>
      <c r="AH38" s="32"/>
      <c r="AJ38" s="8"/>
      <c r="AK38" s="2"/>
      <c r="AL38" s="26"/>
      <c r="AM38" s="26"/>
      <c r="AN38" s="26"/>
      <c r="AO38" s="27"/>
      <c r="AP38" s="30"/>
      <c r="AQ38" s="26"/>
      <c r="AR38" s="26"/>
      <c r="AS38" s="32"/>
      <c r="AT38" s="34"/>
    </row>
    <row r="39" spans="2:46" x14ac:dyDescent="0.3">
      <c r="B39" s="8"/>
      <c r="C39" s="2" t="s">
        <v>774</v>
      </c>
      <c r="D39" s="26">
        <v>0</v>
      </c>
      <c r="E39" s="26">
        <v>0</v>
      </c>
      <c r="F39" s="27">
        <v>0</v>
      </c>
      <c r="G39" s="26">
        <v>0</v>
      </c>
      <c r="H39" s="26">
        <v>0</v>
      </c>
      <c r="I39" s="27">
        <v>0</v>
      </c>
      <c r="J39" s="26">
        <v>0</v>
      </c>
      <c r="K39" s="26">
        <v>0</v>
      </c>
      <c r="L39" s="67">
        <v>1</v>
      </c>
      <c r="N39" s="8"/>
      <c r="O39" s="2" t="s">
        <v>817</v>
      </c>
      <c r="P39" s="26">
        <v>0</v>
      </c>
      <c r="Q39" s="27">
        <v>0</v>
      </c>
      <c r="R39" s="30">
        <v>0</v>
      </c>
      <c r="S39" s="27">
        <v>0</v>
      </c>
      <c r="T39" s="30">
        <v>0</v>
      </c>
      <c r="U39" s="34">
        <v>1</v>
      </c>
      <c r="V39" s="34">
        <v>1</v>
      </c>
      <c r="X39" s="8"/>
      <c r="Y39" s="2"/>
      <c r="Z39" s="26"/>
      <c r="AA39" s="26"/>
      <c r="AB39" s="26"/>
      <c r="AC39" s="26"/>
      <c r="AD39" s="27"/>
      <c r="AE39" s="30"/>
      <c r="AF39" s="26"/>
      <c r="AG39" s="26"/>
      <c r="AH39" s="32"/>
      <c r="AJ39" s="8"/>
      <c r="AK39" s="2"/>
      <c r="AL39" s="26"/>
      <c r="AM39" s="26"/>
      <c r="AN39" s="26"/>
      <c r="AO39" s="27"/>
      <c r="AP39" s="30"/>
      <c r="AQ39" s="26"/>
      <c r="AR39" s="26"/>
      <c r="AS39" s="32"/>
      <c r="AT39" s="34"/>
    </row>
    <row r="40" spans="2:46" x14ac:dyDescent="0.3">
      <c r="B40" s="8"/>
      <c r="C40" s="2" t="s">
        <v>723</v>
      </c>
      <c r="D40" s="26">
        <v>0</v>
      </c>
      <c r="E40" s="26">
        <v>0</v>
      </c>
      <c r="F40" s="27">
        <v>0</v>
      </c>
      <c r="G40" s="26">
        <v>0</v>
      </c>
      <c r="H40" s="26">
        <v>0</v>
      </c>
      <c r="I40" s="27">
        <v>0</v>
      </c>
      <c r="J40" s="26">
        <v>0</v>
      </c>
      <c r="K40" s="26">
        <v>0</v>
      </c>
      <c r="L40" s="67">
        <v>1</v>
      </c>
      <c r="N40" s="8"/>
      <c r="O40" s="2" t="s">
        <v>659</v>
      </c>
      <c r="P40" s="26">
        <v>0</v>
      </c>
      <c r="Q40" s="27">
        <v>0</v>
      </c>
      <c r="R40" s="30">
        <v>0</v>
      </c>
      <c r="S40" s="27">
        <v>0</v>
      </c>
      <c r="T40" s="30">
        <v>0</v>
      </c>
      <c r="U40" s="34">
        <v>1</v>
      </c>
      <c r="V40" s="34">
        <v>1</v>
      </c>
      <c r="X40" s="8"/>
      <c r="Y40" s="2"/>
      <c r="Z40" s="26"/>
      <c r="AA40" s="26"/>
      <c r="AB40" s="26"/>
      <c r="AC40" s="26"/>
      <c r="AD40" s="27"/>
      <c r="AE40" s="30"/>
      <c r="AF40" s="26"/>
      <c r="AG40" s="26"/>
      <c r="AH40" s="32"/>
      <c r="AJ40" s="8"/>
      <c r="AK40" s="2"/>
      <c r="AL40" s="26"/>
      <c r="AM40" s="26"/>
      <c r="AN40" s="26"/>
      <c r="AO40" s="27"/>
      <c r="AP40" s="30"/>
      <c r="AQ40" s="26"/>
      <c r="AR40" s="26"/>
      <c r="AS40" s="32"/>
      <c r="AT40" s="34"/>
    </row>
    <row r="41" spans="2:46" x14ac:dyDescent="0.3">
      <c r="B41" s="8"/>
      <c r="C41" s="2" t="s">
        <v>775</v>
      </c>
      <c r="D41" s="26">
        <v>0</v>
      </c>
      <c r="E41" s="26">
        <v>0</v>
      </c>
      <c r="F41" s="27">
        <v>0</v>
      </c>
      <c r="G41" s="26">
        <v>0</v>
      </c>
      <c r="H41" s="26">
        <v>0</v>
      </c>
      <c r="I41" s="27">
        <v>0</v>
      </c>
      <c r="J41" s="26">
        <v>0</v>
      </c>
      <c r="K41" s="26">
        <v>0</v>
      </c>
      <c r="L41" s="67">
        <v>1</v>
      </c>
      <c r="N41" s="8"/>
      <c r="O41" s="2" t="s">
        <v>818</v>
      </c>
      <c r="P41" s="26">
        <v>0</v>
      </c>
      <c r="Q41" s="27">
        <v>0</v>
      </c>
      <c r="R41" s="30">
        <v>0</v>
      </c>
      <c r="S41" s="27">
        <v>0</v>
      </c>
      <c r="T41" s="30">
        <v>0</v>
      </c>
      <c r="U41" s="34">
        <v>1</v>
      </c>
      <c r="V41" s="34">
        <v>1</v>
      </c>
      <c r="X41" s="8"/>
      <c r="Y41" s="2"/>
      <c r="Z41" s="26"/>
      <c r="AA41" s="26"/>
      <c r="AB41" s="26"/>
      <c r="AC41" s="26"/>
      <c r="AD41" s="27"/>
      <c r="AE41" s="30"/>
      <c r="AF41" s="26"/>
      <c r="AG41" s="26"/>
      <c r="AH41" s="32"/>
      <c r="AJ41" s="8"/>
      <c r="AK41" s="2"/>
      <c r="AL41" s="26"/>
      <c r="AM41" s="26"/>
      <c r="AN41" s="26"/>
      <c r="AO41" s="27"/>
      <c r="AP41" s="30"/>
      <c r="AQ41" s="26"/>
      <c r="AR41" s="26"/>
      <c r="AS41" s="32"/>
      <c r="AT41" s="34"/>
    </row>
    <row r="42" spans="2:46" x14ac:dyDescent="0.3">
      <c r="B42" s="8"/>
      <c r="C42" s="2" t="s">
        <v>776</v>
      </c>
      <c r="D42" s="26">
        <v>0</v>
      </c>
      <c r="E42" s="26">
        <v>0</v>
      </c>
      <c r="F42" s="27">
        <v>0</v>
      </c>
      <c r="G42" s="26">
        <v>0</v>
      </c>
      <c r="H42" s="26">
        <v>0</v>
      </c>
      <c r="I42" s="27">
        <v>0</v>
      </c>
      <c r="J42" s="26">
        <v>0</v>
      </c>
      <c r="K42" s="26">
        <v>0</v>
      </c>
      <c r="L42" s="67">
        <v>1</v>
      </c>
      <c r="N42" s="8"/>
      <c r="O42" s="2" t="s">
        <v>819</v>
      </c>
      <c r="P42" s="26">
        <v>0</v>
      </c>
      <c r="Q42" s="27">
        <v>0</v>
      </c>
      <c r="R42" s="30">
        <v>0</v>
      </c>
      <c r="S42" s="27">
        <v>0</v>
      </c>
      <c r="T42" s="30">
        <v>0</v>
      </c>
      <c r="U42" s="34">
        <v>1</v>
      </c>
      <c r="V42" s="34">
        <v>1</v>
      </c>
      <c r="X42" s="8"/>
      <c r="Y42" s="2"/>
      <c r="Z42" s="26"/>
      <c r="AA42" s="26"/>
      <c r="AB42" s="26"/>
      <c r="AC42" s="26"/>
      <c r="AD42" s="27"/>
      <c r="AE42" s="30"/>
      <c r="AF42" s="26"/>
      <c r="AG42" s="26"/>
      <c r="AH42" s="32"/>
      <c r="AJ42" s="8"/>
      <c r="AK42" s="2"/>
      <c r="AL42" s="26"/>
      <c r="AM42" s="26"/>
      <c r="AN42" s="26"/>
      <c r="AO42" s="27"/>
      <c r="AP42" s="30"/>
      <c r="AQ42" s="26"/>
      <c r="AR42" s="26"/>
      <c r="AS42" s="32"/>
      <c r="AT42" s="34"/>
    </row>
    <row r="43" spans="2:46" x14ac:dyDescent="0.3">
      <c r="B43" s="8"/>
      <c r="C43" s="2" t="s">
        <v>777</v>
      </c>
      <c r="D43" s="26">
        <v>0</v>
      </c>
      <c r="E43" s="26">
        <v>0</v>
      </c>
      <c r="F43" s="27">
        <v>0</v>
      </c>
      <c r="G43" s="26">
        <v>0</v>
      </c>
      <c r="H43" s="26">
        <v>0</v>
      </c>
      <c r="I43" s="27">
        <v>0</v>
      </c>
      <c r="J43" s="26">
        <v>0</v>
      </c>
      <c r="K43" s="26">
        <v>0</v>
      </c>
      <c r="L43" s="67">
        <v>1</v>
      </c>
      <c r="N43" s="8"/>
      <c r="O43" s="2" t="s">
        <v>820</v>
      </c>
      <c r="P43" s="26">
        <v>0</v>
      </c>
      <c r="Q43" s="27">
        <v>0</v>
      </c>
      <c r="R43" s="30">
        <v>0</v>
      </c>
      <c r="S43" s="27">
        <v>0</v>
      </c>
      <c r="T43" s="30">
        <v>0</v>
      </c>
      <c r="U43" s="34">
        <v>1</v>
      </c>
      <c r="V43" s="34">
        <v>1</v>
      </c>
      <c r="X43" s="8"/>
      <c r="Y43" s="2"/>
      <c r="Z43" s="26"/>
      <c r="AA43" s="26"/>
      <c r="AB43" s="26"/>
      <c r="AC43" s="26"/>
      <c r="AD43" s="27"/>
      <c r="AE43" s="30"/>
      <c r="AF43" s="26"/>
      <c r="AG43" s="26"/>
      <c r="AH43" s="32"/>
      <c r="AJ43" s="8"/>
      <c r="AK43" s="2"/>
      <c r="AL43" s="26"/>
      <c r="AM43" s="26"/>
      <c r="AN43" s="26"/>
      <c r="AO43" s="27"/>
      <c r="AP43" s="30"/>
      <c r="AQ43" s="26"/>
      <c r="AR43" s="26"/>
      <c r="AS43" s="32"/>
      <c r="AT43" s="34"/>
    </row>
    <row r="44" spans="2:46" x14ac:dyDescent="0.3">
      <c r="B44" s="8"/>
      <c r="C44" s="2" t="s">
        <v>724</v>
      </c>
      <c r="D44" s="26">
        <v>0</v>
      </c>
      <c r="E44" s="26">
        <v>0</v>
      </c>
      <c r="F44" s="27">
        <v>0</v>
      </c>
      <c r="G44" s="26">
        <v>0</v>
      </c>
      <c r="H44" s="26">
        <v>0</v>
      </c>
      <c r="I44" s="27">
        <v>0</v>
      </c>
      <c r="J44" s="26">
        <v>0</v>
      </c>
      <c r="K44" s="26">
        <v>0</v>
      </c>
      <c r="L44" s="67">
        <v>1</v>
      </c>
      <c r="N44" s="8"/>
      <c r="O44" s="2" t="s">
        <v>660</v>
      </c>
      <c r="P44" s="26">
        <v>0</v>
      </c>
      <c r="Q44" s="27">
        <v>0</v>
      </c>
      <c r="R44" s="30">
        <v>0</v>
      </c>
      <c r="S44" s="27">
        <v>0</v>
      </c>
      <c r="T44" s="30">
        <v>0</v>
      </c>
      <c r="U44" s="34">
        <v>1</v>
      </c>
      <c r="V44" s="34">
        <v>1</v>
      </c>
      <c r="X44" s="8"/>
      <c r="Y44" s="2"/>
      <c r="Z44" s="26"/>
      <c r="AA44" s="26"/>
      <c r="AB44" s="26"/>
      <c r="AC44" s="26"/>
      <c r="AD44" s="27"/>
      <c r="AE44" s="30"/>
      <c r="AF44" s="26"/>
      <c r="AG44" s="26"/>
      <c r="AH44" s="32"/>
      <c r="AJ44" s="8"/>
      <c r="AK44" s="2"/>
      <c r="AL44" s="26"/>
      <c r="AM44" s="26"/>
      <c r="AN44" s="26"/>
      <c r="AO44" s="27"/>
      <c r="AP44" s="30"/>
      <c r="AQ44" s="26"/>
      <c r="AR44" s="26"/>
      <c r="AS44" s="32"/>
      <c r="AT44" s="34"/>
    </row>
    <row r="45" spans="2:46" x14ac:dyDescent="0.3">
      <c r="B45" s="8"/>
      <c r="C45" s="2" t="s">
        <v>725</v>
      </c>
      <c r="D45" s="26">
        <v>0</v>
      </c>
      <c r="E45" s="26">
        <v>0</v>
      </c>
      <c r="F45" s="27">
        <v>0</v>
      </c>
      <c r="G45" s="26">
        <v>0</v>
      </c>
      <c r="H45" s="26">
        <v>0</v>
      </c>
      <c r="I45" s="27">
        <v>0</v>
      </c>
      <c r="J45" s="26">
        <v>0</v>
      </c>
      <c r="K45" s="26">
        <v>0</v>
      </c>
      <c r="L45" s="67">
        <v>1</v>
      </c>
      <c r="N45" s="8"/>
      <c r="O45" s="2" t="s">
        <v>661</v>
      </c>
      <c r="P45" s="26">
        <v>0</v>
      </c>
      <c r="Q45" s="27">
        <v>0</v>
      </c>
      <c r="R45" s="30">
        <v>0</v>
      </c>
      <c r="S45" s="27">
        <v>0</v>
      </c>
      <c r="T45" s="30">
        <v>0</v>
      </c>
      <c r="U45" s="34">
        <v>1</v>
      </c>
      <c r="V45" s="34">
        <v>1</v>
      </c>
      <c r="X45" s="8"/>
      <c r="Y45" s="2"/>
      <c r="Z45" s="26"/>
      <c r="AA45" s="26"/>
      <c r="AB45" s="26"/>
      <c r="AC45" s="26"/>
      <c r="AD45" s="27"/>
      <c r="AE45" s="30"/>
      <c r="AF45" s="26"/>
      <c r="AG45" s="26"/>
      <c r="AH45" s="32"/>
      <c r="AJ45" s="8"/>
      <c r="AK45" s="2"/>
      <c r="AL45" s="26"/>
      <c r="AM45" s="26"/>
      <c r="AN45" s="26"/>
      <c r="AO45" s="27"/>
      <c r="AP45" s="30"/>
      <c r="AQ45" s="26"/>
      <c r="AR45" s="26"/>
      <c r="AS45" s="32"/>
      <c r="AT45" s="34"/>
    </row>
    <row r="46" spans="2:46" x14ac:dyDescent="0.3">
      <c r="B46" s="8"/>
      <c r="C46" s="2" t="s">
        <v>778</v>
      </c>
      <c r="D46" s="26">
        <v>0</v>
      </c>
      <c r="E46" s="26">
        <v>0</v>
      </c>
      <c r="F46" s="27">
        <v>0</v>
      </c>
      <c r="G46" s="26">
        <v>0</v>
      </c>
      <c r="H46" s="26">
        <v>0</v>
      </c>
      <c r="I46" s="27">
        <v>0</v>
      </c>
      <c r="J46" s="26">
        <v>0</v>
      </c>
      <c r="K46" s="26">
        <v>0</v>
      </c>
      <c r="L46" s="67">
        <v>1</v>
      </c>
      <c r="N46" s="8"/>
      <c r="O46" s="2" t="s">
        <v>821</v>
      </c>
      <c r="P46" s="26">
        <v>0</v>
      </c>
      <c r="Q46" s="27">
        <v>0</v>
      </c>
      <c r="R46" s="30">
        <v>0</v>
      </c>
      <c r="S46" s="27">
        <v>0</v>
      </c>
      <c r="T46" s="30">
        <v>0</v>
      </c>
      <c r="U46" s="34">
        <v>1</v>
      </c>
      <c r="V46" s="34">
        <v>1</v>
      </c>
      <c r="X46" s="8"/>
      <c r="Y46" s="2"/>
      <c r="Z46" s="26"/>
      <c r="AA46" s="26"/>
      <c r="AB46" s="26"/>
      <c r="AC46" s="26"/>
      <c r="AD46" s="27"/>
      <c r="AE46" s="30"/>
      <c r="AF46" s="26"/>
      <c r="AG46" s="26"/>
      <c r="AH46" s="32"/>
      <c r="AJ46" s="8"/>
      <c r="AK46" s="2"/>
      <c r="AL46" s="26"/>
      <c r="AM46" s="26"/>
      <c r="AN46" s="26"/>
      <c r="AO46" s="27"/>
      <c r="AP46" s="30"/>
      <c r="AQ46" s="26"/>
      <c r="AR46" s="26"/>
      <c r="AS46" s="32"/>
      <c r="AT46" s="34"/>
    </row>
    <row r="47" spans="2:46" x14ac:dyDescent="0.3">
      <c r="B47" s="8"/>
      <c r="C47" s="2" t="s">
        <v>726</v>
      </c>
      <c r="D47" s="26">
        <v>0</v>
      </c>
      <c r="E47" s="26">
        <v>0</v>
      </c>
      <c r="F47" s="27">
        <v>0</v>
      </c>
      <c r="G47" s="26">
        <v>0</v>
      </c>
      <c r="H47" s="26">
        <v>0</v>
      </c>
      <c r="I47" s="27">
        <v>0</v>
      </c>
      <c r="J47" s="26">
        <v>0</v>
      </c>
      <c r="K47" s="26">
        <v>0</v>
      </c>
      <c r="L47" s="67">
        <v>1</v>
      </c>
      <c r="N47" s="8"/>
      <c r="O47" s="2" t="s">
        <v>662</v>
      </c>
      <c r="P47" s="26">
        <v>0</v>
      </c>
      <c r="Q47" s="27">
        <v>0</v>
      </c>
      <c r="R47" s="30">
        <v>0</v>
      </c>
      <c r="S47" s="27">
        <v>0</v>
      </c>
      <c r="T47" s="30">
        <v>0</v>
      </c>
      <c r="U47" s="34">
        <v>1</v>
      </c>
      <c r="V47" s="34">
        <v>1</v>
      </c>
      <c r="X47" s="8"/>
      <c r="Y47" s="2"/>
      <c r="Z47" s="26"/>
      <c r="AA47" s="26"/>
      <c r="AB47" s="26"/>
      <c r="AC47" s="26"/>
      <c r="AD47" s="27"/>
      <c r="AE47" s="30"/>
      <c r="AF47" s="26"/>
      <c r="AG47" s="26"/>
      <c r="AH47" s="32"/>
      <c r="AJ47" s="8"/>
      <c r="AK47" s="2"/>
      <c r="AL47" s="26"/>
      <c r="AM47" s="26"/>
      <c r="AN47" s="26"/>
      <c r="AO47" s="27"/>
      <c r="AP47" s="30"/>
      <c r="AQ47" s="26"/>
      <c r="AR47" s="26"/>
      <c r="AS47" s="32"/>
      <c r="AT47" s="34"/>
    </row>
    <row r="48" spans="2:46" x14ac:dyDescent="0.3">
      <c r="B48" s="8"/>
      <c r="C48" s="2" t="s">
        <v>779</v>
      </c>
      <c r="D48" s="26">
        <v>0</v>
      </c>
      <c r="E48" s="26">
        <v>0</v>
      </c>
      <c r="F48" s="27">
        <v>0</v>
      </c>
      <c r="G48" s="26">
        <v>0</v>
      </c>
      <c r="H48" s="26">
        <v>0</v>
      </c>
      <c r="I48" s="27">
        <v>0</v>
      </c>
      <c r="J48" s="26">
        <v>0</v>
      </c>
      <c r="K48" s="26">
        <v>0</v>
      </c>
      <c r="L48" s="67">
        <v>1</v>
      </c>
      <c r="N48" s="8"/>
      <c r="O48" s="2" t="s">
        <v>822</v>
      </c>
      <c r="P48" s="26">
        <v>0</v>
      </c>
      <c r="Q48" s="27">
        <v>0</v>
      </c>
      <c r="R48" s="30">
        <v>0</v>
      </c>
      <c r="S48" s="27">
        <v>0</v>
      </c>
      <c r="T48" s="30">
        <v>0</v>
      </c>
      <c r="U48" s="34">
        <v>1</v>
      </c>
      <c r="V48" s="34">
        <v>1</v>
      </c>
      <c r="X48" s="8"/>
      <c r="Y48" s="2"/>
      <c r="Z48" s="26"/>
      <c r="AA48" s="26"/>
      <c r="AB48" s="26"/>
      <c r="AC48" s="26"/>
      <c r="AD48" s="27"/>
      <c r="AE48" s="30"/>
      <c r="AF48" s="26"/>
      <c r="AG48" s="26"/>
      <c r="AH48" s="32"/>
      <c r="AJ48" s="8"/>
      <c r="AK48" s="2"/>
      <c r="AL48" s="26"/>
      <c r="AM48" s="26"/>
      <c r="AN48" s="26"/>
      <c r="AO48" s="27"/>
      <c r="AP48" s="30"/>
      <c r="AQ48" s="26"/>
      <c r="AR48" s="26"/>
      <c r="AS48" s="32"/>
      <c r="AT48" s="34"/>
    </row>
    <row r="49" spans="2:46" x14ac:dyDescent="0.3">
      <c r="B49" s="8"/>
      <c r="C49" s="2" t="s">
        <v>780</v>
      </c>
      <c r="D49" s="26">
        <v>0</v>
      </c>
      <c r="E49" s="26">
        <v>0</v>
      </c>
      <c r="F49" s="27">
        <v>0</v>
      </c>
      <c r="G49" s="26">
        <v>0</v>
      </c>
      <c r="H49" s="26">
        <v>0</v>
      </c>
      <c r="I49" s="27">
        <v>0</v>
      </c>
      <c r="J49" s="26">
        <v>0</v>
      </c>
      <c r="K49" s="26">
        <v>0</v>
      </c>
      <c r="L49" s="67">
        <v>1</v>
      </c>
      <c r="N49" s="8"/>
      <c r="O49" s="2" t="s">
        <v>823</v>
      </c>
      <c r="P49" s="26">
        <v>0</v>
      </c>
      <c r="Q49" s="27">
        <v>0</v>
      </c>
      <c r="R49" s="30">
        <v>0</v>
      </c>
      <c r="S49" s="27">
        <v>0</v>
      </c>
      <c r="T49" s="30">
        <v>0</v>
      </c>
      <c r="U49" s="34">
        <v>1</v>
      </c>
      <c r="V49" s="34">
        <v>1</v>
      </c>
      <c r="X49" s="8"/>
      <c r="Y49" s="2"/>
      <c r="Z49" s="26"/>
      <c r="AA49" s="26"/>
      <c r="AB49" s="26"/>
      <c r="AC49" s="26"/>
      <c r="AD49" s="27"/>
      <c r="AE49" s="30"/>
      <c r="AF49" s="26"/>
      <c r="AG49" s="26"/>
      <c r="AH49" s="32"/>
      <c r="AJ49" s="8"/>
      <c r="AK49" s="2"/>
      <c r="AL49" s="26"/>
      <c r="AM49" s="26"/>
      <c r="AN49" s="26"/>
      <c r="AO49" s="27"/>
      <c r="AP49" s="30"/>
      <c r="AQ49" s="26"/>
      <c r="AR49" s="26"/>
      <c r="AS49" s="32"/>
      <c r="AT49" s="34"/>
    </row>
    <row r="50" spans="2:46" x14ac:dyDescent="0.3">
      <c r="B50" s="8"/>
      <c r="C50" s="2" t="s">
        <v>727</v>
      </c>
      <c r="D50" s="26">
        <v>0</v>
      </c>
      <c r="E50" s="26">
        <v>0</v>
      </c>
      <c r="F50" s="27">
        <v>0</v>
      </c>
      <c r="G50" s="26">
        <v>0</v>
      </c>
      <c r="H50" s="26">
        <v>0</v>
      </c>
      <c r="I50" s="27">
        <v>0</v>
      </c>
      <c r="J50" s="26">
        <v>0</v>
      </c>
      <c r="K50" s="26">
        <v>0</v>
      </c>
      <c r="L50" s="67">
        <v>1</v>
      </c>
      <c r="N50" s="8"/>
      <c r="O50" s="2" t="s">
        <v>663</v>
      </c>
      <c r="P50" s="26">
        <v>0</v>
      </c>
      <c r="Q50" s="27">
        <v>0</v>
      </c>
      <c r="R50" s="30">
        <v>0</v>
      </c>
      <c r="S50" s="27">
        <v>0</v>
      </c>
      <c r="T50" s="30">
        <v>0</v>
      </c>
      <c r="U50" s="34">
        <v>1</v>
      </c>
      <c r="V50" s="34">
        <v>1</v>
      </c>
      <c r="X50" s="8"/>
      <c r="Y50" s="2"/>
      <c r="Z50" s="26"/>
      <c r="AA50" s="26"/>
      <c r="AB50" s="26"/>
      <c r="AC50" s="26"/>
      <c r="AD50" s="27"/>
      <c r="AE50" s="30"/>
      <c r="AF50" s="26"/>
      <c r="AG50" s="26"/>
      <c r="AH50" s="32"/>
      <c r="AJ50" s="8"/>
      <c r="AK50" s="2"/>
      <c r="AL50" s="26"/>
      <c r="AM50" s="26"/>
      <c r="AN50" s="26"/>
      <c r="AO50" s="27"/>
      <c r="AP50" s="30"/>
      <c r="AQ50" s="26"/>
      <c r="AR50" s="26"/>
      <c r="AS50" s="32"/>
      <c r="AT50" s="34"/>
    </row>
    <row r="51" spans="2:46" x14ac:dyDescent="0.3">
      <c r="B51" s="8"/>
      <c r="C51" s="2" t="s">
        <v>728</v>
      </c>
      <c r="D51" s="26">
        <v>0</v>
      </c>
      <c r="E51" s="26">
        <v>0</v>
      </c>
      <c r="F51" s="27">
        <v>0</v>
      </c>
      <c r="G51" s="26">
        <v>0</v>
      </c>
      <c r="H51" s="26">
        <v>0</v>
      </c>
      <c r="I51" s="27">
        <v>0</v>
      </c>
      <c r="J51" s="26">
        <v>0</v>
      </c>
      <c r="K51" s="26">
        <v>0</v>
      </c>
      <c r="L51" s="67">
        <v>1</v>
      </c>
      <c r="N51" s="8"/>
      <c r="O51" s="2" t="s">
        <v>664</v>
      </c>
      <c r="P51" s="26">
        <v>0</v>
      </c>
      <c r="Q51" s="27">
        <v>0</v>
      </c>
      <c r="R51" s="30">
        <v>0</v>
      </c>
      <c r="S51" s="27">
        <v>0</v>
      </c>
      <c r="T51" s="30">
        <v>0</v>
      </c>
      <c r="U51" s="34">
        <v>1</v>
      </c>
      <c r="V51" s="34">
        <v>1</v>
      </c>
      <c r="X51" s="8"/>
      <c r="Y51" s="2"/>
      <c r="Z51" s="26"/>
      <c r="AA51" s="26"/>
      <c r="AB51" s="26"/>
      <c r="AC51" s="26"/>
      <c r="AD51" s="27"/>
      <c r="AE51" s="30"/>
      <c r="AF51" s="26"/>
      <c r="AG51" s="26"/>
      <c r="AH51" s="32"/>
      <c r="AJ51" s="8"/>
      <c r="AK51" s="2"/>
      <c r="AL51" s="26"/>
      <c r="AM51" s="26"/>
      <c r="AN51" s="26"/>
      <c r="AO51" s="27"/>
      <c r="AP51" s="30"/>
      <c r="AQ51" s="26"/>
      <c r="AR51" s="26"/>
      <c r="AS51" s="32"/>
      <c r="AT51" s="34"/>
    </row>
    <row r="52" spans="2:46" x14ac:dyDescent="0.3">
      <c r="B52" s="8"/>
      <c r="C52" s="2" t="s">
        <v>781</v>
      </c>
      <c r="D52" s="26">
        <v>0</v>
      </c>
      <c r="E52" s="26">
        <v>0</v>
      </c>
      <c r="F52" s="27">
        <v>0</v>
      </c>
      <c r="G52" s="26">
        <v>0</v>
      </c>
      <c r="H52" s="26">
        <v>0</v>
      </c>
      <c r="I52" s="27">
        <v>0</v>
      </c>
      <c r="J52" s="26">
        <v>0</v>
      </c>
      <c r="K52" s="26">
        <v>0</v>
      </c>
      <c r="L52" s="67">
        <v>1</v>
      </c>
      <c r="N52" s="8"/>
      <c r="O52" s="2" t="s">
        <v>824</v>
      </c>
      <c r="P52" s="26">
        <v>0</v>
      </c>
      <c r="Q52" s="27">
        <v>0</v>
      </c>
      <c r="R52" s="30">
        <v>0</v>
      </c>
      <c r="S52" s="27">
        <v>0</v>
      </c>
      <c r="T52" s="30">
        <v>0</v>
      </c>
      <c r="U52" s="34">
        <v>1</v>
      </c>
      <c r="V52" s="34">
        <v>1</v>
      </c>
      <c r="X52" s="8"/>
      <c r="Y52" s="2"/>
      <c r="Z52" s="26"/>
      <c r="AA52" s="26"/>
      <c r="AB52" s="26"/>
      <c r="AC52" s="26"/>
      <c r="AD52" s="27"/>
      <c r="AE52" s="30"/>
      <c r="AF52" s="26"/>
      <c r="AG52" s="26"/>
      <c r="AH52" s="32"/>
      <c r="AJ52" s="8"/>
      <c r="AK52" s="2"/>
      <c r="AL52" s="26"/>
      <c r="AM52" s="26"/>
      <c r="AN52" s="26"/>
      <c r="AO52" s="27"/>
      <c r="AP52" s="30"/>
      <c r="AQ52" s="26"/>
      <c r="AR52" s="26"/>
      <c r="AS52" s="32"/>
      <c r="AT52" s="34"/>
    </row>
    <row r="53" spans="2:46" x14ac:dyDescent="0.3">
      <c r="B53" s="8"/>
      <c r="C53" s="2" t="s">
        <v>729</v>
      </c>
      <c r="D53" s="26">
        <v>0</v>
      </c>
      <c r="E53" s="26">
        <v>0</v>
      </c>
      <c r="F53" s="27">
        <v>0</v>
      </c>
      <c r="G53" s="26">
        <v>0</v>
      </c>
      <c r="H53" s="26">
        <v>0</v>
      </c>
      <c r="I53" s="27">
        <v>0</v>
      </c>
      <c r="J53" s="26">
        <v>0</v>
      </c>
      <c r="K53" s="26">
        <v>0</v>
      </c>
      <c r="L53" s="67">
        <v>1</v>
      </c>
      <c r="N53" s="8"/>
      <c r="O53" s="2" t="s">
        <v>665</v>
      </c>
      <c r="P53" s="26">
        <v>0</v>
      </c>
      <c r="Q53" s="27">
        <v>0</v>
      </c>
      <c r="R53" s="30">
        <v>0</v>
      </c>
      <c r="S53" s="27">
        <v>0</v>
      </c>
      <c r="T53" s="30">
        <v>0</v>
      </c>
      <c r="U53" s="34">
        <v>1</v>
      </c>
      <c r="V53" s="34">
        <v>1</v>
      </c>
      <c r="X53" s="8"/>
      <c r="Y53" s="2"/>
      <c r="Z53" s="26"/>
      <c r="AA53" s="26"/>
      <c r="AB53" s="26"/>
      <c r="AC53" s="26"/>
      <c r="AD53" s="27"/>
      <c r="AE53" s="30"/>
      <c r="AF53" s="26"/>
      <c r="AG53" s="26"/>
      <c r="AH53" s="32"/>
      <c r="AJ53" s="8"/>
      <c r="AK53" s="2"/>
      <c r="AL53" s="26"/>
      <c r="AM53" s="26"/>
      <c r="AN53" s="26"/>
      <c r="AO53" s="27"/>
      <c r="AP53" s="30"/>
      <c r="AQ53" s="26"/>
      <c r="AR53" s="26"/>
      <c r="AS53" s="32"/>
      <c r="AT53" s="34"/>
    </row>
    <row r="54" spans="2:46" x14ac:dyDescent="0.3">
      <c r="B54" s="8"/>
      <c r="C54" s="2" t="s">
        <v>782</v>
      </c>
      <c r="D54" s="26">
        <v>0</v>
      </c>
      <c r="E54" s="26">
        <v>0</v>
      </c>
      <c r="F54" s="27">
        <v>0</v>
      </c>
      <c r="G54" s="26">
        <v>0</v>
      </c>
      <c r="H54" s="26">
        <v>0</v>
      </c>
      <c r="I54" s="27">
        <v>0</v>
      </c>
      <c r="J54" s="26">
        <v>0</v>
      </c>
      <c r="K54" s="26">
        <v>0</v>
      </c>
      <c r="L54" s="67">
        <v>1</v>
      </c>
      <c r="N54" s="8"/>
      <c r="O54" s="2" t="s">
        <v>825</v>
      </c>
      <c r="P54" s="26">
        <v>0</v>
      </c>
      <c r="Q54" s="27">
        <v>0</v>
      </c>
      <c r="R54" s="30">
        <v>0</v>
      </c>
      <c r="S54" s="27">
        <v>0</v>
      </c>
      <c r="T54" s="30">
        <v>0</v>
      </c>
      <c r="U54" s="34">
        <v>1</v>
      </c>
      <c r="V54" s="34">
        <v>1</v>
      </c>
      <c r="X54" s="8"/>
      <c r="Y54" s="2"/>
      <c r="Z54" s="26"/>
      <c r="AA54" s="26"/>
      <c r="AB54" s="26"/>
      <c r="AC54" s="26"/>
      <c r="AD54" s="27"/>
      <c r="AE54" s="30"/>
      <c r="AF54" s="26"/>
      <c r="AG54" s="26"/>
      <c r="AH54" s="32"/>
      <c r="AJ54" s="8"/>
      <c r="AK54" s="2"/>
      <c r="AL54" s="26"/>
      <c r="AM54" s="26"/>
      <c r="AN54" s="26"/>
      <c r="AO54" s="27"/>
      <c r="AP54" s="30"/>
      <c r="AQ54" s="26"/>
      <c r="AR54" s="26"/>
      <c r="AS54" s="32"/>
      <c r="AT54" s="34"/>
    </row>
    <row r="55" spans="2:46" x14ac:dyDescent="0.3">
      <c r="B55" s="8"/>
      <c r="C55" s="2" t="s">
        <v>783</v>
      </c>
      <c r="D55" s="26">
        <v>0</v>
      </c>
      <c r="E55" s="26">
        <v>0</v>
      </c>
      <c r="F55" s="27">
        <v>0</v>
      </c>
      <c r="G55" s="26">
        <v>0</v>
      </c>
      <c r="H55" s="26">
        <v>0</v>
      </c>
      <c r="I55" s="27">
        <v>0</v>
      </c>
      <c r="J55" s="26">
        <v>0</v>
      </c>
      <c r="K55" s="26">
        <v>0</v>
      </c>
      <c r="L55" s="67">
        <v>1</v>
      </c>
      <c r="N55" s="8"/>
      <c r="O55" s="2" t="s">
        <v>826</v>
      </c>
      <c r="P55" s="26">
        <v>0</v>
      </c>
      <c r="Q55" s="27">
        <v>0</v>
      </c>
      <c r="R55" s="30">
        <v>0</v>
      </c>
      <c r="S55" s="27">
        <v>0</v>
      </c>
      <c r="T55" s="30">
        <v>0</v>
      </c>
      <c r="U55" s="34">
        <v>1</v>
      </c>
      <c r="V55" s="34">
        <v>1</v>
      </c>
      <c r="X55" s="8"/>
      <c r="Y55" s="2"/>
      <c r="Z55" s="26"/>
      <c r="AA55" s="26"/>
      <c r="AB55" s="26"/>
      <c r="AC55" s="26"/>
      <c r="AD55" s="27"/>
      <c r="AE55" s="30"/>
      <c r="AF55" s="26"/>
      <c r="AG55" s="26"/>
      <c r="AH55" s="32"/>
      <c r="AJ55" s="8"/>
      <c r="AK55" s="2"/>
      <c r="AL55" s="26"/>
      <c r="AM55" s="26"/>
      <c r="AN55" s="26"/>
      <c r="AO55" s="27"/>
      <c r="AP55" s="30"/>
      <c r="AQ55" s="26"/>
      <c r="AR55" s="26"/>
      <c r="AS55" s="32"/>
      <c r="AT55" s="34"/>
    </row>
    <row r="56" spans="2:46" x14ac:dyDescent="0.3">
      <c r="B56" s="8"/>
      <c r="C56" s="2" t="s">
        <v>784</v>
      </c>
      <c r="D56" s="26">
        <v>0</v>
      </c>
      <c r="E56" s="26">
        <v>0</v>
      </c>
      <c r="F56" s="27">
        <v>0</v>
      </c>
      <c r="G56" s="26">
        <v>0</v>
      </c>
      <c r="H56" s="26">
        <v>0</v>
      </c>
      <c r="I56" s="27">
        <v>0</v>
      </c>
      <c r="J56" s="26">
        <v>0</v>
      </c>
      <c r="K56" s="26">
        <v>0</v>
      </c>
      <c r="L56" s="67">
        <v>1</v>
      </c>
      <c r="N56" s="8"/>
      <c r="O56" s="2" t="s">
        <v>827</v>
      </c>
      <c r="P56" s="26">
        <v>0</v>
      </c>
      <c r="Q56" s="27">
        <v>0</v>
      </c>
      <c r="R56" s="30">
        <v>0</v>
      </c>
      <c r="S56" s="27">
        <v>0</v>
      </c>
      <c r="T56" s="30">
        <v>0</v>
      </c>
      <c r="U56" s="34">
        <v>1</v>
      </c>
      <c r="V56" s="34">
        <v>1</v>
      </c>
      <c r="X56" s="8"/>
      <c r="Y56" s="2"/>
      <c r="Z56" s="26"/>
      <c r="AA56" s="26"/>
      <c r="AB56" s="26"/>
      <c r="AC56" s="26"/>
      <c r="AD56" s="27"/>
      <c r="AE56" s="30"/>
      <c r="AF56" s="26"/>
      <c r="AG56" s="26"/>
      <c r="AH56" s="32"/>
      <c r="AJ56" s="8"/>
      <c r="AK56" s="2"/>
      <c r="AL56" s="26"/>
      <c r="AM56" s="26"/>
      <c r="AN56" s="26"/>
      <c r="AO56" s="27"/>
      <c r="AP56" s="30"/>
      <c r="AQ56" s="26"/>
      <c r="AR56" s="26"/>
      <c r="AS56" s="32"/>
      <c r="AT56" s="34"/>
    </row>
    <row r="57" spans="2:46" x14ac:dyDescent="0.3">
      <c r="B57" s="8"/>
      <c r="C57" s="2" t="s">
        <v>785</v>
      </c>
      <c r="D57" s="26">
        <v>0</v>
      </c>
      <c r="E57" s="26">
        <v>0</v>
      </c>
      <c r="F57" s="27">
        <v>0</v>
      </c>
      <c r="G57" s="26">
        <v>0</v>
      </c>
      <c r="H57" s="26">
        <v>0</v>
      </c>
      <c r="I57" s="27">
        <v>0</v>
      </c>
      <c r="J57" s="26">
        <v>0</v>
      </c>
      <c r="K57" s="26">
        <v>0</v>
      </c>
      <c r="L57" s="67">
        <v>1</v>
      </c>
      <c r="N57" s="8"/>
      <c r="O57" s="2" t="s">
        <v>828</v>
      </c>
      <c r="P57" s="26">
        <v>0</v>
      </c>
      <c r="Q57" s="27">
        <v>0</v>
      </c>
      <c r="R57" s="30">
        <v>0</v>
      </c>
      <c r="S57" s="27">
        <v>0</v>
      </c>
      <c r="T57" s="30">
        <v>0</v>
      </c>
      <c r="U57" s="34">
        <v>1</v>
      </c>
      <c r="V57" s="34">
        <v>1</v>
      </c>
      <c r="X57" s="8"/>
      <c r="Y57" s="2"/>
      <c r="Z57" s="26"/>
      <c r="AA57" s="26"/>
      <c r="AB57" s="26"/>
      <c r="AC57" s="26"/>
      <c r="AD57" s="27"/>
      <c r="AE57" s="30"/>
      <c r="AF57" s="26"/>
      <c r="AG57" s="26"/>
      <c r="AH57" s="32"/>
      <c r="AJ57" s="8"/>
      <c r="AK57" s="2"/>
      <c r="AL57" s="26"/>
      <c r="AM57" s="26"/>
      <c r="AN57" s="26"/>
      <c r="AO57" s="27"/>
      <c r="AP57" s="30"/>
      <c r="AQ57" s="26"/>
      <c r="AR57" s="26"/>
      <c r="AS57" s="32"/>
      <c r="AT57" s="34"/>
    </row>
    <row r="58" spans="2:46" x14ac:dyDescent="0.3">
      <c r="B58" s="8"/>
      <c r="C58" s="2" t="s">
        <v>786</v>
      </c>
      <c r="D58" s="26">
        <v>0</v>
      </c>
      <c r="E58" s="26">
        <v>0</v>
      </c>
      <c r="F58" s="27">
        <v>0</v>
      </c>
      <c r="G58" s="26">
        <v>0</v>
      </c>
      <c r="H58" s="26">
        <v>0</v>
      </c>
      <c r="I58" s="27">
        <v>0</v>
      </c>
      <c r="J58" s="26">
        <v>0</v>
      </c>
      <c r="K58" s="26">
        <v>0</v>
      </c>
      <c r="L58" s="67">
        <v>1</v>
      </c>
      <c r="N58" s="8"/>
      <c r="O58" s="2" t="s">
        <v>829</v>
      </c>
      <c r="P58" s="26">
        <v>0</v>
      </c>
      <c r="Q58" s="27">
        <v>0</v>
      </c>
      <c r="R58" s="30">
        <v>0</v>
      </c>
      <c r="S58" s="27">
        <v>0</v>
      </c>
      <c r="T58" s="30">
        <v>0</v>
      </c>
      <c r="U58" s="34">
        <v>1</v>
      </c>
      <c r="V58" s="34">
        <v>1</v>
      </c>
      <c r="X58" s="8"/>
      <c r="Y58" s="2"/>
      <c r="Z58" s="26"/>
      <c r="AA58" s="26"/>
      <c r="AB58" s="26"/>
      <c r="AC58" s="26"/>
      <c r="AD58" s="27"/>
      <c r="AE58" s="30"/>
      <c r="AF58" s="26"/>
      <c r="AG58" s="26"/>
      <c r="AH58" s="32"/>
      <c r="AJ58" s="8"/>
      <c r="AK58" s="2"/>
      <c r="AL58" s="26"/>
      <c r="AM58" s="26"/>
      <c r="AN58" s="26"/>
      <c r="AO58" s="27"/>
      <c r="AP58" s="30"/>
      <c r="AQ58" s="26"/>
      <c r="AR58" s="26"/>
      <c r="AS58" s="32"/>
      <c r="AT58" s="34"/>
    </row>
    <row r="59" spans="2:46" x14ac:dyDescent="0.3">
      <c r="B59" s="8"/>
      <c r="C59" s="2" t="s">
        <v>787</v>
      </c>
      <c r="D59" s="26">
        <v>0</v>
      </c>
      <c r="E59" s="26">
        <v>0</v>
      </c>
      <c r="F59" s="27">
        <v>0</v>
      </c>
      <c r="G59" s="26">
        <v>0</v>
      </c>
      <c r="H59" s="26">
        <v>0</v>
      </c>
      <c r="I59" s="27">
        <v>0</v>
      </c>
      <c r="J59" s="26">
        <v>0</v>
      </c>
      <c r="K59" s="26">
        <v>0</v>
      </c>
      <c r="L59" s="67">
        <v>1</v>
      </c>
      <c r="N59" s="8"/>
      <c r="O59" s="2" t="s">
        <v>830</v>
      </c>
      <c r="P59" s="26">
        <v>0</v>
      </c>
      <c r="Q59" s="27">
        <v>0</v>
      </c>
      <c r="R59" s="30">
        <v>0</v>
      </c>
      <c r="S59" s="27">
        <v>0</v>
      </c>
      <c r="T59" s="30">
        <v>0</v>
      </c>
      <c r="U59" s="34">
        <v>1</v>
      </c>
      <c r="V59" s="34">
        <v>1</v>
      </c>
      <c r="X59" s="8"/>
      <c r="Y59" s="2"/>
      <c r="Z59" s="26"/>
      <c r="AA59" s="26"/>
      <c r="AB59" s="26"/>
      <c r="AC59" s="26"/>
      <c r="AD59" s="27"/>
      <c r="AE59" s="30"/>
      <c r="AF59" s="26"/>
      <c r="AG59" s="26"/>
      <c r="AH59" s="32"/>
      <c r="AJ59" s="8"/>
      <c r="AK59" s="2"/>
      <c r="AL59" s="26"/>
      <c r="AM59" s="26"/>
      <c r="AN59" s="26"/>
      <c r="AO59" s="27"/>
      <c r="AP59" s="30"/>
      <c r="AQ59" s="26"/>
      <c r="AR59" s="26"/>
      <c r="AS59" s="32"/>
      <c r="AT59" s="34"/>
    </row>
    <row r="60" spans="2:46" x14ac:dyDescent="0.3">
      <c r="B60" s="8"/>
      <c r="C60" s="2" t="s">
        <v>788</v>
      </c>
      <c r="D60" s="26">
        <v>0</v>
      </c>
      <c r="E60" s="26">
        <v>0</v>
      </c>
      <c r="F60" s="27">
        <v>0</v>
      </c>
      <c r="G60" s="26">
        <v>0</v>
      </c>
      <c r="H60" s="26">
        <v>0</v>
      </c>
      <c r="I60" s="27">
        <v>0</v>
      </c>
      <c r="J60" s="26">
        <v>0</v>
      </c>
      <c r="K60" s="26">
        <v>0</v>
      </c>
      <c r="L60" s="67">
        <v>1</v>
      </c>
      <c r="N60" s="8"/>
      <c r="O60" s="2" t="s">
        <v>831</v>
      </c>
      <c r="P60" s="26">
        <v>0</v>
      </c>
      <c r="Q60" s="27">
        <v>0</v>
      </c>
      <c r="R60" s="30">
        <v>0</v>
      </c>
      <c r="S60" s="27">
        <v>0</v>
      </c>
      <c r="T60" s="30">
        <v>0</v>
      </c>
      <c r="U60" s="34">
        <v>1</v>
      </c>
      <c r="V60" s="34">
        <v>1</v>
      </c>
      <c r="X60" s="8"/>
      <c r="Y60" s="2"/>
      <c r="Z60" s="26"/>
      <c r="AA60" s="26"/>
      <c r="AB60" s="26"/>
      <c r="AC60" s="26"/>
      <c r="AD60" s="27"/>
      <c r="AE60" s="30"/>
      <c r="AF60" s="26"/>
      <c r="AG60" s="26"/>
      <c r="AH60" s="32"/>
      <c r="AJ60" s="8"/>
      <c r="AK60" s="2"/>
      <c r="AL60" s="26"/>
      <c r="AM60" s="26"/>
      <c r="AN60" s="26"/>
      <c r="AO60" s="27"/>
      <c r="AP60" s="30"/>
      <c r="AQ60" s="26"/>
      <c r="AR60" s="26"/>
      <c r="AS60" s="32"/>
      <c r="AT60" s="34"/>
    </row>
    <row r="61" spans="2:46" x14ac:dyDescent="0.3">
      <c r="B61" s="8"/>
      <c r="C61" s="2" t="s">
        <v>789</v>
      </c>
      <c r="D61" s="26">
        <v>0</v>
      </c>
      <c r="E61" s="26">
        <v>0</v>
      </c>
      <c r="F61" s="27">
        <v>0</v>
      </c>
      <c r="G61" s="26">
        <v>0</v>
      </c>
      <c r="H61" s="26">
        <v>0</v>
      </c>
      <c r="I61" s="27">
        <v>0</v>
      </c>
      <c r="J61" s="26">
        <v>0</v>
      </c>
      <c r="K61" s="26">
        <v>0</v>
      </c>
      <c r="L61" s="67">
        <v>1</v>
      </c>
      <c r="N61" s="8"/>
      <c r="O61" s="2" t="s">
        <v>832</v>
      </c>
      <c r="P61" s="26">
        <v>0</v>
      </c>
      <c r="Q61" s="27">
        <v>0</v>
      </c>
      <c r="R61" s="30">
        <v>0</v>
      </c>
      <c r="S61" s="27">
        <v>0</v>
      </c>
      <c r="T61" s="30">
        <v>0</v>
      </c>
      <c r="U61" s="34">
        <v>1</v>
      </c>
      <c r="V61" s="34">
        <v>1</v>
      </c>
      <c r="X61" s="8"/>
      <c r="Y61" s="2"/>
      <c r="Z61" s="26"/>
      <c r="AA61" s="26"/>
      <c r="AB61" s="26"/>
      <c r="AC61" s="26"/>
      <c r="AD61" s="27"/>
      <c r="AE61" s="30"/>
      <c r="AF61" s="26"/>
      <c r="AG61" s="26"/>
      <c r="AH61" s="32"/>
      <c r="AJ61" s="8"/>
      <c r="AK61" s="2"/>
      <c r="AL61" s="26"/>
      <c r="AM61" s="26"/>
      <c r="AN61" s="26"/>
      <c r="AO61" s="27"/>
      <c r="AP61" s="30"/>
      <c r="AQ61" s="26"/>
      <c r="AR61" s="26"/>
      <c r="AS61" s="32"/>
      <c r="AT61" s="34"/>
    </row>
    <row r="62" spans="2:46" x14ac:dyDescent="0.3">
      <c r="B62" s="8"/>
      <c r="C62" s="2" t="s">
        <v>790</v>
      </c>
      <c r="D62" s="26">
        <v>0</v>
      </c>
      <c r="E62" s="26">
        <v>0</v>
      </c>
      <c r="F62" s="27">
        <v>0</v>
      </c>
      <c r="G62" s="26">
        <v>0</v>
      </c>
      <c r="H62" s="26">
        <v>0</v>
      </c>
      <c r="I62" s="27">
        <v>0</v>
      </c>
      <c r="J62" s="26">
        <v>0</v>
      </c>
      <c r="K62" s="26">
        <v>0</v>
      </c>
      <c r="L62" s="67">
        <v>1</v>
      </c>
      <c r="N62" s="8"/>
      <c r="O62" s="2" t="s">
        <v>833</v>
      </c>
      <c r="P62" s="26">
        <v>0</v>
      </c>
      <c r="Q62" s="27">
        <v>0</v>
      </c>
      <c r="R62" s="30">
        <v>0</v>
      </c>
      <c r="S62" s="27">
        <v>0</v>
      </c>
      <c r="T62" s="30">
        <v>0</v>
      </c>
      <c r="U62" s="34">
        <v>1</v>
      </c>
      <c r="V62" s="34">
        <v>1</v>
      </c>
      <c r="X62" s="8"/>
      <c r="Y62" s="2"/>
      <c r="Z62" s="26"/>
      <c r="AA62" s="26"/>
      <c r="AB62" s="26"/>
      <c r="AC62" s="26"/>
      <c r="AD62" s="27"/>
      <c r="AE62" s="30"/>
      <c r="AF62" s="26"/>
      <c r="AG62" s="26"/>
      <c r="AH62" s="32"/>
      <c r="AJ62" s="8"/>
      <c r="AK62" s="2"/>
      <c r="AL62" s="26"/>
      <c r="AM62" s="26"/>
      <c r="AN62" s="26"/>
      <c r="AO62" s="27"/>
      <c r="AP62" s="30"/>
      <c r="AQ62" s="26"/>
      <c r="AR62" s="26"/>
      <c r="AS62" s="32"/>
      <c r="AT62" s="34"/>
    </row>
    <row r="63" spans="2:46" x14ac:dyDescent="0.3">
      <c r="B63" s="8"/>
      <c r="C63" s="2" t="s">
        <v>791</v>
      </c>
      <c r="D63" s="26">
        <v>0</v>
      </c>
      <c r="E63" s="26">
        <v>0</v>
      </c>
      <c r="F63" s="27">
        <v>0</v>
      </c>
      <c r="G63" s="26">
        <v>0</v>
      </c>
      <c r="H63" s="26">
        <v>0</v>
      </c>
      <c r="I63" s="27">
        <v>0</v>
      </c>
      <c r="J63" s="26">
        <v>0</v>
      </c>
      <c r="K63" s="26">
        <v>0</v>
      </c>
      <c r="L63" s="67">
        <v>1</v>
      </c>
      <c r="N63" s="8"/>
      <c r="O63" s="2" t="s">
        <v>834</v>
      </c>
      <c r="P63" s="26">
        <v>0</v>
      </c>
      <c r="Q63" s="27">
        <v>0</v>
      </c>
      <c r="R63" s="30">
        <v>0</v>
      </c>
      <c r="S63" s="27">
        <v>0</v>
      </c>
      <c r="T63" s="30">
        <v>0</v>
      </c>
      <c r="U63" s="34">
        <v>1</v>
      </c>
      <c r="V63" s="34">
        <v>1</v>
      </c>
      <c r="X63" s="8"/>
      <c r="Y63" s="2"/>
      <c r="Z63" s="26"/>
      <c r="AA63" s="26"/>
      <c r="AB63" s="26"/>
      <c r="AC63" s="26"/>
      <c r="AD63" s="27"/>
      <c r="AE63" s="30"/>
      <c r="AF63" s="26"/>
      <c r="AG63" s="26"/>
      <c r="AH63" s="32"/>
      <c r="AJ63" s="8"/>
      <c r="AK63" s="2"/>
      <c r="AL63" s="26"/>
      <c r="AM63" s="26"/>
      <c r="AN63" s="26"/>
      <c r="AO63" s="27"/>
      <c r="AP63" s="30"/>
      <c r="AQ63" s="26"/>
      <c r="AR63" s="26"/>
      <c r="AS63" s="32"/>
      <c r="AT63" s="34"/>
    </row>
    <row r="64" spans="2:46" x14ac:dyDescent="0.3">
      <c r="B64" s="8"/>
      <c r="C64" s="2" t="s">
        <v>792</v>
      </c>
      <c r="D64" s="26">
        <v>0</v>
      </c>
      <c r="E64" s="26">
        <v>0</v>
      </c>
      <c r="F64" s="27">
        <v>0</v>
      </c>
      <c r="G64" s="26">
        <v>0</v>
      </c>
      <c r="H64" s="26">
        <v>0</v>
      </c>
      <c r="I64" s="27">
        <v>0</v>
      </c>
      <c r="J64" s="26">
        <v>0</v>
      </c>
      <c r="K64" s="26">
        <v>0</v>
      </c>
      <c r="L64" s="67">
        <v>1</v>
      </c>
      <c r="N64" s="8"/>
      <c r="O64" s="2" t="s">
        <v>835</v>
      </c>
      <c r="P64" s="26">
        <v>0</v>
      </c>
      <c r="Q64" s="27">
        <v>0</v>
      </c>
      <c r="R64" s="30">
        <v>0</v>
      </c>
      <c r="S64" s="27">
        <v>0</v>
      </c>
      <c r="T64" s="30">
        <v>0</v>
      </c>
      <c r="U64" s="34">
        <v>1</v>
      </c>
      <c r="V64" s="34">
        <v>1</v>
      </c>
      <c r="X64" s="8"/>
      <c r="Y64" s="2"/>
      <c r="Z64" s="26"/>
      <c r="AA64" s="26"/>
      <c r="AB64" s="26"/>
      <c r="AC64" s="26"/>
      <c r="AD64" s="27"/>
      <c r="AE64" s="30"/>
      <c r="AF64" s="26"/>
      <c r="AG64" s="26"/>
      <c r="AH64" s="32"/>
      <c r="AJ64" s="8"/>
      <c r="AK64" s="2"/>
      <c r="AL64" s="26"/>
      <c r="AM64" s="26"/>
      <c r="AN64" s="26"/>
      <c r="AO64" s="27"/>
      <c r="AP64" s="30"/>
      <c r="AQ64" s="26"/>
      <c r="AR64" s="26"/>
      <c r="AS64" s="32"/>
      <c r="AT64" s="34"/>
    </row>
    <row r="65" spans="2:46" x14ac:dyDescent="0.3">
      <c r="B65" s="8"/>
      <c r="C65" s="2" t="s">
        <v>793</v>
      </c>
      <c r="D65" s="26">
        <v>0</v>
      </c>
      <c r="E65" s="26">
        <v>0</v>
      </c>
      <c r="F65" s="27">
        <v>0</v>
      </c>
      <c r="G65" s="26">
        <v>0</v>
      </c>
      <c r="H65" s="26">
        <v>0</v>
      </c>
      <c r="I65" s="27">
        <v>0</v>
      </c>
      <c r="J65" s="26">
        <v>0</v>
      </c>
      <c r="K65" s="26">
        <v>0</v>
      </c>
      <c r="L65" s="67">
        <v>1</v>
      </c>
      <c r="N65" s="8"/>
      <c r="O65" s="2" t="s">
        <v>836</v>
      </c>
      <c r="P65" s="26">
        <v>0</v>
      </c>
      <c r="Q65" s="27">
        <v>0</v>
      </c>
      <c r="R65" s="30">
        <v>0</v>
      </c>
      <c r="S65" s="27">
        <v>0</v>
      </c>
      <c r="T65" s="30">
        <v>0</v>
      </c>
      <c r="U65" s="34">
        <v>1</v>
      </c>
      <c r="V65" s="34">
        <v>1</v>
      </c>
      <c r="X65" s="8"/>
      <c r="Y65" s="2"/>
      <c r="Z65" s="26"/>
      <c r="AA65" s="26"/>
      <c r="AB65" s="26"/>
      <c r="AC65" s="26"/>
      <c r="AD65" s="27"/>
      <c r="AE65" s="30"/>
      <c r="AF65" s="26"/>
      <c r="AG65" s="26"/>
      <c r="AH65" s="32"/>
      <c r="AJ65" s="8"/>
      <c r="AK65" s="2"/>
      <c r="AL65" s="26"/>
      <c r="AM65" s="26"/>
      <c r="AN65" s="26"/>
      <c r="AO65" s="27"/>
      <c r="AP65" s="30"/>
      <c r="AQ65" s="26"/>
      <c r="AR65" s="26"/>
      <c r="AS65" s="32"/>
      <c r="AT65" s="34"/>
    </row>
    <row r="66" spans="2:46" x14ac:dyDescent="0.3">
      <c r="B66" s="8"/>
      <c r="C66" s="2" t="s">
        <v>980</v>
      </c>
      <c r="D66" s="26">
        <v>0</v>
      </c>
      <c r="E66" s="26">
        <v>0</v>
      </c>
      <c r="F66" s="27">
        <v>0</v>
      </c>
      <c r="G66" s="26">
        <v>0</v>
      </c>
      <c r="H66" s="26">
        <v>0</v>
      </c>
      <c r="I66" s="27">
        <v>0</v>
      </c>
      <c r="J66" s="26">
        <v>0</v>
      </c>
      <c r="K66" s="26">
        <v>0</v>
      </c>
      <c r="L66" s="67">
        <v>1</v>
      </c>
      <c r="N66" s="8"/>
      <c r="O66" s="2" t="s">
        <v>950</v>
      </c>
      <c r="P66" s="26">
        <v>0</v>
      </c>
      <c r="Q66" s="27">
        <v>0</v>
      </c>
      <c r="R66" s="30">
        <v>0</v>
      </c>
      <c r="S66" s="27">
        <v>0</v>
      </c>
      <c r="T66" s="30">
        <v>0</v>
      </c>
      <c r="U66" s="34">
        <v>1</v>
      </c>
      <c r="V66" s="34">
        <v>1</v>
      </c>
      <c r="X66" s="8"/>
      <c r="Y66" s="2"/>
      <c r="Z66" s="26"/>
      <c r="AA66" s="26"/>
      <c r="AB66" s="26"/>
      <c r="AC66" s="26"/>
      <c r="AD66" s="27"/>
      <c r="AE66" s="30"/>
      <c r="AF66" s="26"/>
      <c r="AG66" s="26"/>
      <c r="AH66" s="32"/>
      <c r="AJ66" s="8"/>
      <c r="AK66" s="2"/>
      <c r="AL66" s="26"/>
      <c r="AM66" s="26"/>
      <c r="AN66" s="26"/>
      <c r="AO66" s="27"/>
      <c r="AP66" s="30"/>
      <c r="AQ66" s="26"/>
      <c r="AR66" s="26"/>
      <c r="AS66" s="32"/>
      <c r="AT66" s="34"/>
    </row>
    <row r="67" spans="2:46" x14ac:dyDescent="0.3">
      <c r="B67" s="8"/>
      <c r="C67" s="2" t="s">
        <v>981</v>
      </c>
      <c r="D67" s="26">
        <v>0</v>
      </c>
      <c r="E67" s="26">
        <v>0</v>
      </c>
      <c r="F67" s="27">
        <v>0</v>
      </c>
      <c r="G67" s="26">
        <v>0</v>
      </c>
      <c r="H67" s="26">
        <v>0</v>
      </c>
      <c r="I67" s="27">
        <v>0</v>
      </c>
      <c r="J67" s="26">
        <v>0</v>
      </c>
      <c r="K67" s="26">
        <v>0</v>
      </c>
      <c r="L67" s="67">
        <v>1</v>
      </c>
      <c r="N67" s="8"/>
      <c r="O67" s="2" t="s">
        <v>951</v>
      </c>
      <c r="P67" s="26">
        <v>0</v>
      </c>
      <c r="Q67" s="27">
        <v>0</v>
      </c>
      <c r="R67" s="30">
        <v>0</v>
      </c>
      <c r="S67" s="27">
        <v>0</v>
      </c>
      <c r="T67" s="30">
        <v>0</v>
      </c>
      <c r="U67" s="34">
        <v>1</v>
      </c>
      <c r="V67" s="34">
        <v>1</v>
      </c>
      <c r="X67" s="8"/>
      <c r="Y67" s="2"/>
      <c r="Z67" s="26"/>
      <c r="AA67" s="26"/>
      <c r="AB67" s="26"/>
      <c r="AC67" s="26"/>
      <c r="AD67" s="27"/>
      <c r="AE67" s="30"/>
      <c r="AF67" s="26"/>
      <c r="AG67" s="26"/>
      <c r="AH67" s="32"/>
      <c r="AJ67" s="8"/>
      <c r="AK67" s="2"/>
      <c r="AL67" s="26"/>
      <c r="AM67" s="26"/>
      <c r="AN67" s="26"/>
      <c r="AO67" s="27"/>
      <c r="AP67" s="30"/>
      <c r="AQ67" s="26"/>
      <c r="AR67" s="26"/>
      <c r="AS67" s="32"/>
      <c r="AT67" s="34"/>
    </row>
    <row r="68" spans="2:46" x14ac:dyDescent="0.3">
      <c r="B68" s="8"/>
      <c r="C68" s="2" t="s">
        <v>794</v>
      </c>
      <c r="D68" s="26">
        <v>0</v>
      </c>
      <c r="E68" s="26">
        <v>0</v>
      </c>
      <c r="F68" s="27">
        <v>0</v>
      </c>
      <c r="G68" s="26">
        <v>0</v>
      </c>
      <c r="H68" s="26">
        <v>0</v>
      </c>
      <c r="I68" s="27">
        <v>0</v>
      </c>
      <c r="J68" s="26">
        <v>0</v>
      </c>
      <c r="K68" s="26">
        <v>0</v>
      </c>
      <c r="L68" s="67">
        <v>1</v>
      </c>
      <c r="N68" s="8"/>
      <c r="O68" s="2" t="s">
        <v>837</v>
      </c>
      <c r="P68" s="26">
        <v>0</v>
      </c>
      <c r="Q68" s="27">
        <v>0</v>
      </c>
      <c r="R68" s="30">
        <v>0</v>
      </c>
      <c r="S68" s="27">
        <v>0</v>
      </c>
      <c r="T68" s="30">
        <v>0</v>
      </c>
      <c r="U68" s="34">
        <v>1</v>
      </c>
      <c r="V68" s="34">
        <v>1</v>
      </c>
      <c r="X68" s="8"/>
      <c r="Y68" s="2"/>
      <c r="Z68" s="26"/>
      <c r="AA68" s="26"/>
      <c r="AB68" s="26"/>
      <c r="AC68" s="26"/>
      <c r="AD68" s="27"/>
      <c r="AE68" s="30"/>
      <c r="AF68" s="26"/>
      <c r="AG68" s="26"/>
      <c r="AH68" s="32"/>
      <c r="AJ68" s="8"/>
      <c r="AK68" s="2"/>
      <c r="AL68" s="26"/>
      <c r="AM68" s="26"/>
      <c r="AN68" s="26"/>
      <c r="AO68" s="27"/>
      <c r="AP68" s="30"/>
      <c r="AQ68" s="26"/>
      <c r="AR68" s="26"/>
      <c r="AS68" s="32"/>
      <c r="AT68" s="34"/>
    </row>
    <row r="69" spans="2:46" x14ac:dyDescent="0.3">
      <c r="B69" s="8"/>
      <c r="C69" s="2" t="s">
        <v>795</v>
      </c>
      <c r="D69" s="26">
        <v>0</v>
      </c>
      <c r="E69" s="26">
        <v>0</v>
      </c>
      <c r="F69" s="27">
        <v>0</v>
      </c>
      <c r="G69" s="26">
        <v>0</v>
      </c>
      <c r="H69" s="26">
        <v>0</v>
      </c>
      <c r="I69" s="27">
        <v>0</v>
      </c>
      <c r="J69" s="26">
        <v>0</v>
      </c>
      <c r="K69" s="26">
        <v>0</v>
      </c>
      <c r="L69" s="67">
        <v>1</v>
      </c>
      <c r="N69" s="8"/>
      <c r="O69" s="2" t="s">
        <v>838</v>
      </c>
      <c r="P69" s="26">
        <v>0</v>
      </c>
      <c r="Q69" s="27">
        <v>0</v>
      </c>
      <c r="R69" s="30">
        <v>0</v>
      </c>
      <c r="S69" s="27">
        <v>0</v>
      </c>
      <c r="T69" s="30">
        <v>0</v>
      </c>
      <c r="U69" s="34">
        <v>1</v>
      </c>
      <c r="V69" s="34">
        <v>1</v>
      </c>
      <c r="X69" s="8"/>
      <c r="Y69" s="2"/>
      <c r="Z69" s="26"/>
      <c r="AA69" s="26"/>
      <c r="AB69" s="26"/>
      <c r="AC69" s="26"/>
      <c r="AD69" s="27"/>
      <c r="AE69" s="30"/>
      <c r="AF69" s="26"/>
      <c r="AG69" s="26"/>
      <c r="AH69" s="32"/>
      <c r="AJ69" s="8"/>
      <c r="AK69" s="2"/>
      <c r="AL69" s="26"/>
      <c r="AM69" s="26"/>
      <c r="AN69" s="26"/>
      <c r="AO69" s="27"/>
      <c r="AP69" s="30"/>
      <c r="AQ69" s="26"/>
      <c r="AR69" s="26"/>
      <c r="AS69" s="32"/>
      <c r="AT69" s="34"/>
    </row>
    <row r="70" spans="2:46" x14ac:dyDescent="0.3">
      <c r="B70" s="8"/>
      <c r="C70" s="2" t="s">
        <v>796</v>
      </c>
      <c r="D70" s="26">
        <v>0</v>
      </c>
      <c r="E70" s="26">
        <v>0</v>
      </c>
      <c r="F70" s="27">
        <v>0</v>
      </c>
      <c r="G70" s="26">
        <v>0</v>
      </c>
      <c r="H70" s="26">
        <v>0</v>
      </c>
      <c r="I70" s="27">
        <v>0</v>
      </c>
      <c r="J70" s="26">
        <v>0</v>
      </c>
      <c r="K70" s="26">
        <v>0</v>
      </c>
      <c r="L70" s="67">
        <v>1</v>
      </c>
      <c r="N70" s="8"/>
      <c r="O70" s="2" t="s">
        <v>839</v>
      </c>
      <c r="P70" s="26">
        <v>0</v>
      </c>
      <c r="Q70" s="27">
        <v>0</v>
      </c>
      <c r="R70" s="30">
        <v>0</v>
      </c>
      <c r="S70" s="27">
        <v>0</v>
      </c>
      <c r="T70" s="30">
        <v>0</v>
      </c>
      <c r="U70" s="34">
        <v>1</v>
      </c>
      <c r="V70" s="34">
        <v>1</v>
      </c>
      <c r="X70" s="8"/>
      <c r="Y70" s="2"/>
      <c r="Z70" s="26"/>
      <c r="AA70" s="26"/>
      <c r="AB70" s="26"/>
      <c r="AC70" s="26"/>
      <c r="AD70" s="27"/>
      <c r="AE70" s="30"/>
      <c r="AF70" s="26"/>
      <c r="AG70" s="26"/>
      <c r="AH70" s="32"/>
      <c r="AJ70" s="8"/>
      <c r="AK70" s="2"/>
      <c r="AL70" s="26"/>
      <c r="AM70" s="26"/>
      <c r="AN70" s="26"/>
      <c r="AO70" s="27"/>
      <c r="AP70" s="30"/>
      <c r="AQ70" s="26"/>
      <c r="AR70" s="26"/>
      <c r="AS70" s="32"/>
      <c r="AT70" s="34"/>
    </row>
    <row r="71" spans="2:46" x14ac:dyDescent="0.3">
      <c r="B71" s="8"/>
      <c r="C71" s="2" t="s">
        <v>797</v>
      </c>
      <c r="D71" s="26">
        <v>0</v>
      </c>
      <c r="E71" s="26">
        <v>0</v>
      </c>
      <c r="F71" s="27">
        <v>0</v>
      </c>
      <c r="G71" s="26">
        <v>0</v>
      </c>
      <c r="H71" s="26">
        <v>0</v>
      </c>
      <c r="I71" s="27">
        <v>0</v>
      </c>
      <c r="J71" s="26">
        <v>0</v>
      </c>
      <c r="K71" s="26">
        <v>0</v>
      </c>
      <c r="L71" s="67">
        <v>1</v>
      </c>
      <c r="N71" s="8"/>
      <c r="O71" s="2" t="s">
        <v>840</v>
      </c>
      <c r="P71" s="26">
        <v>0</v>
      </c>
      <c r="Q71" s="27">
        <v>0</v>
      </c>
      <c r="R71" s="30">
        <v>0</v>
      </c>
      <c r="S71" s="27">
        <v>0</v>
      </c>
      <c r="T71" s="30">
        <v>0</v>
      </c>
      <c r="U71" s="34">
        <v>1</v>
      </c>
      <c r="V71" s="34">
        <v>1</v>
      </c>
      <c r="X71" s="8"/>
      <c r="Y71" s="2"/>
      <c r="Z71" s="26"/>
      <c r="AA71" s="26"/>
      <c r="AB71" s="26"/>
      <c r="AC71" s="26"/>
      <c r="AD71" s="27"/>
      <c r="AE71" s="30"/>
      <c r="AF71" s="26"/>
      <c r="AG71" s="26"/>
      <c r="AH71" s="32"/>
      <c r="AJ71" s="8"/>
      <c r="AK71" s="2"/>
      <c r="AL71" s="26"/>
      <c r="AM71" s="26"/>
      <c r="AN71" s="26"/>
      <c r="AO71" s="27"/>
      <c r="AP71" s="30"/>
      <c r="AQ71" s="26"/>
      <c r="AR71" s="26"/>
      <c r="AS71" s="32"/>
      <c r="AT71" s="34"/>
    </row>
    <row r="72" spans="2:46" x14ac:dyDescent="0.3">
      <c r="B72" s="8"/>
      <c r="C72" s="2" t="s">
        <v>798</v>
      </c>
      <c r="D72" s="26">
        <v>0</v>
      </c>
      <c r="E72" s="26">
        <v>0</v>
      </c>
      <c r="F72" s="27">
        <v>0</v>
      </c>
      <c r="G72" s="26">
        <v>0</v>
      </c>
      <c r="H72" s="26">
        <v>0</v>
      </c>
      <c r="I72" s="27">
        <v>0</v>
      </c>
      <c r="J72" s="26">
        <v>0</v>
      </c>
      <c r="K72" s="26">
        <v>0</v>
      </c>
      <c r="L72" s="67">
        <v>1</v>
      </c>
      <c r="N72" s="8"/>
      <c r="O72" s="2" t="s">
        <v>841</v>
      </c>
      <c r="P72" s="26">
        <v>0</v>
      </c>
      <c r="Q72" s="27">
        <v>0</v>
      </c>
      <c r="R72" s="30">
        <v>0</v>
      </c>
      <c r="S72" s="27">
        <v>0</v>
      </c>
      <c r="T72" s="30">
        <v>0</v>
      </c>
      <c r="U72" s="34">
        <v>1</v>
      </c>
      <c r="V72" s="34">
        <v>1</v>
      </c>
      <c r="X72" s="8"/>
      <c r="Y72" s="2"/>
      <c r="Z72" s="26"/>
      <c r="AA72" s="26"/>
      <c r="AB72" s="26"/>
      <c r="AC72" s="26"/>
      <c r="AD72" s="27"/>
      <c r="AE72" s="30"/>
      <c r="AF72" s="26"/>
      <c r="AG72" s="26"/>
      <c r="AH72" s="32"/>
      <c r="AJ72" s="8"/>
      <c r="AK72" s="2"/>
      <c r="AL72" s="26"/>
      <c r="AM72" s="26"/>
      <c r="AN72" s="26"/>
      <c r="AO72" s="27"/>
      <c r="AP72" s="30"/>
      <c r="AQ72" s="26"/>
      <c r="AR72" s="26"/>
      <c r="AS72" s="32"/>
      <c r="AT72" s="34"/>
    </row>
    <row r="73" spans="2:46" x14ac:dyDescent="0.3">
      <c r="B73" s="8"/>
      <c r="C73" s="2" t="s">
        <v>730</v>
      </c>
      <c r="D73" s="26">
        <v>0</v>
      </c>
      <c r="E73" s="26">
        <v>0</v>
      </c>
      <c r="F73" s="27">
        <v>0</v>
      </c>
      <c r="G73" s="26">
        <v>0</v>
      </c>
      <c r="H73" s="26">
        <v>0</v>
      </c>
      <c r="I73" s="27">
        <v>0</v>
      </c>
      <c r="J73" s="26">
        <v>0</v>
      </c>
      <c r="K73" s="26">
        <v>0</v>
      </c>
      <c r="L73" s="67">
        <v>1</v>
      </c>
      <c r="N73" s="8"/>
      <c r="O73" s="2" t="s">
        <v>666</v>
      </c>
      <c r="P73" s="26">
        <v>0</v>
      </c>
      <c r="Q73" s="27">
        <v>0</v>
      </c>
      <c r="R73" s="30">
        <v>0</v>
      </c>
      <c r="S73" s="27">
        <v>0</v>
      </c>
      <c r="T73" s="30">
        <v>0</v>
      </c>
      <c r="U73" s="34">
        <v>1</v>
      </c>
      <c r="V73" s="34">
        <v>1</v>
      </c>
      <c r="X73" s="8"/>
      <c r="Y73" s="2"/>
      <c r="Z73" s="26"/>
      <c r="AA73" s="26"/>
      <c r="AB73" s="26"/>
      <c r="AC73" s="26"/>
      <c r="AD73" s="27"/>
      <c r="AE73" s="30"/>
      <c r="AF73" s="26"/>
      <c r="AG73" s="26"/>
      <c r="AH73" s="32"/>
      <c r="AJ73" s="8"/>
      <c r="AK73" s="2"/>
      <c r="AL73" s="26"/>
      <c r="AM73" s="26"/>
      <c r="AN73" s="26"/>
      <c r="AO73" s="27"/>
      <c r="AP73" s="30"/>
      <c r="AQ73" s="26"/>
      <c r="AR73" s="26"/>
      <c r="AS73" s="32"/>
      <c r="AT73" s="34"/>
    </row>
    <row r="74" spans="2:46" x14ac:dyDescent="0.3">
      <c r="B74" s="8"/>
      <c r="C74" s="2" t="s">
        <v>799</v>
      </c>
      <c r="D74" s="26">
        <v>0</v>
      </c>
      <c r="E74" s="26">
        <v>0</v>
      </c>
      <c r="F74" s="27">
        <v>0</v>
      </c>
      <c r="G74" s="26">
        <v>0</v>
      </c>
      <c r="H74" s="26">
        <v>0</v>
      </c>
      <c r="I74" s="27">
        <v>0</v>
      </c>
      <c r="J74" s="26">
        <v>0</v>
      </c>
      <c r="K74" s="26">
        <v>0</v>
      </c>
      <c r="L74" s="67">
        <v>1</v>
      </c>
      <c r="N74" s="8"/>
      <c r="O74" s="2" t="s">
        <v>842</v>
      </c>
      <c r="P74" s="26">
        <v>0</v>
      </c>
      <c r="Q74" s="27">
        <v>0</v>
      </c>
      <c r="R74" s="30">
        <v>0</v>
      </c>
      <c r="S74" s="27">
        <v>0</v>
      </c>
      <c r="T74" s="30">
        <v>0</v>
      </c>
      <c r="U74" s="34">
        <v>1</v>
      </c>
      <c r="V74" s="34">
        <v>1</v>
      </c>
      <c r="X74" s="8"/>
      <c r="Y74" s="2"/>
      <c r="Z74" s="26"/>
      <c r="AA74" s="26"/>
      <c r="AB74" s="26"/>
      <c r="AC74" s="26"/>
      <c r="AD74" s="27"/>
      <c r="AE74" s="30"/>
      <c r="AF74" s="26"/>
      <c r="AG74" s="26"/>
      <c r="AH74" s="32"/>
      <c r="AJ74" s="8"/>
      <c r="AK74" s="2"/>
      <c r="AL74" s="26"/>
      <c r="AM74" s="26"/>
      <c r="AN74" s="26"/>
      <c r="AO74" s="27"/>
      <c r="AP74" s="30"/>
      <c r="AQ74" s="26"/>
      <c r="AR74" s="26"/>
      <c r="AS74" s="32"/>
      <c r="AT74" s="34"/>
    </row>
    <row r="75" spans="2:46" x14ac:dyDescent="0.3">
      <c r="B75" s="8"/>
      <c r="C75" s="2" t="s">
        <v>731</v>
      </c>
      <c r="D75" s="26">
        <v>0</v>
      </c>
      <c r="E75" s="26">
        <v>0</v>
      </c>
      <c r="F75" s="27">
        <v>0</v>
      </c>
      <c r="G75" s="26">
        <v>0</v>
      </c>
      <c r="H75" s="26">
        <v>0</v>
      </c>
      <c r="I75" s="27">
        <v>0</v>
      </c>
      <c r="J75" s="26">
        <v>0</v>
      </c>
      <c r="K75" s="26">
        <v>0</v>
      </c>
      <c r="L75" s="67">
        <v>1</v>
      </c>
      <c r="N75" s="8"/>
      <c r="O75" s="2" t="s">
        <v>667</v>
      </c>
      <c r="P75" s="26">
        <v>0</v>
      </c>
      <c r="Q75" s="27">
        <v>0</v>
      </c>
      <c r="R75" s="30">
        <v>0</v>
      </c>
      <c r="S75" s="27">
        <v>0</v>
      </c>
      <c r="T75" s="30">
        <v>0</v>
      </c>
      <c r="U75" s="34">
        <v>1</v>
      </c>
      <c r="V75" s="34">
        <v>1</v>
      </c>
      <c r="X75" s="8"/>
      <c r="Y75" s="2"/>
      <c r="Z75" s="26"/>
      <c r="AA75" s="26"/>
      <c r="AB75" s="26"/>
      <c r="AC75" s="26"/>
      <c r="AD75" s="27"/>
      <c r="AE75" s="30"/>
      <c r="AF75" s="26"/>
      <c r="AG75" s="26"/>
      <c r="AH75" s="32"/>
      <c r="AJ75" s="8"/>
      <c r="AK75" s="2"/>
      <c r="AL75" s="26"/>
      <c r="AM75" s="26"/>
      <c r="AN75" s="26"/>
      <c r="AO75" s="27"/>
      <c r="AP75" s="30"/>
      <c r="AQ75" s="26"/>
      <c r="AR75" s="26"/>
      <c r="AS75" s="32"/>
      <c r="AT75" s="34"/>
    </row>
    <row r="76" spans="2:46" x14ac:dyDescent="0.3">
      <c r="B76" s="8"/>
      <c r="C76" s="2" t="s">
        <v>800</v>
      </c>
      <c r="D76" s="26">
        <v>0</v>
      </c>
      <c r="E76" s="26">
        <v>0</v>
      </c>
      <c r="F76" s="27">
        <v>0</v>
      </c>
      <c r="G76" s="26">
        <v>0</v>
      </c>
      <c r="H76" s="26">
        <v>0</v>
      </c>
      <c r="I76" s="27">
        <v>0</v>
      </c>
      <c r="J76" s="26">
        <v>0</v>
      </c>
      <c r="K76" s="26">
        <v>0</v>
      </c>
      <c r="L76" s="67">
        <v>1</v>
      </c>
      <c r="N76" s="8"/>
      <c r="O76" s="2" t="s">
        <v>843</v>
      </c>
      <c r="P76" s="26">
        <v>0</v>
      </c>
      <c r="Q76" s="27">
        <v>0</v>
      </c>
      <c r="R76" s="30">
        <v>0</v>
      </c>
      <c r="S76" s="27">
        <v>0</v>
      </c>
      <c r="T76" s="30">
        <v>0</v>
      </c>
      <c r="U76" s="34">
        <v>1</v>
      </c>
      <c r="V76" s="34">
        <v>1</v>
      </c>
      <c r="X76" s="8"/>
      <c r="Y76" s="2"/>
      <c r="Z76" s="26"/>
      <c r="AA76" s="26"/>
      <c r="AB76" s="26"/>
      <c r="AC76" s="26"/>
      <c r="AD76" s="27"/>
      <c r="AE76" s="30"/>
      <c r="AF76" s="26"/>
      <c r="AG76" s="26"/>
      <c r="AH76" s="32"/>
      <c r="AJ76" s="8"/>
      <c r="AK76" s="2"/>
      <c r="AL76" s="26"/>
      <c r="AM76" s="26"/>
      <c r="AN76" s="26"/>
      <c r="AO76" s="27"/>
      <c r="AP76" s="30"/>
      <c r="AQ76" s="26"/>
      <c r="AR76" s="26"/>
      <c r="AS76" s="32"/>
      <c r="AT76" s="34"/>
    </row>
    <row r="77" spans="2:46" x14ac:dyDescent="0.3">
      <c r="B77" s="8"/>
      <c r="C77" s="2" t="s">
        <v>982</v>
      </c>
      <c r="D77" s="26">
        <v>0</v>
      </c>
      <c r="E77" s="26">
        <v>0</v>
      </c>
      <c r="F77" s="27">
        <v>0</v>
      </c>
      <c r="G77" s="26">
        <v>0</v>
      </c>
      <c r="H77" s="26">
        <v>0</v>
      </c>
      <c r="I77" s="27">
        <v>0</v>
      </c>
      <c r="J77" s="26">
        <v>0</v>
      </c>
      <c r="K77" s="26">
        <v>0</v>
      </c>
      <c r="L77" s="67">
        <v>1</v>
      </c>
      <c r="N77" s="8"/>
      <c r="O77" s="2" t="s">
        <v>952</v>
      </c>
      <c r="P77" s="26">
        <v>0</v>
      </c>
      <c r="Q77" s="27">
        <v>0</v>
      </c>
      <c r="R77" s="30">
        <v>0</v>
      </c>
      <c r="S77" s="27">
        <v>0</v>
      </c>
      <c r="T77" s="30">
        <v>0</v>
      </c>
      <c r="U77" s="34">
        <v>1</v>
      </c>
      <c r="V77" s="34">
        <v>1</v>
      </c>
      <c r="X77" s="8"/>
      <c r="Y77" s="2"/>
      <c r="Z77" s="26"/>
      <c r="AA77" s="26"/>
      <c r="AB77" s="26"/>
      <c r="AC77" s="26"/>
      <c r="AD77" s="27"/>
      <c r="AE77" s="30"/>
      <c r="AF77" s="26"/>
      <c r="AG77" s="26"/>
      <c r="AH77" s="32"/>
      <c r="AJ77" s="8"/>
      <c r="AK77" s="2"/>
      <c r="AL77" s="26"/>
      <c r="AM77" s="26"/>
      <c r="AN77" s="26"/>
      <c r="AO77" s="27"/>
      <c r="AP77" s="30"/>
      <c r="AQ77" s="26"/>
      <c r="AR77" s="26"/>
      <c r="AS77" s="32"/>
      <c r="AT77" s="34"/>
    </row>
    <row r="78" spans="2:46" x14ac:dyDescent="0.3">
      <c r="B78" s="8"/>
      <c r="C78" s="2" t="s">
        <v>983</v>
      </c>
      <c r="D78" s="26">
        <v>0</v>
      </c>
      <c r="E78" s="26">
        <v>0</v>
      </c>
      <c r="F78" s="27">
        <v>0</v>
      </c>
      <c r="G78" s="26">
        <v>0</v>
      </c>
      <c r="H78" s="26">
        <v>0</v>
      </c>
      <c r="I78" s="27">
        <v>0</v>
      </c>
      <c r="J78" s="26">
        <v>0</v>
      </c>
      <c r="K78" s="26">
        <v>0</v>
      </c>
      <c r="L78" s="67">
        <v>1</v>
      </c>
      <c r="N78" s="8"/>
      <c r="O78" s="2" t="s">
        <v>953</v>
      </c>
      <c r="P78" s="26">
        <v>0</v>
      </c>
      <c r="Q78" s="27">
        <v>0</v>
      </c>
      <c r="R78" s="30">
        <v>0</v>
      </c>
      <c r="S78" s="27">
        <v>0</v>
      </c>
      <c r="T78" s="30">
        <v>0</v>
      </c>
      <c r="U78" s="34">
        <v>1</v>
      </c>
      <c r="V78" s="34">
        <v>1</v>
      </c>
      <c r="X78" s="8"/>
      <c r="Y78" s="2"/>
      <c r="Z78" s="26"/>
      <c r="AA78" s="26"/>
      <c r="AB78" s="26"/>
      <c r="AC78" s="26"/>
      <c r="AD78" s="27"/>
      <c r="AE78" s="30"/>
      <c r="AF78" s="26"/>
      <c r="AG78" s="26"/>
      <c r="AH78" s="32"/>
      <c r="AJ78" s="8"/>
      <c r="AK78" s="2"/>
      <c r="AL78" s="26"/>
      <c r="AM78" s="26"/>
      <c r="AN78" s="26"/>
      <c r="AO78" s="27"/>
      <c r="AP78" s="30"/>
      <c r="AQ78" s="26"/>
      <c r="AR78" s="26"/>
      <c r="AS78" s="32"/>
      <c r="AT78" s="34"/>
    </row>
    <row r="79" spans="2:46" x14ac:dyDescent="0.3">
      <c r="B79" s="8"/>
      <c r="C79" s="2" t="s">
        <v>984</v>
      </c>
      <c r="D79" s="26">
        <v>0</v>
      </c>
      <c r="E79" s="26">
        <v>0</v>
      </c>
      <c r="F79" s="27">
        <v>0</v>
      </c>
      <c r="G79" s="26">
        <v>0</v>
      </c>
      <c r="H79" s="26">
        <v>0</v>
      </c>
      <c r="I79" s="27">
        <v>0</v>
      </c>
      <c r="J79" s="26">
        <v>0</v>
      </c>
      <c r="K79" s="26">
        <v>0</v>
      </c>
      <c r="L79" s="67">
        <v>1</v>
      </c>
      <c r="N79" s="8"/>
      <c r="O79" s="2" t="s">
        <v>954</v>
      </c>
      <c r="P79" s="26">
        <v>0</v>
      </c>
      <c r="Q79" s="27">
        <v>0</v>
      </c>
      <c r="R79" s="30">
        <v>0</v>
      </c>
      <c r="S79" s="27">
        <v>0</v>
      </c>
      <c r="T79" s="30">
        <v>0</v>
      </c>
      <c r="U79" s="34">
        <v>1</v>
      </c>
      <c r="V79" s="34">
        <v>1</v>
      </c>
      <c r="X79" s="8"/>
      <c r="Y79" s="2"/>
      <c r="Z79" s="26"/>
      <c r="AA79" s="26"/>
      <c r="AB79" s="26"/>
      <c r="AC79" s="26"/>
      <c r="AD79" s="27"/>
      <c r="AE79" s="30"/>
      <c r="AF79" s="26"/>
      <c r="AG79" s="26"/>
      <c r="AH79" s="32"/>
      <c r="AJ79" s="8"/>
      <c r="AK79" s="2"/>
      <c r="AL79" s="26"/>
      <c r="AM79" s="26"/>
      <c r="AN79" s="26"/>
      <c r="AO79" s="27"/>
      <c r="AP79" s="30"/>
      <c r="AQ79" s="26"/>
      <c r="AR79" s="26"/>
      <c r="AS79" s="32"/>
      <c r="AT79" s="34"/>
    </row>
    <row r="80" spans="2:46" x14ac:dyDescent="0.3">
      <c r="B80" s="8"/>
      <c r="C80" s="2" t="s">
        <v>732</v>
      </c>
      <c r="D80" s="26">
        <v>0</v>
      </c>
      <c r="E80" s="26">
        <v>0</v>
      </c>
      <c r="F80" s="27">
        <v>0</v>
      </c>
      <c r="G80" s="26">
        <v>0</v>
      </c>
      <c r="H80" s="26">
        <v>0</v>
      </c>
      <c r="I80" s="27">
        <v>0</v>
      </c>
      <c r="J80" s="26">
        <v>0</v>
      </c>
      <c r="K80" s="26">
        <v>0</v>
      </c>
      <c r="L80" s="67">
        <v>1</v>
      </c>
      <c r="N80" s="8"/>
      <c r="O80" s="2" t="s">
        <v>668</v>
      </c>
      <c r="P80" s="26">
        <v>0</v>
      </c>
      <c r="Q80" s="27">
        <v>0</v>
      </c>
      <c r="R80" s="30">
        <v>0</v>
      </c>
      <c r="S80" s="27">
        <v>0</v>
      </c>
      <c r="T80" s="30">
        <v>0</v>
      </c>
      <c r="U80" s="34">
        <v>1</v>
      </c>
      <c r="V80" s="34">
        <v>1</v>
      </c>
      <c r="X80" s="8"/>
      <c r="Y80" s="2"/>
      <c r="Z80" s="26"/>
      <c r="AA80" s="26"/>
      <c r="AB80" s="26"/>
      <c r="AC80" s="26"/>
      <c r="AD80" s="27"/>
      <c r="AE80" s="30"/>
      <c r="AF80" s="26"/>
      <c r="AG80" s="26"/>
      <c r="AH80" s="32"/>
      <c r="AJ80" s="8"/>
      <c r="AK80" s="2"/>
      <c r="AL80" s="26"/>
      <c r="AM80" s="26"/>
      <c r="AN80" s="26"/>
      <c r="AO80" s="27"/>
      <c r="AP80" s="30"/>
      <c r="AQ80" s="26"/>
      <c r="AR80" s="26"/>
      <c r="AS80" s="32"/>
      <c r="AT80" s="34"/>
    </row>
    <row r="81" spans="2:46" x14ac:dyDescent="0.3">
      <c r="B81" s="8"/>
      <c r="C81" s="2" t="s">
        <v>801</v>
      </c>
      <c r="D81" s="26">
        <v>0</v>
      </c>
      <c r="E81" s="26">
        <v>0</v>
      </c>
      <c r="F81" s="27">
        <v>0</v>
      </c>
      <c r="G81" s="26">
        <v>0</v>
      </c>
      <c r="H81" s="26">
        <v>0</v>
      </c>
      <c r="I81" s="27">
        <v>0</v>
      </c>
      <c r="J81" s="26">
        <v>0</v>
      </c>
      <c r="K81" s="26">
        <v>0</v>
      </c>
      <c r="L81" s="67">
        <v>1</v>
      </c>
      <c r="N81" s="8"/>
      <c r="O81" s="2" t="s">
        <v>844</v>
      </c>
      <c r="P81" s="26">
        <v>0</v>
      </c>
      <c r="Q81" s="27">
        <v>0</v>
      </c>
      <c r="R81" s="30">
        <v>0</v>
      </c>
      <c r="S81" s="27">
        <v>0</v>
      </c>
      <c r="T81" s="30">
        <v>0</v>
      </c>
      <c r="U81" s="34">
        <v>1</v>
      </c>
      <c r="V81" s="34">
        <v>1</v>
      </c>
      <c r="X81" s="8"/>
      <c r="Y81" s="2"/>
      <c r="Z81" s="26"/>
      <c r="AA81" s="26"/>
      <c r="AB81" s="26"/>
      <c r="AC81" s="26"/>
      <c r="AD81" s="27"/>
      <c r="AE81" s="30"/>
      <c r="AF81" s="26"/>
      <c r="AG81" s="26"/>
      <c r="AH81" s="32"/>
      <c r="AJ81" s="8"/>
      <c r="AK81" s="2"/>
      <c r="AL81" s="26"/>
      <c r="AM81" s="26"/>
      <c r="AN81" s="26"/>
      <c r="AO81" s="27"/>
      <c r="AP81" s="30"/>
      <c r="AQ81" s="26"/>
      <c r="AR81" s="26"/>
      <c r="AS81" s="32"/>
      <c r="AT81" s="34"/>
    </row>
    <row r="82" spans="2:46" x14ac:dyDescent="0.3">
      <c r="B82" s="8"/>
      <c r="C82" s="2" t="s">
        <v>802</v>
      </c>
      <c r="D82" s="26">
        <v>0</v>
      </c>
      <c r="E82" s="26">
        <v>0</v>
      </c>
      <c r="F82" s="27">
        <v>0</v>
      </c>
      <c r="G82" s="26">
        <v>0</v>
      </c>
      <c r="H82" s="26">
        <v>0</v>
      </c>
      <c r="I82" s="27">
        <v>0</v>
      </c>
      <c r="J82" s="26">
        <v>0</v>
      </c>
      <c r="K82" s="26">
        <v>0</v>
      </c>
      <c r="L82" s="67">
        <v>1</v>
      </c>
      <c r="N82" s="8"/>
      <c r="O82" s="2" t="s">
        <v>845</v>
      </c>
      <c r="P82" s="26">
        <v>0</v>
      </c>
      <c r="Q82" s="27">
        <v>0</v>
      </c>
      <c r="R82" s="30">
        <v>0</v>
      </c>
      <c r="S82" s="27">
        <v>0</v>
      </c>
      <c r="T82" s="30">
        <v>0</v>
      </c>
      <c r="U82" s="34">
        <v>1</v>
      </c>
      <c r="V82" s="34">
        <v>1</v>
      </c>
      <c r="X82" s="8"/>
      <c r="Y82" s="2"/>
      <c r="Z82" s="26"/>
      <c r="AA82" s="26"/>
      <c r="AB82" s="26"/>
      <c r="AC82" s="26"/>
      <c r="AD82" s="27"/>
      <c r="AE82" s="30"/>
      <c r="AF82" s="26"/>
      <c r="AG82" s="26"/>
      <c r="AH82" s="32"/>
      <c r="AJ82" s="8"/>
      <c r="AK82" s="2"/>
      <c r="AL82" s="26"/>
      <c r="AM82" s="26"/>
      <c r="AN82" s="26"/>
      <c r="AO82" s="27"/>
      <c r="AP82" s="30"/>
      <c r="AQ82" s="26"/>
      <c r="AR82" s="26"/>
      <c r="AS82" s="32"/>
      <c r="AT82" s="34"/>
    </row>
    <row r="83" spans="2:46" x14ac:dyDescent="0.3">
      <c r="B83" s="8"/>
      <c r="C83" s="2" t="s">
        <v>733</v>
      </c>
      <c r="D83" s="26">
        <v>0</v>
      </c>
      <c r="E83" s="26">
        <v>0</v>
      </c>
      <c r="F83" s="27">
        <v>0</v>
      </c>
      <c r="G83" s="26">
        <v>0</v>
      </c>
      <c r="H83" s="26">
        <v>0</v>
      </c>
      <c r="I83" s="27">
        <v>0</v>
      </c>
      <c r="J83" s="26">
        <v>0</v>
      </c>
      <c r="K83" s="26">
        <v>0</v>
      </c>
      <c r="L83" s="67">
        <v>1</v>
      </c>
      <c r="N83" s="8"/>
      <c r="O83" s="2" t="s">
        <v>669</v>
      </c>
      <c r="P83" s="26">
        <v>0</v>
      </c>
      <c r="Q83" s="27">
        <v>0</v>
      </c>
      <c r="R83" s="30">
        <v>0</v>
      </c>
      <c r="S83" s="27">
        <v>0</v>
      </c>
      <c r="T83" s="30">
        <v>0</v>
      </c>
      <c r="U83" s="34">
        <v>1</v>
      </c>
      <c r="V83" s="34">
        <v>1</v>
      </c>
      <c r="X83" s="8"/>
      <c r="Y83" s="2"/>
      <c r="Z83" s="26"/>
      <c r="AA83" s="26"/>
      <c r="AB83" s="26"/>
      <c r="AC83" s="26"/>
      <c r="AD83" s="27"/>
      <c r="AE83" s="30"/>
      <c r="AF83" s="26"/>
      <c r="AG83" s="26"/>
      <c r="AH83" s="32"/>
      <c r="AJ83" s="8"/>
      <c r="AK83" s="2"/>
      <c r="AL83" s="26"/>
      <c r="AM83" s="26"/>
      <c r="AN83" s="26"/>
      <c r="AO83" s="27"/>
      <c r="AP83" s="30"/>
      <c r="AQ83" s="26"/>
      <c r="AR83" s="26"/>
      <c r="AS83" s="32"/>
      <c r="AT83" s="34"/>
    </row>
    <row r="84" spans="2:46" x14ac:dyDescent="0.3">
      <c r="B84" s="8"/>
      <c r="C84" s="2" t="s">
        <v>803</v>
      </c>
      <c r="D84" s="26">
        <v>0</v>
      </c>
      <c r="E84" s="26">
        <v>0</v>
      </c>
      <c r="F84" s="27">
        <v>0</v>
      </c>
      <c r="G84" s="26">
        <v>0</v>
      </c>
      <c r="H84" s="26">
        <v>0</v>
      </c>
      <c r="I84" s="27">
        <v>0</v>
      </c>
      <c r="J84" s="26">
        <v>0</v>
      </c>
      <c r="K84" s="26">
        <v>0</v>
      </c>
      <c r="L84" s="67">
        <v>1</v>
      </c>
      <c r="N84" s="8"/>
      <c r="O84" s="2" t="s">
        <v>846</v>
      </c>
      <c r="P84" s="26">
        <v>0</v>
      </c>
      <c r="Q84" s="27">
        <v>0</v>
      </c>
      <c r="R84" s="30">
        <v>0</v>
      </c>
      <c r="S84" s="27">
        <v>0</v>
      </c>
      <c r="T84" s="30">
        <v>0</v>
      </c>
      <c r="U84" s="34">
        <v>1</v>
      </c>
      <c r="V84" s="34">
        <v>1</v>
      </c>
      <c r="X84" s="8"/>
      <c r="Y84" s="2"/>
      <c r="Z84" s="26"/>
      <c r="AA84" s="26"/>
      <c r="AB84" s="26"/>
      <c r="AC84" s="26"/>
      <c r="AD84" s="27"/>
      <c r="AE84" s="30"/>
      <c r="AF84" s="26"/>
      <c r="AG84" s="26"/>
      <c r="AH84" s="32"/>
      <c r="AJ84" s="8"/>
      <c r="AK84" s="2"/>
      <c r="AL84" s="26"/>
      <c r="AM84" s="26"/>
      <c r="AN84" s="26"/>
      <c r="AO84" s="27"/>
      <c r="AP84" s="30"/>
      <c r="AQ84" s="26"/>
      <c r="AR84" s="26"/>
      <c r="AS84" s="32"/>
      <c r="AT84" s="34"/>
    </row>
    <row r="85" spans="2:46" x14ac:dyDescent="0.3">
      <c r="B85" s="8"/>
      <c r="C85" s="2" t="s">
        <v>804</v>
      </c>
      <c r="D85" s="26">
        <v>0</v>
      </c>
      <c r="E85" s="26">
        <v>0</v>
      </c>
      <c r="F85" s="27">
        <v>0</v>
      </c>
      <c r="G85" s="26">
        <v>0</v>
      </c>
      <c r="H85" s="26">
        <v>0</v>
      </c>
      <c r="I85" s="27">
        <v>0</v>
      </c>
      <c r="J85" s="26">
        <v>0</v>
      </c>
      <c r="K85" s="26">
        <v>0</v>
      </c>
      <c r="L85" s="67">
        <v>1</v>
      </c>
      <c r="N85" s="8"/>
      <c r="O85" s="2" t="s">
        <v>847</v>
      </c>
      <c r="P85" s="26">
        <v>0</v>
      </c>
      <c r="Q85" s="27">
        <v>0</v>
      </c>
      <c r="R85" s="30">
        <v>0</v>
      </c>
      <c r="S85" s="27">
        <v>0</v>
      </c>
      <c r="T85" s="30">
        <v>0</v>
      </c>
      <c r="U85" s="34">
        <v>1</v>
      </c>
      <c r="V85" s="34">
        <v>1</v>
      </c>
      <c r="X85" s="8"/>
      <c r="Y85" s="2"/>
      <c r="Z85" s="26"/>
      <c r="AA85" s="26"/>
      <c r="AB85" s="26"/>
      <c r="AC85" s="26"/>
      <c r="AD85" s="27"/>
      <c r="AE85" s="30"/>
      <c r="AF85" s="26"/>
      <c r="AG85" s="26"/>
      <c r="AH85" s="32"/>
      <c r="AJ85" s="8"/>
      <c r="AK85" s="2"/>
      <c r="AL85" s="26"/>
      <c r="AM85" s="26"/>
      <c r="AN85" s="26"/>
      <c r="AO85" s="27"/>
      <c r="AP85" s="30"/>
      <c r="AQ85" s="26"/>
      <c r="AR85" s="26"/>
      <c r="AS85" s="32"/>
      <c r="AT85" s="34"/>
    </row>
    <row r="86" spans="2:46" x14ac:dyDescent="0.3">
      <c r="B86" s="8"/>
      <c r="C86" s="2" t="s">
        <v>805</v>
      </c>
      <c r="D86" s="26">
        <v>0</v>
      </c>
      <c r="E86" s="26">
        <v>0</v>
      </c>
      <c r="F86" s="27">
        <v>0</v>
      </c>
      <c r="G86" s="26">
        <v>0</v>
      </c>
      <c r="H86" s="26">
        <v>0</v>
      </c>
      <c r="I86" s="27">
        <v>0</v>
      </c>
      <c r="J86" s="26">
        <v>0</v>
      </c>
      <c r="K86" s="26">
        <v>0</v>
      </c>
      <c r="L86" s="67">
        <v>1</v>
      </c>
      <c r="N86" s="8"/>
      <c r="O86" s="2" t="s">
        <v>848</v>
      </c>
      <c r="P86" s="26">
        <v>0</v>
      </c>
      <c r="Q86" s="27">
        <v>0</v>
      </c>
      <c r="R86" s="30">
        <v>0</v>
      </c>
      <c r="S86" s="27">
        <v>0</v>
      </c>
      <c r="T86" s="30">
        <v>0</v>
      </c>
      <c r="U86" s="34">
        <v>1</v>
      </c>
      <c r="V86" s="34">
        <v>1</v>
      </c>
      <c r="X86" s="8"/>
      <c r="Y86" s="2"/>
      <c r="Z86" s="26"/>
      <c r="AA86" s="26"/>
      <c r="AB86" s="26"/>
      <c r="AC86" s="26"/>
      <c r="AD86" s="27"/>
      <c r="AE86" s="30"/>
      <c r="AF86" s="26"/>
      <c r="AG86" s="26"/>
      <c r="AH86" s="32"/>
      <c r="AJ86" s="8"/>
      <c r="AK86" s="2"/>
      <c r="AL86" s="26"/>
      <c r="AM86" s="26"/>
      <c r="AN86" s="26"/>
      <c r="AO86" s="27"/>
      <c r="AP86" s="30"/>
      <c r="AQ86" s="26"/>
      <c r="AR86" s="26"/>
      <c r="AS86" s="32"/>
      <c r="AT86" s="34"/>
    </row>
    <row r="87" spans="2:46" x14ac:dyDescent="0.3">
      <c r="B87" s="8"/>
      <c r="C87" s="2" t="s">
        <v>734</v>
      </c>
      <c r="D87" s="26">
        <v>0</v>
      </c>
      <c r="E87" s="26">
        <v>0</v>
      </c>
      <c r="F87" s="27">
        <v>0</v>
      </c>
      <c r="G87" s="26">
        <v>0</v>
      </c>
      <c r="H87" s="26">
        <v>0</v>
      </c>
      <c r="I87" s="27">
        <v>0</v>
      </c>
      <c r="J87" s="26">
        <v>0</v>
      </c>
      <c r="K87" s="26">
        <v>0</v>
      </c>
      <c r="L87" s="67">
        <v>1</v>
      </c>
      <c r="N87" s="8"/>
      <c r="O87" s="2" t="s">
        <v>670</v>
      </c>
      <c r="P87" s="26">
        <v>0</v>
      </c>
      <c r="Q87" s="27">
        <v>0</v>
      </c>
      <c r="R87" s="30">
        <v>0</v>
      </c>
      <c r="S87" s="27">
        <v>0</v>
      </c>
      <c r="T87" s="30">
        <v>0</v>
      </c>
      <c r="U87" s="34">
        <v>1</v>
      </c>
      <c r="V87" s="34">
        <v>1</v>
      </c>
      <c r="X87" s="8"/>
      <c r="Y87" s="2"/>
      <c r="Z87" s="26"/>
      <c r="AA87" s="26"/>
      <c r="AB87" s="26"/>
      <c r="AC87" s="26"/>
      <c r="AD87" s="27"/>
      <c r="AE87" s="30"/>
      <c r="AF87" s="26"/>
      <c r="AG87" s="26"/>
      <c r="AH87" s="32"/>
      <c r="AJ87" s="8"/>
      <c r="AK87" s="2"/>
      <c r="AL87" s="26"/>
      <c r="AM87" s="26"/>
      <c r="AN87" s="26"/>
      <c r="AO87" s="27"/>
      <c r="AP87" s="30"/>
      <c r="AQ87" s="26"/>
      <c r="AR87" s="26"/>
      <c r="AS87" s="32"/>
      <c r="AT87" s="34"/>
    </row>
    <row r="88" spans="2:46" x14ac:dyDescent="0.3">
      <c r="B88" s="8"/>
      <c r="C88" s="2" t="s">
        <v>735</v>
      </c>
      <c r="D88" s="26">
        <v>0</v>
      </c>
      <c r="E88" s="26">
        <v>0</v>
      </c>
      <c r="F88" s="27">
        <v>0</v>
      </c>
      <c r="G88" s="26">
        <v>0</v>
      </c>
      <c r="H88" s="26">
        <v>0</v>
      </c>
      <c r="I88" s="27">
        <v>0</v>
      </c>
      <c r="J88" s="26">
        <v>0</v>
      </c>
      <c r="K88" s="26">
        <v>0</v>
      </c>
      <c r="L88" s="67">
        <v>1</v>
      </c>
      <c r="N88" s="8"/>
      <c r="O88" s="2" t="s">
        <v>671</v>
      </c>
      <c r="P88" s="26">
        <v>0</v>
      </c>
      <c r="Q88" s="27">
        <v>0</v>
      </c>
      <c r="R88" s="30">
        <v>0</v>
      </c>
      <c r="S88" s="27">
        <v>0</v>
      </c>
      <c r="T88" s="30">
        <v>0</v>
      </c>
      <c r="U88" s="34">
        <v>1</v>
      </c>
      <c r="V88" s="34">
        <v>1</v>
      </c>
      <c r="X88" s="8"/>
      <c r="Y88" s="2"/>
      <c r="Z88" s="26"/>
      <c r="AA88" s="26"/>
      <c r="AB88" s="26"/>
      <c r="AC88" s="26"/>
      <c r="AD88" s="27"/>
      <c r="AE88" s="30"/>
      <c r="AF88" s="26"/>
      <c r="AG88" s="26"/>
      <c r="AH88" s="32"/>
      <c r="AJ88" s="8"/>
      <c r="AK88" s="2"/>
      <c r="AL88" s="26"/>
      <c r="AM88" s="26"/>
      <c r="AN88" s="26"/>
      <c r="AO88" s="27"/>
      <c r="AP88" s="30"/>
      <c r="AQ88" s="26"/>
      <c r="AR88" s="26"/>
      <c r="AS88" s="32"/>
      <c r="AT88" s="34"/>
    </row>
    <row r="89" spans="2:46" x14ac:dyDescent="0.3">
      <c r="B89" s="8"/>
      <c r="C89" s="2" t="s">
        <v>736</v>
      </c>
      <c r="D89" s="26">
        <v>0</v>
      </c>
      <c r="E89" s="26">
        <v>0</v>
      </c>
      <c r="F89" s="27">
        <v>0</v>
      </c>
      <c r="G89" s="26">
        <v>0</v>
      </c>
      <c r="H89" s="26">
        <v>0</v>
      </c>
      <c r="I89" s="27">
        <v>0</v>
      </c>
      <c r="J89" s="26">
        <v>0</v>
      </c>
      <c r="K89" s="26">
        <v>0</v>
      </c>
      <c r="L89" s="67">
        <v>1</v>
      </c>
      <c r="N89" s="8"/>
      <c r="O89" s="2" t="s">
        <v>672</v>
      </c>
      <c r="P89" s="26">
        <v>0</v>
      </c>
      <c r="Q89" s="27">
        <v>0</v>
      </c>
      <c r="R89" s="30">
        <v>0</v>
      </c>
      <c r="S89" s="27">
        <v>0</v>
      </c>
      <c r="T89" s="30">
        <v>0</v>
      </c>
      <c r="U89" s="34">
        <v>1</v>
      </c>
      <c r="V89" s="34">
        <v>1</v>
      </c>
      <c r="X89" s="8"/>
      <c r="Y89" s="2"/>
      <c r="Z89" s="26"/>
      <c r="AA89" s="26"/>
      <c r="AB89" s="26"/>
      <c r="AC89" s="26"/>
      <c r="AD89" s="27"/>
      <c r="AE89" s="30"/>
      <c r="AF89" s="26"/>
      <c r="AG89" s="26"/>
      <c r="AH89" s="32"/>
      <c r="AJ89" s="8"/>
      <c r="AK89" s="2"/>
      <c r="AL89" s="26"/>
      <c r="AM89" s="26"/>
      <c r="AN89" s="26"/>
      <c r="AO89" s="27"/>
      <c r="AP89" s="30"/>
      <c r="AQ89" s="26"/>
      <c r="AR89" s="26"/>
      <c r="AS89" s="32"/>
      <c r="AT89" s="34"/>
    </row>
    <row r="90" spans="2:46" x14ac:dyDescent="0.3">
      <c r="B90" s="8"/>
      <c r="C90" s="2" t="s">
        <v>737</v>
      </c>
      <c r="D90" s="26">
        <v>0</v>
      </c>
      <c r="E90" s="26">
        <v>0</v>
      </c>
      <c r="F90" s="27">
        <v>0</v>
      </c>
      <c r="G90" s="26">
        <v>0</v>
      </c>
      <c r="H90" s="26">
        <v>0</v>
      </c>
      <c r="I90" s="27">
        <v>0</v>
      </c>
      <c r="J90" s="26">
        <v>0</v>
      </c>
      <c r="K90" s="26">
        <v>0</v>
      </c>
      <c r="L90" s="67">
        <v>1</v>
      </c>
      <c r="N90" s="8"/>
      <c r="O90" s="2" t="s">
        <v>673</v>
      </c>
      <c r="P90" s="26">
        <v>0</v>
      </c>
      <c r="Q90" s="27">
        <v>0</v>
      </c>
      <c r="R90" s="30">
        <v>0</v>
      </c>
      <c r="S90" s="27">
        <v>0</v>
      </c>
      <c r="T90" s="30">
        <v>0</v>
      </c>
      <c r="U90" s="34">
        <v>1</v>
      </c>
      <c r="V90" s="34">
        <v>1</v>
      </c>
      <c r="X90" s="8"/>
      <c r="Y90" s="2"/>
      <c r="Z90" s="26"/>
      <c r="AA90" s="26"/>
      <c r="AB90" s="26"/>
      <c r="AC90" s="26"/>
      <c r="AD90" s="27"/>
      <c r="AE90" s="30"/>
      <c r="AF90" s="26"/>
      <c r="AG90" s="26"/>
      <c r="AH90" s="32"/>
      <c r="AJ90" s="8"/>
      <c r="AK90" s="2"/>
      <c r="AL90" s="26"/>
      <c r="AM90" s="26"/>
      <c r="AN90" s="26"/>
      <c r="AO90" s="27"/>
      <c r="AP90" s="30"/>
      <c r="AQ90" s="26"/>
      <c r="AR90" s="26"/>
      <c r="AS90" s="32"/>
      <c r="AT90" s="34"/>
    </row>
    <row r="91" spans="2:46" x14ac:dyDescent="0.3">
      <c r="B91" s="8"/>
      <c r="C91" s="2" t="s">
        <v>806</v>
      </c>
      <c r="D91" s="26">
        <v>0</v>
      </c>
      <c r="E91" s="26">
        <v>0</v>
      </c>
      <c r="F91" s="27">
        <v>0</v>
      </c>
      <c r="G91" s="26">
        <v>0</v>
      </c>
      <c r="H91" s="26">
        <v>0</v>
      </c>
      <c r="I91" s="27">
        <v>0</v>
      </c>
      <c r="J91" s="26">
        <v>0</v>
      </c>
      <c r="K91" s="26">
        <v>0</v>
      </c>
      <c r="L91" s="67">
        <v>1</v>
      </c>
      <c r="N91" s="8"/>
      <c r="O91" s="2" t="s">
        <v>849</v>
      </c>
      <c r="P91" s="26">
        <v>0</v>
      </c>
      <c r="Q91" s="27">
        <v>0</v>
      </c>
      <c r="R91" s="30">
        <v>0</v>
      </c>
      <c r="S91" s="27">
        <v>0</v>
      </c>
      <c r="T91" s="30">
        <v>0</v>
      </c>
      <c r="U91" s="34">
        <v>1</v>
      </c>
      <c r="V91" s="34">
        <v>1</v>
      </c>
      <c r="X91" s="8"/>
      <c r="Y91" s="2"/>
      <c r="Z91" s="26"/>
      <c r="AA91" s="26"/>
      <c r="AB91" s="26"/>
      <c r="AC91" s="26"/>
      <c r="AD91" s="27"/>
      <c r="AE91" s="30"/>
      <c r="AF91" s="26"/>
      <c r="AG91" s="26"/>
      <c r="AH91" s="32"/>
      <c r="AJ91" s="8"/>
      <c r="AK91" s="2"/>
      <c r="AL91" s="26"/>
      <c r="AM91" s="26"/>
      <c r="AN91" s="26"/>
      <c r="AO91" s="27"/>
      <c r="AP91" s="30"/>
      <c r="AQ91" s="26"/>
      <c r="AR91" s="26"/>
      <c r="AS91" s="32"/>
      <c r="AT91" s="34"/>
    </row>
    <row r="92" spans="2:46" x14ac:dyDescent="0.3">
      <c r="B92" s="8"/>
      <c r="C92" s="2" t="s">
        <v>807</v>
      </c>
      <c r="D92" s="26">
        <v>0</v>
      </c>
      <c r="E92" s="26">
        <v>0</v>
      </c>
      <c r="F92" s="27">
        <v>0</v>
      </c>
      <c r="G92" s="26">
        <v>0</v>
      </c>
      <c r="H92" s="26">
        <v>0</v>
      </c>
      <c r="I92" s="27">
        <v>0</v>
      </c>
      <c r="J92" s="26">
        <v>0</v>
      </c>
      <c r="K92" s="26">
        <v>0</v>
      </c>
      <c r="L92" s="67">
        <v>1</v>
      </c>
      <c r="N92" s="8"/>
      <c r="O92" s="2" t="s">
        <v>850</v>
      </c>
      <c r="P92" s="26">
        <v>0</v>
      </c>
      <c r="Q92" s="27">
        <v>0</v>
      </c>
      <c r="R92" s="30">
        <v>0</v>
      </c>
      <c r="S92" s="27">
        <v>0</v>
      </c>
      <c r="T92" s="30">
        <v>0</v>
      </c>
      <c r="U92" s="34">
        <v>1</v>
      </c>
      <c r="V92" s="34">
        <v>1</v>
      </c>
      <c r="X92" s="8"/>
      <c r="Y92" s="2"/>
      <c r="Z92" s="26"/>
      <c r="AA92" s="26"/>
      <c r="AB92" s="26"/>
      <c r="AC92" s="26"/>
      <c r="AD92" s="27"/>
      <c r="AE92" s="30"/>
      <c r="AF92" s="26"/>
      <c r="AG92" s="26"/>
      <c r="AH92" s="32"/>
      <c r="AJ92" s="8"/>
      <c r="AK92" s="2"/>
      <c r="AL92" s="26"/>
      <c r="AM92" s="26"/>
      <c r="AN92" s="26"/>
      <c r="AO92" s="27"/>
      <c r="AP92" s="30"/>
      <c r="AQ92" s="26"/>
      <c r="AR92" s="26"/>
      <c r="AS92" s="32"/>
      <c r="AT92" s="34"/>
    </row>
    <row r="93" spans="2:46" x14ac:dyDescent="0.3">
      <c r="B93" s="8"/>
      <c r="C93" s="2" t="s">
        <v>738</v>
      </c>
      <c r="D93" s="26">
        <v>0</v>
      </c>
      <c r="E93" s="26">
        <v>0</v>
      </c>
      <c r="F93" s="27">
        <v>0</v>
      </c>
      <c r="G93" s="26">
        <v>0</v>
      </c>
      <c r="H93" s="26">
        <v>0</v>
      </c>
      <c r="I93" s="27">
        <v>0</v>
      </c>
      <c r="J93" s="26">
        <v>0</v>
      </c>
      <c r="K93" s="26">
        <v>0</v>
      </c>
      <c r="L93" s="67">
        <v>1</v>
      </c>
      <c r="N93" s="8"/>
      <c r="O93" s="2" t="s">
        <v>674</v>
      </c>
      <c r="P93" s="26">
        <v>0</v>
      </c>
      <c r="Q93" s="27">
        <v>0</v>
      </c>
      <c r="R93" s="30">
        <v>0</v>
      </c>
      <c r="S93" s="27">
        <v>0</v>
      </c>
      <c r="T93" s="30">
        <v>0</v>
      </c>
      <c r="U93" s="34">
        <v>1</v>
      </c>
      <c r="V93" s="34">
        <v>1</v>
      </c>
      <c r="X93" s="8"/>
      <c r="Y93" s="2"/>
      <c r="Z93" s="26"/>
      <c r="AA93" s="26"/>
      <c r="AB93" s="26"/>
      <c r="AC93" s="26"/>
      <c r="AD93" s="27"/>
      <c r="AE93" s="30"/>
      <c r="AF93" s="26"/>
      <c r="AG93" s="26"/>
      <c r="AH93" s="32"/>
      <c r="AJ93" s="8"/>
      <c r="AK93" s="2"/>
      <c r="AL93" s="26"/>
      <c r="AM93" s="26"/>
      <c r="AN93" s="26"/>
      <c r="AO93" s="27"/>
      <c r="AP93" s="30"/>
      <c r="AQ93" s="26"/>
      <c r="AR93" s="26"/>
      <c r="AS93" s="32"/>
      <c r="AT93" s="34"/>
    </row>
    <row r="94" spans="2:46" x14ac:dyDescent="0.3">
      <c r="B94" s="8"/>
      <c r="C94" s="2" t="s">
        <v>739</v>
      </c>
      <c r="D94" s="26">
        <v>0</v>
      </c>
      <c r="E94" s="26">
        <v>0</v>
      </c>
      <c r="F94" s="27">
        <v>0</v>
      </c>
      <c r="G94" s="26">
        <v>0</v>
      </c>
      <c r="H94" s="26">
        <v>0</v>
      </c>
      <c r="I94" s="27">
        <v>0</v>
      </c>
      <c r="J94" s="26">
        <v>0</v>
      </c>
      <c r="K94" s="26">
        <v>0</v>
      </c>
      <c r="L94" s="67">
        <v>1</v>
      </c>
      <c r="N94" s="8"/>
      <c r="O94" s="2" t="s">
        <v>675</v>
      </c>
      <c r="P94" s="26">
        <v>0</v>
      </c>
      <c r="Q94" s="27">
        <v>0</v>
      </c>
      <c r="R94" s="30">
        <v>0</v>
      </c>
      <c r="S94" s="27">
        <v>0</v>
      </c>
      <c r="T94" s="30">
        <v>0</v>
      </c>
      <c r="U94" s="34">
        <v>1</v>
      </c>
      <c r="V94" s="34">
        <v>1</v>
      </c>
      <c r="X94" s="8"/>
      <c r="Y94" s="2"/>
      <c r="Z94" s="26"/>
      <c r="AA94" s="26"/>
      <c r="AB94" s="26"/>
      <c r="AC94" s="26"/>
      <c r="AD94" s="27"/>
      <c r="AE94" s="30"/>
      <c r="AF94" s="26"/>
      <c r="AG94" s="26"/>
      <c r="AH94" s="32"/>
      <c r="AJ94" s="8"/>
      <c r="AK94" s="2"/>
      <c r="AL94" s="26"/>
      <c r="AM94" s="26"/>
      <c r="AN94" s="26"/>
      <c r="AO94" s="27"/>
      <c r="AP94" s="30"/>
      <c r="AQ94" s="26"/>
      <c r="AR94" s="26"/>
      <c r="AS94" s="32"/>
      <c r="AT94" s="34"/>
    </row>
    <row r="95" spans="2:46" x14ac:dyDescent="0.3">
      <c r="B95" s="8"/>
      <c r="C95" s="2" t="s">
        <v>740</v>
      </c>
      <c r="D95" s="26">
        <v>0</v>
      </c>
      <c r="E95" s="26">
        <v>0</v>
      </c>
      <c r="F95" s="27">
        <v>0</v>
      </c>
      <c r="G95" s="26">
        <v>0</v>
      </c>
      <c r="H95" s="26">
        <v>0</v>
      </c>
      <c r="I95" s="27">
        <v>0</v>
      </c>
      <c r="J95" s="26">
        <v>0</v>
      </c>
      <c r="K95" s="26">
        <v>0</v>
      </c>
      <c r="L95" s="67">
        <v>1</v>
      </c>
      <c r="N95" s="8"/>
      <c r="O95" s="2" t="s">
        <v>676</v>
      </c>
      <c r="P95" s="26">
        <v>0</v>
      </c>
      <c r="Q95" s="27">
        <v>0</v>
      </c>
      <c r="R95" s="30">
        <v>0</v>
      </c>
      <c r="S95" s="27">
        <v>0</v>
      </c>
      <c r="T95" s="30">
        <v>0</v>
      </c>
      <c r="U95" s="34">
        <v>1</v>
      </c>
      <c r="V95" s="34">
        <v>1</v>
      </c>
      <c r="X95" s="8"/>
      <c r="Y95" s="2"/>
      <c r="Z95" s="26"/>
      <c r="AA95" s="26"/>
      <c r="AB95" s="26"/>
      <c r="AC95" s="26"/>
      <c r="AD95" s="27"/>
      <c r="AE95" s="30"/>
      <c r="AF95" s="26"/>
      <c r="AG95" s="26"/>
      <c r="AH95" s="32"/>
      <c r="AJ95" s="8"/>
      <c r="AK95" s="2"/>
      <c r="AL95" s="26"/>
      <c r="AM95" s="26"/>
      <c r="AN95" s="26"/>
      <c r="AO95" s="27"/>
      <c r="AP95" s="30"/>
      <c r="AQ95" s="26"/>
      <c r="AR95" s="26"/>
      <c r="AS95" s="32"/>
      <c r="AT95" s="34"/>
    </row>
    <row r="96" spans="2:46" x14ac:dyDescent="0.3">
      <c r="B96" s="8"/>
      <c r="C96" s="2" t="s">
        <v>741</v>
      </c>
      <c r="D96" s="26">
        <v>0</v>
      </c>
      <c r="E96" s="26">
        <v>0</v>
      </c>
      <c r="F96" s="27">
        <v>0</v>
      </c>
      <c r="G96" s="26">
        <v>0</v>
      </c>
      <c r="H96" s="26">
        <v>0</v>
      </c>
      <c r="I96" s="27">
        <v>0</v>
      </c>
      <c r="J96" s="26">
        <v>0</v>
      </c>
      <c r="K96" s="26">
        <v>0</v>
      </c>
      <c r="L96" s="67">
        <v>1</v>
      </c>
      <c r="N96" s="8"/>
      <c r="O96" s="2" t="s">
        <v>677</v>
      </c>
      <c r="P96" s="26">
        <v>0</v>
      </c>
      <c r="Q96" s="27">
        <v>0</v>
      </c>
      <c r="R96" s="30">
        <v>0</v>
      </c>
      <c r="S96" s="27">
        <v>0</v>
      </c>
      <c r="T96" s="30">
        <v>0</v>
      </c>
      <c r="U96" s="34">
        <v>1</v>
      </c>
      <c r="V96" s="34">
        <v>1</v>
      </c>
      <c r="X96" s="8"/>
      <c r="Y96" s="2"/>
      <c r="Z96" s="26"/>
      <c r="AA96" s="26"/>
      <c r="AB96" s="26"/>
      <c r="AC96" s="26"/>
      <c r="AD96" s="27"/>
      <c r="AE96" s="30"/>
      <c r="AF96" s="26"/>
      <c r="AG96" s="26"/>
      <c r="AH96" s="32"/>
      <c r="AJ96" s="8"/>
      <c r="AK96" s="2"/>
      <c r="AL96" s="26"/>
      <c r="AM96" s="26"/>
      <c r="AN96" s="26"/>
      <c r="AO96" s="27"/>
      <c r="AP96" s="30"/>
      <c r="AQ96" s="26"/>
      <c r="AR96" s="26"/>
      <c r="AS96" s="32"/>
      <c r="AT96" s="34"/>
    </row>
    <row r="97" spans="2:46" x14ac:dyDescent="0.3">
      <c r="B97" s="8"/>
      <c r="C97" s="2" t="s">
        <v>742</v>
      </c>
      <c r="D97" s="26">
        <v>0</v>
      </c>
      <c r="E97" s="26">
        <v>0</v>
      </c>
      <c r="F97" s="27">
        <v>0</v>
      </c>
      <c r="G97" s="26">
        <v>0</v>
      </c>
      <c r="H97" s="26">
        <v>0</v>
      </c>
      <c r="I97" s="27">
        <v>0</v>
      </c>
      <c r="J97" s="26">
        <v>0</v>
      </c>
      <c r="K97" s="26">
        <v>0</v>
      </c>
      <c r="L97" s="67">
        <v>1</v>
      </c>
      <c r="N97" s="8"/>
      <c r="O97" s="2" t="s">
        <v>678</v>
      </c>
      <c r="P97" s="26">
        <v>0</v>
      </c>
      <c r="Q97" s="27">
        <v>0</v>
      </c>
      <c r="R97" s="30">
        <v>0</v>
      </c>
      <c r="S97" s="27">
        <v>0</v>
      </c>
      <c r="T97" s="30">
        <v>0</v>
      </c>
      <c r="U97" s="34">
        <v>1</v>
      </c>
      <c r="V97" s="34">
        <v>1</v>
      </c>
      <c r="X97" s="8"/>
      <c r="Y97" s="2"/>
      <c r="Z97" s="26"/>
      <c r="AA97" s="26"/>
      <c r="AB97" s="26"/>
      <c r="AC97" s="26"/>
      <c r="AD97" s="27"/>
      <c r="AE97" s="30"/>
      <c r="AF97" s="26"/>
      <c r="AG97" s="26"/>
      <c r="AH97" s="32"/>
      <c r="AJ97" s="8"/>
      <c r="AK97" s="2"/>
      <c r="AL97" s="26"/>
      <c r="AM97" s="26"/>
      <c r="AN97" s="26"/>
      <c r="AO97" s="27"/>
      <c r="AP97" s="30"/>
      <c r="AQ97" s="26"/>
      <c r="AR97" s="26"/>
      <c r="AS97" s="32"/>
      <c r="AT97" s="34"/>
    </row>
    <row r="98" spans="2:46" x14ac:dyDescent="0.3">
      <c r="B98" s="8"/>
      <c r="C98" s="2" t="s">
        <v>743</v>
      </c>
      <c r="D98" s="26">
        <v>0</v>
      </c>
      <c r="E98" s="26">
        <v>0</v>
      </c>
      <c r="F98" s="27">
        <v>0</v>
      </c>
      <c r="G98" s="26">
        <v>0</v>
      </c>
      <c r="H98" s="26">
        <v>0</v>
      </c>
      <c r="I98" s="27">
        <v>0</v>
      </c>
      <c r="J98" s="26">
        <v>0</v>
      </c>
      <c r="K98" s="26">
        <v>0</v>
      </c>
      <c r="L98" s="67">
        <v>1</v>
      </c>
      <c r="N98" s="8"/>
      <c r="O98" s="2" t="s">
        <v>679</v>
      </c>
      <c r="P98" s="26">
        <v>0</v>
      </c>
      <c r="Q98" s="27">
        <v>0</v>
      </c>
      <c r="R98" s="30">
        <v>0</v>
      </c>
      <c r="S98" s="27">
        <v>0</v>
      </c>
      <c r="T98" s="30">
        <v>0</v>
      </c>
      <c r="U98" s="34">
        <v>1</v>
      </c>
      <c r="V98" s="34">
        <v>1</v>
      </c>
      <c r="X98" s="8"/>
      <c r="Y98" s="2"/>
      <c r="Z98" s="26"/>
      <c r="AA98" s="26"/>
      <c r="AB98" s="26"/>
      <c r="AC98" s="26"/>
      <c r="AD98" s="27"/>
      <c r="AE98" s="30"/>
      <c r="AF98" s="26"/>
      <c r="AG98" s="26"/>
      <c r="AH98" s="32"/>
      <c r="AJ98" s="8"/>
      <c r="AK98" s="2"/>
      <c r="AL98" s="26"/>
      <c r="AM98" s="26"/>
      <c r="AN98" s="26"/>
      <c r="AO98" s="27"/>
      <c r="AP98" s="30"/>
      <c r="AQ98" s="26"/>
      <c r="AR98" s="26"/>
      <c r="AS98" s="32"/>
      <c r="AT98" s="34"/>
    </row>
    <row r="99" spans="2:46" x14ac:dyDescent="0.3">
      <c r="B99" s="8"/>
      <c r="C99" s="2" t="s">
        <v>744</v>
      </c>
      <c r="D99" s="26">
        <v>0</v>
      </c>
      <c r="E99" s="26">
        <v>0</v>
      </c>
      <c r="F99" s="27">
        <v>0</v>
      </c>
      <c r="G99" s="26">
        <v>0</v>
      </c>
      <c r="H99" s="26">
        <v>0</v>
      </c>
      <c r="I99" s="27">
        <v>0</v>
      </c>
      <c r="J99" s="26">
        <v>0</v>
      </c>
      <c r="K99" s="26">
        <v>0</v>
      </c>
      <c r="L99" s="67">
        <v>1</v>
      </c>
      <c r="N99" s="8"/>
      <c r="O99" s="2" t="s">
        <v>680</v>
      </c>
      <c r="P99" s="26">
        <v>0</v>
      </c>
      <c r="Q99" s="27">
        <v>0</v>
      </c>
      <c r="R99" s="30">
        <v>0</v>
      </c>
      <c r="S99" s="27">
        <v>0</v>
      </c>
      <c r="T99" s="30">
        <v>0</v>
      </c>
      <c r="U99" s="34">
        <v>1</v>
      </c>
      <c r="V99" s="34">
        <v>1</v>
      </c>
      <c r="X99" s="8"/>
      <c r="Y99" s="2"/>
      <c r="Z99" s="26"/>
      <c r="AA99" s="26"/>
      <c r="AB99" s="26"/>
      <c r="AC99" s="26"/>
      <c r="AD99" s="27"/>
      <c r="AE99" s="30"/>
      <c r="AF99" s="26"/>
      <c r="AG99" s="26"/>
      <c r="AH99" s="32"/>
      <c r="AJ99" s="8"/>
      <c r="AK99" s="2"/>
      <c r="AL99" s="26"/>
      <c r="AM99" s="26"/>
      <c r="AN99" s="26"/>
      <c r="AO99" s="27"/>
      <c r="AP99" s="30"/>
      <c r="AQ99" s="26"/>
      <c r="AR99" s="26"/>
      <c r="AS99" s="32"/>
      <c r="AT99" s="34"/>
    </row>
    <row r="100" spans="2:46" x14ac:dyDescent="0.3">
      <c r="B100" s="8"/>
      <c r="C100" s="2" t="s">
        <v>808</v>
      </c>
      <c r="D100" s="26">
        <v>0</v>
      </c>
      <c r="E100" s="26">
        <v>0</v>
      </c>
      <c r="F100" s="27">
        <v>0</v>
      </c>
      <c r="G100" s="26">
        <v>0</v>
      </c>
      <c r="H100" s="26">
        <v>0</v>
      </c>
      <c r="I100" s="27">
        <v>0</v>
      </c>
      <c r="J100" s="26">
        <v>0</v>
      </c>
      <c r="K100" s="26">
        <v>0</v>
      </c>
      <c r="L100" s="67">
        <v>1</v>
      </c>
      <c r="N100" s="8"/>
      <c r="O100" s="2" t="s">
        <v>851</v>
      </c>
      <c r="P100" s="26">
        <v>0</v>
      </c>
      <c r="Q100" s="27">
        <v>0</v>
      </c>
      <c r="R100" s="30">
        <v>0</v>
      </c>
      <c r="S100" s="27">
        <v>0</v>
      </c>
      <c r="T100" s="30">
        <v>0</v>
      </c>
      <c r="U100" s="34">
        <v>1</v>
      </c>
      <c r="V100" s="34">
        <v>1</v>
      </c>
      <c r="X100" s="8"/>
      <c r="Y100" s="2"/>
      <c r="Z100" s="26"/>
      <c r="AA100" s="26"/>
      <c r="AB100" s="26"/>
      <c r="AC100" s="26"/>
      <c r="AD100" s="27"/>
      <c r="AE100" s="30"/>
      <c r="AF100" s="26"/>
      <c r="AG100" s="26"/>
      <c r="AH100" s="32"/>
      <c r="AJ100" s="8"/>
      <c r="AK100" s="2"/>
      <c r="AL100" s="26"/>
      <c r="AM100" s="26"/>
      <c r="AN100" s="26"/>
      <c r="AO100" s="27"/>
      <c r="AP100" s="30"/>
      <c r="AQ100" s="26"/>
      <c r="AR100" s="26"/>
      <c r="AS100" s="32"/>
      <c r="AT100" s="34"/>
    </row>
    <row r="101" spans="2:46" x14ac:dyDescent="0.3">
      <c r="B101" s="8"/>
      <c r="C101" s="2" t="s">
        <v>745</v>
      </c>
      <c r="D101" s="26">
        <v>0</v>
      </c>
      <c r="E101" s="26">
        <v>0</v>
      </c>
      <c r="F101" s="27">
        <v>0</v>
      </c>
      <c r="G101" s="26">
        <v>0</v>
      </c>
      <c r="H101" s="26">
        <v>0</v>
      </c>
      <c r="I101" s="27">
        <v>0</v>
      </c>
      <c r="J101" s="26">
        <v>0</v>
      </c>
      <c r="K101" s="26">
        <v>0</v>
      </c>
      <c r="L101" s="67">
        <v>1</v>
      </c>
      <c r="N101" s="8"/>
      <c r="O101" s="2" t="s">
        <v>681</v>
      </c>
      <c r="P101" s="26">
        <v>0</v>
      </c>
      <c r="Q101" s="27">
        <v>0</v>
      </c>
      <c r="R101" s="30">
        <v>0</v>
      </c>
      <c r="S101" s="27">
        <v>0</v>
      </c>
      <c r="T101" s="30">
        <v>0</v>
      </c>
      <c r="U101" s="34">
        <v>1</v>
      </c>
      <c r="V101" s="34">
        <v>1</v>
      </c>
      <c r="X101" s="8"/>
      <c r="Y101" s="2"/>
      <c r="Z101" s="26"/>
      <c r="AA101" s="26"/>
      <c r="AB101" s="26"/>
      <c r="AC101" s="26"/>
      <c r="AD101" s="27"/>
      <c r="AE101" s="30"/>
      <c r="AF101" s="26"/>
      <c r="AG101" s="26"/>
      <c r="AH101" s="32"/>
      <c r="AJ101" s="8"/>
      <c r="AK101" s="2"/>
      <c r="AL101" s="26"/>
      <c r="AM101" s="26"/>
      <c r="AN101" s="26"/>
      <c r="AO101" s="27"/>
      <c r="AP101" s="30"/>
      <c r="AQ101" s="26"/>
      <c r="AR101" s="26"/>
      <c r="AS101" s="32"/>
      <c r="AT101" s="34"/>
    </row>
    <row r="102" spans="2:46" x14ac:dyDescent="0.3">
      <c r="B102" s="8"/>
      <c r="C102" s="2" t="s">
        <v>746</v>
      </c>
      <c r="D102" s="26">
        <v>0</v>
      </c>
      <c r="E102" s="26">
        <v>0</v>
      </c>
      <c r="F102" s="27">
        <v>0</v>
      </c>
      <c r="G102" s="26">
        <v>0</v>
      </c>
      <c r="H102" s="26">
        <v>0</v>
      </c>
      <c r="I102" s="27">
        <v>0</v>
      </c>
      <c r="J102" s="26">
        <v>0</v>
      </c>
      <c r="K102" s="26">
        <v>0</v>
      </c>
      <c r="L102" s="67">
        <v>1</v>
      </c>
      <c r="N102" s="8"/>
      <c r="O102" s="2" t="s">
        <v>682</v>
      </c>
      <c r="P102" s="26">
        <v>0</v>
      </c>
      <c r="Q102" s="27">
        <v>0</v>
      </c>
      <c r="R102" s="30">
        <v>0</v>
      </c>
      <c r="S102" s="27">
        <v>0</v>
      </c>
      <c r="T102" s="30">
        <v>0</v>
      </c>
      <c r="U102" s="34">
        <v>1</v>
      </c>
      <c r="V102" s="34">
        <v>1</v>
      </c>
      <c r="X102" s="8"/>
      <c r="Y102" s="2"/>
      <c r="Z102" s="26"/>
      <c r="AA102" s="26"/>
      <c r="AB102" s="26"/>
      <c r="AC102" s="26"/>
      <c r="AD102" s="27"/>
      <c r="AE102" s="30"/>
      <c r="AF102" s="26"/>
      <c r="AG102" s="26"/>
      <c r="AH102" s="32"/>
      <c r="AJ102" s="8"/>
      <c r="AK102" s="2"/>
      <c r="AL102" s="26"/>
      <c r="AM102" s="26"/>
      <c r="AN102" s="26"/>
      <c r="AO102" s="27"/>
      <c r="AP102" s="30"/>
      <c r="AQ102" s="26"/>
      <c r="AR102" s="26"/>
      <c r="AS102" s="32"/>
      <c r="AT102" s="34"/>
    </row>
    <row r="103" spans="2:46" x14ac:dyDescent="0.3">
      <c r="B103" s="8"/>
      <c r="C103" s="2" t="s">
        <v>747</v>
      </c>
      <c r="D103" s="26">
        <v>0</v>
      </c>
      <c r="E103" s="26">
        <v>0</v>
      </c>
      <c r="F103" s="27">
        <v>0</v>
      </c>
      <c r="G103" s="26">
        <v>0</v>
      </c>
      <c r="H103" s="26">
        <v>0</v>
      </c>
      <c r="I103" s="27">
        <v>0</v>
      </c>
      <c r="J103" s="26">
        <v>0</v>
      </c>
      <c r="K103" s="26">
        <v>0</v>
      </c>
      <c r="L103" s="67">
        <v>1</v>
      </c>
      <c r="N103" s="8"/>
      <c r="O103" s="2" t="s">
        <v>683</v>
      </c>
      <c r="P103" s="26">
        <v>0</v>
      </c>
      <c r="Q103" s="27">
        <v>0</v>
      </c>
      <c r="R103" s="30">
        <v>0</v>
      </c>
      <c r="S103" s="27">
        <v>0</v>
      </c>
      <c r="T103" s="30">
        <v>0</v>
      </c>
      <c r="U103" s="34">
        <v>1</v>
      </c>
      <c r="V103" s="34">
        <v>1</v>
      </c>
      <c r="X103" s="8"/>
      <c r="Y103" s="2"/>
      <c r="Z103" s="26"/>
      <c r="AA103" s="26"/>
      <c r="AB103" s="26"/>
      <c r="AC103" s="26"/>
      <c r="AD103" s="27"/>
      <c r="AE103" s="30"/>
      <c r="AF103" s="26"/>
      <c r="AG103" s="26"/>
      <c r="AH103" s="32"/>
      <c r="AJ103" s="8"/>
      <c r="AK103" s="2"/>
      <c r="AL103" s="26"/>
      <c r="AM103" s="26"/>
      <c r="AN103" s="26"/>
      <c r="AO103" s="27"/>
      <c r="AP103" s="30"/>
      <c r="AQ103" s="26"/>
      <c r="AR103" s="26"/>
      <c r="AS103" s="32"/>
      <c r="AT103" s="34"/>
    </row>
    <row r="104" spans="2:46" x14ac:dyDescent="0.3">
      <c r="B104" s="8"/>
      <c r="C104" s="2" t="s">
        <v>748</v>
      </c>
      <c r="D104" s="26">
        <v>0</v>
      </c>
      <c r="E104" s="26">
        <v>0</v>
      </c>
      <c r="F104" s="27">
        <v>0</v>
      </c>
      <c r="G104" s="26">
        <v>0</v>
      </c>
      <c r="H104" s="26">
        <v>0</v>
      </c>
      <c r="I104" s="27">
        <v>0</v>
      </c>
      <c r="J104" s="26">
        <v>0</v>
      </c>
      <c r="K104" s="26">
        <v>0</v>
      </c>
      <c r="L104" s="67">
        <v>1</v>
      </c>
      <c r="N104" s="8"/>
      <c r="O104" s="2" t="s">
        <v>684</v>
      </c>
      <c r="P104" s="26">
        <v>0</v>
      </c>
      <c r="Q104" s="27">
        <v>0</v>
      </c>
      <c r="R104" s="30">
        <v>0</v>
      </c>
      <c r="S104" s="27">
        <v>0</v>
      </c>
      <c r="T104" s="30">
        <v>0</v>
      </c>
      <c r="U104" s="34">
        <v>1</v>
      </c>
      <c r="V104" s="34">
        <v>1</v>
      </c>
      <c r="X104" s="8"/>
      <c r="Y104" s="2"/>
      <c r="Z104" s="26"/>
      <c r="AA104" s="26"/>
      <c r="AB104" s="26"/>
      <c r="AC104" s="26"/>
      <c r="AD104" s="27"/>
      <c r="AE104" s="30"/>
      <c r="AF104" s="26"/>
      <c r="AG104" s="26"/>
      <c r="AH104" s="32"/>
      <c r="AJ104" s="8"/>
      <c r="AK104" s="2"/>
      <c r="AL104" s="26"/>
      <c r="AM104" s="26"/>
      <c r="AN104" s="26"/>
      <c r="AO104" s="27"/>
      <c r="AP104" s="30"/>
      <c r="AQ104" s="26"/>
      <c r="AR104" s="26"/>
      <c r="AS104" s="32"/>
      <c r="AT104" s="34"/>
    </row>
    <row r="105" spans="2:46" x14ac:dyDescent="0.3">
      <c r="B105" s="8"/>
      <c r="C105" s="2" t="s">
        <v>749</v>
      </c>
      <c r="D105" s="26">
        <v>0</v>
      </c>
      <c r="E105" s="26">
        <v>0</v>
      </c>
      <c r="F105" s="27">
        <v>0</v>
      </c>
      <c r="G105" s="26">
        <v>0</v>
      </c>
      <c r="H105" s="26">
        <v>0</v>
      </c>
      <c r="I105" s="27">
        <v>0</v>
      </c>
      <c r="J105" s="26">
        <v>0</v>
      </c>
      <c r="K105" s="26">
        <v>0</v>
      </c>
      <c r="L105" s="67">
        <v>1</v>
      </c>
      <c r="N105" s="8"/>
      <c r="O105" s="2" t="s">
        <v>685</v>
      </c>
      <c r="P105" s="26">
        <v>0</v>
      </c>
      <c r="Q105" s="27">
        <v>0</v>
      </c>
      <c r="R105" s="30">
        <v>0</v>
      </c>
      <c r="S105" s="27">
        <v>0</v>
      </c>
      <c r="T105" s="30">
        <v>0</v>
      </c>
      <c r="U105" s="34">
        <v>1</v>
      </c>
      <c r="V105" s="34">
        <v>1</v>
      </c>
      <c r="X105" s="8"/>
      <c r="Y105" s="2"/>
      <c r="Z105" s="26"/>
      <c r="AA105" s="26"/>
      <c r="AB105" s="26"/>
      <c r="AC105" s="26"/>
      <c r="AD105" s="27"/>
      <c r="AE105" s="30"/>
      <c r="AF105" s="26"/>
      <c r="AG105" s="26"/>
      <c r="AH105" s="32"/>
      <c r="AJ105" s="8"/>
      <c r="AK105" s="2"/>
      <c r="AL105" s="26"/>
      <c r="AM105" s="26"/>
      <c r="AN105" s="26"/>
      <c r="AO105" s="27"/>
      <c r="AP105" s="30"/>
      <c r="AQ105" s="26"/>
      <c r="AR105" s="26"/>
      <c r="AS105" s="32"/>
      <c r="AT105" s="34"/>
    </row>
    <row r="106" spans="2:46" x14ac:dyDescent="0.3">
      <c r="B106" s="8"/>
      <c r="C106" s="2" t="s">
        <v>750</v>
      </c>
      <c r="D106" s="26">
        <v>0</v>
      </c>
      <c r="E106" s="26">
        <v>0</v>
      </c>
      <c r="F106" s="27">
        <v>0</v>
      </c>
      <c r="G106" s="26">
        <v>0</v>
      </c>
      <c r="H106" s="26">
        <v>0</v>
      </c>
      <c r="I106" s="27">
        <v>0</v>
      </c>
      <c r="J106" s="26">
        <v>0</v>
      </c>
      <c r="K106" s="26">
        <v>0</v>
      </c>
      <c r="L106" s="67">
        <v>1</v>
      </c>
      <c r="N106" s="8"/>
      <c r="O106" s="2" t="s">
        <v>686</v>
      </c>
      <c r="P106" s="26">
        <v>0</v>
      </c>
      <c r="Q106" s="27">
        <v>0</v>
      </c>
      <c r="R106" s="30">
        <v>0</v>
      </c>
      <c r="S106" s="27">
        <v>0</v>
      </c>
      <c r="T106" s="30">
        <v>0</v>
      </c>
      <c r="U106" s="34">
        <v>1</v>
      </c>
      <c r="V106" s="34">
        <v>1</v>
      </c>
      <c r="X106" s="8"/>
      <c r="Y106" s="2"/>
      <c r="Z106" s="26"/>
      <c r="AA106" s="26"/>
      <c r="AB106" s="26"/>
      <c r="AC106" s="26"/>
      <c r="AD106" s="27"/>
      <c r="AE106" s="30"/>
      <c r="AF106" s="26"/>
      <c r="AG106" s="26"/>
      <c r="AH106" s="32"/>
      <c r="AJ106" s="8"/>
      <c r="AK106" s="2"/>
      <c r="AL106" s="26"/>
      <c r="AM106" s="26"/>
      <c r="AN106" s="26"/>
      <c r="AO106" s="27"/>
      <c r="AP106" s="30"/>
      <c r="AQ106" s="26"/>
      <c r="AR106" s="26"/>
      <c r="AS106" s="32"/>
      <c r="AT106" s="34"/>
    </row>
    <row r="107" spans="2:46" x14ac:dyDescent="0.3">
      <c r="B107" s="8"/>
      <c r="C107" s="2" t="s">
        <v>751</v>
      </c>
      <c r="D107" s="26">
        <v>0</v>
      </c>
      <c r="E107" s="26">
        <v>0</v>
      </c>
      <c r="F107" s="27">
        <v>0</v>
      </c>
      <c r="G107" s="26">
        <v>0</v>
      </c>
      <c r="H107" s="26">
        <v>0</v>
      </c>
      <c r="I107" s="27">
        <v>0</v>
      </c>
      <c r="J107" s="26">
        <v>0</v>
      </c>
      <c r="K107" s="26">
        <v>0</v>
      </c>
      <c r="L107" s="67">
        <v>1</v>
      </c>
      <c r="N107" s="8"/>
      <c r="O107" s="2" t="s">
        <v>687</v>
      </c>
      <c r="P107" s="26">
        <v>0</v>
      </c>
      <c r="Q107" s="27">
        <v>0</v>
      </c>
      <c r="R107" s="30">
        <v>0</v>
      </c>
      <c r="S107" s="27">
        <v>0</v>
      </c>
      <c r="T107" s="30">
        <v>0</v>
      </c>
      <c r="U107" s="34">
        <v>1</v>
      </c>
      <c r="V107" s="34">
        <v>1</v>
      </c>
      <c r="X107" s="8"/>
      <c r="Y107" s="2"/>
      <c r="Z107" s="26"/>
      <c r="AA107" s="26"/>
      <c r="AB107" s="26"/>
      <c r="AC107" s="26"/>
      <c r="AD107" s="27"/>
      <c r="AE107" s="30"/>
      <c r="AF107" s="26"/>
      <c r="AG107" s="26"/>
      <c r="AH107" s="32"/>
      <c r="AJ107" s="8"/>
      <c r="AK107" s="2"/>
      <c r="AL107" s="26"/>
      <c r="AM107" s="26"/>
      <c r="AN107" s="26"/>
      <c r="AO107" s="27"/>
      <c r="AP107" s="30"/>
      <c r="AQ107" s="26"/>
      <c r="AR107" s="26"/>
      <c r="AS107" s="32"/>
      <c r="AT107" s="34"/>
    </row>
    <row r="108" spans="2:46" x14ac:dyDescent="0.3">
      <c r="B108" s="8"/>
      <c r="C108" s="2" t="s">
        <v>752</v>
      </c>
      <c r="D108" s="26">
        <v>0</v>
      </c>
      <c r="E108" s="26">
        <v>0</v>
      </c>
      <c r="F108" s="27">
        <v>0</v>
      </c>
      <c r="G108" s="26">
        <v>0</v>
      </c>
      <c r="H108" s="26">
        <v>0</v>
      </c>
      <c r="I108" s="27">
        <v>0</v>
      </c>
      <c r="J108" s="26">
        <v>0</v>
      </c>
      <c r="K108" s="26">
        <v>0</v>
      </c>
      <c r="L108" s="67">
        <v>1</v>
      </c>
      <c r="N108" s="8"/>
      <c r="O108" s="2" t="s">
        <v>688</v>
      </c>
      <c r="P108" s="26">
        <v>0</v>
      </c>
      <c r="Q108" s="27">
        <v>0</v>
      </c>
      <c r="R108" s="30">
        <v>0</v>
      </c>
      <c r="S108" s="27">
        <v>0</v>
      </c>
      <c r="T108" s="30">
        <v>0</v>
      </c>
      <c r="U108" s="34">
        <v>1</v>
      </c>
      <c r="V108" s="34">
        <v>1</v>
      </c>
      <c r="X108" s="8"/>
      <c r="Y108" s="2"/>
      <c r="Z108" s="26"/>
      <c r="AA108" s="26"/>
      <c r="AB108" s="26"/>
      <c r="AC108" s="26"/>
      <c r="AD108" s="27"/>
      <c r="AE108" s="30"/>
      <c r="AF108" s="26"/>
      <c r="AG108" s="26"/>
      <c r="AH108" s="32"/>
      <c r="AJ108" s="8"/>
      <c r="AK108" s="2"/>
      <c r="AL108" s="26"/>
      <c r="AM108" s="26"/>
      <c r="AN108" s="26"/>
      <c r="AO108" s="27"/>
      <c r="AP108" s="30"/>
      <c r="AQ108" s="26"/>
      <c r="AR108" s="26"/>
      <c r="AS108" s="32"/>
      <c r="AT108" s="34"/>
    </row>
    <row r="109" spans="2:46" x14ac:dyDescent="0.3">
      <c r="B109" s="8"/>
      <c r="C109" s="2"/>
      <c r="D109" s="26"/>
      <c r="E109" s="26"/>
      <c r="F109" s="27"/>
      <c r="G109" s="26"/>
      <c r="H109" s="26"/>
      <c r="I109" s="27"/>
      <c r="J109" s="26"/>
      <c r="K109" s="26"/>
      <c r="L109" s="67"/>
      <c r="N109" s="8"/>
      <c r="O109" s="2"/>
      <c r="P109" s="26"/>
      <c r="Q109" s="27"/>
      <c r="R109" s="30"/>
      <c r="S109" s="27"/>
      <c r="T109" s="30"/>
      <c r="U109" s="34"/>
      <c r="V109" s="34"/>
      <c r="X109" s="8"/>
      <c r="Y109" s="2"/>
      <c r="Z109" s="26"/>
      <c r="AA109" s="26"/>
      <c r="AB109" s="26"/>
      <c r="AC109" s="26"/>
      <c r="AD109" s="27"/>
      <c r="AE109" s="30"/>
      <c r="AF109" s="26"/>
      <c r="AG109" s="26"/>
      <c r="AH109" s="32"/>
      <c r="AJ109" s="8"/>
      <c r="AK109" s="2"/>
      <c r="AL109" s="26"/>
      <c r="AM109" s="26"/>
      <c r="AN109" s="26"/>
      <c r="AO109" s="27"/>
      <c r="AP109" s="30"/>
      <c r="AQ109" s="26"/>
      <c r="AR109" s="26"/>
      <c r="AS109" s="32"/>
      <c r="AT109" s="34"/>
    </row>
    <row r="110" spans="2:46" x14ac:dyDescent="0.3">
      <c r="B110" s="8"/>
      <c r="C110" s="2"/>
      <c r="D110" s="26"/>
      <c r="E110" s="26"/>
      <c r="F110" s="27"/>
      <c r="G110" s="26"/>
      <c r="H110" s="26"/>
      <c r="I110" s="27"/>
      <c r="J110" s="26"/>
      <c r="K110" s="26"/>
      <c r="L110" s="67"/>
      <c r="N110" s="8"/>
      <c r="O110" s="2"/>
      <c r="P110" s="26"/>
      <c r="Q110" s="27"/>
      <c r="R110" s="30"/>
      <c r="S110" s="27"/>
      <c r="T110" s="30"/>
      <c r="U110" s="34"/>
      <c r="V110" s="34"/>
      <c r="X110" s="8"/>
      <c r="Y110" s="2"/>
      <c r="Z110" s="26"/>
      <c r="AA110" s="26"/>
      <c r="AB110" s="26"/>
      <c r="AC110" s="26"/>
      <c r="AD110" s="27"/>
      <c r="AE110" s="30"/>
      <c r="AF110" s="26"/>
      <c r="AG110" s="26"/>
      <c r="AH110" s="32"/>
      <c r="AJ110" s="8"/>
      <c r="AK110" s="2"/>
      <c r="AL110" s="26"/>
      <c r="AM110" s="26"/>
      <c r="AN110" s="26"/>
      <c r="AO110" s="27"/>
      <c r="AP110" s="30"/>
      <c r="AQ110" s="26"/>
      <c r="AR110" s="26"/>
      <c r="AS110" s="32"/>
      <c r="AT110" s="34"/>
    </row>
    <row r="111" spans="2:46" x14ac:dyDescent="0.3">
      <c r="B111" s="8"/>
      <c r="C111" s="2"/>
      <c r="D111" s="26"/>
      <c r="E111" s="26"/>
      <c r="F111" s="27"/>
      <c r="G111" s="26"/>
      <c r="H111" s="26"/>
      <c r="I111" s="27"/>
      <c r="J111" s="26"/>
      <c r="K111" s="26"/>
      <c r="L111" s="67"/>
      <c r="N111" s="8"/>
      <c r="O111" s="2"/>
      <c r="P111" s="26"/>
      <c r="Q111" s="27"/>
      <c r="R111" s="30"/>
      <c r="S111" s="27"/>
      <c r="T111" s="30"/>
      <c r="U111" s="34"/>
      <c r="V111" s="34"/>
      <c r="X111" s="8"/>
      <c r="Y111" s="2"/>
      <c r="Z111" s="26"/>
      <c r="AA111" s="26"/>
      <c r="AB111" s="26"/>
      <c r="AC111" s="26"/>
      <c r="AD111" s="27"/>
      <c r="AE111" s="30"/>
      <c r="AF111" s="26"/>
      <c r="AG111" s="26"/>
      <c r="AH111" s="32"/>
      <c r="AJ111" s="8"/>
      <c r="AK111" s="2"/>
      <c r="AL111" s="26"/>
      <c r="AM111" s="26"/>
      <c r="AN111" s="26"/>
      <c r="AO111" s="27"/>
      <c r="AP111" s="30"/>
      <c r="AQ111" s="26"/>
      <c r="AR111" s="26"/>
      <c r="AS111" s="32"/>
      <c r="AT111" s="34"/>
    </row>
    <row r="112" spans="2:46" x14ac:dyDescent="0.3">
      <c r="B112" s="8"/>
      <c r="C112" s="2"/>
      <c r="D112" s="26"/>
      <c r="E112" s="26"/>
      <c r="F112" s="27"/>
      <c r="G112" s="26"/>
      <c r="H112" s="26"/>
      <c r="I112" s="27"/>
      <c r="J112" s="26"/>
      <c r="K112" s="26"/>
      <c r="L112" s="67"/>
      <c r="N112" s="8"/>
      <c r="O112" s="2"/>
      <c r="P112" s="26"/>
      <c r="Q112" s="27"/>
      <c r="R112" s="30"/>
      <c r="S112" s="27"/>
      <c r="T112" s="30"/>
      <c r="U112" s="34"/>
      <c r="V112" s="34"/>
      <c r="X112" s="8"/>
      <c r="Y112" s="2"/>
      <c r="Z112" s="26"/>
      <c r="AA112" s="26"/>
      <c r="AB112" s="26"/>
      <c r="AC112" s="26"/>
      <c r="AD112" s="27"/>
      <c r="AE112" s="30"/>
      <c r="AF112" s="26"/>
      <c r="AG112" s="26"/>
      <c r="AH112" s="32"/>
      <c r="AJ112" s="8"/>
      <c r="AK112" s="2"/>
      <c r="AL112" s="26"/>
      <c r="AM112" s="26"/>
      <c r="AN112" s="26"/>
      <c r="AO112" s="27"/>
      <c r="AP112" s="30"/>
      <c r="AQ112" s="26"/>
      <c r="AR112" s="26"/>
      <c r="AS112" s="32"/>
      <c r="AT112" s="34"/>
    </row>
    <row r="113" spans="2:46" x14ac:dyDescent="0.3">
      <c r="B113" s="8"/>
      <c r="C113" s="2"/>
      <c r="D113" s="26"/>
      <c r="E113" s="26"/>
      <c r="F113" s="27"/>
      <c r="G113" s="26"/>
      <c r="H113" s="26"/>
      <c r="I113" s="27"/>
      <c r="J113" s="26"/>
      <c r="K113" s="26"/>
      <c r="L113" s="67"/>
      <c r="N113" s="8"/>
      <c r="O113" s="2"/>
      <c r="P113" s="26"/>
      <c r="Q113" s="27"/>
      <c r="R113" s="30"/>
      <c r="S113" s="27"/>
      <c r="T113" s="30"/>
      <c r="U113" s="34"/>
      <c r="V113" s="34"/>
      <c r="X113" s="8"/>
      <c r="Y113" s="2"/>
      <c r="Z113" s="26"/>
      <c r="AA113" s="26"/>
      <c r="AB113" s="26"/>
      <c r="AC113" s="26"/>
      <c r="AD113" s="27"/>
      <c r="AE113" s="30"/>
      <c r="AF113" s="26"/>
      <c r="AG113" s="26"/>
      <c r="AH113" s="32"/>
      <c r="AJ113" s="8"/>
      <c r="AK113" s="2"/>
      <c r="AL113" s="26"/>
      <c r="AM113" s="26"/>
      <c r="AN113" s="26"/>
      <c r="AO113" s="27"/>
      <c r="AP113" s="30"/>
      <c r="AQ113" s="26"/>
      <c r="AR113" s="26"/>
      <c r="AS113" s="32"/>
      <c r="AT113" s="34"/>
    </row>
    <row r="114" spans="2:46" x14ac:dyDescent="0.3">
      <c r="B114" s="8"/>
      <c r="C114" s="2"/>
      <c r="D114" s="26"/>
      <c r="E114" s="26"/>
      <c r="F114" s="27"/>
      <c r="G114" s="26"/>
      <c r="H114" s="26"/>
      <c r="I114" s="27"/>
      <c r="J114" s="26"/>
      <c r="K114" s="26"/>
      <c r="L114" s="67"/>
      <c r="N114" s="8"/>
      <c r="O114" s="2"/>
      <c r="P114" s="26"/>
      <c r="Q114" s="27"/>
      <c r="R114" s="30"/>
      <c r="S114" s="27"/>
      <c r="T114" s="30"/>
      <c r="U114" s="34"/>
      <c r="V114" s="34"/>
      <c r="X114" s="8"/>
      <c r="Y114" s="2"/>
      <c r="Z114" s="26"/>
      <c r="AA114" s="26"/>
      <c r="AB114" s="26"/>
      <c r="AC114" s="26"/>
      <c r="AD114" s="27"/>
      <c r="AE114" s="30"/>
      <c r="AF114" s="26"/>
      <c r="AG114" s="26"/>
      <c r="AH114" s="32"/>
      <c r="AJ114" s="8"/>
      <c r="AK114" s="2"/>
      <c r="AL114" s="26"/>
      <c r="AM114" s="26"/>
      <c r="AN114" s="26"/>
      <c r="AO114" s="27"/>
      <c r="AP114" s="30"/>
      <c r="AQ114" s="26"/>
      <c r="AR114" s="26"/>
      <c r="AS114" s="32"/>
      <c r="AT114" s="34"/>
    </row>
    <row r="115" spans="2:46" x14ac:dyDescent="0.3">
      <c r="B115" s="8"/>
      <c r="C115" s="2"/>
      <c r="D115" s="26"/>
      <c r="E115" s="26"/>
      <c r="F115" s="27"/>
      <c r="G115" s="26"/>
      <c r="H115" s="26"/>
      <c r="I115" s="27"/>
      <c r="J115" s="26"/>
      <c r="K115" s="26"/>
      <c r="L115" s="67"/>
      <c r="N115" s="8"/>
      <c r="O115" s="2"/>
      <c r="P115" s="26"/>
      <c r="Q115" s="27"/>
      <c r="R115" s="30"/>
      <c r="S115" s="27"/>
      <c r="T115" s="30"/>
      <c r="U115" s="34"/>
      <c r="V115" s="34"/>
      <c r="X115" s="8"/>
      <c r="Y115" s="2"/>
      <c r="Z115" s="26"/>
      <c r="AA115" s="26"/>
      <c r="AB115" s="26"/>
      <c r="AC115" s="26"/>
      <c r="AD115" s="27"/>
      <c r="AE115" s="30"/>
      <c r="AF115" s="26"/>
      <c r="AG115" s="26"/>
      <c r="AH115" s="32"/>
      <c r="AJ115" s="8"/>
      <c r="AK115" s="2"/>
      <c r="AL115" s="26"/>
      <c r="AM115" s="26"/>
      <c r="AN115" s="26"/>
      <c r="AO115" s="27"/>
      <c r="AP115" s="30"/>
      <c r="AQ115" s="26"/>
      <c r="AR115" s="26"/>
      <c r="AS115" s="32"/>
      <c r="AT115" s="34"/>
    </row>
    <row r="116" spans="2:46" x14ac:dyDescent="0.3">
      <c r="B116" s="8"/>
      <c r="C116" s="2"/>
      <c r="D116" s="26"/>
      <c r="E116" s="26"/>
      <c r="F116" s="27"/>
      <c r="G116" s="26"/>
      <c r="H116" s="26"/>
      <c r="I116" s="27"/>
      <c r="J116" s="26"/>
      <c r="K116" s="26"/>
      <c r="L116" s="67"/>
      <c r="N116" s="8"/>
      <c r="O116" s="2"/>
      <c r="P116" s="26"/>
      <c r="Q116" s="27"/>
      <c r="R116" s="30"/>
      <c r="S116" s="27"/>
      <c r="T116" s="30"/>
      <c r="U116" s="34"/>
      <c r="V116" s="34"/>
      <c r="X116" s="8"/>
      <c r="Y116" s="2"/>
      <c r="Z116" s="26"/>
      <c r="AA116" s="26"/>
      <c r="AB116" s="26"/>
      <c r="AC116" s="26"/>
      <c r="AD116" s="27"/>
      <c r="AE116" s="30"/>
      <c r="AF116" s="26"/>
      <c r="AG116" s="26"/>
      <c r="AH116" s="32"/>
      <c r="AJ116" s="8"/>
      <c r="AK116" s="2"/>
      <c r="AL116" s="26"/>
      <c r="AM116" s="26"/>
      <c r="AN116" s="26"/>
      <c r="AO116" s="27"/>
      <c r="AP116" s="30"/>
      <c r="AQ116" s="26"/>
      <c r="AR116" s="26"/>
      <c r="AS116" s="32"/>
      <c r="AT116" s="34"/>
    </row>
    <row r="117" spans="2:46" x14ac:dyDescent="0.3">
      <c r="B117" s="8"/>
      <c r="C117" s="2"/>
      <c r="D117" s="26"/>
      <c r="E117" s="26"/>
      <c r="F117" s="27"/>
      <c r="G117" s="26"/>
      <c r="H117" s="26"/>
      <c r="I117" s="27"/>
      <c r="J117" s="26"/>
      <c r="K117" s="26"/>
      <c r="L117" s="67"/>
      <c r="N117" s="8"/>
      <c r="O117" s="2"/>
      <c r="P117" s="26"/>
      <c r="Q117" s="27"/>
      <c r="R117" s="30"/>
      <c r="S117" s="27"/>
      <c r="T117" s="30"/>
      <c r="U117" s="34"/>
      <c r="V117" s="34"/>
      <c r="X117" s="8"/>
      <c r="Y117" s="2"/>
      <c r="Z117" s="26"/>
      <c r="AA117" s="26"/>
      <c r="AB117" s="26"/>
      <c r="AC117" s="26"/>
      <c r="AD117" s="27"/>
      <c r="AE117" s="30"/>
      <c r="AF117" s="26"/>
      <c r="AG117" s="26"/>
      <c r="AH117" s="32"/>
      <c r="AJ117" s="8"/>
      <c r="AK117" s="2"/>
      <c r="AL117" s="26"/>
      <c r="AM117" s="26"/>
      <c r="AN117" s="26"/>
      <c r="AO117" s="27"/>
      <c r="AP117" s="30"/>
      <c r="AQ117" s="26"/>
      <c r="AR117" s="26"/>
      <c r="AS117" s="32"/>
      <c r="AT117" s="34"/>
    </row>
    <row r="118" spans="2:46" x14ac:dyDescent="0.3">
      <c r="B118" s="8"/>
      <c r="C118" s="2"/>
      <c r="D118" s="26"/>
      <c r="E118" s="26"/>
      <c r="F118" s="27"/>
      <c r="G118" s="26"/>
      <c r="H118" s="26"/>
      <c r="I118" s="27"/>
      <c r="J118" s="26"/>
      <c r="K118" s="26"/>
      <c r="L118" s="67"/>
      <c r="N118" s="8"/>
      <c r="O118" s="2"/>
      <c r="P118" s="26"/>
      <c r="Q118" s="27"/>
      <c r="R118" s="30"/>
      <c r="S118" s="27"/>
      <c r="T118" s="30"/>
      <c r="U118" s="34"/>
      <c r="V118" s="34"/>
      <c r="X118" s="8"/>
      <c r="Y118" s="2"/>
      <c r="Z118" s="26"/>
      <c r="AA118" s="26"/>
      <c r="AB118" s="26"/>
      <c r="AC118" s="26"/>
      <c r="AD118" s="27"/>
      <c r="AE118" s="30"/>
      <c r="AF118" s="26"/>
      <c r="AG118" s="26"/>
      <c r="AH118" s="32"/>
      <c r="AJ118" s="8"/>
      <c r="AK118" s="2"/>
      <c r="AL118" s="26"/>
      <c r="AM118" s="26"/>
      <c r="AN118" s="26"/>
      <c r="AO118" s="27"/>
      <c r="AP118" s="30"/>
      <c r="AQ118" s="26"/>
      <c r="AR118" s="26"/>
      <c r="AS118" s="32"/>
      <c r="AT118" s="34"/>
    </row>
    <row r="119" spans="2:46" x14ac:dyDescent="0.3">
      <c r="B119" s="8"/>
      <c r="C119" s="2"/>
      <c r="D119" s="26"/>
      <c r="E119" s="26"/>
      <c r="F119" s="27"/>
      <c r="G119" s="26"/>
      <c r="H119" s="26"/>
      <c r="I119" s="27"/>
      <c r="J119" s="26"/>
      <c r="K119" s="26"/>
      <c r="L119" s="67"/>
      <c r="N119" s="8"/>
      <c r="O119" s="2"/>
      <c r="P119" s="26"/>
      <c r="Q119" s="27"/>
      <c r="R119" s="30"/>
      <c r="S119" s="27"/>
      <c r="T119" s="30"/>
      <c r="U119" s="34"/>
      <c r="V119" s="34"/>
      <c r="X119" s="8"/>
      <c r="Y119" s="2"/>
      <c r="Z119" s="26"/>
      <c r="AA119" s="26"/>
      <c r="AB119" s="26"/>
      <c r="AC119" s="26"/>
      <c r="AD119" s="27"/>
      <c r="AE119" s="30"/>
      <c r="AF119" s="26"/>
      <c r="AG119" s="26"/>
      <c r="AH119" s="32"/>
      <c r="AJ119" s="8"/>
      <c r="AK119" s="2"/>
      <c r="AL119" s="26"/>
      <c r="AM119" s="26"/>
      <c r="AN119" s="26"/>
      <c r="AO119" s="27"/>
      <c r="AP119" s="30"/>
      <c r="AQ119" s="26"/>
      <c r="AR119" s="26"/>
      <c r="AS119" s="32"/>
      <c r="AT119" s="34"/>
    </row>
    <row r="120" spans="2:46" x14ac:dyDescent="0.3">
      <c r="B120" s="8"/>
      <c r="C120" s="2"/>
      <c r="D120" s="26"/>
      <c r="E120" s="26"/>
      <c r="F120" s="27"/>
      <c r="G120" s="26"/>
      <c r="H120" s="26"/>
      <c r="I120" s="27"/>
      <c r="J120" s="26"/>
      <c r="K120" s="26"/>
      <c r="L120" s="67"/>
      <c r="N120" s="8"/>
      <c r="O120" s="2"/>
      <c r="P120" s="26"/>
      <c r="Q120" s="27"/>
      <c r="R120" s="30"/>
      <c r="S120" s="27"/>
      <c r="T120" s="30"/>
      <c r="U120" s="34"/>
      <c r="V120" s="34"/>
      <c r="X120" s="8"/>
      <c r="Y120" s="2"/>
      <c r="Z120" s="26"/>
      <c r="AA120" s="26"/>
      <c r="AB120" s="26"/>
      <c r="AC120" s="26"/>
      <c r="AD120" s="27"/>
      <c r="AE120" s="30"/>
      <c r="AF120" s="26"/>
      <c r="AG120" s="26"/>
      <c r="AH120" s="32"/>
      <c r="AJ120" s="8"/>
      <c r="AK120" s="2"/>
      <c r="AL120" s="26"/>
      <c r="AM120" s="26"/>
      <c r="AN120" s="26"/>
      <c r="AO120" s="27"/>
      <c r="AP120" s="30"/>
      <c r="AQ120" s="26"/>
      <c r="AR120" s="26"/>
      <c r="AS120" s="32"/>
      <c r="AT120" s="34"/>
    </row>
    <row r="121" spans="2:46" x14ac:dyDescent="0.3">
      <c r="B121" s="8"/>
      <c r="C121" s="2"/>
      <c r="D121" s="26"/>
      <c r="E121" s="26"/>
      <c r="F121" s="27"/>
      <c r="G121" s="26"/>
      <c r="H121" s="26"/>
      <c r="I121" s="27"/>
      <c r="J121" s="26"/>
      <c r="K121" s="26"/>
      <c r="L121" s="67"/>
      <c r="N121" s="8"/>
      <c r="O121" s="2"/>
      <c r="P121" s="26"/>
      <c r="Q121" s="27"/>
      <c r="R121" s="30"/>
      <c r="S121" s="27"/>
      <c r="T121" s="30"/>
      <c r="U121" s="34"/>
      <c r="V121" s="34"/>
      <c r="X121" s="8"/>
      <c r="Y121" s="2"/>
      <c r="Z121" s="26"/>
      <c r="AA121" s="26"/>
      <c r="AB121" s="26"/>
      <c r="AC121" s="26"/>
      <c r="AD121" s="27"/>
      <c r="AE121" s="30"/>
      <c r="AF121" s="26"/>
      <c r="AG121" s="26"/>
      <c r="AH121" s="32"/>
      <c r="AJ121" s="8"/>
      <c r="AK121" s="2"/>
      <c r="AL121" s="26"/>
      <c r="AM121" s="26"/>
      <c r="AN121" s="26"/>
      <c r="AO121" s="27"/>
      <c r="AP121" s="30"/>
      <c r="AQ121" s="26"/>
      <c r="AR121" s="26"/>
      <c r="AS121" s="32"/>
      <c r="AT121" s="34"/>
    </row>
    <row r="122" spans="2:46" x14ac:dyDescent="0.3">
      <c r="B122" s="8"/>
      <c r="C122" s="2"/>
      <c r="D122" s="26"/>
      <c r="E122" s="26"/>
      <c r="F122" s="27"/>
      <c r="G122" s="26"/>
      <c r="H122" s="26"/>
      <c r="I122" s="27"/>
      <c r="J122" s="26"/>
      <c r="K122" s="26"/>
      <c r="L122" s="67"/>
      <c r="N122" s="8"/>
      <c r="O122" s="2"/>
      <c r="P122" s="26"/>
      <c r="Q122" s="27"/>
      <c r="R122" s="30"/>
      <c r="S122" s="27"/>
      <c r="T122" s="30"/>
      <c r="U122" s="34"/>
      <c r="V122" s="34"/>
      <c r="X122" s="8"/>
      <c r="Y122" s="2"/>
      <c r="Z122" s="26"/>
      <c r="AA122" s="26"/>
      <c r="AB122" s="26"/>
      <c r="AC122" s="26"/>
      <c r="AD122" s="27"/>
      <c r="AE122" s="30"/>
      <c r="AF122" s="26"/>
      <c r="AG122" s="26"/>
      <c r="AH122" s="32"/>
      <c r="AJ122" s="8"/>
      <c r="AK122" s="2"/>
      <c r="AL122" s="26"/>
      <c r="AM122" s="26"/>
      <c r="AN122" s="26"/>
      <c r="AO122" s="27"/>
      <c r="AP122" s="30"/>
      <c r="AQ122" s="26"/>
      <c r="AR122" s="26"/>
      <c r="AS122" s="32"/>
      <c r="AT122" s="34"/>
    </row>
    <row r="123" spans="2:46" x14ac:dyDescent="0.3">
      <c r="B123" s="8"/>
      <c r="C123" s="2"/>
      <c r="D123" s="26"/>
      <c r="E123" s="26"/>
      <c r="F123" s="27"/>
      <c r="G123" s="26"/>
      <c r="H123" s="26"/>
      <c r="I123" s="27"/>
      <c r="J123" s="26"/>
      <c r="K123" s="26"/>
      <c r="L123" s="67"/>
      <c r="N123" s="8"/>
      <c r="O123" s="2"/>
      <c r="P123" s="26"/>
      <c r="Q123" s="27"/>
      <c r="R123" s="30"/>
      <c r="S123" s="27"/>
      <c r="T123" s="30"/>
      <c r="U123" s="34"/>
      <c r="V123" s="34"/>
      <c r="X123" s="8"/>
      <c r="Y123" s="2"/>
      <c r="Z123" s="26"/>
      <c r="AA123" s="26"/>
      <c r="AB123" s="26"/>
      <c r="AC123" s="26"/>
      <c r="AD123" s="27"/>
      <c r="AE123" s="30"/>
      <c r="AF123" s="26"/>
      <c r="AG123" s="26"/>
      <c r="AH123" s="32"/>
      <c r="AJ123" s="8"/>
      <c r="AK123" s="2"/>
      <c r="AL123" s="26"/>
      <c r="AM123" s="26"/>
      <c r="AN123" s="26"/>
      <c r="AO123" s="27"/>
      <c r="AP123" s="30"/>
      <c r="AQ123" s="26"/>
      <c r="AR123" s="26"/>
      <c r="AS123" s="32"/>
      <c r="AT123" s="34"/>
    </row>
    <row r="124" spans="2:46" x14ac:dyDescent="0.3">
      <c r="B124" s="8"/>
      <c r="C124" s="2"/>
      <c r="D124" s="26"/>
      <c r="E124" s="26"/>
      <c r="F124" s="27"/>
      <c r="G124" s="26"/>
      <c r="H124" s="26"/>
      <c r="I124" s="27"/>
      <c r="J124" s="26"/>
      <c r="K124" s="26"/>
      <c r="L124" s="67"/>
      <c r="N124" s="8"/>
      <c r="O124" s="2"/>
      <c r="P124" s="26"/>
      <c r="Q124" s="27"/>
      <c r="R124" s="30"/>
      <c r="S124" s="27"/>
      <c r="T124" s="30"/>
      <c r="U124" s="34"/>
      <c r="V124" s="34"/>
      <c r="X124" s="8"/>
      <c r="Y124" s="2"/>
      <c r="Z124" s="26"/>
      <c r="AA124" s="26"/>
      <c r="AB124" s="26"/>
      <c r="AC124" s="26"/>
      <c r="AD124" s="27"/>
      <c r="AE124" s="30"/>
      <c r="AF124" s="26"/>
      <c r="AG124" s="26"/>
      <c r="AH124" s="32"/>
      <c r="AJ124" s="8"/>
      <c r="AK124" s="2"/>
      <c r="AL124" s="26"/>
      <c r="AM124" s="26"/>
      <c r="AN124" s="26"/>
      <c r="AO124" s="27"/>
      <c r="AP124" s="30"/>
      <c r="AQ124" s="26"/>
      <c r="AR124" s="26"/>
      <c r="AS124" s="32"/>
      <c r="AT124" s="34"/>
    </row>
    <row r="125" spans="2:46" x14ac:dyDescent="0.3">
      <c r="B125" s="8"/>
      <c r="C125" s="2"/>
      <c r="D125" s="26"/>
      <c r="E125" s="26"/>
      <c r="F125" s="27"/>
      <c r="G125" s="26"/>
      <c r="H125" s="26"/>
      <c r="I125" s="27"/>
      <c r="J125" s="26"/>
      <c r="K125" s="26"/>
      <c r="L125" s="67"/>
      <c r="N125" s="8"/>
      <c r="O125" s="2"/>
      <c r="P125" s="26"/>
      <c r="Q125" s="27"/>
      <c r="R125" s="30"/>
      <c r="S125" s="27"/>
      <c r="T125" s="30"/>
      <c r="U125" s="34"/>
      <c r="V125" s="34"/>
      <c r="X125" s="8"/>
      <c r="Y125" s="2"/>
      <c r="Z125" s="26"/>
      <c r="AA125" s="26"/>
      <c r="AB125" s="26"/>
      <c r="AC125" s="26"/>
      <c r="AD125" s="27"/>
      <c r="AE125" s="30"/>
      <c r="AF125" s="26"/>
      <c r="AG125" s="26"/>
      <c r="AH125" s="32"/>
      <c r="AJ125" s="8"/>
      <c r="AK125" s="2"/>
      <c r="AL125" s="26"/>
      <c r="AM125" s="26"/>
      <c r="AN125" s="26"/>
      <c r="AO125" s="27"/>
      <c r="AP125" s="30"/>
      <c r="AQ125" s="26"/>
      <c r="AR125" s="26"/>
      <c r="AS125" s="32"/>
      <c r="AT125" s="34"/>
    </row>
    <row r="126" spans="2:46" x14ac:dyDescent="0.3">
      <c r="B126" s="8"/>
      <c r="C126" s="2"/>
      <c r="D126" s="26"/>
      <c r="E126" s="26"/>
      <c r="F126" s="27"/>
      <c r="G126" s="26"/>
      <c r="H126" s="26"/>
      <c r="I126" s="27"/>
      <c r="J126" s="26"/>
      <c r="K126" s="26"/>
      <c r="L126" s="67"/>
      <c r="N126" s="8"/>
      <c r="O126" s="2"/>
      <c r="P126" s="26"/>
      <c r="Q126" s="27"/>
      <c r="R126" s="30"/>
      <c r="S126" s="27"/>
      <c r="T126" s="30"/>
      <c r="U126" s="34"/>
      <c r="V126" s="34"/>
      <c r="X126" s="8"/>
      <c r="Y126" s="2"/>
      <c r="Z126" s="26"/>
      <c r="AA126" s="26"/>
      <c r="AB126" s="26"/>
      <c r="AC126" s="26"/>
      <c r="AD126" s="27"/>
      <c r="AE126" s="30"/>
      <c r="AF126" s="26"/>
      <c r="AG126" s="26"/>
      <c r="AH126" s="32"/>
      <c r="AJ126" s="8"/>
      <c r="AK126" s="2"/>
      <c r="AL126" s="26"/>
      <c r="AM126" s="26"/>
      <c r="AN126" s="26"/>
      <c r="AO126" s="27"/>
      <c r="AP126" s="30"/>
      <c r="AQ126" s="26"/>
      <c r="AR126" s="26"/>
      <c r="AS126" s="32"/>
      <c r="AT126" s="34"/>
    </row>
    <row r="127" spans="2:46" x14ac:dyDescent="0.3">
      <c r="B127" s="8"/>
      <c r="C127" s="2"/>
      <c r="D127" s="26"/>
      <c r="E127" s="26"/>
      <c r="F127" s="27"/>
      <c r="G127" s="26"/>
      <c r="H127" s="26"/>
      <c r="I127" s="27"/>
      <c r="J127" s="26"/>
      <c r="K127" s="26"/>
      <c r="L127" s="67"/>
      <c r="N127" s="8"/>
      <c r="O127" s="2"/>
      <c r="P127" s="26"/>
      <c r="Q127" s="27"/>
      <c r="R127" s="30"/>
      <c r="S127" s="27"/>
      <c r="T127" s="30"/>
      <c r="U127" s="34"/>
      <c r="V127" s="34"/>
      <c r="X127" s="8"/>
      <c r="Y127" s="2"/>
      <c r="Z127" s="26"/>
      <c r="AA127" s="26"/>
      <c r="AB127" s="26"/>
      <c r="AC127" s="26"/>
      <c r="AD127" s="27"/>
      <c r="AE127" s="30"/>
      <c r="AF127" s="26"/>
      <c r="AG127" s="26"/>
      <c r="AH127" s="32"/>
      <c r="AJ127" s="8"/>
      <c r="AK127" s="2"/>
      <c r="AL127" s="26"/>
      <c r="AM127" s="26"/>
      <c r="AN127" s="26"/>
      <c r="AO127" s="27"/>
      <c r="AP127" s="30"/>
      <c r="AQ127" s="26"/>
      <c r="AR127" s="26"/>
      <c r="AS127" s="32"/>
      <c r="AT127" s="34"/>
    </row>
    <row r="128" spans="2:46" x14ac:dyDescent="0.3">
      <c r="B128" s="8"/>
      <c r="C128" s="2"/>
      <c r="D128" s="26"/>
      <c r="E128" s="26"/>
      <c r="F128" s="27"/>
      <c r="G128" s="26"/>
      <c r="H128" s="26"/>
      <c r="I128" s="27"/>
      <c r="J128" s="26"/>
      <c r="K128" s="26"/>
      <c r="L128" s="67"/>
      <c r="N128" s="8"/>
      <c r="O128" s="2"/>
      <c r="P128" s="26"/>
      <c r="Q128" s="27"/>
      <c r="R128" s="30"/>
      <c r="S128" s="27"/>
      <c r="T128" s="30"/>
      <c r="U128" s="34"/>
      <c r="V128" s="34"/>
      <c r="X128" s="8"/>
      <c r="Y128" s="2"/>
      <c r="Z128" s="26"/>
      <c r="AA128" s="26"/>
      <c r="AB128" s="26"/>
      <c r="AC128" s="26"/>
      <c r="AD128" s="27"/>
      <c r="AE128" s="30"/>
      <c r="AF128" s="26"/>
      <c r="AG128" s="26"/>
      <c r="AH128" s="32"/>
      <c r="AJ128" s="8"/>
      <c r="AK128" s="2"/>
      <c r="AL128" s="26"/>
      <c r="AM128" s="26"/>
      <c r="AN128" s="26"/>
      <c r="AO128" s="27"/>
      <c r="AP128" s="30"/>
      <c r="AQ128" s="26"/>
      <c r="AR128" s="26"/>
      <c r="AS128" s="32"/>
      <c r="AT128" s="34"/>
    </row>
    <row r="129" spans="2:46" x14ac:dyDescent="0.3">
      <c r="B129" s="8"/>
      <c r="C129" s="2"/>
      <c r="D129" s="26"/>
      <c r="E129" s="26"/>
      <c r="F129" s="27"/>
      <c r="G129" s="26"/>
      <c r="H129" s="26"/>
      <c r="I129" s="27"/>
      <c r="J129" s="26"/>
      <c r="K129" s="26"/>
      <c r="L129" s="67"/>
      <c r="N129" s="8"/>
      <c r="O129" s="2"/>
      <c r="P129" s="26"/>
      <c r="Q129" s="27"/>
      <c r="R129" s="30"/>
      <c r="S129" s="27"/>
      <c r="T129" s="30"/>
      <c r="U129" s="34"/>
      <c r="V129" s="34"/>
      <c r="X129" s="8"/>
      <c r="Y129" s="2"/>
      <c r="Z129" s="26"/>
      <c r="AA129" s="26"/>
      <c r="AB129" s="26"/>
      <c r="AC129" s="26"/>
      <c r="AD129" s="27"/>
      <c r="AE129" s="30"/>
      <c r="AF129" s="26"/>
      <c r="AG129" s="26"/>
      <c r="AH129" s="32"/>
      <c r="AJ129" s="8"/>
      <c r="AK129" s="2"/>
      <c r="AL129" s="26"/>
      <c r="AM129" s="26"/>
      <c r="AN129" s="26"/>
      <c r="AO129" s="27"/>
      <c r="AP129" s="30"/>
      <c r="AQ129" s="26"/>
      <c r="AR129" s="26"/>
      <c r="AS129" s="32"/>
      <c r="AT129" s="34"/>
    </row>
    <row r="130" spans="2:46" x14ac:dyDescent="0.3">
      <c r="B130" s="8"/>
      <c r="C130" s="2"/>
      <c r="D130" s="26"/>
      <c r="E130" s="26"/>
      <c r="F130" s="27"/>
      <c r="G130" s="26"/>
      <c r="H130" s="26"/>
      <c r="I130" s="27"/>
      <c r="J130" s="26"/>
      <c r="K130" s="26"/>
      <c r="L130" s="67"/>
      <c r="N130" s="8"/>
      <c r="O130" s="2"/>
      <c r="P130" s="26"/>
      <c r="Q130" s="27"/>
      <c r="R130" s="30"/>
      <c r="S130" s="27"/>
      <c r="T130" s="30"/>
      <c r="U130" s="34"/>
      <c r="V130" s="34"/>
      <c r="X130" s="8"/>
      <c r="Y130" s="2"/>
      <c r="Z130" s="26"/>
      <c r="AA130" s="26"/>
      <c r="AB130" s="26"/>
      <c r="AC130" s="26"/>
      <c r="AD130" s="27"/>
      <c r="AE130" s="30"/>
      <c r="AF130" s="26"/>
      <c r="AG130" s="26"/>
      <c r="AH130" s="32"/>
      <c r="AJ130" s="8"/>
      <c r="AK130" s="2"/>
      <c r="AL130" s="26"/>
      <c r="AM130" s="26"/>
      <c r="AN130" s="26"/>
      <c r="AO130" s="27"/>
      <c r="AP130" s="30"/>
      <c r="AQ130" s="26"/>
      <c r="AR130" s="26"/>
      <c r="AS130" s="32"/>
      <c r="AT130" s="34"/>
    </row>
    <row r="131" spans="2:46" x14ac:dyDescent="0.3">
      <c r="B131" s="8"/>
      <c r="C131" s="2"/>
      <c r="D131" s="26"/>
      <c r="E131" s="26"/>
      <c r="F131" s="27"/>
      <c r="G131" s="26"/>
      <c r="H131" s="26"/>
      <c r="I131" s="27"/>
      <c r="J131" s="26"/>
      <c r="K131" s="26"/>
      <c r="L131" s="67"/>
      <c r="N131" s="8"/>
      <c r="O131" s="2"/>
      <c r="P131" s="26"/>
      <c r="Q131" s="27"/>
      <c r="R131" s="30"/>
      <c r="S131" s="27"/>
      <c r="T131" s="30"/>
      <c r="U131" s="34"/>
      <c r="V131" s="34"/>
      <c r="X131" s="8"/>
      <c r="Y131" s="2"/>
      <c r="Z131" s="26"/>
      <c r="AA131" s="26"/>
      <c r="AB131" s="26"/>
      <c r="AC131" s="26"/>
      <c r="AD131" s="27"/>
      <c r="AE131" s="30"/>
      <c r="AF131" s="26"/>
      <c r="AG131" s="26"/>
      <c r="AH131" s="32"/>
      <c r="AJ131" s="8"/>
      <c r="AK131" s="2"/>
      <c r="AL131" s="26"/>
      <c r="AM131" s="26"/>
      <c r="AN131" s="26"/>
      <c r="AO131" s="27"/>
      <c r="AP131" s="30"/>
      <c r="AQ131" s="26"/>
      <c r="AR131" s="26"/>
      <c r="AS131" s="32"/>
      <c r="AT131" s="34"/>
    </row>
    <row r="132" spans="2:46" x14ac:dyDescent="0.3">
      <c r="B132" s="8"/>
      <c r="C132" s="2"/>
      <c r="D132" s="26"/>
      <c r="E132" s="26"/>
      <c r="F132" s="27"/>
      <c r="G132" s="26"/>
      <c r="H132" s="26"/>
      <c r="I132" s="27"/>
      <c r="J132" s="26"/>
      <c r="K132" s="26"/>
      <c r="L132" s="67"/>
      <c r="N132" s="8"/>
      <c r="O132" s="2"/>
      <c r="P132" s="26"/>
      <c r="Q132" s="27"/>
      <c r="R132" s="30"/>
      <c r="S132" s="27"/>
      <c r="T132" s="30"/>
      <c r="U132" s="34"/>
      <c r="V132" s="34"/>
      <c r="X132" s="8"/>
      <c r="Y132" s="2"/>
      <c r="Z132" s="26"/>
      <c r="AA132" s="26"/>
      <c r="AB132" s="26"/>
      <c r="AC132" s="26"/>
      <c r="AD132" s="27"/>
      <c r="AE132" s="30"/>
      <c r="AF132" s="26"/>
      <c r="AG132" s="26"/>
      <c r="AH132" s="32"/>
      <c r="AJ132" s="8"/>
      <c r="AK132" s="2"/>
      <c r="AL132" s="26"/>
      <c r="AM132" s="26"/>
      <c r="AN132" s="26"/>
      <c r="AO132" s="27"/>
      <c r="AP132" s="30"/>
      <c r="AQ132" s="26"/>
      <c r="AR132" s="26"/>
      <c r="AS132" s="32"/>
      <c r="AT132" s="34"/>
    </row>
    <row r="133" spans="2:46" x14ac:dyDescent="0.3">
      <c r="B133" s="8"/>
      <c r="C133" s="2"/>
      <c r="D133" s="26"/>
      <c r="E133" s="26"/>
      <c r="F133" s="27"/>
      <c r="G133" s="26"/>
      <c r="H133" s="26"/>
      <c r="I133" s="27"/>
      <c r="J133" s="26"/>
      <c r="K133" s="26"/>
      <c r="L133" s="67"/>
      <c r="N133" s="8"/>
      <c r="O133" s="2"/>
      <c r="P133" s="26"/>
      <c r="Q133" s="27"/>
      <c r="R133" s="30"/>
      <c r="S133" s="27"/>
      <c r="T133" s="30"/>
      <c r="U133" s="34"/>
      <c r="V133" s="34"/>
      <c r="X133" s="8"/>
      <c r="Y133" s="2"/>
      <c r="Z133" s="26"/>
      <c r="AA133" s="26"/>
      <c r="AB133" s="26"/>
      <c r="AC133" s="26"/>
      <c r="AD133" s="27"/>
      <c r="AE133" s="30"/>
      <c r="AF133" s="26"/>
      <c r="AG133" s="26"/>
      <c r="AH133" s="32"/>
      <c r="AJ133" s="8"/>
      <c r="AK133" s="2"/>
      <c r="AL133" s="26"/>
      <c r="AM133" s="26"/>
      <c r="AN133" s="26"/>
      <c r="AO133" s="27"/>
      <c r="AP133" s="30"/>
      <c r="AQ133" s="26"/>
      <c r="AR133" s="26"/>
      <c r="AS133" s="32"/>
      <c r="AT133" s="34"/>
    </row>
    <row r="134" spans="2:46" x14ac:dyDescent="0.3">
      <c r="B134" s="8"/>
      <c r="C134" s="2"/>
      <c r="D134" s="26"/>
      <c r="E134" s="26"/>
      <c r="F134" s="27"/>
      <c r="G134" s="26"/>
      <c r="H134" s="26"/>
      <c r="I134" s="27"/>
      <c r="J134" s="26"/>
      <c r="K134" s="26"/>
      <c r="L134" s="67"/>
      <c r="N134" s="8"/>
      <c r="O134" s="2"/>
      <c r="P134" s="26"/>
      <c r="Q134" s="27"/>
      <c r="R134" s="30"/>
      <c r="S134" s="27"/>
      <c r="T134" s="30"/>
      <c r="U134" s="34"/>
      <c r="V134" s="34"/>
      <c r="X134" s="8"/>
      <c r="Y134" s="2"/>
      <c r="Z134" s="26"/>
      <c r="AA134" s="26"/>
      <c r="AB134" s="26"/>
      <c r="AC134" s="26"/>
      <c r="AD134" s="27"/>
      <c r="AE134" s="30"/>
      <c r="AF134" s="26"/>
      <c r="AG134" s="26"/>
      <c r="AH134" s="32"/>
      <c r="AJ134" s="8"/>
      <c r="AK134" s="2"/>
      <c r="AL134" s="26"/>
      <c r="AM134" s="26"/>
      <c r="AN134" s="26"/>
      <c r="AO134" s="27"/>
      <c r="AP134" s="30"/>
      <c r="AQ134" s="26"/>
      <c r="AR134" s="26"/>
      <c r="AS134" s="32"/>
      <c r="AT134" s="34"/>
    </row>
    <row r="135" spans="2:46" x14ac:dyDescent="0.3">
      <c r="B135" s="8"/>
      <c r="C135" s="2"/>
      <c r="D135" s="26"/>
      <c r="E135" s="26"/>
      <c r="F135" s="27"/>
      <c r="G135" s="26"/>
      <c r="H135" s="26"/>
      <c r="I135" s="27"/>
      <c r="J135" s="26"/>
      <c r="K135" s="26"/>
      <c r="L135" s="67"/>
      <c r="N135" s="8"/>
      <c r="O135" s="2"/>
      <c r="P135" s="26"/>
      <c r="Q135" s="27"/>
      <c r="R135" s="30"/>
      <c r="S135" s="27"/>
      <c r="T135" s="30"/>
      <c r="U135" s="34"/>
      <c r="V135" s="34"/>
      <c r="X135" s="8"/>
      <c r="Y135" s="2"/>
      <c r="Z135" s="26"/>
      <c r="AA135" s="26"/>
      <c r="AB135" s="26"/>
      <c r="AC135" s="26"/>
      <c r="AD135" s="27"/>
      <c r="AE135" s="30"/>
      <c r="AF135" s="26"/>
      <c r="AG135" s="26"/>
      <c r="AH135" s="32"/>
      <c r="AJ135" s="8"/>
      <c r="AK135" s="2"/>
      <c r="AL135" s="26"/>
      <c r="AM135" s="26"/>
      <c r="AN135" s="26"/>
      <c r="AO135" s="27"/>
      <c r="AP135" s="30"/>
      <c r="AQ135" s="26"/>
      <c r="AR135" s="26"/>
      <c r="AS135" s="32"/>
      <c r="AT135" s="34"/>
    </row>
    <row r="136" spans="2:46" x14ac:dyDescent="0.3">
      <c r="B136" s="8"/>
      <c r="C136" s="2"/>
      <c r="D136" s="26"/>
      <c r="E136" s="26"/>
      <c r="F136" s="27"/>
      <c r="G136" s="26"/>
      <c r="H136" s="26"/>
      <c r="I136" s="27"/>
      <c r="J136" s="26"/>
      <c r="K136" s="26"/>
      <c r="L136" s="67"/>
      <c r="N136" s="8"/>
      <c r="O136" s="2"/>
      <c r="P136" s="26"/>
      <c r="Q136" s="27"/>
      <c r="R136" s="30"/>
      <c r="S136" s="27"/>
      <c r="T136" s="30"/>
      <c r="U136" s="34"/>
      <c r="V136" s="34"/>
      <c r="X136" s="8"/>
      <c r="Y136" s="2"/>
      <c r="Z136" s="26"/>
      <c r="AA136" s="26"/>
      <c r="AB136" s="26"/>
      <c r="AC136" s="26"/>
      <c r="AD136" s="27"/>
      <c r="AE136" s="30"/>
      <c r="AF136" s="26"/>
      <c r="AG136" s="26"/>
      <c r="AH136" s="32"/>
      <c r="AJ136" s="8"/>
      <c r="AK136" s="2"/>
      <c r="AL136" s="26"/>
      <c r="AM136" s="26"/>
      <c r="AN136" s="26"/>
      <c r="AO136" s="27"/>
      <c r="AP136" s="30"/>
      <c r="AQ136" s="26"/>
      <c r="AR136" s="26"/>
      <c r="AS136" s="32"/>
      <c r="AT136" s="34"/>
    </row>
    <row r="137" spans="2:46" x14ac:dyDescent="0.3">
      <c r="B137" s="8"/>
      <c r="C137" s="2"/>
      <c r="D137" s="26"/>
      <c r="E137" s="26"/>
      <c r="F137" s="27"/>
      <c r="G137" s="26"/>
      <c r="H137" s="26"/>
      <c r="I137" s="27"/>
      <c r="J137" s="26"/>
      <c r="K137" s="26"/>
      <c r="L137" s="67"/>
      <c r="N137" s="8"/>
      <c r="O137" s="2"/>
      <c r="P137" s="26"/>
      <c r="Q137" s="27"/>
      <c r="R137" s="30"/>
      <c r="S137" s="27"/>
      <c r="T137" s="30"/>
      <c r="U137" s="34"/>
      <c r="V137" s="34"/>
      <c r="X137" s="8"/>
      <c r="Y137" s="2"/>
      <c r="Z137" s="26"/>
      <c r="AA137" s="26"/>
      <c r="AB137" s="26"/>
      <c r="AC137" s="26"/>
      <c r="AD137" s="27"/>
      <c r="AE137" s="30"/>
      <c r="AF137" s="26"/>
      <c r="AG137" s="26"/>
      <c r="AH137" s="32"/>
      <c r="AJ137" s="8"/>
      <c r="AK137" s="2"/>
      <c r="AL137" s="26"/>
      <c r="AM137" s="26"/>
      <c r="AN137" s="26"/>
      <c r="AO137" s="27"/>
      <c r="AP137" s="30"/>
      <c r="AQ137" s="26"/>
      <c r="AR137" s="26"/>
      <c r="AS137" s="32"/>
      <c r="AT137" s="34"/>
    </row>
    <row r="138" spans="2:46" x14ac:dyDescent="0.3">
      <c r="B138" s="8"/>
      <c r="C138" s="2"/>
      <c r="D138" s="26"/>
      <c r="E138" s="26"/>
      <c r="F138" s="27"/>
      <c r="G138" s="26"/>
      <c r="H138" s="26"/>
      <c r="I138" s="27"/>
      <c r="J138" s="26"/>
      <c r="K138" s="26"/>
      <c r="L138" s="67"/>
      <c r="N138" s="8"/>
      <c r="O138" s="2"/>
      <c r="P138" s="26"/>
      <c r="Q138" s="27"/>
      <c r="R138" s="30"/>
      <c r="S138" s="27"/>
      <c r="T138" s="30"/>
      <c r="U138" s="34"/>
      <c r="V138" s="34"/>
      <c r="X138" s="8"/>
      <c r="Y138" s="2"/>
      <c r="Z138" s="26"/>
      <c r="AA138" s="26"/>
      <c r="AB138" s="26"/>
      <c r="AC138" s="26"/>
      <c r="AD138" s="27"/>
      <c r="AE138" s="30"/>
      <c r="AF138" s="26"/>
      <c r="AG138" s="26"/>
      <c r="AH138" s="32"/>
      <c r="AJ138" s="8"/>
      <c r="AK138" s="2"/>
      <c r="AL138" s="26"/>
      <c r="AM138" s="26"/>
      <c r="AN138" s="26"/>
      <c r="AO138" s="27"/>
      <c r="AP138" s="30"/>
      <c r="AQ138" s="26"/>
      <c r="AR138" s="26"/>
      <c r="AS138" s="32"/>
      <c r="AT138" s="34"/>
    </row>
    <row r="139" spans="2:46" x14ac:dyDescent="0.3">
      <c r="B139" s="8"/>
      <c r="C139" s="2"/>
      <c r="D139" s="26"/>
      <c r="E139" s="26"/>
      <c r="F139" s="27"/>
      <c r="G139" s="26"/>
      <c r="H139" s="26"/>
      <c r="I139" s="27"/>
      <c r="J139" s="26"/>
      <c r="K139" s="26"/>
      <c r="L139" s="67"/>
      <c r="N139" s="8"/>
      <c r="O139" s="2"/>
      <c r="P139" s="26"/>
      <c r="Q139" s="27"/>
      <c r="R139" s="30"/>
      <c r="S139" s="27"/>
      <c r="T139" s="30"/>
      <c r="U139" s="34"/>
      <c r="V139" s="34"/>
      <c r="X139" s="8"/>
      <c r="Y139" s="2"/>
      <c r="Z139" s="26"/>
      <c r="AA139" s="26"/>
      <c r="AB139" s="26"/>
      <c r="AC139" s="26"/>
      <c r="AD139" s="27"/>
      <c r="AE139" s="30"/>
      <c r="AF139" s="26"/>
      <c r="AG139" s="26"/>
      <c r="AH139" s="32"/>
      <c r="AJ139" s="8"/>
      <c r="AK139" s="2"/>
      <c r="AL139" s="26"/>
      <c r="AM139" s="26"/>
      <c r="AN139" s="26"/>
      <c r="AO139" s="27"/>
      <c r="AP139" s="30"/>
      <c r="AQ139" s="26"/>
      <c r="AR139" s="26"/>
      <c r="AS139" s="32"/>
      <c r="AT139" s="34"/>
    </row>
    <row r="140" spans="2:46" x14ac:dyDescent="0.3">
      <c r="B140" s="8"/>
      <c r="C140" s="2"/>
      <c r="D140" s="26"/>
      <c r="E140" s="26"/>
      <c r="F140" s="27"/>
      <c r="G140" s="26"/>
      <c r="H140" s="26"/>
      <c r="I140" s="27"/>
      <c r="J140" s="26"/>
      <c r="K140" s="26"/>
      <c r="L140" s="67"/>
      <c r="N140" s="8"/>
      <c r="O140" s="2"/>
      <c r="P140" s="26"/>
      <c r="Q140" s="27"/>
      <c r="R140" s="30"/>
      <c r="S140" s="27"/>
      <c r="T140" s="30"/>
      <c r="U140" s="34"/>
      <c r="V140" s="34"/>
      <c r="X140" s="8"/>
      <c r="Y140" s="2"/>
      <c r="Z140" s="26"/>
      <c r="AA140" s="26"/>
      <c r="AB140" s="26"/>
      <c r="AC140" s="26"/>
      <c r="AD140" s="27"/>
      <c r="AE140" s="30"/>
      <c r="AF140" s="26"/>
      <c r="AG140" s="26"/>
      <c r="AH140" s="32"/>
      <c r="AJ140" s="8"/>
      <c r="AK140" s="2"/>
      <c r="AL140" s="26"/>
      <c r="AM140" s="26"/>
      <c r="AN140" s="26"/>
      <c r="AO140" s="27"/>
      <c r="AP140" s="30"/>
      <c r="AQ140" s="26"/>
      <c r="AR140" s="26"/>
      <c r="AS140" s="32"/>
      <c r="AT140" s="34"/>
    </row>
    <row r="141" spans="2:46" x14ac:dyDescent="0.3">
      <c r="B141" s="8"/>
      <c r="C141" s="2"/>
      <c r="D141" s="26"/>
      <c r="E141" s="26"/>
      <c r="F141" s="27"/>
      <c r="G141" s="26"/>
      <c r="H141" s="26"/>
      <c r="I141" s="27"/>
      <c r="J141" s="26"/>
      <c r="K141" s="26"/>
      <c r="L141" s="67"/>
      <c r="N141" s="8"/>
      <c r="O141" s="2"/>
      <c r="P141" s="26"/>
      <c r="Q141" s="27"/>
      <c r="R141" s="30"/>
      <c r="S141" s="27"/>
      <c r="T141" s="30"/>
      <c r="U141" s="34"/>
      <c r="V141" s="34"/>
      <c r="X141" s="8"/>
      <c r="Y141" s="2"/>
      <c r="Z141" s="26"/>
      <c r="AA141" s="26"/>
      <c r="AB141" s="26"/>
      <c r="AC141" s="26"/>
      <c r="AD141" s="27"/>
      <c r="AE141" s="30"/>
      <c r="AF141" s="26"/>
      <c r="AG141" s="26"/>
      <c r="AH141" s="32"/>
      <c r="AJ141" s="8"/>
      <c r="AK141" s="2"/>
      <c r="AL141" s="26"/>
      <c r="AM141" s="26"/>
      <c r="AN141" s="26"/>
      <c r="AO141" s="27"/>
      <c r="AP141" s="30"/>
      <c r="AQ141" s="26"/>
      <c r="AR141" s="26"/>
      <c r="AS141" s="32"/>
      <c r="AT141" s="34"/>
    </row>
    <row r="142" spans="2:46" x14ac:dyDescent="0.3">
      <c r="B142" s="8"/>
      <c r="C142" s="2"/>
      <c r="D142" s="26"/>
      <c r="E142" s="26"/>
      <c r="F142" s="27"/>
      <c r="G142" s="26"/>
      <c r="H142" s="26"/>
      <c r="I142" s="27"/>
      <c r="J142" s="26"/>
      <c r="K142" s="26"/>
      <c r="L142" s="67"/>
      <c r="N142" s="8"/>
      <c r="O142" s="2"/>
      <c r="P142" s="26"/>
      <c r="Q142" s="27"/>
      <c r="R142" s="30"/>
      <c r="S142" s="27"/>
      <c r="T142" s="30"/>
      <c r="U142" s="34"/>
      <c r="V142" s="34"/>
      <c r="X142" s="8"/>
      <c r="Y142" s="2"/>
      <c r="Z142" s="26"/>
      <c r="AA142" s="26"/>
      <c r="AB142" s="26"/>
      <c r="AC142" s="26"/>
      <c r="AD142" s="27"/>
      <c r="AE142" s="30"/>
      <c r="AF142" s="26"/>
      <c r="AG142" s="26"/>
      <c r="AH142" s="32"/>
      <c r="AJ142" s="8"/>
      <c r="AK142" s="2"/>
      <c r="AL142" s="26"/>
      <c r="AM142" s="26"/>
      <c r="AN142" s="26"/>
      <c r="AO142" s="27"/>
      <c r="AP142" s="30"/>
      <c r="AQ142" s="26"/>
      <c r="AR142" s="26"/>
      <c r="AS142" s="32"/>
      <c r="AT142" s="34"/>
    </row>
    <row r="143" spans="2:46" x14ac:dyDescent="0.3">
      <c r="B143" s="8"/>
      <c r="C143" s="2"/>
      <c r="D143" s="26"/>
      <c r="E143" s="26"/>
      <c r="F143" s="27"/>
      <c r="G143" s="26"/>
      <c r="H143" s="26"/>
      <c r="I143" s="27"/>
      <c r="J143" s="26"/>
      <c r="K143" s="26"/>
      <c r="L143" s="67"/>
      <c r="N143" s="8"/>
      <c r="O143" s="2"/>
      <c r="P143" s="26"/>
      <c r="Q143" s="27"/>
      <c r="R143" s="30"/>
      <c r="S143" s="27"/>
      <c r="T143" s="30"/>
      <c r="U143" s="34"/>
      <c r="V143" s="34"/>
      <c r="X143" s="8"/>
      <c r="Y143" s="2"/>
      <c r="Z143" s="26"/>
      <c r="AA143" s="26"/>
      <c r="AB143" s="26"/>
      <c r="AC143" s="26"/>
      <c r="AD143" s="27"/>
      <c r="AE143" s="30"/>
      <c r="AF143" s="26"/>
      <c r="AG143" s="26"/>
      <c r="AH143" s="32"/>
      <c r="AJ143" s="8"/>
      <c r="AK143" s="2"/>
      <c r="AL143" s="26"/>
      <c r="AM143" s="26"/>
      <c r="AN143" s="26"/>
      <c r="AO143" s="27"/>
      <c r="AP143" s="30"/>
      <c r="AQ143" s="26"/>
      <c r="AR143" s="26"/>
      <c r="AS143" s="32"/>
      <c r="AT143" s="34"/>
    </row>
    <row r="144" spans="2:46" x14ac:dyDescent="0.3">
      <c r="B144" s="8"/>
      <c r="C144" s="2"/>
      <c r="D144" s="26"/>
      <c r="E144" s="26"/>
      <c r="F144" s="27"/>
      <c r="G144" s="26"/>
      <c r="H144" s="26"/>
      <c r="I144" s="27"/>
      <c r="J144" s="26"/>
      <c r="K144" s="26"/>
      <c r="L144" s="67"/>
      <c r="N144" s="8"/>
      <c r="O144" s="2"/>
      <c r="P144" s="26"/>
      <c r="Q144" s="27"/>
      <c r="R144" s="30"/>
      <c r="S144" s="27"/>
      <c r="T144" s="30"/>
      <c r="U144" s="34"/>
      <c r="V144" s="34"/>
      <c r="X144" s="8"/>
      <c r="Y144" s="2"/>
      <c r="Z144" s="26"/>
      <c r="AA144" s="26"/>
      <c r="AB144" s="26"/>
      <c r="AC144" s="26"/>
      <c r="AD144" s="27"/>
      <c r="AE144" s="30"/>
      <c r="AF144" s="26"/>
      <c r="AG144" s="26"/>
      <c r="AH144" s="32"/>
      <c r="AJ144" s="8"/>
      <c r="AK144" s="2"/>
      <c r="AL144" s="26"/>
      <c r="AM144" s="26"/>
      <c r="AN144" s="26"/>
      <c r="AO144" s="27"/>
      <c r="AP144" s="30"/>
      <c r="AQ144" s="26"/>
      <c r="AR144" s="26"/>
      <c r="AS144" s="32"/>
      <c r="AT144" s="34"/>
    </row>
    <row r="145" spans="2:46" x14ac:dyDescent="0.3">
      <c r="B145" s="8"/>
      <c r="C145" s="2"/>
      <c r="D145" s="26"/>
      <c r="E145" s="26"/>
      <c r="F145" s="27"/>
      <c r="G145" s="26"/>
      <c r="H145" s="26"/>
      <c r="I145" s="27"/>
      <c r="J145" s="26"/>
      <c r="K145" s="26"/>
      <c r="L145" s="67"/>
      <c r="N145" s="8"/>
      <c r="O145" s="2"/>
      <c r="P145" s="26"/>
      <c r="Q145" s="27"/>
      <c r="R145" s="30"/>
      <c r="S145" s="27"/>
      <c r="T145" s="30"/>
      <c r="U145" s="34"/>
      <c r="V145" s="34"/>
      <c r="X145" s="8"/>
      <c r="Y145" s="2"/>
      <c r="Z145" s="26"/>
      <c r="AA145" s="26"/>
      <c r="AB145" s="26"/>
      <c r="AC145" s="26"/>
      <c r="AD145" s="27"/>
      <c r="AE145" s="30"/>
      <c r="AF145" s="26"/>
      <c r="AG145" s="26"/>
      <c r="AH145" s="32"/>
      <c r="AJ145" s="8"/>
      <c r="AK145" s="2"/>
      <c r="AL145" s="26"/>
      <c r="AM145" s="26"/>
      <c r="AN145" s="26"/>
      <c r="AO145" s="27"/>
      <c r="AP145" s="30"/>
      <c r="AQ145" s="26"/>
      <c r="AR145" s="26"/>
      <c r="AS145" s="32"/>
      <c r="AT145" s="34"/>
    </row>
    <row r="146" spans="2:46" x14ac:dyDescent="0.3">
      <c r="B146" s="8"/>
      <c r="C146" s="2"/>
      <c r="D146" s="26"/>
      <c r="E146" s="26"/>
      <c r="F146" s="27"/>
      <c r="G146" s="26"/>
      <c r="H146" s="26"/>
      <c r="I146" s="27"/>
      <c r="J146" s="26"/>
      <c r="K146" s="26"/>
      <c r="L146" s="67"/>
      <c r="N146" s="8"/>
      <c r="O146" s="2"/>
      <c r="P146" s="26"/>
      <c r="Q146" s="27"/>
      <c r="R146" s="30"/>
      <c r="S146" s="27"/>
      <c r="T146" s="30"/>
      <c r="U146" s="34"/>
      <c r="V146" s="34"/>
      <c r="X146" s="8"/>
      <c r="Y146" s="2"/>
      <c r="Z146" s="26"/>
      <c r="AA146" s="26"/>
      <c r="AB146" s="26"/>
      <c r="AC146" s="26"/>
      <c r="AD146" s="27"/>
      <c r="AE146" s="30"/>
      <c r="AF146" s="26"/>
      <c r="AG146" s="26"/>
      <c r="AH146" s="32"/>
      <c r="AJ146" s="8"/>
      <c r="AK146" s="2"/>
      <c r="AL146" s="26"/>
      <c r="AM146" s="26"/>
      <c r="AN146" s="26"/>
      <c r="AO146" s="27"/>
      <c r="AP146" s="30"/>
      <c r="AQ146" s="26"/>
      <c r="AR146" s="26"/>
      <c r="AS146" s="32"/>
      <c r="AT146" s="34"/>
    </row>
    <row r="147" spans="2:46" x14ac:dyDescent="0.3">
      <c r="B147" s="8"/>
      <c r="C147" s="2"/>
      <c r="D147" s="26"/>
      <c r="E147" s="26"/>
      <c r="F147" s="27"/>
      <c r="G147" s="26"/>
      <c r="H147" s="26"/>
      <c r="I147" s="27"/>
      <c r="J147" s="26"/>
      <c r="K147" s="26"/>
      <c r="L147" s="67"/>
      <c r="N147" s="8"/>
      <c r="O147" s="2"/>
      <c r="P147" s="26"/>
      <c r="Q147" s="27"/>
      <c r="R147" s="30"/>
      <c r="S147" s="27"/>
      <c r="T147" s="30"/>
      <c r="U147" s="34"/>
      <c r="V147" s="34"/>
      <c r="X147" s="8"/>
      <c r="Y147" s="2"/>
      <c r="Z147" s="26"/>
      <c r="AA147" s="26"/>
      <c r="AB147" s="26"/>
      <c r="AC147" s="26"/>
      <c r="AD147" s="27"/>
      <c r="AE147" s="30"/>
      <c r="AF147" s="26"/>
      <c r="AG147" s="26"/>
      <c r="AH147" s="32"/>
      <c r="AJ147" s="8"/>
      <c r="AK147" s="2"/>
      <c r="AL147" s="26"/>
      <c r="AM147" s="26"/>
      <c r="AN147" s="26"/>
      <c r="AO147" s="27"/>
      <c r="AP147" s="30"/>
      <c r="AQ147" s="26"/>
      <c r="AR147" s="26"/>
      <c r="AS147" s="32"/>
      <c r="AT147" s="34"/>
    </row>
    <row r="148" spans="2:46" x14ac:dyDescent="0.3">
      <c r="B148" s="8"/>
      <c r="C148" s="2"/>
      <c r="D148" s="26"/>
      <c r="E148" s="26"/>
      <c r="F148" s="27"/>
      <c r="G148" s="26"/>
      <c r="H148" s="26"/>
      <c r="I148" s="27"/>
      <c r="J148" s="26"/>
      <c r="K148" s="26"/>
      <c r="L148" s="67"/>
      <c r="N148" s="8"/>
      <c r="O148" s="2"/>
      <c r="P148" s="26"/>
      <c r="Q148" s="27"/>
      <c r="R148" s="30"/>
      <c r="S148" s="27"/>
      <c r="T148" s="30"/>
      <c r="U148" s="34"/>
      <c r="V148" s="34"/>
      <c r="X148" s="8"/>
      <c r="Y148" s="2"/>
      <c r="Z148" s="26"/>
      <c r="AA148" s="26"/>
      <c r="AB148" s="26"/>
      <c r="AC148" s="26"/>
      <c r="AD148" s="27"/>
      <c r="AE148" s="30"/>
      <c r="AF148" s="26"/>
      <c r="AG148" s="26"/>
      <c r="AH148" s="32"/>
      <c r="AJ148" s="8"/>
      <c r="AK148" s="2"/>
      <c r="AL148" s="26"/>
      <c r="AM148" s="26"/>
      <c r="AN148" s="26"/>
      <c r="AO148" s="27"/>
      <c r="AP148" s="30"/>
      <c r="AQ148" s="26"/>
      <c r="AR148" s="26"/>
      <c r="AS148" s="32"/>
      <c r="AT148" s="34"/>
    </row>
    <row r="149" spans="2:46" x14ac:dyDescent="0.3">
      <c r="B149" s="8"/>
      <c r="C149" s="2"/>
      <c r="D149" s="26"/>
      <c r="E149" s="26"/>
      <c r="F149" s="27"/>
      <c r="G149" s="26"/>
      <c r="H149" s="26"/>
      <c r="I149" s="27"/>
      <c r="J149" s="26"/>
      <c r="K149" s="26"/>
      <c r="L149" s="67"/>
      <c r="N149" s="8"/>
      <c r="O149" s="2"/>
      <c r="P149" s="26"/>
      <c r="Q149" s="27"/>
      <c r="R149" s="30"/>
      <c r="S149" s="27"/>
      <c r="T149" s="30"/>
      <c r="U149" s="34"/>
      <c r="V149" s="34"/>
      <c r="X149" s="8"/>
      <c r="Y149" s="2"/>
      <c r="Z149" s="26"/>
      <c r="AA149" s="26"/>
      <c r="AB149" s="26"/>
      <c r="AC149" s="26"/>
      <c r="AD149" s="27"/>
      <c r="AE149" s="30"/>
      <c r="AF149" s="26"/>
      <c r="AG149" s="26"/>
      <c r="AH149" s="32"/>
      <c r="AJ149" s="8"/>
      <c r="AK149" s="2"/>
      <c r="AL149" s="26"/>
      <c r="AM149" s="26"/>
      <c r="AN149" s="26"/>
      <c r="AO149" s="27"/>
      <c r="AP149" s="30"/>
      <c r="AQ149" s="26"/>
      <c r="AR149" s="26"/>
      <c r="AS149" s="32"/>
      <c r="AT149" s="34"/>
    </row>
    <row r="150" spans="2:46" x14ac:dyDescent="0.3">
      <c r="B150" s="8"/>
      <c r="C150" s="2"/>
      <c r="D150" s="26"/>
      <c r="E150" s="26"/>
      <c r="F150" s="27"/>
      <c r="G150" s="26"/>
      <c r="H150" s="26"/>
      <c r="I150" s="27"/>
      <c r="J150" s="26"/>
      <c r="K150" s="26"/>
      <c r="L150" s="67"/>
      <c r="N150" s="8"/>
      <c r="O150" s="2"/>
      <c r="P150" s="26"/>
      <c r="Q150" s="27"/>
      <c r="R150" s="30"/>
      <c r="S150" s="27"/>
      <c r="T150" s="30"/>
      <c r="U150" s="34"/>
      <c r="V150" s="34"/>
      <c r="X150" s="8"/>
      <c r="Y150" s="2"/>
      <c r="Z150" s="26"/>
      <c r="AA150" s="26"/>
      <c r="AB150" s="26"/>
      <c r="AC150" s="26"/>
      <c r="AD150" s="27"/>
      <c r="AE150" s="30"/>
      <c r="AF150" s="26"/>
      <c r="AG150" s="26"/>
      <c r="AH150" s="32"/>
      <c r="AJ150" s="8"/>
      <c r="AK150" s="2"/>
      <c r="AL150" s="26"/>
      <c r="AM150" s="26"/>
      <c r="AN150" s="26"/>
      <c r="AO150" s="27"/>
      <c r="AP150" s="30"/>
      <c r="AQ150" s="26"/>
      <c r="AR150" s="26"/>
      <c r="AS150" s="32"/>
      <c r="AT150" s="34"/>
    </row>
    <row r="151" spans="2:46" x14ac:dyDescent="0.3">
      <c r="B151" s="8"/>
      <c r="C151" s="2"/>
      <c r="D151" s="26"/>
      <c r="E151" s="26"/>
      <c r="F151" s="27"/>
      <c r="G151" s="26"/>
      <c r="H151" s="26"/>
      <c r="I151" s="27"/>
      <c r="J151" s="26"/>
      <c r="K151" s="26"/>
      <c r="L151" s="67"/>
      <c r="N151" s="8"/>
      <c r="O151" s="2"/>
      <c r="P151" s="26"/>
      <c r="Q151" s="27"/>
      <c r="R151" s="30"/>
      <c r="S151" s="27"/>
      <c r="T151" s="30"/>
      <c r="U151" s="34"/>
      <c r="V151" s="34"/>
      <c r="X151" s="8"/>
      <c r="Y151" s="2"/>
      <c r="Z151" s="26"/>
      <c r="AA151" s="26"/>
      <c r="AB151" s="26"/>
      <c r="AC151" s="26"/>
      <c r="AD151" s="27"/>
      <c r="AE151" s="30"/>
      <c r="AF151" s="26"/>
      <c r="AG151" s="26"/>
      <c r="AH151" s="32"/>
      <c r="AJ151" s="8"/>
      <c r="AK151" s="2"/>
      <c r="AL151" s="26"/>
      <c r="AM151" s="26"/>
      <c r="AN151" s="26"/>
      <c r="AO151" s="27"/>
      <c r="AP151" s="30"/>
      <c r="AQ151" s="26"/>
      <c r="AR151" s="26"/>
      <c r="AS151" s="32"/>
      <c r="AT151" s="34"/>
    </row>
    <row r="152" spans="2:46" x14ac:dyDescent="0.3">
      <c r="B152" s="8"/>
      <c r="C152" s="2"/>
      <c r="D152" s="26"/>
      <c r="E152" s="26"/>
      <c r="F152" s="27"/>
      <c r="G152" s="26"/>
      <c r="H152" s="26"/>
      <c r="I152" s="27"/>
      <c r="J152" s="26"/>
      <c r="K152" s="26"/>
      <c r="L152" s="67"/>
      <c r="N152" s="8"/>
      <c r="O152" s="2"/>
      <c r="P152" s="26"/>
      <c r="Q152" s="27"/>
      <c r="R152" s="30"/>
      <c r="S152" s="27"/>
      <c r="T152" s="30"/>
      <c r="U152" s="34"/>
      <c r="V152" s="34"/>
      <c r="X152" s="8"/>
      <c r="Y152" s="2"/>
      <c r="Z152" s="26"/>
      <c r="AA152" s="26"/>
      <c r="AB152" s="26"/>
      <c r="AC152" s="26"/>
      <c r="AD152" s="27"/>
      <c r="AE152" s="30"/>
      <c r="AF152" s="26"/>
      <c r="AG152" s="26"/>
      <c r="AH152" s="32"/>
      <c r="AJ152" s="8"/>
      <c r="AK152" s="2"/>
      <c r="AL152" s="26"/>
      <c r="AM152" s="26"/>
      <c r="AN152" s="26"/>
      <c r="AO152" s="27"/>
      <c r="AP152" s="30"/>
      <c r="AQ152" s="26"/>
      <c r="AR152" s="26"/>
      <c r="AS152" s="32"/>
      <c r="AT152" s="34"/>
    </row>
    <row r="153" spans="2:46" x14ac:dyDescent="0.3">
      <c r="B153" s="8"/>
      <c r="C153" s="2"/>
      <c r="D153" s="26"/>
      <c r="E153" s="26"/>
      <c r="F153" s="27"/>
      <c r="G153" s="26"/>
      <c r="H153" s="26"/>
      <c r="I153" s="27"/>
      <c r="J153" s="26"/>
      <c r="K153" s="26"/>
      <c r="L153" s="67"/>
      <c r="N153" s="8"/>
      <c r="O153" s="2"/>
      <c r="P153" s="26"/>
      <c r="Q153" s="27"/>
      <c r="R153" s="30"/>
      <c r="S153" s="27"/>
      <c r="T153" s="30"/>
      <c r="U153" s="34"/>
      <c r="V153" s="34"/>
      <c r="X153" s="8"/>
      <c r="Y153" s="2"/>
      <c r="Z153" s="26"/>
      <c r="AA153" s="26"/>
      <c r="AB153" s="26"/>
      <c r="AC153" s="26"/>
      <c r="AD153" s="27"/>
      <c r="AE153" s="30"/>
      <c r="AF153" s="26"/>
      <c r="AG153" s="26"/>
      <c r="AH153" s="32"/>
      <c r="AJ153" s="8"/>
      <c r="AK153" s="2"/>
      <c r="AL153" s="26"/>
      <c r="AM153" s="26"/>
      <c r="AN153" s="26"/>
      <c r="AO153" s="27"/>
      <c r="AP153" s="30"/>
      <c r="AQ153" s="26"/>
      <c r="AR153" s="26"/>
      <c r="AS153" s="32"/>
      <c r="AT153" s="34"/>
    </row>
    <row r="154" spans="2:46" x14ac:dyDescent="0.3">
      <c r="B154" s="8"/>
      <c r="C154" s="2"/>
      <c r="D154" s="26"/>
      <c r="E154" s="26"/>
      <c r="F154" s="27"/>
      <c r="G154" s="26"/>
      <c r="H154" s="26"/>
      <c r="I154" s="27"/>
      <c r="J154" s="26"/>
      <c r="K154" s="26"/>
      <c r="L154" s="67"/>
      <c r="N154" s="8"/>
      <c r="O154" s="2"/>
      <c r="P154" s="26"/>
      <c r="Q154" s="27"/>
      <c r="R154" s="30"/>
      <c r="S154" s="27"/>
      <c r="T154" s="30"/>
      <c r="U154" s="34"/>
      <c r="V154" s="34"/>
      <c r="X154" s="8"/>
      <c r="Y154" s="2"/>
      <c r="Z154" s="26"/>
      <c r="AA154" s="26"/>
      <c r="AB154" s="26"/>
      <c r="AC154" s="26"/>
      <c r="AD154" s="27"/>
      <c r="AE154" s="30"/>
      <c r="AF154" s="26"/>
      <c r="AG154" s="26"/>
      <c r="AH154" s="32"/>
      <c r="AJ154" s="8"/>
      <c r="AK154" s="2"/>
      <c r="AL154" s="26"/>
      <c r="AM154" s="26"/>
      <c r="AN154" s="26"/>
      <c r="AO154" s="27"/>
      <c r="AP154" s="30"/>
      <c r="AQ154" s="26"/>
      <c r="AR154" s="26"/>
      <c r="AS154" s="32"/>
      <c r="AT154" s="34"/>
    </row>
    <row r="155" spans="2:46" x14ac:dyDescent="0.3">
      <c r="B155" s="8"/>
      <c r="C155" s="2"/>
      <c r="D155" s="26"/>
      <c r="E155" s="26"/>
      <c r="F155" s="27"/>
      <c r="G155" s="26"/>
      <c r="H155" s="26"/>
      <c r="I155" s="27"/>
      <c r="J155" s="26"/>
      <c r="K155" s="26"/>
      <c r="L155" s="67"/>
      <c r="N155" s="8"/>
      <c r="O155" s="2"/>
      <c r="P155" s="26"/>
      <c r="Q155" s="27"/>
      <c r="R155" s="30"/>
      <c r="S155" s="27"/>
      <c r="T155" s="30"/>
      <c r="U155" s="34"/>
      <c r="V155" s="34"/>
      <c r="X155" s="8"/>
      <c r="Y155" s="2"/>
      <c r="Z155" s="26"/>
      <c r="AA155" s="26"/>
      <c r="AB155" s="26"/>
      <c r="AC155" s="26"/>
      <c r="AD155" s="27"/>
      <c r="AE155" s="30"/>
      <c r="AF155" s="26"/>
      <c r="AG155" s="26"/>
      <c r="AH155" s="32"/>
      <c r="AJ155" s="8"/>
      <c r="AK155" s="2"/>
      <c r="AL155" s="26"/>
      <c r="AM155" s="26"/>
      <c r="AN155" s="26"/>
      <c r="AO155" s="27"/>
      <c r="AP155" s="30"/>
      <c r="AQ155" s="26"/>
      <c r="AR155" s="26"/>
      <c r="AS155" s="32"/>
      <c r="AT155" s="34"/>
    </row>
    <row r="156" spans="2:46" x14ac:dyDescent="0.3">
      <c r="B156" s="8"/>
      <c r="C156" s="2"/>
      <c r="D156" s="26"/>
      <c r="E156" s="26"/>
      <c r="F156" s="27"/>
      <c r="G156" s="26"/>
      <c r="H156" s="26"/>
      <c r="I156" s="27"/>
      <c r="J156" s="26"/>
      <c r="K156" s="26"/>
      <c r="L156" s="67"/>
      <c r="N156" s="8"/>
      <c r="O156" s="2"/>
      <c r="P156" s="26"/>
      <c r="Q156" s="27"/>
      <c r="R156" s="30"/>
      <c r="S156" s="27"/>
      <c r="T156" s="30"/>
      <c r="U156" s="34"/>
      <c r="V156" s="34"/>
      <c r="X156" s="8"/>
      <c r="Y156" s="2"/>
      <c r="Z156" s="26"/>
      <c r="AA156" s="26"/>
      <c r="AB156" s="26"/>
      <c r="AC156" s="26"/>
      <c r="AD156" s="27"/>
      <c r="AE156" s="30"/>
      <c r="AF156" s="26"/>
      <c r="AG156" s="26"/>
      <c r="AH156" s="32"/>
      <c r="AJ156" s="8"/>
      <c r="AK156" s="2"/>
      <c r="AL156" s="26"/>
      <c r="AM156" s="26"/>
      <c r="AN156" s="26"/>
      <c r="AO156" s="27"/>
      <c r="AP156" s="30"/>
      <c r="AQ156" s="26"/>
      <c r="AR156" s="26"/>
      <c r="AS156" s="32"/>
      <c r="AT156" s="34"/>
    </row>
    <row r="157" spans="2:46" x14ac:dyDescent="0.3">
      <c r="B157" s="8"/>
      <c r="C157" s="2"/>
      <c r="D157" s="26"/>
      <c r="E157" s="26"/>
      <c r="F157" s="27"/>
      <c r="G157" s="26"/>
      <c r="H157" s="26"/>
      <c r="I157" s="27"/>
      <c r="J157" s="26"/>
      <c r="K157" s="26"/>
      <c r="L157" s="67"/>
      <c r="N157" s="8"/>
      <c r="O157" s="2"/>
      <c r="P157" s="26"/>
      <c r="Q157" s="27"/>
      <c r="R157" s="30"/>
      <c r="S157" s="27"/>
      <c r="T157" s="30"/>
      <c r="U157" s="34"/>
      <c r="V157" s="34"/>
      <c r="X157" s="8"/>
      <c r="Y157" s="2"/>
      <c r="Z157" s="26"/>
      <c r="AA157" s="26"/>
      <c r="AB157" s="26"/>
      <c r="AC157" s="26"/>
      <c r="AD157" s="27"/>
      <c r="AE157" s="30"/>
      <c r="AF157" s="26"/>
      <c r="AG157" s="26"/>
      <c r="AH157" s="32"/>
      <c r="AJ157" s="8"/>
      <c r="AK157" s="2"/>
      <c r="AL157" s="26"/>
      <c r="AM157" s="26"/>
      <c r="AN157" s="26"/>
      <c r="AO157" s="27"/>
      <c r="AP157" s="30"/>
      <c r="AQ157" s="26"/>
      <c r="AR157" s="26"/>
      <c r="AS157" s="32"/>
      <c r="AT157" s="34"/>
    </row>
    <row r="158" spans="2:46" x14ac:dyDescent="0.3">
      <c r="B158" s="8"/>
      <c r="C158" s="2"/>
      <c r="D158" s="26"/>
      <c r="E158" s="26"/>
      <c r="F158" s="27"/>
      <c r="G158" s="26"/>
      <c r="H158" s="26"/>
      <c r="I158" s="27"/>
      <c r="J158" s="26"/>
      <c r="K158" s="26"/>
      <c r="L158" s="67"/>
      <c r="N158" s="8"/>
      <c r="O158" s="2"/>
      <c r="P158" s="26"/>
      <c r="Q158" s="27"/>
      <c r="R158" s="30"/>
      <c r="S158" s="27"/>
      <c r="T158" s="30"/>
      <c r="U158" s="34"/>
      <c r="V158" s="34"/>
      <c r="X158" s="8"/>
      <c r="Y158" s="2"/>
      <c r="Z158" s="26"/>
      <c r="AA158" s="26"/>
      <c r="AB158" s="26"/>
      <c r="AC158" s="26"/>
      <c r="AD158" s="27"/>
      <c r="AE158" s="30"/>
      <c r="AF158" s="26"/>
      <c r="AG158" s="26"/>
      <c r="AH158" s="32"/>
      <c r="AJ158" s="8"/>
      <c r="AK158" s="2"/>
      <c r="AL158" s="26"/>
      <c r="AM158" s="26"/>
      <c r="AN158" s="26"/>
      <c r="AO158" s="27"/>
      <c r="AP158" s="30"/>
      <c r="AQ158" s="26"/>
      <c r="AR158" s="26"/>
      <c r="AS158" s="32"/>
      <c r="AT158" s="34"/>
    </row>
    <row r="159" spans="2:46" x14ac:dyDescent="0.3">
      <c r="B159" s="8"/>
      <c r="C159" s="2"/>
      <c r="D159" s="26"/>
      <c r="E159" s="26"/>
      <c r="F159" s="27"/>
      <c r="G159" s="26"/>
      <c r="H159" s="26"/>
      <c r="I159" s="27"/>
      <c r="J159" s="26"/>
      <c r="K159" s="26"/>
      <c r="L159" s="67"/>
      <c r="N159" s="8"/>
      <c r="O159" s="2"/>
      <c r="P159" s="26"/>
      <c r="Q159" s="27"/>
      <c r="R159" s="30"/>
      <c r="S159" s="27"/>
      <c r="T159" s="30"/>
      <c r="U159" s="34"/>
      <c r="V159" s="34"/>
      <c r="X159" s="8"/>
      <c r="Y159" s="2"/>
      <c r="Z159" s="26"/>
      <c r="AA159" s="26"/>
      <c r="AB159" s="26"/>
      <c r="AC159" s="26"/>
      <c r="AD159" s="27"/>
      <c r="AE159" s="30"/>
      <c r="AF159" s="26"/>
      <c r="AG159" s="26"/>
      <c r="AH159" s="32"/>
      <c r="AJ159" s="8"/>
      <c r="AK159" s="2"/>
      <c r="AL159" s="26"/>
      <c r="AM159" s="26"/>
      <c r="AN159" s="26"/>
      <c r="AO159" s="27"/>
      <c r="AP159" s="30"/>
      <c r="AQ159" s="26"/>
      <c r="AR159" s="26"/>
      <c r="AS159" s="32"/>
      <c r="AT159" s="34"/>
    </row>
    <row r="160" spans="2:46" x14ac:dyDescent="0.3">
      <c r="B160" s="8"/>
      <c r="C160" s="2"/>
      <c r="D160" s="26"/>
      <c r="E160" s="26"/>
      <c r="F160" s="27"/>
      <c r="G160" s="26"/>
      <c r="H160" s="26"/>
      <c r="I160" s="27"/>
      <c r="J160" s="26"/>
      <c r="K160" s="26"/>
      <c r="L160" s="67"/>
      <c r="N160" s="8"/>
      <c r="O160" s="2"/>
      <c r="P160" s="26"/>
      <c r="Q160" s="27"/>
      <c r="R160" s="30"/>
      <c r="S160" s="27"/>
      <c r="T160" s="30"/>
      <c r="U160" s="34"/>
      <c r="V160" s="34"/>
      <c r="X160" s="8"/>
      <c r="Y160" s="2"/>
      <c r="Z160" s="26"/>
      <c r="AA160" s="26"/>
      <c r="AB160" s="26"/>
      <c r="AC160" s="26"/>
      <c r="AD160" s="27"/>
      <c r="AE160" s="30"/>
      <c r="AF160" s="26"/>
      <c r="AG160" s="26"/>
      <c r="AH160" s="32"/>
      <c r="AJ160" s="8"/>
      <c r="AK160" s="2"/>
      <c r="AL160" s="26"/>
      <c r="AM160" s="26"/>
      <c r="AN160" s="26"/>
      <c r="AO160" s="27"/>
      <c r="AP160" s="30"/>
      <c r="AQ160" s="26"/>
      <c r="AR160" s="26"/>
      <c r="AS160" s="32"/>
      <c r="AT160" s="34"/>
    </row>
    <row r="161" spans="2:46" x14ac:dyDescent="0.3">
      <c r="B161" s="8"/>
      <c r="C161" s="2"/>
      <c r="D161" s="26"/>
      <c r="E161" s="26"/>
      <c r="F161" s="27"/>
      <c r="G161" s="26"/>
      <c r="H161" s="26"/>
      <c r="I161" s="27"/>
      <c r="J161" s="26"/>
      <c r="K161" s="26"/>
      <c r="L161" s="67"/>
      <c r="N161" s="8"/>
      <c r="O161" s="2"/>
      <c r="P161" s="26"/>
      <c r="Q161" s="27"/>
      <c r="R161" s="30"/>
      <c r="S161" s="27"/>
      <c r="T161" s="30"/>
      <c r="U161" s="34"/>
      <c r="V161" s="34"/>
      <c r="X161" s="8"/>
      <c r="Y161" s="2"/>
      <c r="Z161" s="26"/>
      <c r="AA161" s="26"/>
      <c r="AB161" s="26"/>
      <c r="AC161" s="26"/>
      <c r="AD161" s="27"/>
      <c r="AE161" s="30"/>
      <c r="AF161" s="26"/>
      <c r="AG161" s="26"/>
      <c r="AH161" s="32"/>
      <c r="AJ161" s="8"/>
      <c r="AK161" s="2"/>
      <c r="AL161" s="26"/>
      <c r="AM161" s="26"/>
      <c r="AN161" s="26"/>
      <c r="AO161" s="27"/>
      <c r="AP161" s="30"/>
      <c r="AQ161" s="26"/>
      <c r="AR161" s="26"/>
      <c r="AS161" s="32"/>
      <c r="AT161" s="34"/>
    </row>
    <row r="162" spans="2:46" x14ac:dyDescent="0.3">
      <c r="B162" s="8"/>
      <c r="C162" s="2"/>
      <c r="D162" s="26"/>
      <c r="E162" s="26"/>
      <c r="F162" s="27"/>
      <c r="G162" s="26"/>
      <c r="H162" s="26"/>
      <c r="I162" s="27"/>
      <c r="J162" s="26"/>
      <c r="K162" s="26"/>
      <c r="L162" s="67"/>
      <c r="N162" s="8"/>
      <c r="O162" s="2"/>
      <c r="P162" s="26"/>
      <c r="Q162" s="27"/>
      <c r="R162" s="30"/>
      <c r="S162" s="27"/>
      <c r="T162" s="30"/>
      <c r="U162" s="34"/>
      <c r="V162" s="34"/>
      <c r="X162" s="8"/>
      <c r="Y162" s="2"/>
      <c r="Z162" s="26"/>
      <c r="AA162" s="26"/>
      <c r="AB162" s="26"/>
      <c r="AC162" s="26"/>
      <c r="AD162" s="27"/>
      <c r="AE162" s="30"/>
      <c r="AF162" s="26"/>
      <c r="AG162" s="26"/>
      <c r="AH162" s="32"/>
      <c r="AJ162" s="8"/>
      <c r="AK162" s="2"/>
      <c r="AL162" s="26"/>
      <c r="AM162" s="26"/>
      <c r="AN162" s="26"/>
      <c r="AO162" s="27"/>
      <c r="AP162" s="30"/>
      <c r="AQ162" s="26"/>
      <c r="AR162" s="26"/>
      <c r="AS162" s="32"/>
      <c r="AT162" s="34"/>
    </row>
    <row r="163" spans="2:46" x14ac:dyDescent="0.3">
      <c r="B163" s="8"/>
      <c r="C163" s="2"/>
      <c r="D163" s="26"/>
      <c r="E163" s="26"/>
      <c r="F163" s="27"/>
      <c r="G163" s="26"/>
      <c r="H163" s="26"/>
      <c r="I163" s="27"/>
      <c r="J163" s="26"/>
      <c r="K163" s="26"/>
      <c r="L163" s="67"/>
      <c r="N163" s="8"/>
      <c r="O163" s="2"/>
      <c r="P163" s="26"/>
      <c r="Q163" s="27"/>
      <c r="R163" s="30"/>
      <c r="S163" s="27"/>
      <c r="T163" s="30"/>
      <c r="U163" s="34"/>
      <c r="V163" s="34"/>
      <c r="X163" s="8"/>
      <c r="Y163" s="2"/>
      <c r="Z163" s="26"/>
      <c r="AA163" s="26"/>
      <c r="AB163" s="26"/>
      <c r="AC163" s="26"/>
      <c r="AD163" s="27"/>
      <c r="AE163" s="30"/>
      <c r="AF163" s="26"/>
      <c r="AG163" s="26"/>
      <c r="AH163" s="32"/>
      <c r="AJ163" s="8"/>
      <c r="AK163" s="2"/>
      <c r="AL163" s="26"/>
      <c r="AM163" s="26"/>
      <c r="AN163" s="26"/>
      <c r="AO163" s="27"/>
      <c r="AP163" s="30"/>
      <c r="AQ163" s="26"/>
      <c r="AR163" s="26"/>
      <c r="AS163" s="32"/>
      <c r="AT163" s="34"/>
    </row>
    <row r="164" spans="2:46" x14ac:dyDescent="0.3">
      <c r="B164" s="8"/>
      <c r="C164" s="2"/>
      <c r="D164" s="26"/>
      <c r="E164" s="26"/>
      <c r="F164" s="27"/>
      <c r="G164" s="26"/>
      <c r="H164" s="26"/>
      <c r="I164" s="27"/>
      <c r="J164" s="26"/>
      <c r="K164" s="26"/>
      <c r="L164" s="67"/>
      <c r="N164" s="8"/>
      <c r="O164" s="2"/>
      <c r="P164" s="26"/>
      <c r="Q164" s="27"/>
      <c r="R164" s="30"/>
      <c r="S164" s="27"/>
      <c r="T164" s="30"/>
      <c r="U164" s="34"/>
      <c r="V164" s="34"/>
      <c r="X164" s="8"/>
      <c r="Y164" s="2"/>
      <c r="Z164" s="26"/>
      <c r="AA164" s="26"/>
      <c r="AB164" s="26"/>
      <c r="AC164" s="26"/>
      <c r="AD164" s="27"/>
      <c r="AE164" s="30"/>
      <c r="AF164" s="26"/>
      <c r="AG164" s="26"/>
      <c r="AH164" s="32"/>
      <c r="AJ164" s="8"/>
      <c r="AK164" s="2"/>
      <c r="AL164" s="26"/>
      <c r="AM164" s="26"/>
      <c r="AN164" s="26"/>
      <c r="AO164" s="27"/>
      <c r="AP164" s="30"/>
      <c r="AQ164" s="26"/>
      <c r="AR164" s="26"/>
      <c r="AS164" s="32"/>
      <c r="AT164" s="34"/>
    </row>
    <row r="165" spans="2:46" x14ac:dyDescent="0.3">
      <c r="B165" s="8"/>
      <c r="C165" s="2"/>
      <c r="D165" s="26"/>
      <c r="E165" s="26"/>
      <c r="F165" s="27"/>
      <c r="G165" s="26"/>
      <c r="H165" s="26"/>
      <c r="I165" s="27"/>
      <c r="J165" s="26"/>
      <c r="K165" s="26"/>
      <c r="L165" s="67"/>
      <c r="N165" s="8"/>
      <c r="O165" s="2"/>
      <c r="P165" s="26"/>
      <c r="Q165" s="27"/>
      <c r="R165" s="30"/>
      <c r="S165" s="27"/>
      <c r="T165" s="30"/>
      <c r="U165" s="34"/>
      <c r="V165" s="34"/>
      <c r="X165" s="8"/>
      <c r="Y165" s="2"/>
      <c r="Z165" s="26"/>
      <c r="AA165" s="26"/>
      <c r="AB165" s="26"/>
      <c r="AC165" s="26"/>
      <c r="AD165" s="27"/>
      <c r="AE165" s="30"/>
      <c r="AF165" s="26"/>
      <c r="AG165" s="26"/>
      <c r="AH165" s="32"/>
      <c r="AJ165" s="8"/>
      <c r="AK165" s="2"/>
      <c r="AL165" s="26"/>
      <c r="AM165" s="26"/>
      <c r="AN165" s="26"/>
      <c r="AO165" s="27"/>
      <c r="AP165" s="30"/>
      <c r="AQ165" s="26"/>
      <c r="AR165" s="26"/>
      <c r="AS165" s="32"/>
      <c r="AT165" s="34"/>
    </row>
    <row r="166" spans="2:46" x14ac:dyDescent="0.3">
      <c r="B166" s="8"/>
      <c r="C166" s="2"/>
      <c r="D166" s="26"/>
      <c r="E166" s="26"/>
      <c r="F166" s="28"/>
      <c r="G166" s="29"/>
      <c r="H166" s="29"/>
      <c r="I166" s="28"/>
      <c r="J166" s="29"/>
      <c r="K166" s="29"/>
      <c r="L166" s="68"/>
      <c r="N166" s="8"/>
      <c r="O166" s="2"/>
      <c r="P166" s="26"/>
      <c r="Q166" s="28"/>
      <c r="R166" s="31"/>
      <c r="S166" s="28"/>
      <c r="T166" s="31"/>
      <c r="U166" s="34"/>
      <c r="V166" s="34"/>
      <c r="X166" s="8"/>
      <c r="Y166" s="2"/>
      <c r="Z166" s="26"/>
      <c r="AA166" s="26"/>
      <c r="AB166" s="26"/>
      <c r="AC166" s="26"/>
      <c r="AD166" s="28"/>
      <c r="AE166" s="31"/>
      <c r="AF166" s="26"/>
      <c r="AG166" s="26"/>
      <c r="AH166" s="33"/>
      <c r="AJ166" s="8"/>
      <c r="AK166" s="2"/>
      <c r="AL166" s="26"/>
      <c r="AM166" s="26"/>
      <c r="AN166" s="26"/>
      <c r="AO166" s="28"/>
      <c r="AP166" s="31"/>
      <c r="AQ166" s="26"/>
      <c r="AR166" s="26"/>
      <c r="AS166" s="32"/>
      <c r="AT166" s="34"/>
    </row>
    <row r="167" spans="2:46" x14ac:dyDescent="0.3">
      <c r="B167" s="22"/>
      <c r="C167" s="22"/>
      <c r="D167" s="22"/>
      <c r="E167" s="22"/>
      <c r="F167" s="22"/>
      <c r="G167" s="22"/>
      <c r="H167" s="22"/>
      <c r="I167" s="22"/>
      <c r="J167" s="22"/>
      <c r="K167" s="22"/>
      <c r="L167" s="22"/>
      <c r="N167" s="22"/>
      <c r="O167" s="22"/>
      <c r="P167" s="22"/>
      <c r="Q167" s="22"/>
      <c r="R167" s="22"/>
      <c r="S167" s="22"/>
      <c r="T167" s="22"/>
      <c r="U167" s="22"/>
      <c r="V167" s="22"/>
      <c r="X167" s="22"/>
      <c r="Y167" s="22"/>
      <c r="Z167" s="22"/>
      <c r="AA167" s="22"/>
      <c r="AB167" s="22"/>
      <c r="AC167" s="22"/>
      <c r="AD167" s="22"/>
      <c r="AE167" s="22"/>
      <c r="AF167" s="22"/>
      <c r="AG167" s="22"/>
      <c r="AH167" s="22"/>
      <c r="AJ167" s="22"/>
      <c r="AK167" s="22"/>
      <c r="AL167" s="22"/>
      <c r="AM167" s="22"/>
      <c r="AN167" s="22"/>
      <c r="AO167" s="22"/>
      <c r="AP167" s="22"/>
      <c r="AQ167" s="22"/>
      <c r="AR167" s="22"/>
      <c r="AS167" s="22"/>
      <c r="AT167" s="22"/>
    </row>
  </sheetData>
  <mergeCells count="11">
    <mergeCell ref="AF4:AG4"/>
    <mergeCell ref="AO4:AP4"/>
    <mergeCell ref="AQ4:AR4"/>
    <mergeCell ref="AS4:AT4"/>
    <mergeCell ref="D4:E4"/>
    <mergeCell ref="F4:H4"/>
    <mergeCell ref="I4:K4"/>
    <mergeCell ref="Q4:R4"/>
    <mergeCell ref="AD4:AE4"/>
    <mergeCell ref="S4:T4"/>
    <mergeCell ref="U4:V4"/>
  </mergeCells>
  <conditionalFormatting sqref="D13:K13 P13:R13 Z13:AG13 AL13:AR13">
    <cfRule type="cellIs" dxfId="153" priority="11" operator="greaterThan">
      <formula>1</formula>
    </cfRule>
  </conditionalFormatting>
  <conditionalFormatting sqref="D17:K166 Z17:AG166 AL17:AR166">
    <cfRule type="cellIs" dxfId="152" priority="12" operator="lessThan">
      <formula>0</formula>
    </cfRule>
    <cfRule type="cellIs" dxfId="151" priority="13" operator="greaterThan">
      <formula>0</formula>
    </cfRule>
  </conditionalFormatting>
  <conditionalFormatting sqref="U17:V166">
    <cfRule type="cellIs" dxfId="150" priority="9" operator="greaterThan">
      <formula>1</formula>
    </cfRule>
  </conditionalFormatting>
  <conditionalFormatting sqref="AH17:AH166">
    <cfRule type="cellIs" dxfId="149" priority="8" operator="greaterThan">
      <formula>1</formula>
    </cfRule>
  </conditionalFormatting>
  <conditionalFormatting sqref="AS17:AT166">
    <cfRule type="cellIs" dxfId="148" priority="6" operator="greaterThan">
      <formula>1</formula>
    </cfRule>
  </conditionalFormatting>
  <conditionalFormatting sqref="BA7:BA24 P17:T166">
    <cfRule type="cellIs" dxfId="145" priority="3" operator="lessThan">
      <formula>0</formula>
    </cfRule>
    <cfRule type="cellIs" dxfId="144" priority="4" operator="greaterThan">
      <formula>0</formula>
    </cfRule>
  </conditionalFormatting>
  <conditionalFormatting sqref="BB7:BB24 L17:L166">
    <cfRule type="cellIs" dxfId="143" priority="5" operator="greaterThan">
      <formula>1</formula>
    </cfRule>
  </conditionalFormatting>
  <dataValidations count="4">
    <dataValidation type="whole" errorStyle="information" allowBlank="1" showInputMessage="1" showErrorMessage="1" errorTitle="Must select 1 or 2" error="1 = Included in closure_x000a_2 = Excluded" sqref="V17:V166 AH17:AH166 L17:L166 AS17:AT166" xr:uid="{0E95171A-81C1-46A0-848D-DB7EF693A044}">
      <formula1>1</formula1>
      <formula2>2</formula2>
    </dataValidation>
    <dataValidation type="whole" errorStyle="information" allowBlank="1" showInputMessage="1" showErrorMessage="1" errorTitle="Must select 1 or 2" error="1 = Included in shock_x000a_2 = Excluded" sqref="U17:U166" xr:uid="{0B4EFE21-714C-4588-8FE7-9C445AC48DDA}">
      <formula1>1</formula1>
      <formula2>2</formula2>
    </dataValidation>
    <dataValidation type="decimal" errorStyle="information" allowBlank="1" showInputMessage="1" showErrorMessage="1" errorTitle="Must select a number" error="Cannot choose letters or special characters." sqref="D17:K166 BA7:BA24 P17:T166 Z17:AG166 AO17:AR166 AL17:AN37" xr:uid="{A07BE47F-406F-4EEF-845F-140CEBD07265}">
      <formula1>-1000000000</formula1>
      <formula2>1000000000</formula2>
    </dataValidation>
    <dataValidation type="whole" errorStyle="information" allowBlank="1" showInputMessage="1" showErrorMessage="1" errorTitle="Must select 1 or 2" error="1 = Multiplicative_x000a_2 = Additive" sqref="AL13:AR13 Z13:AG13 P13:R13 D13:K13 BB7:BB24" xr:uid="{93CD364F-1421-4372-ABD8-3FD016D2235B}">
      <formula1>1</formula1>
      <formula2>2</formula2>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ellIs" priority="15" operator="equal" id="{CD8293ED-7335-4A6E-A63E-542001DF3F40}">
            <xm:f>Notes!$L$4</xm:f>
            <x14:dxf>
              <font>
                <b val="0"/>
                <i val="0"/>
                <strike val="0"/>
                <color theme="0" tint="-0.34998626667073579"/>
              </font>
              <fill>
                <patternFill patternType="none">
                  <bgColor auto="1"/>
                </patternFill>
              </fill>
            </x14:dxf>
          </x14:cfRule>
          <xm:sqref>AY7:AY24 D8:K8 P8:T8 Z8:AG8 AL8:AR8</xm:sqref>
        </x14:conditionalFormatting>
        <x14:conditionalFormatting xmlns:xm="http://schemas.microsoft.com/office/excel/2006/main">
          <x14:cfRule type="cellIs" priority="14" operator="equal" id="{97C874BC-EFED-4219-9E2A-FF36940CF5E0}">
            <xm:f>Notes!$L$5</xm:f>
            <x14:dxf>
              <font>
                <b val="0"/>
                <i val="0"/>
                <strike val="0"/>
                <color theme="0" tint="-0.34998626667073579"/>
              </font>
              <fill>
                <patternFill patternType="none">
                  <bgColor auto="1"/>
                </patternFill>
              </fill>
            </x14:dxf>
          </x14:cfRule>
          <xm:sqref>AZ7:AZ24 D9:K9 P9:T9 Z9:AG9 AL9:AR9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Out of range" error="Time periods must fall within the range specified on the &quot;Base&quot; worksheet." xr:uid="{38757A94-03B4-4F2D-BE17-57E7F023018E}">
          <x14:formula1>
            <xm:f>Main!$H$5:$H$58</xm:f>
          </x14:formula1>
          <xm:sqref>D8:K9 AY7:AZ24 AL8:AR9 P8:T9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0EDB9-E912-451D-88CF-3AF5E3A18B61}">
  <sheetPr>
    <tabColor theme="8" tint="-0.499984740745262"/>
  </sheetPr>
  <dimension ref="A1:BE167"/>
  <sheetViews>
    <sheetView zoomScale="55" zoomScaleNormal="55" workbookViewId="0">
      <pane ySplit="16" topLeftCell="A17" activePane="bottomLeft" state="frozen"/>
      <selection activeCell="V17" sqref="V17"/>
      <selection pane="bottomLeft" activeCell="V17" sqref="V17"/>
    </sheetView>
  </sheetViews>
  <sheetFormatPr defaultColWidth="0" defaultRowHeight="14.4" zeroHeight="1" x14ac:dyDescent="0.3"/>
  <cols>
    <col min="1" max="2" width="2.44140625" customWidth="1"/>
    <col min="3" max="12" width="9.109375" customWidth="1"/>
    <col min="13" max="14" width="2.44140625" customWidth="1"/>
    <col min="15" max="22" width="9.109375" customWidth="1"/>
    <col min="23" max="24" width="2.44140625" customWidth="1"/>
    <col min="25" max="34" width="9.109375" customWidth="1"/>
    <col min="35" max="36" width="2.44140625" customWidth="1"/>
    <col min="37" max="37" width="11.77734375" customWidth="1"/>
    <col min="38" max="46" width="9.109375" customWidth="1"/>
    <col min="47" max="48" width="2.44140625" customWidth="1"/>
    <col min="49" max="49" width="18.88671875" bestFit="1" customWidth="1"/>
    <col min="50" max="54" width="9.109375" customWidth="1"/>
    <col min="55" max="55" width="2.44140625" customWidth="1"/>
    <col min="56" max="57" width="0" hidden="1" customWidth="1"/>
    <col min="58" max="16384" width="9.109375" hidden="1"/>
  </cols>
  <sheetData>
    <row r="1" spans="1:55" ht="18" x14ac:dyDescent="0.35">
      <c r="A1" s="6" t="str">
        <f>"Simulation "&amp;AC1&amp;IF(AD1&lt;&gt;""," : "&amp;AD1,"")</f>
        <v>Simulation sim3</v>
      </c>
      <c r="B1" s="6"/>
      <c r="C1" s="4"/>
      <c r="D1" s="4"/>
      <c r="E1" s="4"/>
      <c r="F1" s="4"/>
      <c r="G1" s="4"/>
      <c r="H1" s="4"/>
      <c r="I1" s="4"/>
      <c r="J1" s="4"/>
      <c r="K1" s="4"/>
      <c r="L1" s="4"/>
      <c r="M1" s="4"/>
      <c r="N1" s="4"/>
      <c r="O1" s="4"/>
      <c r="P1" s="4"/>
      <c r="Q1" s="4"/>
      <c r="R1" s="4"/>
      <c r="S1" s="4"/>
      <c r="T1" s="4"/>
      <c r="U1" s="4"/>
      <c r="V1" s="4"/>
      <c r="W1" s="4"/>
      <c r="X1" s="4"/>
      <c r="Y1" s="4"/>
      <c r="Z1" s="4"/>
      <c r="AA1" s="4"/>
      <c r="AB1" s="4"/>
      <c r="AC1" s="4" t="str">
        <f>Main!C9</f>
        <v>sim3</v>
      </c>
      <c r="AD1" s="4" t="str">
        <f>IF(Main!E9&lt;&gt;"",Main!E9,"")</f>
        <v/>
      </c>
      <c r="AE1" s="4"/>
      <c r="AF1" s="4"/>
      <c r="AG1" s="4"/>
      <c r="AH1" s="4"/>
      <c r="AI1" s="4"/>
      <c r="AJ1" s="4"/>
      <c r="AK1" s="4"/>
      <c r="AL1" s="4"/>
      <c r="AM1" s="4"/>
      <c r="AN1" s="4"/>
      <c r="AO1" s="4"/>
      <c r="AP1" s="4"/>
      <c r="AQ1" s="4"/>
      <c r="AR1" s="4"/>
      <c r="AS1" s="4"/>
      <c r="AT1" s="4"/>
      <c r="AU1" s="4"/>
      <c r="AV1" s="4"/>
      <c r="AW1" s="4"/>
      <c r="AX1" s="4"/>
      <c r="AY1" s="4"/>
      <c r="AZ1" s="4"/>
      <c r="BA1" s="4"/>
      <c r="BB1" s="4"/>
      <c r="BC1" s="4"/>
    </row>
    <row r="2" spans="1:55" x14ac:dyDescent="0.3"/>
    <row r="3" spans="1:55" ht="15.6" x14ac:dyDescent="0.3">
      <c r="B3" s="7"/>
      <c r="C3" s="17" t="s">
        <v>55</v>
      </c>
      <c r="D3" s="36"/>
      <c r="E3" s="36"/>
      <c r="F3" s="36"/>
      <c r="G3" s="36"/>
      <c r="H3" s="36"/>
      <c r="I3" s="36"/>
      <c r="J3" s="36"/>
      <c r="K3" s="36"/>
      <c r="L3" s="36"/>
      <c r="N3" s="7"/>
      <c r="O3" s="17" t="s">
        <v>56</v>
      </c>
      <c r="P3" s="36"/>
      <c r="Q3" s="36"/>
      <c r="R3" s="36"/>
      <c r="S3" s="36"/>
      <c r="T3" s="36"/>
      <c r="U3" s="36"/>
      <c r="V3" s="36"/>
      <c r="X3" s="7"/>
      <c r="Y3" s="17" t="s">
        <v>57</v>
      </c>
      <c r="Z3" s="36"/>
      <c r="AA3" s="36"/>
      <c r="AB3" s="36"/>
      <c r="AC3" s="36"/>
      <c r="AD3" s="36"/>
      <c r="AE3" s="36"/>
      <c r="AF3" s="36"/>
      <c r="AG3" s="36"/>
      <c r="AH3" s="36"/>
      <c r="AJ3" s="7"/>
      <c r="AK3" s="17" t="s">
        <v>283</v>
      </c>
      <c r="AL3" s="36"/>
      <c r="AM3" s="36"/>
      <c r="AN3" s="36"/>
      <c r="AO3" s="36"/>
      <c r="AP3" s="36"/>
      <c r="AQ3" s="36"/>
      <c r="AR3" s="36"/>
      <c r="AS3" s="36"/>
      <c r="AT3" s="36"/>
      <c r="AV3" s="7"/>
      <c r="AW3" s="17" t="s">
        <v>125</v>
      </c>
      <c r="AX3" s="36"/>
      <c r="AY3" s="36"/>
      <c r="AZ3" s="36"/>
      <c r="BA3" s="36"/>
      <c r="BB3" s="36"/>
    </row>
    <row r="4" spans="1:55" x14ac:dyDescent="0.3">
      <c r="B4" s="14"/>
      <c r="C4" s="9"/>
      <c r="D4" s="74" t="s">
        <v>58</v>
      </c>
      <c r="E4" s="74"/>
      <c r="F4" s="75" t="s">
        <v>59</v>
      </c>
      <c r="G4" s="74"/>
      <c r="H4" s="74"/>
      <c r="I4" s="75" t="s">
        <v>7</v>
      </c>
      <c r="J4" s="74"/>
      <c r="K4" s="74"/>
      <c r="L4" s="37" t="s">
        <v>103</v>
      </c>
      <c r="N4" s="14"/>
      <c r="O4" s="9"/>
      <c r="P4" s="38" t="s">
        <v>60</v>
      </c>
      <c r="Q4" s="75" t="s">
        <v>61</v>
      </c>
      <c r="R4" s="76"/>
      <c r="S4" s="75" t="s">
        <v>646</v>
      </c>
      <c r="T4" s="74"/>
      <c r="U4" s="75" t="s">
        <v>103</v>
      </c>
      <c r="V4" s="74"/>
      <c r="X4" s="14"/>
      <c r="Y4" s="9"/>
      <c r="Z4" s="38" t="s">
        <v>63</v>
      </c>
      <c r="AA4" s="38" t="s">
        <v>62</v>
      </c>
      <c r="AB4" s="38" t="s">
        <v>311</v>
      </c>
      <c r="AC4" s="38" t="s">
        <v>62</v>
      </c>
      <c r="AD4" s="75" t="s">
        <v>126</v>
      </c>
      <c r="AE4" s="76"/>
      <c r="AF4" s="74" t="s">
        <v>127</v>
      </c>
      <c r="AG4" s="74"/>
      <c r="AH4" s="37" t="s">
        <v>103</v>
      </c>
      <c r="AJ4" s="14"/>
      <c r="AK4" s="9"/>
      <c r="AL4" s="38" t="s">
        <v>132</v>
      </c>
      <c r="AM4" s="38" t="s">
        <v>99</v>
      </c>
      <c r="AN4" s="38" t="s">
        <v>289</v>
      </c>
      <c r="AO4" s="75" t="s">
        <v>126</v>
      </c>
      <c r="AP4" s="76"/>
      <c r="AQ4" s="74" t="s">
        <v>127</v>
      </c>
      <c r="AR4" s="74"/>
      <c r="AS4" s="75" t="s">
        <v>103</v>
      </c>
      <c r="AT4" s="74"/>
      <c r="AV4" s="8"/>
      <c r="AY4" s="39" t="s">
        <v>335</v>
      </c>
      <c r="AZ4" s="39" t="s">
        <v>336</v>
      </c>
      <c r="BA4" s="39" t="s">
        <v>300</v>
      </c>
      <c r="BB4" s="39" t="s">
        <v>304</v>
      </c>
    </row>
    <row r="5" spans="1:55" x14ac:dyDescent="0.3">
      <c r="B5" s="14"/>
      <c r="C5" s="9"/>
      <c r="D5" s="40" t="s">
        <v>64</v>
      </c>
      <c r="E5" s="40" t="s">
        <v>65</v>
      </c>
      <c r="F5" s="41" t="s">
        <v>64</v>
      </c>
      <c r="G5" s="40" t="s">
        <v>65</v>
      </c>
      <c r="H5" s="40" t="s">
        <v>66</v>
      </c>
      <c r="I5" s="41" t="s">
        <v>64</v>
      </c>
      <c r="J5" s="40" t="s">
        <v>65</v>
      </c>
      <c r="K5" s="40" t="s">
        <v>67</v>
      </c>
      <c r="L5" s="41" t="s">
        <v>100</v>
      </c>
      <c r="N5" s="14"/>
      <c r="O5" s="9"/>
      <c r="P5" s="40"/>
      <c r="Q5" s="41" t="s">
        <v>68</v>
      </c>
      <c r="R5" s="42" t="s">
        <v>124</v>
      </c>
      <c r="S5" s="40" t="s">
        <v>284</v>
      </c>
      <c r="T5" s="40" t="s">
        <v>286</v>
      </c>
      <c r="U5" s="69" t="s">
        <v>313</v>
      </c>
      <c r="V5" s="40" t="s">
        <v>100</v>
      </c>
      <c r="X5" s="14"/>
      <c r="Y5" s="9"/>
      <c r="Z5" s="38" t="s">
        <v>70</v>
      </c>
      <c r="AA5" s="38" t="s">
        <v>71</v>
      </c>
      <c r="AB5" s="38" t="s">
        <v>312</v>
      </c>
      <c r="AC5" s="38" t="s">
        <v>69</v>
      </c>
      <c r="AD5" s="41" t="s">
        <v>86</v>
      </c>
      <c r="AE5" s="42" t="s">
        <v>87</v>
      </c>
      <c r="AF5" s="40" t="s">
        <v>86</v>
      </c>
      <c r="AG5" s="40" t="s">
        <v>87</v>
      </c>
      <c r="AH5" s="41" t="s">
        <v>100</v>
      </c>
      <c r="AJ5" s="14"/>
      <c r="AK5" s="9"/>
      <c r="AL5" s="38" t="s">
        <v>134</v>
      </c>
      <c r="AM5" s="38" t="s">
        <v>70</v>
      </c>
      <c r="AN5" s="38" t="s">
        <v>123</v>
      </c>
      <c r="AO5" s="41" t="s">
        <v>86</v>
      </c>
      <c r="AP5" s="42" t="s">
        <v>87</v>
      </c>
      <c r="AQ5" s="40" t="s">
        <v>86</v>
      </c>
      <c r="AR5" s="40" t="s">
        <v>87</v>
      </c>
      <c r="AS5" s="41" t="s">
        <v>99</v>
      </c>
      <c r="AT5" s="40" t="s">
        <v>100</v>
      </c>
      <c r="AV5" s="8"/>
      <c r="BA5" s="43"/>
      <c r="BB5" s="44" t="s">
        <v>305</v>
      </c>
    </row>
    <row r="6" spans="1:55" x14ac:dyDescent="0.3">
      <c r="B6" s="8"/>
      <c r="F6" s="45"/>
      <c r="I6" s="45"/>
      <c r="L6" s="45"/>
      <c r="N6" s="8"/>
      <c r="Q6" s="45"/>
      <c r="R6" s="46"/>
      <c r="U6" s="70"/>
      <c r="X6" s="8"/>
      <c r="AD6" s="45"/>
      <c r="AE6" s="46"/>
      <c r="AH6" s="45"/>
      <c r="AJ6" s="8"/>
      <c r="AO6" s="45"/>
      <c r="AP6" s="46"/>
      <c r="AS6" s="45"/>
      <c r="AV6" s="8"/>
      <c r="AW6" s="47" t="s">
        <v>303</v>
      </c>
      <c r="AX6" s="48"/>
      <c r="AY6" s="49" t="s">
        <v>337</v>
      </c>
      <c r="AZ6" s="49" t="s">
        <v>338</v>
      </c>
      <c r="BA6" s="49" t="s">
        <v>206</v>
      </c>
      <c r="BB6" s="49" t="s">
        <v>207</v>
      </c>
    </row>
    <row r="7" spans="1:55" x14ac:dyDescent="0.3">
      <c r="B7" s="8"/>
      <c r="D7" s="50" t="s">
        <v>72</v>
      </c>
      <c r="E7" s="50" t="s">
        <v>73</v>
      </c>
      <c r="F7" s="51" t="s">
        <v>74</v>
      </c>
      <c r="G7" s="50" t="s">
        <v>75</v>
      </c>
      <c r="H7" s="50" t="s">
        <v>76</v>
      </c>
      <c r="I7" s="51" t="s">
        <v>77</v>
      </c>
      <c r="J7" s="50" t="s">
        <v>78</v>
      </c>
      <c r="K7" s="50" t="s">
        <v>79</v>
      </c>
      <c r="L7" s="45"/>
      <c r="N7" s="8"/>
      <c r="P7" s="50" t="s">
        <v>81</v>
      </c>
      <c r="Q7" s="51" t="s">
        <v>82</v>
      </c>
      <c r="R7" s="52" t="s">
        <v>621</v>
      </c>
      <c r="S7" s="50" t="s">
        <v>80</v>
      </c>
      <c r="T7" s="50" t="s">
        <v>285</v>
      </c>
      <c r="U7" s="70"/>
      <c r="X7" s="8"/>
      <c r="Z7" s="50" t="s">
        <v>84</v>
      </c>
      <c r="AA7" s="50" t="s">
        <v>85</v>
      </c>
      <c r="AB7" s="50" t="s">
        <v>310</v>
      </c>
      <c r="AC7" s="50" t="s">
        <v>83</v>
      </c>
      <c r="AD7" s="51" t="s">
        <v>130</v>
      </c>
      <c r="AE7" s="52" t="s">
        <v>131</v>
      </c>
      <c r="AF7" s="50" t="s">
        <v>128</v>
      </c>
      <c r="AG7" s="50" t="s">
        <v>129</v>
      </c>
      <c r="AH7" s="45"/>
      <c r="AJ7" s="8"/>
      <c r="AL7" s="50" t="s">
        <v>133</v>
      </c>
      <c r="AM7" s="50" t="s">
        <v>101</v>
      </c>
      <c r="AN7" s="50" t="s">
        <v>622</v>
      </c>
      <c r="AO7" s="51" t="s">
        <v>130</v>
      </c>
      <c r="AP7" s="52" t="s">
        <v>131</v>
      </c>
      <c r="AQ7" s="50" t="s">
        <v>128</v>
      </c>
      <c r="AR7" s="50" t="s">
        <v>129</v>
      </c>
      <c r="AS7" s="45"/>
      <c r="AV7" s="8"/>
      <c r="AW7" s="9" t="s">
        <v>88</v>
      </c>
      <c r="AX7" s="53" t="s">
        <v>89</v>
      </c>
      <c r="AY7" s="63">
        <f>Notes!$L$4</f>
        <v>2024</v>
      </c>
      <c r="AZ7" s="63">
        <f>Notes!$L$5</f>
        <v>2040</v>
      </c>
      <c r="BA7" s="26">
        <v>0</v>
      </c>
      <c r="BB7" s="34">
        <v>1</v>
      </c>
    </row>
    <row r="8" spans="1:55" x14ac:dyDescent="0.3">
      <c r="B8" s="8"/>
      <c r="C8" s="1" t="s">
        <v>339</v>
      </c>
      <c r="D8" s="63">
        <f>Notes!$L4</f>
        <v>2024</v>
      </c>
      <c r="E8" s="63">
        <f>Notes!$L4</f>
        <v>2024</v>
      </c>
      <c r="F8" s="64">
        <f>Notes!$L4</f>
        <v>2024</v>
      </c>
      <c r="G8" s="63">
        <f>Notes!$L4</f>
        <v>2024</v>
      </c>
      <c r="H8" s="63">
        <f>Notes!$L4</f>
        <v>2024</v>
      </c>
      <c r="I8" s="64">
        <f>Notes!$L4</f>
        <v>2024</v>
      </c>
      <c r="J8" s="63">
        <f>Notes!$L4</f>
        <v>2024</v>
      </c>
      <c r="K8" s="63">
        <f>Notes!$L4</f>
        <v>2024</v>
      </c>
      <c r="L8" s="45"/>
      <c r="N8" s="8"/>
      <c r="O8" s="1" t="s">
        <v>339</v>
      </c>
      <c r="P8" s="63">
        <f>Notes!$L4</f>
        <v>2024</v>
      </c>
      <c r="Q8" s="64">
        <f>Notes!$L4</f>
        <v>2024</v>
      </c>
      <c r="R8" s="63">
        <f>Notes!$L4</f>
        <v>2024</v>
      </c>
      <c r="S8" s="64">
        <f>Notes!$L4</f>
        <v>2024</v>
      </c>
      <c r="T8" s="63">
        <f>Notes!$L4</f>
        <v>2024</v>
      </c>
      <c r="U8" s="70"/>
      <c r="X8" s="8"/>
      <c r="Y8" s="1" t="s">
        <v>339</v>
      </c>
      <c r="Z8" s="63">
        <f>Notes!$L4</f>
        <v>2024</v>
      </c>
      <c r="AA8" s="63">
        <f>Notes!$L4</f>
        <v>2024</v>
      </c>
      <c r="AB8" s="63">
        <f>Notes!$L4</f>
        <v>2024</v>
      </c>
      <c r="AC8" s="63">
        <f>Notes!$L4</f>
        <v>2024</v>
      </c>
      <c r="AD8" s="64">
        <f>Notes!$L4</f>
        <v>2024</v>
      </c>
      <c r="AE8" s="63">
        <f>Notes!$L4</f>
        <v>2024</v>
      </c>
      <c r="AF8" s="64">
        <f>Notes!$L4</f>
        <v>2024</v>
      </c>
      <c r="AG8" s="63">
        <f>Notes!$L4</f>
        <v>2024</v>
      </c>
      <c r="AH8" s="45"/>
      <c r="AJ8" s="8"/>
      <c r="AK8" s="1" t="s">
        <v>339</v>
      </c>
      <c r="AL8" s="63">
        <f>Notes!$L4</f>
        <v>2024</v>
      </c>
      <c r="AM8" s="63">
        <f>Notes!$L4</f>
        <v>2024</v>
      </c>
      <c r="AN8" s="63">
        <f>Notes!$L4</f>
        <v>2024</v>
      </c>
      <c r="AO8" s="64">
        <f>Notes!$L4</f>
        <v>2024</v>
      </c>
      <c r="AP8" s="63">
        <f>Notes!$L4</f>
        <v>2024</v>
      </c>
      <c r="AQ8" s="64">
        <f>Notes!$L$4</f>
        <v>2024</v>
      </c>
      <c r="AR8" s="63">
        <f>Notes!$L4</f>
        <v>2024</v>
      </c>
      <c r="AS8" s="45"/>
      <c r="AV8" s="8"/>
      <c r="AW8" s="9" t="s">
        <v>92</v>
      </c>
      <c r="AX8" s="53" t="s">
        <v>93</v>
      </c>
      <c r="AY8" s="63">
        <f>Notes!$L$4</f>
        <v>2024</v>
      </c>
      <c r="AZ8" s="63">
        <f>Notes!$L$5</f>
        <v>2040</v>
      </c>
      <c r="BA8" s="26">
        <v>0</v>
      </c>
      <c r="BB8" s="34">
        <v>1</v>
      </c>
    </row>
    <row r="9" spans="1:55" x14ac:dyDescent="0.3">
      <c r="B9" s="8"/>
      <c r="C9" s="1" t="s">
        <v>340</v>
      </c>
      <c r="D9" s="63">
        <f>Notes!$L5</f>
        <v>2040</v>
      </c>
      <c r="E9" s="63">
        <f>Notes!$L5</f>
        <v>2040</v>
      </c>
      <c r="F9" s="64">
        <f>Notes!$L5</f>
        <v>2040</v>
      </c>
      <c r="G9" s="63">
        <f>Notes!$L5</f>
        <v>2040</v>
      </c>
      <c r="H9" s="63">
        <f>Notes!$L5</f>
        <v>2040</v>
      </c>
      <c r="I9" s="64">
        <f>Notes!$L5</f>
        <v>2040</v>
      </c>
      <c r="J9" s="63">
        <f>Notes!$L5</f>
        <v>2040</v>
      </c>
      <c r="K9" s="63">
        <f>Notes!$L5</f>
        <v>2040</v>
      </c>
      <c r="L9" s="45"/>
      <c r="N9" s="8"/>
      <c r="O9" s="1" t="s">
        <v>340</v>
      </c>
      <c r="P9" s="63">
        <f>Notes!$L5</f>
        <v>2040</v>
      </c>
      <c r="Q9" s="64">
        <f>Notes!$L5</f>
        <v>2040</v>
      </c>
      <c r="R9" s="63">
        <f>Notes!$L5</f>
        <v>2040</v>
      </c>
      <c r="S9" s="64">
        <f>Notes!$L5</f>
        <v>2040</v>
      </c>
      <c r="T9" s="63">
        <f>Notes!$L5</f>
        <v>2040</v>
      </c>
      <c r="U9" s="70"/>
      <c r="X9" s="8"/>
      <c r="Y9" s="1" t="s">
        <v>340</v>
      </c>
      <c r="Z9" s="63">
        <f>Notes!$L5</f>
        <v>2040</v>
      </c>
      <c r="AA9" s="63">
        <f>Notes!$L5</f>
        <v>2040</v>
      </c>
      <c r="AB9" s="63">
        <f>Notes!$L5</f>
        <v>2040</v>
      </c>
      <c r="AC9" s="63">
        <f>Notes!$L5</f>
        <v>2040</v>
      </c>
      <c r="AD9" s="64">
        <f>Notes!$L5</f>
        <v>2040</v>
      </c>
      <c r="AE9" s="63">
        <f>Notes!$L5</f>
        <v>2040</v>
      </c>
      <c r="AF9" s="64">
        <f>Notes!$L5</f>
        <v>2040</v>
      </c>
      <c r="AG9" s="63">
        <f>Notes!$L5</f>
        <v>2040</v>
      </c>
      <c r="AH9" s="45"/>
      <c r="AJ9" s="8"/>
      <c r="AK9" s="1" t="s">
        <v>340</v>
      </c>
      <c r="AL9" s="63">
        <f>Notes!$L5</f>
        <v>2040</v>
      </c>
      <c r="AM9" s="63">
        <f>Notes!$L5</f>
        <v>2040</v>
      </c>
      <c r="AN9" s="63">
        <f>Notes!$L5</f>
        <v>2040</v>
      </c>
      <c r="AO9" s="64">
        <f>Notes!$L5</f>
        <v>2040</v>
      </c>
      <c r="AP9" s="63">
        <f>Notes!$L5</f>
        <v>2040</v>
      </c>
      <c r="AQ9" s="64">
        <f>Notes!$L5</f>
        <v>2040</v>
      </c>
      <c r="AR9" s="63">
        <f>Notes!$L5</f>
        <v>2040</v>
      </c>
      <c r="AS9" s="45"/>
      <c r="AV9" s="8"/>
      <c r="AW9" s="9" t="s">
        <v>90</v>
      </c>
      <c r="AX9" s="53" t="s">
        <v>91</v>
      </c>
      <c r="AY9" s="63">
        <f>Notes!$L$4</f>
        <v>2024</v>
      </c>
      <c r="AZ9" s="63">
        <f>Notes!$L$5</f>
        <v>2040</v>
      </c>
      <c r="BA9" s="26">
        <v>0</v>
      </c>
      <c r="BB9" s="34">
        <v>1</v>
      </c>
    </row>
    <row r="10" spans="1:55" x14ac:dyDescent="0.3">
      <c r="B10" s="8"/>
      <c r="F10" s="45"/>
      <c r="I10" s="45"/>
      <c r="L10" s="45"/>
      <c r="N10" s="8"/>
      <c r="Q10" s="45"/>
      <c r="R10" s="46"/>
      <c r="U10" s="70"/>
      <c r="X10" s="8"/>
      <c r="AD10" s="45"/>
      <c r="AE10" s="46"/>
      <c r="AH10" s="45"/>
      <c r="AJ10" s="8"/>
      <c r="AO10" s="45"/>
      <c r="AP10" s="46"/>
      <c r="AS10" s="45"/>
      <c r="AV10" s="8"/>
      <c r="AW10" s="9" t="s">
        <v>298</v>
      </c>
      <c r="AX10" s="53" t="s">
        <v>299</v>
      </c>
      <c r="AY10" s="63">
        <f>Notes!$L$4</f>
        <v>2024</v>
      </c>
      <c r="AZ10" s="63">
        <f>Notes!$L$5</f>
        <v>2040</v>
      </c>
      <c r="BA10" s="26">
        <v>0</v>
      </c>
      <c r="BB10" s="34">
        <v>1</v>
      </c>
    </row>
    <row r="11" spans="1:55" x14ac:dyDescent="0.3">
      <c r="B11" s="8"/>
      <c r="C11" s="54" t="s">
        <v>302</v>
      </c>
      <c r="D11" s="55"/>
      <c r="E11" s="55"/>
      <c r="F11" s="56"/>
      <c r="G11" s="55"/>
      <c r="H11" s="55"/>
      <c r="I11" s="56"/>
      <c r="J11" s="55"/>
      <c r="K11" s="55"/>
      <c r="L11" s="56"/>
      <c r="N11" s="8"/>
      <c r="O11" s="54" t="s">
        <v>302</v>
      </c>
      <c r="P11" s="53"/>
      <c r="Q11" s="57"/>
      <c r="R11" s="58"/>
      <c r="S11" s="53"/>
      <c r="T11" s="53"/>
      <c r="U11" s="71"/>
      <c r="V11" s="53"/>
      <c r="X11" s="8"/>
      <c r="Y11" s="54" t="s">
        <v>302</v>
      </c>
      <c r="Z11" s="53"/>
      <c r="AA11" s="53"/>
      <c r="AB11" s="53"/>
      <c r="AC11" s="53"/>
      <c r="AD11" s="57"/>
      <c r="AE11" s="58"/>
      <c r="AF11" s="53"/>
      <c r="AG11" s="53"/>
      <c r="AH11" s="56"/>
      <c r="AJ11" s="8"/>
      <c r="AK11" s="54" t="s">
        <v>302</v>
      </c>
      <c r="AL11" s="54"/>
      <c r="AM11" s="59"/>
      <c r="AN11" s="53"/>
      <c r="AO11" s="57"/>
      <c r="AP11" s="58"/>
      <c r="AQ11" s="53"/>
      <c r="AR11" s="53"/>
      <c r="AS11" s="57"/>
      <c r="AT11" s="53"/>
      <c r="AV11" s="8"/>
      <c r="AW11" s="9" t="s">
        <v>98</v>
      </c>
      <c r="AX11" s="53" t="s">
        <v>101</v>
      </c>
      <c r="AY11" s="63">
        <f>Notes!$L$4</f>
        <v>2024</v>
      </c>
      <c r="AZ11" s="63">
        <f>Notes!$L$5</f>
        <v>2040</v>
      </c>
      <c r="BA11" s="26">
        <v>0</v>
      </c>
      <c r="BB11" s="34">
        <v>1</v>
      </c>
    </row>
    <row r="12" spans="1:55" x14ac:dyDescent="0.3">
      <c r="B12" s="8"/>
      <c r="C12" s="54"/>
      <c r="D12" s="50" t="s">
        <v>72</v>
      </c>
      <c r="E12" s="50" t="s">
        <v>73</v>
      </c>
      <c r="F12" s="51" t="s">
        <v>74</v>
      </c>
      <c r="G12" s="50" t="s">
        <v>75</v>
      </c>
      <c r="H12" s="50" t="s">
        <v>76</v>
      </c>
      <c r="I12" s="51" t="s">
        <v>77</v>
      </c>
      <c r="J12" s="50" t="s">
        <v>78</v>
      </c>
      <c r="K12" s="50" t="s">
        <v>79</v>
      </c>
      <c r="L12" s="56"/>
      <c r="N12" s="8"/>
      <c r="O12" s="54"/>
      <c r="P12" s="50" t="s">
        <v>81</v>
      </c>
      <c r="Q12" s="51" t="s">
        <v>82</v>
      </c>
      <c r="R12" s="52" t="s">
        <v>621</v>
      </c>
      <c r="S12" s="53"/>
      <c r="T12" s="53"/>
      <c r="U12" s="71"/>
      <c r="V12" s="53"/>
      <c r="X12" s="8"/>
      <c r="Y12" s="54"/>
      <c r="Z12" s="50" t="s">
        <v>84</v>
      </c>
      <c r="AA12" s="50" t="s">
        <v>85</v>
      </c>
      <c r="AB12" s="50" t="s">
        <v>310</v>
      </c>
      <c r="AC12" s="50" t="s">
        <v>83</v>
      </c>
      <c r="AD12" s="51" t="s">
        <v>130</v>
      </c>
      <c r="AE12" s="52" t="s">
        <v>131</v>
      </c>
      <c r="AF12" s="50" t="s">
        <v>128</v>
      </c>
      <c r="AG12" s="50" t="s">
        <v>129</v>
      </c>
      <c r="AH12" s="56"/>
      <c r="AJ12" s="8"/>
      <c r="AK12" s="54"/>
      <c r="AL12" s="50" t="s">
        <v>133</v>
      </c>
      <c r="AM12" s="50" t="s">
        <v>101</v>
      </c>
      <c r="AN12" s="50" t="s">
        <v>622</v>
      </c>
      <c r="AO12" s="51" t="s">
        <v>130</v>
      </c>
      <c r="AP12" s="52" t="s">
        <v>131</v>
      </c>
      <c r="AQ12" s="50" t="s">
        <v>128</v>
      </c>
      <c r="AR12" s="50" t="s">
        <v>129</v>
      </c>
      <c r="AS12" s="57"/>
      <c r="AT12" s="53"/>
      <c r="AV12" s="8"/>
      <c r="AW12" s="9" t="s">
        <v>94</v>
      </c>
      <c r="AX12" s="53" t="s">
        <v>95</v>
      </c>
      <c r="AY12" s="63">
        <f>Notes!$L$4</f>
        <v>2024</v>
      </c>
      <c r="AZ12" s="63">
        <f>Notes!$L$5</f>
        <v>2040</v>
      </c>
      <c r="BA12" s="26">
        <v>0</v>
      </c>
      <c r="BB12" s="34">
        <v>1</v>
      </c>
    </row>
    <row r="13" spans="1:55" x14ac:dyDescent="0.3">
      <c r="B13" s="8"/>
      <c r="C13" s="55"/>
      <c r="D13" s="34">
        <v>1</v>
      </c>
      <c r="E13" s="34">
        <v>1</v>
      </c>
      <c r="F13" s="32">
        <v>1</v>
      </c>
      <c r="G13" s="34">
        <v>1</v>
      </c>
      <c r="H13" s="34">
        <v>1</v>
      </c>
      <c r="I13" s="32">
        <v>1</v>
      </c>
      <c r="J13" s="34">
        <v>1</v>
      </c>
      <c r="K13" s="34">
        <v>1</v>
      </c>
      <c r="L13" s="56"/>
      <c r="N13" s="8"/>
      <c r="O13" s="55"/>
      <c r="P13" s="34">
        <v>1</v>
      </c>
      <c r="Q13" s="32">
        <v>1</v>
      </c>
      <c r="R13" s="35">
        <v>1</v>
      </c>
      <c r="S13" s="55"/>
      <c r="T13" s="55"/>
      <c r="U13" s="72"/>
      <c r="V13" s="55"/>
      <c r="X13" s="8"/>
      <c r="Y13" s="55"/>
      <c r="Z13" s="34">
        <v>1</v>
      </c>
      <c r="AA13" s="34">
        <v>1</v>
      </c>
      <c r="AB13" s="34">
        <v>1</v>
      </c>
      <c r="AC13" s="34">
        <v>1</v>
      </c>
      <c r="AD13" s="32">
        <v>1</v>
      </c>
      <c r="AE13" s="35">
        <v>1</v>
      </c>
      <c r="AF13" s="34">
        <v>1</v>
      </c>
      <c r="AG13" s="34">
        <v>1</v>
      </c>
      <c r="AH13" s="56"/>
      <c r="AJ13" s="8"/>
      <c r="AK13" s="55"/>
      <c r="AL13" s="34">
        <v>1</v>
      </c>
      <c r="AM13" s="34">
        <v>1</v>
      </c>
      <c r="AN13" s="34">
        <v>1</v>
      </c>
      <c r="AO13" s="32">
        <v>1</v>
      </c>
      <c r="AP13" s="35">
        <v>1</v>
      </c>
      <c r="AQ13" s="34">
        <v>1</v>
      </c>
      <c r="AR13" s="34">
        <v>1</v>
      </c>
      <c r="AS13" s="56"/>
      <c r="AT13" s="55"/>
      <c r="AV13" s="8"/>
      <c r="AW13" s="9" t="s">
        <v>96</v>
      </c>
      <c r="AX13" s="53" t="s">
        <v>97</v>
      </c>
      <c r="AY13" s="63">
        <f>Notes!$L$4</f>
        <v>2024</v>
      </c>
      <c r="AZ13" s="63">
        <f>Notes!$L$5</f>
        <v>2040</v>
      </c>
      <c r="BA13" s="26">
        <v>0</v>
      </c>
      <c r="BB13" s="34">
        <v>1</v>
      </c>
    </row>
    <row r="14" spans="1:55" x14ac:dyDescent="0.3">
      <c r="B14" s="8"/>
      <c r="C14" s="55"/>
      <c r="F14" s="45"/>
      <c r="I14" s="45"/>
      <c r="L14" s="45"/>
      <c r="N14" s="8"/>
      <c r="O14" s="55"/>
      <c r="Q14" s="45"/>
      <c r="R14" s="46"/>
      <c r="U14" s="70"/>
      <c r="X14" s="8"/>
      <c r="Y14" s="55"/>
      <c r="AD14" s="45"/>
      <c r="AE14" s="46"/>
      <c r="AH14" s="45"/>
      <c r="AJ14" s="8"/>
      <c r="AK14" s="55"/>
      <c r="AL14" s="55"/>
      <c r="AO14" s="45"/>
      <c r="AP14" s="46"/>
      <c r="AS14" s="45"/>
      <c r="AV14" s="8"/>
      <c r="AW14" s="9" t="s">
        <v>297</v>
      </c>
      <c r="AX14" s="53" t="s">
        <v>296</v>
      </c>
      <c r="AY14" s="63">
        <f>Notes!$L$4</f>
        <v>2024</v>
      </c>
      <c r="AZ14" s="63">
        <f>Notes!$L$5</f>
        <v>2040</v>
      </c>
      <c r="BA14" s="26">
        <v>0</v>
      </c>
      <c r="BB14" s="34">
        <v>1</v>
      </c>
    </row>
    <row r="15" spans="1:55" x14ac:dyDescent="0.3">
      <c r="B15" s="8"/>
      <c r="C15" s="54" t="s">
        <v>301</v>
      </c>
      <c r="F15" s="45"/>
      <c r="I15" s="45"/>
      <c r="L15" s="45"/>
      <c r="N15" s="8"/>
      <c r="O15" s="54" t="s">
        <v>301</v>
      </c>
      <c r="P15" s="60"/>
      <c r="Q15" s="45"/>
      <c r="R15" s="46"/>
      <c r="U15" s="70"/>
      <c r="X15" s="8"/>
      <c r="Y15" s="54" t="s">
        <v>301</v>
      </c>
      <c r="Z15" s="60"/>
      <c r="AD15" s="45"/>
      <c r="AE15" s="46"/>
      <c r="AH15" s="45"/>
      <c r="AJ15" s="8"/>
      <c r="AK15" s="54" t="s">
        <v>301</v>
      </c>
      <c r="AL15" s="54"/>
      <c r="AO15" s="45"/>
      <c r="AP15" s="46"/>
      <c r="AS15" s="45"/>
      <c r="AV15" s="8"/>
      <c r="AW15" s="9" t="s">
        <v>762</v>
      </c>
      <c r="AX15" s="53" t="s">
        <v>131</v>
      </c>
      <c r="AY15" s="63">
        <f>Notes!$L$4</f>
        <v>2024</v>
      </c>
      <c r="AZ15" s="63">
        <f>Notes!$L$5</f>
        <v>2040</v>
      </c>
      <c r="BA15" s="26">
        <v>0</v>
      </c>
      <c r="BB15" s="34">
        <v>1</v>
      </c>
    </row>
    <row r="16" spans="1:55" x14ac:dyDescent="0.3">
      <c r="B16" s="8"/>
      <c r="D16" s="50" t="s">
        <v>72</v>
      </c>
      <c r="E16" s="50" t="s">
        <v>73</v>
      </c>
      <c r="F16" s="51" t="s">
        <v>74</v>
      </c>
      <c r="G16" s="50" t="s">
        <v>75</v>
      </c>
      <c r="H16" s="50" t="s">
        <v>76</v>
      </c>
      <c r="I16" s="51" t="s">
        <v>77</v>
      </c>
      <c r="J16" s="50" t="s">
        <v>78</v>
      </c>
      <c r="K16" s="50" t="s">
        <v>79</v>
      </c>
      <c r="L16" s="51" t="s">
        <v>123</v>
      </c>
      <c r="N16" s="8"/>
      <c r="P16" s="50" t="s">
        <v>81</v>
      </c>
      <c r="Q16" s="51" t="s">
        <v>82</v>
      </c>
      <c r="R16" s="52" t="s">
        <v>621</v>
      </c>
      <c r="S16" s="50" t="s">
        <v>80</v>
      </c>
      <c r="T16" s="50" t="s">
        <v>285</v>
      </c>
      <c r="U16" s="73" t="s">
        <v>310</v>
      </c>
      <c r="V16" s="50" t="s">
        <v>123</v>
      </c>
      <c r="X16" s="8"/>
      <c r="Z16" s="50" t="s">
        <v>84</v>
      </c>
      <c r="AA16" s="50" t="s">
        <v>85</v>
      </c>
      <c r="AB16" s="50" t="s">
        <v>310</v>
      </c>
      <c r="AC16" s="50" t="s">
        <v>83</v>
      </c>
      <c r="AD16" s="51" t="s">
        <v>130</v>
      </c>
      <c r="AE16" s="52" t="s">
        <v>131</v>
      </c>
      <c r="AF16" s="50" t="s">
        <v>128</v>
      </c>
      <c r="AG16" s="61" t="s">
        <v>129</v>
      </c>
      <c r="AH16" s="51" t="s">
        <v>123</v>
      </c>
      <c r="AJ16" s="8"/>
      <c r="AL16" s="50" t="s">
        <v>133</v>
      </c>
      <c r="AM16" s="50" t="s">
        <v>101</v>
      </c>
      <c r="AN16" s="50" t="s">
        <v>622</v>
      </c>
      <c r="AO16" s="51" t="s">
        <v>130</v>
      </c>
      <c r="AP16" s="62" t="s">
        <v>131</v>
      </c>
      <c r="AQ16" s="50" t="s">
        <v>128</v>
      </c>
      <c r="AR16" s="61" t="s">
        <v>129</v>
      </c>
      <c r="AS16" s="51" t="s">
        <v>288</v>
      </c>
      <c r="AT16" s="50" t="s">
        <v>123</v>
      </c>
      <c r="AV16" s="8"/>
      <c r="AW16" s="9" t="s">
        <v>763</v>
      </c>
      <c r="AX16" s="53" t="s">
        <v>129</v>
      </c>
      <c r="AY16" s="63">
        <f>Notes!$L$4</f>
        <v>2024</v>
      </c>
      <c r="AZ16" s="63">
        <f>Notes!$L$5</f>
        <v>2040</v>
      </c>
      <c r="BA16" s="26">
        <v>0</v>
      </c>
      <c r="BB16" s="34">
        <v>1</v>
      </c>
    </row>
    <row r="17" spans="2:54" x14ac:dyDescent="0.3">
      <c r="B17" s="8"/>
      <c r="C17" s="2" t="s">
        <v>713</v>
      </c>
      <c r="D17" s="26">
        <v>0</v>
      </c>
      <c r="E17" s="26">
        <v>0</v>
      </c>
      <c r="F17" s="27">
        <v>0</v>
      </c>
      <c r="G17" s="26">
        <v>0</v>
      </c>
      <c r="H17" s="26">
        <v>0</v>
      </c>
      <c r="I17" s="27">
        <v>0</v>
      </c>
      <c r="J17" s="26">
        <v>0</v>
      </c>
      <c r="K17" s="26">
        <v>0</v>
      </c>
      <c r="L17" s="67">
        <v>1</v>
      </c>
      <c r="N17" s="8"/>
      <c r="O17" s="2" t="s">
        <v>649</v>
      </c>
      <c r="P17" s="26">
        <v>0</v>
      </c>
      <c r="Q17" s="27">
        <v>0</v>
      </c>
      <c r="R17" s="30">
        <v>0</v>
      </c>
      <c r="S17" s="27">
        <v>0</v>
      </c>
      <c r="T17" s="30">
        <v>0</v>
      </c>
      <c r="U17" s="34">
        <v>1</v>
      </c>
      <c r="V17" s="34">
        <v>1</v>
      </c>
      <c r="X17" s="8"/>
      <c r="Y17" s="2" t="s">
        <v>852</v>
      </c>
      <c r="Z17" s="26">
        <v>0</v>
      </c>
      <c r="AA17" s="26">
        <v>0</v>
      </c>
      <c r="AB17" s="26">
        <v>0</v>
      </c>
      <c r="AC17" s="26">
        <v>0</v>
      </c>
      <c r="AD17" s="27">
        <v>0</v>
      </c>
      <c r="AE17" s="30">
        <v>0</v>
      </c>
      <c r="AF17" s="26">
        <v>0</v>
      </c>
      <c r="AG17" s="26">
        <v>0</v>
      </c>
      <c r="AH17" s="32">
        <v>1</v>
      </c>
      <c r="AJ17" s="8"/>
      <c r="AK17" s="2" t="s">
        <v>8</v>
      </c>
      <c r="AL17" s="26">
        <v>0</v>
      </c>
      <c r="AM17" s="26">
        <v>0</v>
      </c>
      <c r="AN17" s="26">
        <v>0</v>
      </c>
      <c r="AO17" s="27">
        <v>0</v>
      </c>
      <c r="AP17" s="30">
        <v>0</v>
      </c>
      <c r="AQ17" s="26">
        <v>0</v>
      </c>
      <c r="AR17" s="26">
        <v>0</v>
      </c>
      <c r="AS17" s="32">
        <v>1</v>
      </c>
      <c r="AT17" s="34">
        <v>1</v>
      </c>
      <c r="AV17" s="8"/>
      <c r="AW17" s="9" t="s">
        <v>290</v>
      </c>
      <c r="AX17" s="53" t="s">
        <v>74</v>
      </c>
      <c r="AY17" s="63">
        <f>Notes!$L$4</f>
        <v>2024</v>
      </c>
      <c r="AZ17" s="63">
        <f>Notes!$L$5</f>
        <v>2040</v>
      </c>
      <c r="BA17" s="26">
        <v>0</v>
      </c>
      <c r="BB17" s="34">
        <v>1</v>
      </c>
    </row>
    <row r="18" spans="2:54" x14ac:dyDescent="0.3">
      <c r="B18" s="8"/>
      <c r="C18" s="2" t="s">
        <v>766</v>
      </c>
      <c r="D18" s="26">
        <v>0</v>
      </c>
      <c r="E18" s="26">
        <v>0</v>
      </c>
      <c r="F18" s="27">
        <v>0</v>
      </c>
      <c r="G18" s="26">
        <v>0</v>
      </c>
      <c r="H18" s="26">
        <v>0</v>
      </c>
      <c r="I18" s="27">
        <v>0</v>
      </c>
      <c r="J18" s="26">
        <v>0</v>
      </c>
      <c r="K18" s="26">
        <v>0</v>
      </c>
      <c r="L18" s="67">
        <v>1</v>
      </c>
      <c r="N18" s="8"/>
      <c r="O18" s="2" t="s">
        <v>809</v>
      </c>
      <c r="P18" s="26">
        <v>0</v>
      </c>
      <c r="Q18" s="27">
        <v>0</v>
      </c>
      <c r="R18" s="30">
        <v>0</v>
      </c>
      <c r="S18" s="27">
        <v>0</v>
      </c>
      <c r="T18" s="30">
        <v>0</v>
      </c>
      <c r="U18" s="34">
        <v>1</v>
      </c>
      <c r="V18" s="34">
        <v>1</v>
      </c>
      <c r="X18" s="8"/>
      <c r="Y18" s="2" t="s">
        <v>853</v>
      </c>
      <c r="Z18" s="26">
        <v>0</v>
      </c>
      <c r="AA18" s="26">
        <v>0</v>
      </c>
      <c r="AB18" s="26">
        <v>0</v>
      </c>
      <c r="AC18" s="26">
        <v>0</v>
      </c>
      <c r="AD18" s="27">
        <v>0</v>
      </c>
      <c r="AE18" s="30">
        <v>0</v>
      </c>
      <c r="AF18" s="26">
        <v>0</v>
      </c>
      <c r="AG18" s="26">
        <v>0</v>
      </c>
      <c r="AH18" s="32">
        <v>1</v>
      </c>
      <c r="AJ18" s="8"/>
      <c r="AK18" s="2" t="s">
        <v>985</v>
      </c>
      <c r="AL18" s="26">
        <v>0</v>
      </c>
      <c r="AM18" s="26">
        <v>0</v>
      </c>
      <c r="AN18" s="26">
        <v>0</v>
      </c>
      <c r="AO18" s="27">
        <v>0</v>
      </c>
      <c r="AP18" s="30">
        <v>0</v>
      </c>
      <c r="AQ18" s="26">
        <v>0</v>
      </c>
      <c r="AR18" s="26">
        <v>0</v>
      </c>
      <c r="AS18" s="32">
        <v>1</v>
      </c>
      <c r="AT18" s="34">
        <v>1</v>
      </c>
      <c r="AV18" s="8"/>
      <c r="AW18" s="9" t="s">
        <v>291</v>
      </c>
      <c r="AX18" s="53" t="s">
        <v>75</v>
      </c>
      <c r="AY18" s="63">
        <f>Notes!$L$4</f>
        <v>2024</v>
      </c>
      <c r="AZ18" s="63">
        <f>Notes!$L$5</f>
        <v>2040</v>
      </c>
      <c r="BA18" s="26">
        <v>0</v>
      </c>
      <c r="BB18" s="34">
        <v>1</v>
      </c>
    </row>
    <row r="19" spans="2:54" x14ac:dyDescent="0.3">
      <c r="B19" s="8"/>
      <c r="C19" s="2" t="s">
        <v>976</v>
      </c>
      <c r="D19" s="26">
        <v>0</v>
      </c>
      <c r="E19" s="26">
        <v>0</v>
      </c>
      <c r="F19" s="27">
        <v>0</v>
      </c>
      <c r="G19" s="26">
        <v>0</v>
      </c>
      <c r="H19" s="26">
        <v>0</v>
      </c>
      <c r="I19" s="27">
        <v>0</v>
      </c>
      <c r="J19" s="26">
        <v>0</v>
      </c>
      <c r="K19" s="26">
        <v>0</v>
      </c>
      <c r="L19" s="67">
        <v>1</v>
      </c>
      <c r="N19" s="8"/>
      <c r="O19" s="2" t="s">
        <v>946</v>
      </c>
      <c r="P19" s="26">
        <v>0</v>
      </c>
      <c r="Q19" s="27">
        <v>0</v>
      </c>
      <c r="R19" s="30">
        <v>0</v>
      </c>
      <c r="S19" s="27">
        <v>0</v>
      </c>
      <c r="T19" s="30">
        <v>0</v>
      </c>
      <c r="U19" s="34">
        <v>1</v>
      </c>
      <c r="V19" s="34">
        <v>1</v>
      </c>
      <c r="X19" s="8"/>
      <c r="Y19" s="2" t="s">
        <v>854</v>
      </c>
      <c r="Z19" s="26">
        <v>0</v>
      </c>
      <c r="AA19" s="26">
        <v>0</v>
      </c>
      <c r="AB19" s="26">
        <v>0</v>
      </c>
      <c r="AC19" s="26">
        <v>0</v>
      </c>
      <c r="AD19" s="27">
        <v>0</v>
      </c>
      <c r="AE19" s="30">
        <v>0</v>
      </c>
      <c r="AF19" s="26">
        <v>0</v>
      </c>
      <c r="AG19" s="26">
        <v>0</v>
      </c>
      <c r="AH19" s="32">
        <v>1</v>
      </c>
      <c r="AJ19" s="8"/>
      <c r="AK19" s="2" t="s">
        <v>986</v>
      </c>
      <c r="AL19" s="26">
        <v>0</v>
      </c>
      <c r="AM19" s="26">
        <v>0</v>
      </c>
      <c r="AN19" s="26">
        <v>0</v>
      </c>
      <c r="AO19" s="27">
        <v>0</v>
      </c>
      <c r="AP19" s="30">
        <v>0</v>
      </c>
      <c r="AQ19" s="26">
        <v>0</v>
      </c>
      <c r="AR19" s="26">
        <v>0</v>
      </c>
      <c r="AS19" s="32">
        <v>1</v>
      </c>
      <c r="AT19" s="34">
        <v>1</v>
      </c>
      <c r="AV19" s="8"/>
      <c r="AW19" s="9" t="s">
        <v>292</v>
      </c>
      <c r="AX19" s="53" t="s">
        <v>76</v>
      </c>
      <c r="AY19" s="63">
        <f>Notes!$L$4</f>
        <v>2024</v>
      </c>
      <c r="AZ19" s="63">
        <f>Notes!$L$5</f>
        <v>2040</v>
      </c>
      <c r="BA19" s="26">
        <v>0</v>
      </c>
      <c r="BB19" s="34">
        <v>1</v>
      </c>
    </row>
    <row r="20" spans="2:54" x14ac:dyDescent="0.3">
      <c r="B20" s="8"/>
      <c r="C20" s="2" t="s">
        <v>977</v>
      </c>
      <c r="D20" s="26">
        <v>0</v>
      </c>
      <c r="E20" s="26">
        <v>0</v>
      </c>
      <c r="F20" s="27">
        <v>0</v>
      </c>
      <c r="G20" s="26">
        <v>0</v>
      </c>
      <c r="H20" s="26">
        <v>0</v>
      </c>
      <c r="I20" s="27">
        <v>0</v>
      </c>
      <c r="J20" s="26">
        <v>0</v>
      </c>
      <c r="K20" s="26">
        <v>0</v>
      </c>
      <c r="L20" s="67">
        <v>1</v>
      </c>
      <c r="N20" s="8"/>
      <c r="O20" s="2" t="s">
        <v>947</v>
      </c>
      <c r="P20" s="26">
        <v>0</v>
      </c>
      <c r="Q20" s="27">
        <v>0</v>
      </c>
      <c r="R20" s="30">
        <v>0</v>
      </c>
      <c r="S20" s="27">
        <v>0</v>
      </c>
      <c r="T20" s="30">
        <v>0</v>
      </c>
      <c r="U20" s="34">
        <v>1</v>
      </c>
      <c r="V20" s="34">
        <v>1</v>
      </c>
      <c r="X20" s="8"/>
      <c r="Y20" s="2" t="s">
        <v>855</v>
      </c>
      <c r="Z20" s="26">
        <v>0</v>
      </c>
      <c r="AA20" s="26">
        <v>0</v>
      </c>
      <c r="AB20" s="26">
        <v>0</v>
      </c>
      <c r="AC20" s="26">
        <v>0</v>
      </c>
      <c r="AD20" s="27">
        <v>0</v>
      </c>
      <c r="AE20" s="30">
        <v>0</v>
      </c>
      <c r="AF20" s="26">
        <v>0</v>
      </c>
      <c r="AG20" s="26">
        <v>0</v>
      </c>
      <c r="AH20" s="32">
        <v>1</v>
      </c>
      <c r="AJ20" s="8"/>
      <c r="AK20" s="2" t="s">
        <v>987</v>
      </c>
      <c r="AL20" s="26">
        <v>0</v>
      </c>
      <c r="AM20" s="26">
        <v>0</v>
      </c>
      <c r="AN20" s="26">
        <v>0</v>
      </c>
      <c r="AO20" s="27">
        <v>0</v>
      </c>
      <c r="AP20" s="30">
        <v>0</v>
      </c>
      <c r="AQ20" s="26">
        <v>0</v>
      </c>
      <c r="AR20" s="26">
        <v>0</v>
      </c>
      <c r="AS20" s="32">
        <v>1</v>
      </c>
      <c r="AT20" s="34">
        <v>1</v>
      </c>
      <c r="AV20" s="8"/>
      <c r="AW20" s="9" t="s">
        <v>61</v>
      </c>
      <c r="AX20" s="53" t="s">
        <v>82</v>
      </c>
      <c r="AY20" s="63">
        <f>Notes!$L$4</f>
        <v>2024</v>
      </c>
      <c r="AZ20" s="63">
        <f>Notes!$L$5</f>
        <v>2040</v>
      </c>
      <c r="BA20" s="26">
        <v>0</v>
      </c>
      <c r="BB20" s="34">
        <v>1</v>
      </c>
    </row>
    <row r="21" spans="2:54" x14ac:dyDescent="0.3">
      <c r="B21" s="8"/>
      <c r="C21" s="2" t="s">
        <v>767</v>
      </c>
      <c r="D21" s="26">
        <v>0</v>
      </c>
      <c r="E21" s="26">
        <v>0</v>
      </c>
      <c r="F21" s="27">
        <v>0</v>
      </c>
      <c r="G21" s="26">
        <v>0</v>
      </c>
      <c r="H21" s="26">
        <v>0</v>
      </c>
      <c r="I21" s="27">
        <v>0</v>
      </c>
      <c r="J21" s="26">
        <v>0</v>
      </c>
      <c r="K21" s="26">
        <v>0</v>
      </c>
      <c r="L21" s="67">
        <v>1</v>
      </c>
      <c r="N21" s="8"/>
      <c r="O21" s="2" t="s">
        <v>810</v>
      </c>
      <c r="P21" s="26">
        <v>0</v>
      </c>
      <c r="Q21" s="27">
        <v>0</v>
      </c>
      <c r="R21" s="30">
        <v>0</v>
      </c>
      <c r="S21" s="27">
        <v>0</v>
      </c>
      <c r="T21" s="30">
        <v>0</v>
      </c>
      <c r="U21" s="34">
        <v>1</v>
      </c>
      <c r="V21" s="34">
        <v>1</v>
      </c>
      <c r="X21" s="8"/>
      <c r="Y21" s="2" t="s">
        <v>856</v>
      </c>
      <c r="Z21" s="26">
        <v>0</v>
      </c>
      <c r="AA21" s="26">
        <v>0</v>
      </c>
      <c r="AB21" s="26">
        <v>0</v>
      </c>
      <c r="AC21" s="26">
        <v>0</v>
      </c>
      <c r="AD21" s="27">
        <v>0</v>
      </c>
      <c r="AE21" s="30">
        <v>0</v>
      </c>
      <c r="AF21" s="26">
        <v>0</v>
      </c>
      <c r="AG21" s="26">
        <v>0</v>
      </c>
      <c r="AH21" s="32">
        <v>1</v>
      </c>
      <c r="AJ21" s="8"/>
      <c r="AK21" s="2" t="s">
        <v>988</v>
      </c>
      <c r="AL21" s="26">
        <v>0</v>
      </c>
      <c r="AM21" s="26">
        <v>0</v>
      </c>
      <c r="AN21" s="26">
        <v>0</v>
      </c>
      <c r="AO21" s="27">
        <v>0</v>
      </c>
      <c r="AP21" s="30">
        <v>0</v>
      </c>
      <c r="AQ21" s="26">
        <v>0</v>
      </c>
      <c r="AR21" s="26">
        <v>0</v>
      </c>
      <c r="AS21" s="32">
        <v>1</v>
      </c>
      <c r="AT21" s="34">
        <v>1</v>
      </c>
      <c r="AV21" s="8"/>
      <c r="AW21" s="9" t="s">
        <v>293</v>
      </c>
      <c r="AX21" s="53" t="s">
        <v>621</v>
      </c>
      <c r="AY21" s="63">
        <f>Notes!$L$4</f>
        <v>2024</v>
      </c>
      <c r="AZ21" s="63">
        <f>Notes!$L$5</f>
        <v>2040</v>
      </c>
      <c r="BA21" s="26">
        <v>0</v>
      </c>
      <c r="BB21" s="34">
        <v>1</v>
      </c>
    </row>
    <row r="22" spans="2:54" x14ac:dyDescent="0.3">
      <c r="B22" s="8"/>
      <c r="C22" s="2" t="s">
        <v>714</v>
      </c>
      <c r="D22" s="26">
        <v>0</v>
      </c>
      <c r="E22" s="26">
        <v>0</v>
      </c>
      <c r="F22" s="27">
        <v>0</v>
      </c>
      <c r="G22" s="26">
        <v>0</v>
      </c>
      <c r="H22" s="26">
        <v>0</v>
      </c>
      <c r="I22" s="27">
        <v>0</v>
      </c>
      <c r="J22" s="26">
        <v>0</v>
      </c>
      <c r="K22" s="26">
        <v>0</v>
      </c>
      <c r="L22" s="67">
        <v>1</v>
      </c>
      <c r="N22" s="8"/>
      <c r="O22" s="2" t="s">
        <v>650</v>
      </c>
      <c r="P22" s="26">
        <v>0</v>
      </c>
      <c r="Q22" s="27">
        <v>0</v>
      </c>
      <c r="R22" s="30">
        <v>0</v>
      </c>
      <c r="S22" s="27">
        <v>0</v>
      </c>
      <c r="T22" s="30">
        <v>0</v>
      </c>
      <c r="U22" s="34">
        <v>1</v>
      </c>
      <c r="V22" s="34">
        <v>1</v>
      </c>
      <c r="X22" s="8"/>
      <c r="Y22" s="2" t="s">
        <v>857</v>
      </c>
      <c r="Z22" s="26">
        <v>0</v>
      </c>
      <c r="AA22" s="26">
        <v>0</v>
      </c>
      <c r="AB22" s="26">
        <v>0</v>
      </c>
      <c r="AC22" s="26">
        <v>0</v>
      </c>
      <c r="AD22" s="27">
        <v>0</v>
      </c>
      <c r="AE22" s="30">
        <v>0</v>
      </c>
      <c r="AF22" s="26">
        <v>0</v>
      </c>
      <c r="AG22" s="26">
        <v>0</v>
      </c>
      <c r="AH22" s="32">
        <v>1</v>
      </c>
      <c r="AJ22" s="8"/>
      <c r="AK22" s="2" t="s">
        <v>989</v>
      </c>
      <c r="AL22" s="26">
        <v>0</v>
      </c>
      <c r="AM22" s="26">
        <v>0</v>
      </c>
      <c r="AN22" s="26">
        <v>0</v>
      </c>
      <c r="AO22" s="27">
        <v>0</v>
      </c>
      <c r="AP22" s="30">
        <v>0</v>
      </c>
      <c r="AQ22" s="26">
        <v>0</v>
      </c>
      <c r="AR22" s="26">
        <v>0</v>
      </c>
      <c r="AS22" s="32">
        <v>1</v>
      </c>
      <c r="AT22" s="34">
        <v>1</v>
      </c>
      <c r="AV22" s="8"/>
      <c r="AW22" s="9" t="s">
        <v>294</v>
      </c>
      <c r="AX22" s="53" t="s">
        <v>83</v>
      </c>
      <c r="AY22" s="63">
        <f>Notes!$L$4</f>
        <v>2024</v>
      </c>
      <c r="AZ22" s="63">
        <f>Notes!$L$5</f>
        <v>2040</v>
      </c>
      <c r="BA22" s="26">
        <v>0</v>
      </c>
      <c r="BB22" s="34">
        <v>1</v>
      </c>
    </row>
    <row r="23" spans="2:54" x14ac:dyDescent="0.3">
      <c r="B23" s="8"/>
      <c r="C23" s="2" t="s">
        <v>715</v>
      </c>
      <c r="D23" s="26">
        <v>0</v>
      </c>
      <c r="E23" s="26">
        <v>0</v>
      </c>
      <c r="F23" s="27">
        <v>0</v>
      </c>
      <c r="G23" s="26">
        <v>0</v>
      </c>
      <c r="H23" s="26">
        <v>0</v>
      </c>
      <c r="I23" s="27">
        <v>0</v>
      </c>
      <c r="J23" s="26">
        <v>0</v>
      </c>
      <c r="K23" s="26">
        <v>0</v>
      </c>
      <c r="L23" s="67">
        <v>1</v>
      </c>
      <c r="N23" s="8"/>
      <c r="O23" s="2" t="s">
        <v>651</v>
      </c>
      <c r="P23" s="26">
        <v>0</v>
      </c>
      <c r="Q23" s="27">
        <v>0</v>
      </c>
      <c r="R23" s="30">
        <v>0</v>
      </c>
      <c r="S23" s="27">
        <v>0</v>
      </c>
      <c r="T23" s="30">
        <v>0</v>
      </c>
      <c r="U23" s="34">
        <v>1</v>
      </c>
      <c r="V23" s="34">
        <v>1</v>
      </c>
      <c r="X23" s="8"/>
      <c r="Y23" s="2" t="s">
        <v>858</v>
      </c>
      <c r="Z23" s="26">
        <v>0</v>
      </c>
      <c r="AA23" s="26">
        <v>0</v>
      </c>
      <c r="AB23" s="26">
        <v>0</v>
      </c>
      <c r="AC23" s="26">
        <v>0</v>
      </c>
      <c r="AD23" s="27">
        <v>0</v>
      </c>
      <c r="AE23" s="30">
        <v>0</v>
      </c>
      <c r="AF23" s="26">
        <v>0</v>
      </c>
      <c r="AG23" s="26">
        <v>0</v>
      </c>
      <c r="AH23" s="32">
        <v>1</v>
      </c>
      <c r="AJ23" s="8"/>
      <c r="AK23" s="2" t="s">
        <v>990</v>
      </c>
      <c r="AL23" s="26">
        <v>0</v>
      </c>
      <c r="AM23" s="26">
        <v>0</v>
      </c>
      <c r="AN23" s="26">
        <v>0</v>
      </c>
      <c r="AO23" s="27">
        <v>0</v>
      </c>
      <c r="AP23" s="30">
        <v>0</v>
      </c>
      <c r="AQ23" s="26">
        <v>0</v>
      </c>
      <c r="AR23" s="26">
        <v>0</v>
      </c>
      <c r="AS23" s="32">
        <v>1</v>
      </c>
      <c r="AT23" s="34">
        <v>1</v>
      </c>
      <c r="AV23" s="8"/>
      <c r="AW23" s="9" t="s">
        <v>295</v>
      </c>
      <c r="AX23" s="53" t="s">
        <v>622</v>
      </c>
      <c r="AY23" s="63">
        <f>Notes!$L$4</f>
        <v>2024</v>
      </c>
      <c r="AZ23" s="63">
        <f>Notes!$L$5</f>
        <v>2040</v>
      </c>
      <c r="BA23" s="26">
        <v>0</v>
      </c>
      <c r="BB23" s="34">
        <v>1</v>
      </c>
    </row>
    <row r="24" spans="2:54" x14ac:dyDescent="0.3">
      <c r="B24" s="8"/>
      <c r="C24" s="2" t="s">
        <v>768</v>
      </c>
      <c r="D24" s="26">
        <v>0</v>
      </c>
      <c r="E24" s="26">
        <v>0</v>
      </c>
      <c r="F24" s="27">
        <v>0</v>
      </c>
      <c r="G24" s="26">
        <v>0</v>
      </c>
      <c r="H24" s="26">
        <v>0</v>
      </c>
      <c r="I24" s="27">
        <v>0</v>
      </c>
      <c r="J24" s="26">
        <v>0</v>
      </c>
      <c r="K24" s="26">
        <v>0</v>
      </c>
      <c r="L24" s="67">
        <v>1</v>
      </c>
      <c r="N24" s="8"/>
      <c r="O24" s="2" t="s">
        <v>811</v>
      </c>
      <c r="P24" s="26">
        <v>0</v>
      </c>
      <c r="Q24" s="27">
        <v>0</v>
      </c>
      <c r="R24" s="30">
        <v>0</v>
      </c>
      <c r="S24" s="27">
        <v>0</v>
      </c>
      <c r="T24" s="30">
        <v>0</v>
      </c>
      <c r="U24" s="34">
        <v>1</v>
      </c>
      <c r="V24" s="34">
        <v>1</v>
      </c>
      <c r="X24" s="8"/>
      <c r="Y24" s="2" t="s">
        <v>859</v>
      </c>
      <c r="Z24" s="26">
        <v>0</v>
      </c>
      <c r="AA24" s="26">
        <v>0</v>
      </c>
      <c r="AB24" s="26">
        <v>0</v>
      </c>
      <c r="AC24" s="26">
        <v>0</v>
      </c>
      <c r="AD24" s="27">
        <v>0</v>
      </c>
      <c r="AE24" s="30">
        <v>0</v>
      </c>
      <c r="AF24" s="26">
        <v>0</v>
      </c>
      <c r="AG24" s="26">
        <v>0</v>
      </c>
      <c r="AH24" s="32">
        <v>1</v>
      </c>
      <c r="AJ24" s="8"/>
      <c r="AK24" s="2" t="s">
        <v>991</v>
      </c>
      <c r="AL24" s="26">
        <v>0</v>
      </c>
      <c r="AM24" s="26">
        <v>0</v>
      </c>
      <c r="AN24" s="26">
        <v>0</v>
      </c>
      <c r="AO24" s="27">
        <v>0</v>
      </c>
      <c r="AP24" s="30">
        <v>0</v>
      </c>
      <c r="AQ24" s="26">
        <v>0</v>
      </c>
      <c r="AR24" s="26">
        <v>0</v>
      </c>
      <c r="AS24" s="32">
        <v>1</v>
      </c>
      <c r="AT24" s="34">
        <v>1</v>
      </c>
      <c r="AV24" s="8"/>
      <c r="AW24" s="9" t="s">
        <v>647</v>
      </c>
      <c r="AX24" s="53" t="s">
        <v>648</v>
      </c>
      <c r="AY24" s="63">
        <f>Notes!$L$4</f>
        <v>2024</v>
      </c>
      <c r="AZ24" s="63">
        <f>Notes!$L$5</f>
        <v>2040</v>
      </c>
      <c r="BA24" s="26">
        <v>0</v>
      </c>
      <c r="BB24" s="34">
        <v>1</v>
      </c>
    </row>
    <row r="25" spans="2:54" x14ac:dyDescent="0.3">
      <c r="B25" s="8"/>
      <c r="C25" s="2" t="s">
        <v>716</v>
      </c>
      <c r="D25" s="26">
        <v>0</v>
      </c>
      <c r="E25" s="26">
        <v>0</v>
      </c>
      <c r="F25" s="27">
        <v>0</v>
      </c>
      <c r="G25" s="26">
        <v>0</v>
      </c>
      <c r="H25" s="26">
        <v>0</v>
      </c>
      <c r="I25" s="27">
        <v>0</v>
      </c>
      <c r="J25" s="26">
        <v>0</v>
      </c>
      <c r="K25" s="26">
        <v>0</v>
      </c>
      <c r="L25" s="67">
        <v>1</v>
      </c>
      <c r="N25" s="8"/>
      <c r="O25" s="2" t="s">
        <v>652</v>
      </c>
      <c r="P25" s="26">
        <v>0</v>
      </c>
      <c r="Q25" s="27">
        <v>0</v>
      </c>
      <c r="R25" s="30">
        <v>0</v>
      </c>
      <c r="S25" s="27">
        <v>0</v>
      </c>
      <c r="T25" s="30">
        <v>0</v>
      </c>
      <c r="U25" s="34">
        <v>1</v>
      </c>
      <c r="V25" s="34">
        <v>1</v>
      </c>
      <c r="X25" s="8"/>
      <c r="Y25" s="2" t="s">
        <v>10</v>
      </c>
      <c r="Z25" s="26">
        <v>0</v>
      </c>
      <c r="AA25" s="26">
        <v>0</v>
      </c>
      <c r="AB25" s="26">
        <v>0</v>
      </c>
      <c r="AC25" s="26">
        <v>0</v>
      </c>
      <c r="AD25" s="27">
        <v>0</v>
      </c>
      <c r="AE25" s="30">
        <v>0</v>
      </c>
      <c r="AF25" s="26">
        <v>0</v>
      </c>
      <c r="AG25" s="26">
        <v>0</v>
      </c>
      <c r="AH25" s="32">
        <v>1</v>
      </c>
      <c r="AJ25" s="8"/>
      <c r="AK25" s="2" t="s">
        <v>992</v>
      </c>
      <c r="AL25" s="26">
        <v>0</v>
      </c>
      <c r="AM25" s="26">
        <v>0</v>
      </c>
      <c r="AN25" s="26">
        <v>0</v>
      </c>
      <c r="AO25" s="27">
        <v>0</v>
      </c>
      <c r="AP25" s="30">
        <v>0</v>
      </c>
      <c r="AQ25" s="26">
        <v>0</v>
      </c>
      <c r="AR25" s="26">
        <v>0</v>
      </c>
      <c r="AS25" s="32">
        <v>1</v>
      </c>
      <c r="AT25" s="34">
        <v>1</v>
      </c>
      <c r="AV25" s="8"/>
    </row>
    <row r="26" spans="2:54" x14ac:dyDescent="0.3">
      <c r="B26" s="8"/>
      <c r="C26" s="2" t="s">
        <v>769</v>
      </c>
      <c r="D26" s="26">
        <v>0</v>
      </c>
      <c r="E26" s="26">
        <v>0</v>
      </c>
      <c r="F26" s="27">
        <v>0</v>
      </c>
      <c r="G26" s="26">
        <v>0</v>
      </c>
      <c r="H26" s="26">
        <v>0</v>
      </c>
      <c r="I26" s="27">
        <v>0</v>
      </c>
      <c r="J26" s="26">
        <v>0</v>
      </c>
      <c r="K26" s="26">
        <v>0</v>
      </c>
      <c r="L26" s="67">
        <v>1</v>
      </c>
      <c r="N26" s="8"/>
      <c r="O26" s="2" t="s">
        <v>812</v>
      </c>
      <c r="P26" s="26">
        <v>0</v>
      </c>
      <c r="Q26" s="27">
        <v>0</v>
      </c>
      <c r="R26" s="30">
        <v>0</v>
      </c>
      <c r="S26" s="27">
        <v>0</v>
      </c>
      <c r="T26" s="30">
        <v>0</v>
      </c>
      <c r="U26" s="34">
        <v>1</v>
      </c>
      <c r="V26" s="34">
        <v>1</v>
      </c>
      <c r="X26" s="8"/>
      <c r="Y26" s="2" t="s">
        <v>860</v>
      </c>
      <c r="Z26" s="26">
        <v>0</v>
      </c>
      <c r="AA26" s="26">
        <v>0</v>
      </c>
      <c r="AB26" s="26">
        <v>0</v>
      </c>
      <c r="AC26" s="26">
        <v>0</v>
      </c>
      <c r="AD26" s="27">
        <v>0</v>
      </c>
      <c r="AE26" s="30">
        <v>0</v>
      </c>
      <c r="AF26" s="26">
        <v>0</v>
      </c>
      <c r="AG26" s="26">
        <v>0</v>
      </c>
      <c r="AH26" s="32">
        <v>1</v>
      </c>
      <c r="AJ26" s="8"/>
      <c r="AK26" s="2" t="s">
        <v>993</v>
      </c>
      <c r="AL26" s="26">
        <v>0</v>
      </c>
      <c r="AM26" s="26">
        <v>0</v>
      </c>
      <c r="AN26" s="26">
        <v>0</v>
      </c>
      <c r="AO26" s="27">
        <v>0</v>
      </c>
      <c r="AP26" s="30">
        <v>0</v>
      </c>
      <c r="AQ26" s="26">
        <v>0</v>
      </c>
      <c r="AR26" s="26">
        <v>0</v>
      </c>
      <c r="AS26" s="32">
        <v>1</v>
      </c>
      <c r="AT26" s="34">
        <v>1</v>
      </c>
    </row>
    <row r="27" spans="2:54" x14ac:dyDescent="0.3">
      <c r="B27" s="8"/>
      <c r="C27" s="2" t="s">
        <v>770</v>
      </c>
      <c r="D27" s="26">
        <v>0</v>
      </c>
      <c r="E27" s="26">
        <v>0</v>
      </c>
      <c r="F27" s="27">
        <v>0</v>
      </c>
      <c r="G27" s="26">
        <v>0</v>
      </c>
      <c r="H27" s="26">
        <v>0</v>
      </c>
      <c r="I27" s="27">
        <v>0</v>
      </c>
      <c r="J27" s="26">
        <v>0</v>
      </c>
      <c r="K27" s="26">
        <v>0</v>
      </c>
      <c r="L27" s="67">
        <v>1</v>
      </c>
      <c r="N27" s="8"/>
      <c r="O27" s="2" t="s">
        <v>813</v>
      </c>
      <c r="P27" s="26">
        <v>0</v>
      </c>
      <c r="Q27" s="27">
        <v>0</v>
      </c>
      <c r="R27" s="30">
        <v>0</v>
      </c>
      <c r="S27" s="27">
        <v>0</v>
      </c>
      <c r="T27" s="30">
        <v>0</v>
      </c>
      <c r="U27" s="34">
        <v>1</v>
      </c>
      <c r="V27" s="34">
        <v>1</v>
      </c>
      <c r="X27" s="8"/>
      <c r="Y27" s="2" t="s">
        <v>861</v>
      </c>
      <c r="Z27" s="26">
        <v>0</v>
      </c>
      <c r="AA27" s="26">
        <v>0</v>
      </c>
      <c r="AB27" s="26">
        <v>0</v>
      </c>
      <c r="AC27" s="26">
        <v>0</v>
      </c>
      <c r="AD27" s="27">
        <v>0</v>
      </c>
      <c r="AE27" s="30">
        <v>0</v>
      </c>
      <c r="AF27" s="26">
        <v>0</v>
      </c>
      <c r="AG27" s="26">
        <v>0</v>
      </c>
      <c r="AH27" s="32">
        <v>1</v>
      </c>
      <c r="AJ27" s="8"/>
      <c r="AK27" s="2" t="s">
        <v>994</v>
      </c>
      <c r="AL27" s="26">
        <v>0</v>
      </c>
      <c r="AM27" s="26">
        <v>0</v>
      </c>
      <c r="AN27" s="26">
        <v>0</v>
      </c>
      <c r="AO27" s="27">
        <v>0</v>
      </c>
      <c r="AP27" s="30">
        <v>0</v>
      </c>
      <c r="AQ27" s="26">
        <v>0</v>
      </c>
      <c r="AR27" s="26">
        <v>0</v>
      </c>
      <c r="AS27" s="32">
        <v>1</v>
      </c>
      <c r="AT27" s="34">
        <v>1</v>
      </c>
    </row>
    <row r="28" spans="2:54" x14ac:dyDescent="0.3">
      <c r="B28" s="8"/>
      <c r="C28" s="2" t="s">
        <v>771</v>
      </c>
      <c r="D28" s="26">
        <v>0</v>
      </c>
      <c r="E28" s="26">
        <v>0</v>
      </c>
      <c r="F28" s="27">
        <v>0</v>
      </c>
      <c r="G28" s="26">
        <v>0</v>
      </c>
      <c r="H28" s="26">
        <v>0</v>
      </c>
      <c r="I28" s="27">
        <v>0</v>
      </c>
      <c r="J28" s="26">
        <v>0</v>
      </c>
      <c r="K28" s="26">
        <v>0</v>
      </c>
      <c r="L28" s="67">
        <v>1</v>
      </c>
      <c r="N28" s="8"/>
      <c r="O28" s="2" t="s">
        <v>814</v>
      </c>
      <c r="P28" s="26">
        <v>0</v>
      </c>
      <c r="Q28" s="27">
        <v>0</v>
      </c>
      <c r="R28" s="30">
        <v>0</v>
      </c>
      <c r="S28" s="27">
        <v>0</v>
      </c>
      <c r="T28" s="30">
        <v>0</v>
      </c>
      <c r="U28" s="34">
        <v>1</v>
      </c>
      <c r="V28" s="34">
        <v>1</v>
      </c>
      <c r="X28" s="8"/>
      <c r="Y28" s="2" t="s">
        <v>862</v>
      </c>
      <c r="Z28" s="26">
        <v>0</v>
      </c>
      <c r="AA28" s="26">
        <v>0</v>
      </c>
      <c r="AB28" s="26">
        <v>0</v>
      </c>
      <c r="AC28" s="26">
        <v>0</v>
      </c>
      <c r="AD28" s="27">
        <v>0</v>
      </c>
      <c r="AE28" s="30">
        <v>0</v>
      </c>
      <c r="AF28" s="26">
        <v>0</v>
      </c>
      <c r="AG28" s="26">
        <v>0</v>
      </c>
      <c r="AH28" s="32">
        <v>1</v>
      </c>
      <c r="AJ28" s="8"/>
      <c r="AK28" s="2" t="s">
        <v>995</v>
      </c>
      <c r="AL28" s="26">
        <v>0</v>
      </c>
      <c r="AM28" s="26">
        <v>0</v>
      </c>
      <c r="AN28" s="26">
        <v>0</v>
      </c>
      <c r="AO28" s="27">
        <v>0</v>
      </c>
      <c r="AP28" s="30">
        <v>0</v>
      </c>
      <c r="AQ28" s="26">
        <v>0</v>
      </c>
      <c r="AR28" s="26">
        <v>0</v>
      </c>
      <c r="AS28" s="32">
        <v>1</v>
      </c>
      <c r="AT28" s="34">
        <v>1</v>
      </c>
    </row>
    <row r="29" spans="2:54" x14ac:dyDescent="0.3">
      <c r="B29" s="8"/>
      <c r="C29" s="2" t="s">
        <v>717</v>
      </c>
      <c r="D29" s="26">
        <v>0</v>
      </c>
      <c r="E29" s="26">
        <v>0</v>
      </c>
      <c r="F29" s="27">
        <v>0</v>
      </c>
      <c r="G29" s="26">
        <v>0</v>
      </c>
      <c r="H29" s="26">
        <v>0</v>
      </c>
      <c r="I29" s="27">
        <v>0</v>
      </c>
      <c r="J29" s="26">
        <v>0</v>
      </c>
      <c r="K29" s="26">
        <v>0</v>
      </c>
      <c r="L29" s="67">
        <v>1</v>
      </c>
      <c r="N29" s="8"/>
      <c r="O29" s="2" t="s">
        <v>653</v>
      </c>
      <c r="P29" s="26">
        <v>0</v>
      </c>
      <c r="Q29" s="27">
        <v>0</v>
      </c>
      <c r="R29" s="30">
        <v>0</v>
      </c>
      <c r="S29" s="27">
        <v>0</v>
      </c>
      <c r="T29" s="30">
        <v>0</v>
      </c>
      <c r="U29" s="34">
        <v>1</v>
      </c>
      <c r="V29" s="34">
        <v>1</v>
      </c>
      <c r="X29" s="8"/>
      <c r="Y29" s="2" t="s">
        <v>863</v>
      </c>
      <c r="Z29" s="26">
        <v>0</v>
      </c>
      <c r="AA29" s="26">
        <v>0</v>
      </c>
      <c r="AB29" s="26">
        <v>0</v>
      </c>
      <c r="AC29" s="26">
        <v>0</v>
      </c>
      <c r="AD29" s="27">
        <v>0</v>
      </c>
      <c r="AE29" s="30">
        <v>0</v>
      </c>
      <c r="AF29" s="26">
        <v>0</v>
      </c>
      <c r="AG29" s="26">
        <v>0</v>
      </c>
      <c r="AH29" s="32">
        <v>1</v>
      </c>
      <c r="AJ29" s="8"/>
      <c r="AK29" s="2" t="s">
        <v>996</v>
      </c>
      <c r="AL29" s="26">
        <v>0</v>
      </c>
      <c r="AM29" s="26">
        <v>0</v>
      </c>
      <c r="AN29" s="26">
        <v>0</v>
      </c>
      <c r="AO29" s="27">
        <v>0</v>
      </c>
      <c r="AP29" s="30">
        <v>0</v>
      </c>
      <c r="AQ29" s="26">
        <v>0</v>
      </c>
      <c r="AR29" s="26">
        <v>0</v>
      </c>
      <c r="AS29" s="32">
        <v>1</v>
      </c>
      <c r="AT29" s="34">
        <v>1</v>
      </c>
    </row>
    <row r="30" spans="2:54" x14ac:dyDescent="0.3">
      <c r="B30" s="8"/>
      <c r="C30" s="2" t="s">
        <v>978</v>
      </c>
      <c r="D30" s="26">
        <v>0</v>
      </c>
      <c r="E30" s="26">
        <v>0</v>
      </c>
      <c r="F30" s="27">
        <v>0</v>
      </c>
      <c r="G30" s="26">
        <v>0</v>
      </c>
      <c r="H30" s="26">
        <v>0</v>
      </c>
      <c r="I30" s="27">
        <v>0</v>
      </c>
      <c r="J30" s="26">
        <v>0</v>
      </c>
      <c r="K30" s="26">
        <v>0</v>
      </c>
      <c r="L30" s="67">
        <v>1</v>
      </c>
      <c r="N30" s="8"/>
      <c r="O30" s="2" t="s">
        <v>948</v>
      </c>
      <c r="P30" s="26">
        <v>0</v>
      </c>
      <c r="Q30" s="27">
        <v>0</v>
      </c>
      <c r="R30" s="30">
        <v>0</v>
      </c>
      <c r="S30" s="27">
        <v>0</v>
      </c>
      <c r="T30" s="30">
        <v>0</v>
      </c>
      <c r="U30" s="34">
        <v>1</v>
      </c>
      <c r="V30" s="34">
        <v>1</v>
      </c>
      <c r="X30" s="8"/>
      <c r="Y30" s="2"/>
      <c r="Z30" s="26"/>
      <c r="AA30" s="26"/>
      <c r="AB30" s="26"/>
      <c r="AC30" s="26"/>
      <c r="AD30" s="27"/>
      <c r="AE30" s="30"/>
      <c r="AF30" s="26"/>
      <c r="AG30" s="26"/>
      <c r="AH30" s="32"/>
      <c r="AJ30" s="8"/>
      <c r="AK30" s="2" t="s">
        <v>997</v>
      </c>
      <c r="AL30" s="26">
        <v>0</v>
      </c>
      <c r="AM30" s="26">
        <v>0</v>
      </c>
      <c r="AN30" s="26">
        <v>0</v>
      </c>
      <c r="AO30" s="27">
        <v>0</v>
      </c>
      <c r="AP30" s="30">
        <v>0</v>
      </c>
      <c r="AQ30" s="26">
        <v>0</v>
      </c>
      <c r="AR30" s="26">
        <v>0</v>
      </c>
      <c r="AS30" s="32">
        <v>1</v>
      </c>
      <c r="AT30" s="34">
        <v>1</v>
      </c>
    </row>
    <row r="31" spans="2:54" x14ac:dyDescent="0.3">
      <c r="B31" s="8"/>
      <c r="C31" s="2" t="s">
        <v>718</v>
      </c>
      <c r="D31" s="26">
        <v>0</v>
      </c>
      <c r="E31" s="26">
        <v>0</v>
      </c>
      <c r="F31" s="27">
        <v>0</v>
      </c>
      <c r="G31" s="26">
        <v>0</v>
      </c>
      <c r="H31" s="26">
        <v>0</v>
      </c>
      <c r="I31" s="27">
        <v>0</v>
      </c>
      <c r="J31" s="26">
        <v>0</v>
      </c>
      <c r="K31" s="26">
        <v>0</v>
      </c>
      <c r="L31" s="67">
        <v>1</v>
      </c>
      <c r="N31" s="8"/>
      <c r="O31" s="2" t="s">
        <v>654</v>
      </c>
      <c r="P31" s="26">
        <v>0</v>
      </c>
      <c r="Q31" s="27">
        <v>0</v>
      </c>
      <c r="R31" s="30">
        <v>0</v>
      </c>
      <c r="S31" s="27">
        <v>0</v>
      </c>
      <c r="T31" s="30">
        <v>0</v>
      </c>
      <c r="U31" s="34">
        <v>1</v>
      </c>
      <c r="V31" s="34">
        <v>1</v>
      </c>
      <c r="X31" s="8"/>
      <c r="Y31" s="2"/>
      <c r="Z31" s="26"/>
      <c r="AA31" s="26"/>
      <c r="AB31" s="26"/>
      <c r="AC31" s="26"/>
      <c r="AD31" s="27"/>
      <c r="AE31" s="30"/>
      <c r="AF31" s="26"/>
      <c r="AG31" s="26"/>
      <c r="AH31" s="32"/>
      <c r="AJ31" s="8"/>
      <c r="AK31" s="2" t="s">
        <v>998</v>
      </c>
      <c r="AL31" s="26">
        <v>0</v>
      </c>
      <c r="AM31" s="26">
        <v>0</v>
      </c>
      <c r="AN31" s="26">
        <v>0</v>
      </c>
      <c r="AO31" s="27">
        <v>0</v>
      </c>
      <c r="AP31" s="30">
        <v>0</v>
      </c>
      <c r="AQ31" s="26">
        <v>0</v>
      </c>
      <c r="AR31" s="26">
        <v>0</v>
      </c>
      <c r="AS31" s="32">
        <v>1</v>
      </c>
      <c r="AT31" s="34">
        <v>1</v>
      </c>
    </row>
    <row r="32" spans="2:54" x14ac:dyDescent="0.3">
      <c r="B32" s="8"/>
      <c r="C32" s="2" t="s">
        <v>719</v>
      </c>
      <c r="D32" s="26">
        <v>0</v>
      </c>
      <c r="E32" s="26">
        <v>0</v>
      </c>
      <c r="F32" s="27">
        <v>0</v>
      </c>
      <c r="G32" s="26">
        <v>0</v>
      </c>
      <c r="H32" s="26">
        <v>0</v>
      </c>
      <c r="I32" s="27">
        <v>0</v>
      </c>
      <c r="J32" s="26">
        <v>0</v>
      </c>
      <c r="K32" s="26">
        <v>0</v>
      </c>
      <c r="L32" s="67">
        <v>1</v>
      </c>
      <c r="N32" s="8"/>
      <c r="O32" s="2" t="s">
        <v>655</v>
      </c>
      <c r="P32" s="26">
        <v>0</v>
      </c>
      <c r="Q32" s="27">
        <v>0</v>
      </c>
      <c r="R32" s="30">
        <v>0</v>
      </c>
      <c r="S32" s="27">
        <v>0</v>
      </c>
      <c r="T32" s="30">
        <v>0</v>
      </c>
      <c r="U32" s="34">
        <v>1</v>
      </c>
      <c r="V32" s="34">
        <v>1</v>
      </c>
      <c r="X32" s="8"/>
      <c r="Y32" s="2"/>
      <c r="Z32" s="26"/>
      <c r="AA32" s="26"/>
      <c r="AB32" s="26"/>
      <c r="AC32" s="26"/>
      <c r="AD32" s="27"/>
      <c r="AE32" s="30"/>
      <c r="AF32" s="26"/>
      <c r="AG32" s="26"/>
      <c r="AH32" s="32"/>
      <c r="AJ32" s="8"/>
      <c r="AK32" s="2" t="s">
        <v>999</v>
      </c>
      <c r="AL32" s="26">
        <v>0</v>
      </c>
      <c r="AM32" s="26">
        <v>0</v>
      </c>
      <c r="AN32" s="26">
        <v>0</v>
      </c>
      <c r="AO32" s="27">
        <v>0</v>
      </c>
      <c r="AP32" s="30">
        <v>0</v>
      </c>
      <c r="AQ32" s="26">
        <v>0</v>
      </c>
      <c r="AR32" s="26">
        <v>0</v>
      </c>
      <c r="AS32" s="32">
        <v>1</v>
      </c>
      <c r="AT32" s="34">
        <v>1</v>
      </c>
    </row>
    <row r="33" spans="2:46" x14ac:dyDescent="0.3">
      <c r="B33" s="8"/>
      <c r="C33" s="2" t="s">
        <v>720</v>
      </c>
      <c r="D33" s="26">
        <v>0</v>
      </c>
      <c r="E33" s="26">
        <v>0</v>
      </c>
      <c r="F33" s="27">
        <v>0</v>
      </c>
      <c r="G33" s="26">
        <v>0</v>
      </c>
      <c r="H33" s="26">
        <v>0</v>
      </c>
      <c r="I33" s="27">
        <v>0</v>
      </c>
      <c r="J33" s="26">
        <v>0</v>
      </c>
      <c r="K33" s="26">
        <v>0</v>
      </c>
      <c r="L33" s="67">
        <v>1</v>
      </c>
      <c r="N33" s="8"/>
      <c r="O33" s="2" t="s">
        <v>656</v>
      </c>
      <c r="P33" s="26">
        <v>0</v>
      </c>
      <c r="Q33" s="27">
        <v>0</v>
      </c>
      <c r="R33" s="30">
        <v>0</v>
      </c>
      <c r="S33" s="27">
        <v>0</v>
      </c>
      <c r="T33" s="30">
        <v>0</v>
      </c>
      <c r="U33" s="34">
        <v>1</v>
      </c>
      <c r="V33" s="34">
        <v>1</v>
      </c>
      <c r="X33" s="8"/>
      <c r="Y33" s="2"/>
      <c r="Z33" s="26"/>
      <c r="AA33" s="26"/>
      <c r="AB33" s="26"/>
      <c r="AC33" s="26"/>
      <c r="AD33" s="27"/>
      <c r="AE33" s="30"/>
      <c r="AF33" s="26"/>
      <c r="AG33" s="26"/>
      <c r="AH33" s="32"/>
      <c r="AJ33" s="8"/>
      <c r="AK33" s="2" t="s">
        <v>1000</v>
      </c>
      <c r="AL33" s="26">
        <v>0</v>
      </c>
      <c r="AM33" s="26">
        <v>0</v>
      </c>
      <c r="AN33" s="26">
        <v>0</v>
      </c>
      <c r="AO33" s="27">
        <v>0</v>
      </c>
      <c r="AP33" s="30">
        <v>0</v>
      </c>
      <c r="AQ33" s="26">
        <v>0</v>
      </c>
      <c r="AR33" s="26">
        <v>0</v>
      </c>
      <c r="AS33" s="32">
        <v>1</v>
      </c>
      <c r="AT33" s="34">
        <v>1</v>
      </c>
    </row>
    <row r="34" spans="2:46" x14ac:dyDescent="0.3">
      <c r="B34" s="8"/>
      <c r="C34" s="2" t="s">
        <v>721</v>
      </c>
      <c r="D34" s="26">
        <v>0</v>
      </c>
      <c r="E34" s="26">
        <v>0</v>
      </c>
      <c r="F34" s="27">
        <v>0</v>
      </c>
      <c r="G34" s="26">
        <v>0</v>
      </c>
      <c r="H34" s="26">
        <v>0</v>
      </c>
      <c r="I34" s="27">
        <v>0</v>
      </c>
      <c r="J34" s="26">
        <v>0</v>
      </c>
      <c r="K34" s="26">
        <v>0</v>
      </c>
      <c r="L34" s="67">
        <v>1</v>
      </c>
      <c r="N34" s="8"/>
      <c r="O34" s="2" t="s">
        <v>657</v>
      </c>
      <c r="P34" s="26">
        <v>0</v>
      </c>
      <c r="Q34" s="27">
        <v>0</v>
      </c>
      <c r="R34" s="30">
        <v>0</v>
      </c>
      <c r="S34" s="27">
        <v>0</v>
      </c>
      <c r="T34" s="30">
        <v>0</v>
      </c>
      <c r="U34" s="34">
        <v>1</v>
      </c>
      <c r="V34" s="34">
        <v>1</v>
      </c>
      <c r="X34" s="8"/>
      <c r="Y34" s="2"/>
      <c r="Z34" s="26"/>
      <c r="AA34" s="26"/>
      <c r="AB34" s="26"/>
      <c r="AC34" s="26"/>
      <c r="AD34" s="27"/>
      <c r="AE34" s="30"/>
      <c r="AF34" s="26"/>
      <c r="AG34" s="26"/>
      <c r="AH34" s="32"/>
      <c r="AJ34" s="8"/>
      <c r="AK34" s="2" t="s">
        <v>1001</v>
      </c>
      <c r="AL34" s="26">
        <v>0</v>
      </c>
      <c r="AM34" s="26">
        <v>0</v>
      </c>
      <c r="AN34" s="26">
        <v>0</v>
      </c>
      <c r="AO34" s="27">
        <v>0</v>
      </c>
      <c r="AP34" s="30">
        <v>0</v>
      </c>
      <c r="AQ34" s="26">
        <v>0</v>
      </c>
      <c r="AR34" s="26">
        <v>0</v>
      </c>
      <c r="AS34" s="32">
        <v>1</v>
      </c>
      <c r="AT34" s="34">
        <v>1</v>
      </c>
    </row>
    <row r="35" spans="2:46" x14ac:dyDescent="0.3">
      <c r="B35" s="8"/>
      <c r="C35" s="2" t="s">
        <v>979</v>
      </c>
      <c r="D35" s="26">
        <v>0</v>
      </c>
      <c r="E35" s="26">
        <v>0</v>
      </c>
      <c r="F35" s="27">
        <v>0</v>
      </c>
      <c r="G35" s="26">
        <v>0</v>
      </c>
      <c r="H35" s="26">
        <v>0</v>
      </c>
      <c r="I35" s="27">
        <v>0</v>
      </c>
      <c r="J35" s="26">
        <v>0</v>
      </c>
      <c r="K35" s="26">
        <v>0</v>
      </c>
      <c r="L35" s="67">
        <v>1</v>
      </c>
      <c r="N35" s="8"/>
      <c r="O35" s="2" t="s">
        <v>949</v>
      </c>
      <c r="P35" s="26">
        <v>0</v>
      </c>
      <c r="Q35" s="27">
        <v>0</v>
      </c>
      <c r="R35" s="30">
        <v>0</v>
      </c>
      <c r="S35" s="27">
        <v>0</v>
      </c>
      <c r="T35" s="30">
        <v>0</v>
      </c>
      <c r="U35" s="34">
        <v>1</v>
      </c>
      <c r="V35" s="34">
        <v>1</v>
      </c>
      <c r="X35" s="8"/>
      <c r="Y35" s="2"/>
      <c r="Z35" s="26"/>
      <c r="AA35" s="26"/>
      <c r="AB35" s="26"/>
      <c r="AC35" s="26"/>
      <c r="AD35" s="27"/>
      <c r="AE35" s="30"/>
      <c r="AF35" s="26"/>
      <c r="AG35" s="26"/>
      <c r="AH35" s="32"/>
      <c r="AJ35" s="8"/>
      <c r="AK35" s="2" t="s">
        <v>1002</v>
      </c>
      <c r="AL35" s="26">
        <v>0</v>
      </c>
      <c r="AM35" s="26">
        <v>0</v>
      </c>
      <c r="AN35" s="26">
        <v>0</v>
      </c>
      <c r="AO35" s="27">
        <v>0</v>
      </c>
      <c r="AP35" s="30">
        <v>0</v>
      </c>
      <c r="AQ35" s="26">
        <v>0</v>
      </c>
      <c r="AR35" s="26">
        <v>0</v>
      </c>
      <c r="AS35" s="32">
        <v>1</v>
      </c>
      <c r="AT35" s="34">
        <v>1</v>
      </c>
    </row>
    <row r="36" spans="2:46" x14ac:dyDescent="0.3">
      <c r="B36" s="8"/>
      <c r="C36" s="2" t="s">
        <v>772</v>
      </c>
      <c r="D36" s="26">
        <v>0</v>
      </c>
      <c r="E36" s="26">
        <v>0</v>
      </c>
      <c r="F36" s="27">
        <v>0</v>
      </c>
      <c r="G36" s="26">
        <v>0</v>
      </c>
      <c r="H36" s="26">
        <v>0</v>
      </c>
      <c r="I36" s="27">
        <v>0</v>
      </c>
      <c r="J36" s="26">
        <v>0</v>
      </c>
      <c r="K36" s="26">
        <v>0</v>
      </c>
      <c r="L36" s="67">
        <v>1</v>
      </c>
      <c r="N36" s="8"/>
      <c r="O36" s="2" t="s">
        <v>815</v>
      </c>
      <c r="P36" s="26">
        <v>0</v>
      </c>
      <c r="Q36" s="27">
        <v>0</v>
      </c>
      <c r="R36" s="30">
        <v>0</v>
      </c>
      <c r="S36" s="27">
        <v>0</v>
      </c>
      <c r="T36" s="30">
        <v>0</v>
      </c>
      <c r="U36" s="34">
        <v>1</v>
      </c>
      <c r="V36" s="34">
        <v>1</v>
      </c>
      <c r="X36" s="8"/>
      <c r="Y36" s="2"/>
      <c r="Z36" s="26"/>
      <c r="AA36" s="26"/>
      <c r="AB36" s="26"/>
      <c r="AC36" s="26"/>
      <c r="AD36" s="27"/>
      <c r="AE36" s="30"/>
      <c r="AF36" s="26"/>
      <c r="AG36" s="26"/>
      <c r="AH36" s="32"/>
      <c r="AJ36" s="8"/>
      <c r="AK36" s="2" t="s">
        <v>1003</v>
      </c>
      <c r="AL36" s="26">
        <v>0</v>
      </c>
      <c r="AM36" s="26">
        <v>0</v>
      </c>
      <c r="AN36" s="26">
        <v>0</v>
      </c>
      <c r="AO36" s="27">
        <v>0</v>
      </c>
      <c r="AP36" s="30">
        <v>0</v>
      </c>
      <c r="AQ36" s="26">
        <v>0</v>
      </c>
      <c r="AR36" s="26">
        <v>0</v>
      </c>
      <c r="AS36" s="32">
        <v>1</v>
      </c>
      <c r="AT36" s="34">
        <v>1</v>
      </c>
    </row>
    <row r="37" spans="2:46" x14ac:dyDescent="0.3">
      <c r="B37" s="8"/>
      <c r="C37" s="2" t="s">
        <v>773</v>
      </c>
      <c r="D37" s="26">
        <v>0</v>
      </c>
      <c r="E37" s="26">
        <v>0</v>
      </c>
      <c r="F37" s="27">
        <v>0</v>
      </c>
      <c r="G37" s="26">
        <v>0</v>
      </c>
      <c r="H37" s="26">
        <v>0</v>
      </c>
      <c r="I37" s="27">
        <v>0</v>
      </c>
      <c r="J37" s="26">
        <v>0</v>
      </c>
      <c r="K37" s="26">
        <v>0</v>
      </c>
      <c r="L37" s="67">
        <v>1</v>
      </c>
      <c r="N37" s="8"/>
      <c r="O37" s="2" t="s">
        <v>816</v>
      </c>
      <c r="P37" s="26">
        <v>0</v>
      </c>
      <c r="Q37" s="27">
        <v>0</v>
      </c>
      <c r="R37" s="30">
        <v>0</v>
      </c>
      <c r="S37" s="27">
        <v>0</v>
      </c>
      <c r="T37" s="30">
        <v>0</v>
      </c>
      <c r="U37" s="34">
        <v>1</v>
      </c>
      <c r="V37" s="34">
        <v>1</v>
      </c>
      <c r="X37" s="8"/>
      <c r="Y37" s="2"/>
      <c r="Z37" s="26"/>
      <c r="AA37" s="26"/>
      <c r="AB37" s="26"/>
      <c r="AC37" s="26"/>
      <c r="AD37" s="27"/>
      <c r="AE37" s="30"/>
      <c r="AF37" s="26"/>
      <c r="AG37" s="26"/>
      <c r="AH37" s="32"/>
      <c r="AJ37" s="8"/>
      <c r="AK37" s="2" t="s">
        <v>1004</v>
      </c>
      <c r="AL37" s="26">
        <v>0</v>
      </c>
      <c r="AM37" s="26">
        <v>0</v>
      </c>
      <c r="AN37" s="26">
        <v>0</v>
      </c>
      <c r="AO37" s="27">
        <v>0</v>
      </c>
      <c r="AP37" s="30">
        <v>0</v>
      </c>
      <c r="AQ37" s="26">
        <v>0</v>
      </c>
      <c r="AR37" s="26">
        <v>0</v>
      </c>
      <c r="AS37" s="32">
        <v>1</v>
      </c>
      <c r="AT37" s="34">
        <v>1</v>
      </c>
    </row>
    <row r="38" spans="2:46" x14ac:dyDescent="0.3">
      <c r="B38" s="8"/>
      <c r="C38" s="2" t="s">
        <v>722</v>
      </c>
      <c r="D38" s="26">
        <v>0</v>
      </c>
      <c r="E38" s="26">
        <v>0</v>
      </c>
      <c r="F38" s="27">
        <v>0</v>
      </c>
      <c r="G38" s="26">
        <v>0</v>
      </c>
      <c r="H38" s="26">
        <v>0</v>
      </c>
      <c r="I38" s="27">
        <v>0</v>
      </c>
      <c r="J38" s="26">
        <v>0</v>
      </c>
      <c r="K38" s="26">
        <v>0</v>
      </c>
      <c r="L38" s="67">
        <v>1</v>
      </c>
      <c r="N38" s="8"/>
      <c r="O38" s="2" t="s">
        <v>658</v>
      </c>
      <c r="P38" s="26">
        <v>0</v>
      </c>
      <c r="Q38" s="27">
        <v>0</v>
      </c>
      <c r="R38" s="30">
        <v>0</v>
      </c>
      <c r="S38" s="27">
        <v>0</v>
      </c>
      <c r="T38" s="30">
        <v>0</v>
      </c>
      <c r="U38" s="34">
        <v>1</v>
      </c>
      <c r="V38" s="34">
        <v>1</v>
      </c>
      <c r="X38" s="8"/>
      <c r="Y38" s="2"/>
      <c r="Z38" s="26"/>
      <c r="AA38" s="26"/>
      <c r="AB38" s="26"/>
      <c r="AC38" s="26"/>
      <c r="AD38" s="27"/>
      <c r="AE38" s="30"/>
      <c r="AF38" s="26"/>
      <c r="AG38" s="26"/>
      <c r="AH38" s="32"/>
      <c r="AJ38" s="8"/>
      <c r="AK38" s="2"/>
      <c r="AL38" s="26"/>
      <c r="AM38" s="26"/>
      <c r="AN38" s="26"/>
      <c r="AO38" s="27"/>
      <c r="AP38" s="30"/>
      <c r="AQ38" s="26"/>
      <c r="AR38" s="26"/>
      <c r="AS38" s="32"/>
      <c r="AT38" s="34"/>
    </row>
    <row r="39" spans="2:46" x14ac:dyDescent="0.3">
      <c r="B39" s="8"/>
      <c r="C39" s="2" t="s">
        <v>774</v>
      </c>
      <c r="D39" s="26">
        <v>0</v>
      </c>
      <c r="E39" s="26">
        <v>0</v>
      </c>
      <c r="F39" s="27">
        <v>0</v>
      </c>
      <c r="G39" s="26">
        <v>0</v>
      </c>
      <c r="H39" s="26">
        <v>0</v>
      </c>
      <c r="I39" s="27">
        <v>0</v>
      </c>
      <c r="J39" s="26">
        <v>0</v>
      </c>
      <c r="K39" s="26">
        <v>0</v>
      </c>
      <c r="L39" s="67">
        <v>1</v>
      </c>
      <c r="N39" s="8"/>
      <c r="O39" s="2" t="s">
        <v>817</v>
      </c>
      <c r="P39" s="26">
        <v>0</v>
      </c>
      <c r="Q39" s="27">
        <v>0</v>
      </c>
      <c r="R39" s="30">
        <v>0</v>
      </c>
      <c r="S39" s="27">
        <v>0</v>
      </c>
      <c r="T39" s="30">
        <v>0</v>
      </c>
      <c r="U39" s="34">
        <v>1</v>
      </c>
      <c r="V39" s="34">
        <v>1</v>
      </c>
      <c r="X39" s="8"/>
      <c r="Y39" s="2"/>
      <c r="Z39" s="26"/>
      <c r="AA39" s="26"/>
      <c r="AB39" s="26"/>
      <c r="AC39" s="26"/>
      <c r="AD39" s="27"/>
      <c r="AE39" s="30"/>
      <c r="AF39" s="26"/>
      <c r="AG39" s="26"/>
      <c r="AH39" s="32"/>
      <c r="AJ39" s="8"/>
      <c r="AK39" s="2"/>
      <c r="AL39" s="26"/>
      <c r="AM39" s="26"/>
      <c r="AN39" s="26"/>
      <c r="AO39" s="27"/>
      <c r="AP39" s="30"/>
      <c r="AQ39" s="26"/>
      <c r="AR39" s="26"/>
      <c r="AS39" s="32"/>
      <c r="AT39" s="34"/>
    </row>
    <row r="40" spans="2:46" x14ac:dyDescent="0.3">
      <c r="B40" s="8"/>
      <c r="C40" s="2" t="s">
        <v>723</v>
      </c>
      <c r="D40" s="26">
        <v>0</v>
      </c>
      <c r="E40" s="26">
        <v>0</v>
      </c>
      <c r="F40" s="27">
        <v>0</v>
      </c>
      <c r="G40" s="26">
        <v>0</v>
      </c>
      <c r="H40" s="26">
        <v>0</v>
      </c>
      <c r="I40" s="27">
        <v>0</v>
      </c>
      <c r="J40" s="26">
        <v>0</v>
      </c>
      <c r="K40" s="26">
        <v>0</v>
      </c>
      <c r="L40" s="67">
        <v>1</v>
      </c>
      <c r="N40" s="8"/>
      <c r="O40" s="2" t="s">
        <v>659</v>
      </c>
      <c r="P40" s="26">
        <v>0</v>
      </c>
      <c r="Q40" s="27">
        <v>0</v>
      </c>
      <c r="R40" s="30">
        <v>0</v>
      </c>
      <c r="S40" s="27">
        <v>0</v>
      </c>
      <c r="T40" s="30">
        <v>0</v>
      </c>
      <c r="U40" s="34">
        <v>1</v>
      </c>
      <c r="V40" s="34">
        <v>1</v>
      </c>
      <c r="X40" s="8"/>
      <c r="Y40" s="2"/>
      <c r="Z40" s="26"/>
      <c r="AA40" s="26"/>
      <c r="AB40" s="26"/>
      <c r="AC40" s="26"/>
      <c r="AD40" s="27"/>
      <c r="AE40" s="30"/>
      <c r="AF40" s="26"/>
      <c r="AG40" s="26"/>
      <c r="AH40" s="32"/>
      <c r="AJ40" s="8"/>
      <c r="AK40" s="2"/>
      <c r="AL40" s="26"/>
      <c r="AM40" s="26"/>
      <c r="AN40" s="26"/>
      <c r="AO40" s="27"/>
      <c r="AP40" s="30"/>
      <c r="AQ40" s="26"/>
      <c r="AR40" s="26"/>
      <c r="AS40" s="32"/>
      <c r="AT40" s="34"/>
    </row>
    <row r="41" spans="2:46" x14ac:dyDescent="0.3">
      <c r="B41" s="8"/>
      <c r="C41" s="2" t="s">
        <v>775</v>
      </c>
      <c r="D41" s="26">
        <v>0</v>
      </c>
      <c r="E41" s="26">
        <v>0</v>
      </c>
      <c r="F41" s="27">
        <v>0</v>
      </c>
      <c r="G41" s="26">
        <v>0</v>
      </c>
      <c r="H41" s="26">
        <v>0</v>
      </c>
      <c r="I41" s="27">
        <v>0</v>
      </c>
      <c r="J41" s="26">
        <v>0</v>
      </c>
      <c r="K41" s="26">
        <v>0</v>
      </c>
      <c r="L41" s="67">
        <v>1</v>
      </c>
      <c r="N41" s="8"/>
      <c r="O41" s="2" t="s">
        <v>818</v>
      </c>
      <c r="P41" s="26">
        <v>0</v>
      </c>
      <c r="Q41" s="27">
        <v>0</v>
      </c>
      <c r="R41" s="30">
        <v>0</v>
      </c>
      <c r="S41" s="27">
        <v>0</v>
      </c>
      <c r="T41" s="30">
        <v>0</v>
      </c>
      <c r="U41" s="34">
        <v>1</v>
      </c>
      <c r="V41" s="34">
        <v>1</v>
      </c>
      <c r="X41" s="8"/>
      <c r="Y41" s="2"/>
      <c r="Z41" s="26"/>
      <c r="AA41" s="26"/>
      <c r="AB41" s="26"/>
      <c r="AC41" s="26"/>
      <c r="AD41" s="27"/>
      <c r="AE41" s="30"/>
      <c r="AF41" s="26"/>
      <c r="AG41" s="26"/>
      <c r="AH41" s="32"/>
      <c r="AJ41" s="8"/>
      <c r="AK41" s="2"/>
      <c r="AL41" s="26"/>
      <c r="AM41" s="26"/>
      <c r="AN41" s="26"/>
      <c r="AO41" s="27"/>
      <c r="AP41" s="30"/>
      <c r="AQ41" s="26"/>
      <c r="AR41" s="26"/>
      <c r="AS41" s="32"/>
      <c r="AT41" s="34"/>
    </row>
    <row r="42" spans="2:46" x14ac:dyDescent="0.3">
      <c r="B42" s="8"/>
      <c r="C42" s="2" t="s">
        <v>776</v>
      </c>
      <c r="D42" s="26">
        <v>0</v>
      </c>
      <c r="E42" s="26">
        <v>0</v>
      </c>
      <c r="F42" s="27">
        <v>0</v>
      </c>
      <c r="G42" s="26">
        <v>0</v>
      </c>
      <c r="H42" s="26">
        <v>0</v>
      </c>
      <c r="I42" s="27">
        <v>0</v>
      </c>
      <c r="J42" s="26">
        <v>0</v>
      </c>
      <c r="K42" s="26">
        <v>0</v>
      </c>
      <c r="L42" s="67">
        <v>1</v>
      </c>
      <c r="N42" s="8"/>
      <c r="O42" s="2" t="s">
        <v>819</v>
      </c>
      <c r="P42" s="26">
        <v>0</v>
      </c>
      <c r="Q42" s="27">
        <v>0</v>
      </c>
      <c r="R42" s="30">
        <v>0</v>
      </c>
      <c r="S42" s="27">
        <v>0</v>
      </c>
      <c r="T42" s="30">
        <v>0</v>
      </c>
      <c r="U42" s="34">
        <v>1</v>
      </c>
      <c r="V42" s="34">
        <v>1</v>
      </c>
      <c r="X42" s="8"/>
      <c r="Y42" s="2"/>
      <c r="Z42" s="26"/>
      <c r="AA42" s="26"/>
      <c r="AB42" s="26"/>
      <c r="AC42" s="26"/>
      <c r="AD42" s="27"/>
      <c r="AE42" s="30"/>
      <c r="AF42" s="26"/>
      <c r="AG42" s="26"/>
      <c r="AH42" s="32"/>
      <c r="AJ42" s="8"/>
      <c r="AK42" s="2"/>
      <c r="AL42" s="26"/>
      <c r="AM42" s="26"/>
      <c r="AN42" s="26"/>
      <c r="AO42" s="27"/>
      <c r="AP42" s="30"/>
      <c r="AQ42" s="26"/>
      <c r="AR42" s="26"/>
      <c r="AS42" s="32"/>
      <c r="AT42" s="34"/>
    </row>
    <row r="43" spans="2:46" x14ac:dyDescent="0.3">
      <c r="B43" s="8"/>
      <c r="C43" s="2" t="s">
        <v>777</v>
      </c>
      <c r="D43" s="26">
        <v>0</v>
      </c>
      <c r="E43" s="26">
        <v>0</v>
      </c>
      <c r="F43" s="27">
        <v>0</v>
      </c>
      <c r="G43" s="26">
        <v>0</v>
      </c>
      <c r="H43" s="26">
        <v>0</v>
      </c>
      <c r="I43" s="27">
        <v>0</v>
      </c>
      <c r="J43" s="26">
        <v>0</v>
      </c>
      <c r="K43" s="26">
        <v>0</v>
      </c>
      <c r="L43" s="67">
        <v>1</v>
      </c>
      <c r="N43" s="8"/>
      <c r="O43" s="2" t="s">
        <v>820</v>
      </c>
      <c r="P43" s="26">
        <v>0</v>
      </c>
      <c r="Q43" s="27">
        <v>0</v>
      </c>
      <c r="R43" s="30">
        <v>0</v>
      </c>
      <c r="S43" s="27">
        <v>0</v>
      </c>
      <c r="T43" s="30">
        <v>0</v>
      </c>
      <c r="U43" s="34">
        <v>1</v>
      </c>
      <c r="V43" s="34">
        <v>1</v>
      </c>
      <c r="X43" s="8"/>
      <c r="Y43" s="2"/>
      <c r="Z43" s="26"/>
      <c r="AA43" s="26"/>
      <c r="AB43" s="26"/>
      <c r="AC43" s="26"/>
      <c r="AD43" s="27"/>
      <c r="AE43" s="30"/>
      <c r="AF43" s="26"/>
      <c r="AG43" s="26"/>
      <c r="AH43" s="32"/>
      <c r="AJ43" s="8"/>
      <c r="AK43" s="2"/>
      <c r="AL43" s="26"/>
      <c r="AM43" s="26"/>
      <c r="AN43" s="26"/>
      <c r="AO43" s="27"/>
      <c r="AP43" s="30"/>
      <c r="AQ43" s="26"/>
      <c r="AR43" s="26"/>
      <c r="AS43" s="32"/>
      <c r="AT43" s="34"/>
    </row>
    <row r="44" spans="2:46" x14ac:dyDescent="0.3">
      <c r="B44" s="8"/>
      <c r="C44" s="2" t="s">
        <v>724</v>
      </c>
      <c r="D44" s="26">
        <v>0</v>
      </c>
      <c r="E44" s="26">
        <v>0</v>
      </c>
      <c r="F44" s="27">
        <v>0</v>
      </c>
      <c r="G44" s="26">
        <v>0</v>
      </c>
      <c r="H44" s="26">
        <v>0</v>
      </c>
      <c r="I44" s="27">
        <v>0</v>
      </c>
      <c r="J44" s="26">
        <v>0</v>
      </c>
      <c r="K44" s="26">
        <v>0</v>
      </c>
      <c r="L44" s="67">
        <v>1</v>
      </c>
      <c r="N44" s="8"/>
      <c r="O44" s="2" t="s">
        <v>660</v>
      </c>
      <c r="P44" s="26">
        <v>0</v>
      </c>
      <c r="Q44" s="27">
        <v>0</v>
      </c>
      <c r="R44" s="30">
        <v>0</v>
      </c>
      <c r="S44" s="27">
        <v>0</v>
      </c>
      <c r="T44" s="30">
        <v>0</v>
      </c>
      <c r="U44" s="34">
        <v>1</v>
      </c>
      <c r="V44" s="34">
        <v>1</v>
      </c>
      <c r="X44" s="8"/>
      <c r="Y44" s="2"/>
      <c r="Z44" s="26"/>
      <c r="AA44" s="26"/>
      <c r="AB44" s="26"/>
      <c r="AC44" s="26"/>
      <c r="AD44" s="27"/>
      <c r="AE44" s="30"/>
      <c r="AF44" s="26"/>
      <c r="AG44" s="26"/>
      <c r="AH44" s="32"/>
      <c r="AJ44" s="8"/>
      <c r="AK44" s="2"/>
      <c r="AL44" s="26"/>
      <c r="AM44" s="26"/>
      <c r="AN44" s="26"/>
      <c r="AO44" s="27"/>
      <c r="AP44" s="30"/>
      <c r="AQ44" s="26"/>
      <c r="AR44" s="26"/>
      <c r="AS44" s="32"/>
      <c r="AT44" s="34"/>
    </row>
    <row r="45" spans="2:46" x14ac:dyDescent="0.3">
      <c r="B45" s="8"/>
      <c r="C45" s="2" t="s">
        <v>725</v>
      </c>
      <c r="D45" s="26">
        <v>0</v>
      </c>
      <c r="E45" s="26">
        <v>0</v>
      </c>
      <c r="F45" s="27">
        <v>0</v>
      </c>
      <c r="G45" s="26">
        <v>0</v>
      </c>
      <c r="H45" s="26">
        <v>0</v>
      </c>
      <c r="I45" s="27">
        <v>0</v>
      </c>
      <c r="J45" s="26">
        <v>0</v>
      </c>
      <c r="K45" s="26">
        <v>0</v>
      </c>
      <c r="L45" s="67">
        <v>1</v>
      </c>
      <c r="N45" s="8"/>
      <c r="O45" s="2" t="s">
        <v>661</v>
      </c>
      <c r="P45" s="26">
        <v>0</v>
      </c>
      <c r="Q45" s="27">
        <v>0</v>
      </c>
      <c r="R45" s="30">
        <v>0</v>
      </c>
      <c r="S45" s="27">
        <v>0</v>
      </c>
      <c r="T45" s="30">
        <v>0</v>
      </c>
      <c r="U45" s="34">
        <v>1</v>
      </c>
      <c r="V45" s="34">
        <v>1</v>
      </c>
      <c r="X45" s="8"/>
      <c r="Y45" s="2"/>
      <c r="Z45" s="26"/>
      <c r="AA45" s="26"/>
      <c r="AB45" s="26"/>
      <c r="AC45" s="26"/>
      <c r="AD45" s="27"/>
      <c r="AE45" s="30"/>
      <c r="AF45" s="26"/>
      <c r="AG45" s="26"/>
      <c r="AH45" s="32"/>
      <c r="AJ45" s="8"/>
      <c r="AK45" s="2"/>
      <c r="AL45" s="26"/>
      <c r="AM45" s="26"/>
      <c r="AN45" s="26"/>
      <c r="AO45" s="27"/>
      <c r="AP45" s="30"/>
      <c r="AQ45" s="26"/>
      <c r="AR45" s="26"/>
      <c r="AS45" s="32"/>
      <c r="AT45" s="34"/>
    </row>
    <row r="46" spans="2:46" x14ac:dyDescent="0.3">
      <c r="B46" s="8"/>
      <c r="C46" s="2" t="s">
        <v>778</v>
      </c>
      <c r="D46" s="26">
        <v>0</v>
      </c>
      <c r="E46" s="26">
        <v>0</v>
      </c>
      <c r="F46" s="27">
        <v>0</v>
      </c>
      <c r="G46" s="26">
        <v>0</v>
      </c>
      <c r="H46" s="26">
        <v>0</v>
      </c>
      <c r="I46" s="27">
        <v>0</v>
      </c>
      <c r="J46" s="26">
        <v>0</v>
      </c>
      <c r="K46" s="26">
        <v>0</v>
      </c>
      <c r="L46" s="67">
        <v>1</v>
      </c>
      <c r="N46" s="8"/>
      <c r="O46" s="2" t="s">
        <v>821</v>
      </c>
      <c r="P46" s="26">
        <v>0</v>
      </c>
      <c r="Q46" s="27">
        <v>0</v>
      </c>
      <c r="R46" s="30">
        <v>0</v>
      </c>
      <c r="S46" s="27">
        <v>0</v>
      </c>
      <c r="T46" s="30">
        <v>0</v>
      </c>
      <c r="U46" s="34">
        <v>1</v>
      </c>
      <c r="V46" s="34">
        <v>1</v>
      </c>
      <c r="X46" s="8"/>
      <c r="Y46" s="2"/>
      <c r="Z46" s="26"/>
      <c r="AA46" s="26"/>
      <c r="AB46" s="26"/>
      <c r="AC46" s="26"/>
      <c r="AD46" s="27"/>
      <c r="AE46" s="30"/>
      <c r="AF46" s="26"/>
      <c r="AG46" s="26"/>
      <c r="AH46" s="32"/>
      <c r="AJ46" s="8"/>
      <c r="AK46" s="2"/>
      <c r="AL46" s="26"/>
      <c r="AM46" s="26"/>
      <c r="AN46" s="26"/>
      <c r="AO46" s="27"/>
      <c r="AP46" s="30"/>
      <c r="AQ46" s="26"/>
      <c r="AR46" s="26"/>
      <c r="AS46" s="32"/>
      <c r="AT46" s="34"/>
    </row>
    <row r="47" spans="2:46" x14ac:dyDescent="0.3">
      <c r="B47" s="8"/>
      <c r="C47" s="2" t="s">
        <v>726</v>
      </c>
      <c r="D47" s="26">
        <v>0</v>
      </c>
      <c r="E47" s="26">
        <v>0</v>
      </c>
      <c r="F47" s="27">
        <v>0</v>
      </c>
      <c r="G47" s="26">
        <v>0</v>
      </c>
      <c r="H47" s="26">
        <v>0</v>
      </c>
      <c r="I47" s="27">
        <v>0</v>
      </c>
      <c r="J47" s="26">
        <v>0</v>
      </c>
      <c r="K47" s="26">
        <v>0</v>
      </c>
      <c r="L47" s="67">
        <v>1</v>
      </c>
      <c r="N47" s="8"/>
      <c r="O47" s="2" t="s">
        <v>662</v>
      </c>
      <c r="P47" s="26">
        <v>0</v>
      </c>
      <c r="Q47" s="27">
        <v>0</v>
      </c>
      <c r="R47" s="30">
        <v>0</v>
      </c>
      <c r="S47" s="27">
        <v>0</v>
      </c>
      <c r="T47" s="30">
        <v>0</v>
      </c>
      <c r="U47" s="34">
        <v>1</v>
      </c>
      <c r="V47" s="34">
        <v>1</v>
      </c>
      <c r="X47" s="8"/>
      <c r="Y47" s="2"/>
      <c r="Z47" s="26"/>
      <c r="AA47" s="26"/>
      <c r="AB47" s="26"/>
      <c r="AC47" s="26"/>
      <c r="AD47" s="27"/>
      <c r="AE47" s="30"/>
      <c r="AF47" s="26"/>
      <c r="AG47" s="26"/>
      <c r="AH47" s="32"/>
      <c r="AJ47" s="8"/>
      <c r="AK47" s="2"/>
      <c r="AL47" s="26"/>
      <c r="AM47" s="26"/>
      <c r="AN47" s="26"/>
      <c r="AO47" s="27"/>
      <c r="AP47" s="30"/>
      <c r="AQ47" s="26"/>
      <c r="AR47" s="26"/>
      <c r="AS47" s="32"/>
      <c r="AT47" s="34"/>
    </row>
    <row r="48" spans="2:46" x14ac:dyDescent="0.3">
      <c r="B48" s="8"/>
      <c r="C48" s="2" t="s">
        <v>779</v>
      </c>
      <c r="D48" s="26">
        <v>0</v>
      </c>
      <c r="E48" s="26">
        <v>0</v>
      </c>
      <c r="F48" s="27">
        <v>0</v>
      </c>
      <c r="G48" s="26">
        <v>0</v>
      </c>
      <c r="H48" s="26">
        <v>0</v>
      </c>
      <c r="I48" s="27">
        <v>0</v>
      </c>
      <c r="J48" s="26">
        <v>0</v>
      </c>
      <c r="K48" s="26">
        <v>0</v>
      </c>
      <c r="L48" s="67">
        <v>1</v>
      </c>
      <c r="N48" s="8"/>
      <c r="O48" s="2" t="s">
        <v>822</v>
      </c>
      <c r="P48" s="26">
        <v>0</v>
      </c>
      <c r="Q48" s="27">
        <v>0</v>
      </c>
      <c r="R48" s="30">
        <v>0</v>
      </c>
      <c r="S48" s="27">
        <v>0</v>
      </c>
      <c r="T48" s="30">
        <v>0</v>
      </c>
      <c r="U48" s="34">
        <v>1</v>
      </c>
      <c r="V48" s="34">
        <v>1</v>
      </c>
      <c r="X48" s="8"/>
      <c r="Y48" s="2"/>
      <c r="Z48" s="26"/>
      <c r="AA48" s="26"/>
      <c r="AB48" s="26"/>
      <c r="AC48" s="26"/>
      <c r="AD48" s="27"/>
      <c r="AE48" s="30"/>
      <c r="AF48" s="26"/>
      <c r="AG48" s="26"/>
      <c r="AH48" s="32"/>
      <c r="AJ48" s="8"/>
      <c r="AK48" s="2"/>
      <c r="AL48" s="26"/>
      <c r="AM48" s="26"/>
      <c r="AN48" s="26"/>
      <c r="AO48" s="27"/>
      <c r="AP48" s="30"/>
      <c r="AQ48" s="26"/>
      <c r="AR48" s="26"/>
      <c r="AS48" s="32"/>
      <c r="AT48" s="34"/>
    </row>
    <row r="49" spans="2:46" x14ac:dyDescent="0.3">
      <c r="B49" s="8"/>
      <c r="C49" s="2" t="s">
        <v>780</v>
      </c>
      <c r="D49" s="26">
        <v>0</v>
      </c>
      <c r="E49" s="26">
        <v>0</v>
      </c>
      <c r="F49" s="27">
        <v>0</v>
      </c>
      <c r="G49" s="26">
        <v>0</v>
      </c>
      <c r="H49" s="26">
        <v>0</v>
      </c>
      <c r="I49" s="27">
        <v>0</v>
      </c>
      <c r="J49" s="26">
        <v>0</v>
      </c>
      <c r="K49" s="26">
        <v>0</v>
      </c>
      <c r="L49" s="67">
        <v>1</v>
      </c>
      <c r="N49" s="8"/>
      <c r="O49" s="2" t="s">
        <v>823</v>
      </c>
      <c r="P49" s="26">
        <v>0</v>
      </c>
      <c r="Q49" s="27">
        <v>0</v>
      </c>
      <c r="R49" s="30">
        <v>0</v>
      </c>
      <c r="S49" s="27">
        <v>0</v>
      </c>
      <c r="T49" s="30">
        <v>0</v>
      </c>
      <c r="U49" s="34">
        <v>1</v>
      </c>
      <c r="V49" s="34">
        <v>1</v>
      </c>
      <c r="X49" s="8"/>
      <c r="Y49" s="2"/>
      <c r="Z49" s="26"/>
      <c r="AA49" s="26"/>
      <c r="AB49" s="26"/>
      <c r="AC49" s="26"/>
      <c r="AD49" s="27"/>
      <c r="AE49" s="30"/>
      <c r="AF49" s="26"/>
      <c r="AG49" s="26"/>
      <c r="AH49" s="32"/>
      <c r="AJ49" s="8"/>
      <c r="AK49" s="2"/>
      <c r="AL49" s="26"/>
      <c r="AM49" s="26"/>
      <c r="AN49" s="26"/>
      <c r="AO49" s="27"/>
      <c r="AP49" s="30"/>
      <c r="AQ49" s="26"/>
      <c r="AR49" s="26"/>
      <c r="AS49" s="32"/>
      <c r="AT49" s="34"/>
    </row>
    <row r="50" spans="2:46" x14ac:dyDescent="0.3">
      <c r="B50" s="8"/>
      <c r="C50" s="2" t="s">
        <v>727</v>
      </c>
      <c r="D50" s="26">
        <v>0</v>
      </c>
      <c r="E50" s="26">
        <v>0</v>
      </c>
      <c r="F50" s="27">
        <v>0</v>
      </c>
      <c r="G50" s="26">
        <v>0</v>
      </c>
      <c r="H50" s="26">
        <v>0</v>
      </c>
      <c r="I50" s="27">
        <v>0</v>
      </c>
      <c r="J50" s="26">
        <v>0</v>
      </c>
      <c r="K50" s="26">
        <v>0</v>
      </c>
      <c r="L50" s="67">
        <v>1</v>
      </c>
      <c r="N50" s="8"/>
      <c r="O50" s="2" t="s">
        <v>663</v>
      </c>
      <c r="P50" s="26">
        <v>0</v>
      </c>
      <c r="Q50" s="27">
        <v>0</v>
      </c>
      <c r="R50" s="30">
        <v>0</v>
      </c>
      <c r="S50" s="27">
        <v>0</v>
      </c>
      <c r="T50" s="30">
        <v>0</v>
      </c>
      <c r="U50" s="34">
        <v>1</v>
      </c>
      <c r="V50" s="34">
        <v>1</v>
      </c>
      <c r="X50" s="8"/>
      <c r="Y50" s="2"/>
      <c r="Z50" s="26"/>
      <c r="AA50" s="26"/>
      <c r="AB50" s="26"/>
      <c r="AC50" s="26"/>
      <c r="AD50" s="27"/>
      <c r="AE50" s="30"/>
      <c r="AF50" s="26"/>
      <c r="AG50" s="26"/>
      <c r="AH50" s="32"/>
      <c r="AJ50" s="8"/>
      <c r="AK50" s="2"/>
      <c r="AL50" s="26"/>
      <c r="AM50" s="26"/>
      <c r="AN50" s="26"/>
      <c r="AO50" s="27"/>
      <c r="AP50" s="30"/>
      <c r="AQ50" s="26"/>
      <c r="AR50" s="26"/>
      <c r="AS50" s="32"/>
      <c r="AT50" s="34"/>
    </row>
    <row r="51" spans="2:46" x14ac:dyDescent="0.3">
      <c r="B51" s="8"/>
      <c r="C51" s="2" t="s">
        <v>728</v>
      </c>
      <c r="D51" s="26">
        <v>0</v>
      </c>
      <c r="E51" s="26">
        <v>0</v>
      </c>
      <c r="F51" s="27">
        <v>0</v>
      </c>
      <c r="G51" s="26">
        <v>0</v>
      </c>
      <c r="H51" s="26">
        <v>0</v>
      </c>
      <c r="I51" s="27">
        <v>0</v>
      </c>
      <c r="J51" s="26">
        <v>0</v>
      </c>
      <c r="K51" s="26">
        <v>0</v>
      </c>
      <c r="L51" s="67">
        <v>1</v>
      </c>
      <c r="N51" s="8"/>
      <c r="O51" s="2" t="s">
        <v>664</v>
      </c>
      <c r="P51" s="26">
        <v>0</v>
      </c>
      <c r="Q51" s="27">
        <v>0</v>
      </c>
      <c r="R51" s="30">
        <v>0</v>
      </c>
      <c r="S51" s="27">
        <v>0</v>
      </c>
      <c r="T51" s="30">
        <v>0</v>
      </c>
      <c r="U51" s="34">
        <v>1</v>
      </c>
      <c r="V51" s="34">
        <v>1</v>
      </c>
      <c r="X51" s="8"/>
      <c r="Y51" s="2"/>
      <c r="Z51" s="26"/>
      <c r="AA51" s="26"/>
      <c r="AB51" s="26"/>
      <c r="AC51" s="26"/>
      <c r="AD51" s="27"/>
      <c r="AE51" s="30"/>
      <c r="AF51" s="26"/>
      <c r="AG51" s="26"/>
      <c r="AH51" s="32"/>
      <c r="AJ51" s="8"/>
      <c r="AK51" s="2"/>
      <c r="AL51" s="26"/>
      <c r="AM51" s="26"/>
      <c r="AN51" s="26"/>
      <c r="AO51" s="27"/>
      <c r="AP51" s="30"/>
      <c r="AQ51" s="26"/>
      <c r="AR51" s="26"/>
      <c r="AS51" s="32"/>
      <c r="AT51" s="34"/>
    </row>
    <row r="52" spans="2:46" x14ac:dyDescent="0.3">
      <c r="B52" s="8"/>
      <c r="C52" s="2" t="s">
        <v>781</v>
      </c>
      <c r="D52" s="26">
        <v>0</v>
      </c>
      <c r="E52" s="26">
        <v>0</v>
      </c>
      <c r="F52" s="27">
        <v>0</v>
      </c>
      <c r="G52" s="26">
        <v>0</v>
      </c>
      <c r="H52" s="26">
        <v>0</v>
      </c>
      <c r="I52" s="27">
        <v>0</v>
      </c>
      <c r="J52" s="26">
        <v>0</v>
      </c>
      <c r="K52" s="26">
        <v>0</v>
      </c>
      <c r="L52" s="67">
        <v>1</v>
      </c>
      <c r="N52" s="8"/>
      <c r="O52" s="2" t="s">
        <v>824</v>
      </c>
      <c r="P52" s="26">
        <v>0</v>
      </c>
      <c r="Q52" s="27">
        <v>0</v>
      </c>
      <c r="R52" s="30">
        <v>0</v>
      </c>
      <c r="S52" s="27">
        <v>0</v>
      </c>
      <c r="T52" s="30">
        <v>0</v>
      </c>
      <c r="U52" s="34">
        <v>1</v>
      </c>
      <c r="V52" s="34">
        <v>1</v>
      </c>
      <c r="X52" s="8"/>
      <c r="Y52" s="2"/>
      <c r="Z52" s="26"/>
      <c r="AA52" s="26"/>
      <c r="AB52" s="26"/>
      <c r="AC52" s="26"/>
      <c r="AD52" s="27"/>
      <c r="AE52" s="30"/>
      <c r="AF52" s="26"/>
      <c r="AG52" s="26"/>
      <c r="AH52" s="32"/>
      <c r="AJ52" s="8"/>
      <c r="AK52" s="2"/>
      <c r="AL52" s="26"/>
      <c r="AM52" s="26"/>
      <c r="AN52" s="26"/>
      <c r="AO52" s="27"/>
      <c r="AP52" s="30"/>
      <c r="AQ52" s="26"/>
      <c r="AR52" s="26"/>
      <c r="AS52" s="32"/>
      <c r="AT52" s="34"/>
    </row>
    <row r="53" spans="2:46" x14ac:dyDescent="0.3">
      <c r="B53" s="8"/>
      <c r="C53" s="2" t="s">
        <v>729</v>
      </c>
      <c r="D53" s="26">
        <v>0</v>
      </c>
      <c r="E53" s="26">
        <v>0</v>
      </c>
      <c r="F53" s="27">
        <v>0</v>
      </c>
      <c r="G53" s="26">
        <v>0</v>
      </c>
      <c r="H53" s="26">
        <v>0</v>
      </c>
      <c r="I53" s="27">
        <v>0</v>
      </c>
      <c r="J53" s="26">
        <v>0</v>
      </c>
      <c r="K53" s="26">
        <v>0</v>
      </c>
      <c r="L53" s="67">
        <v>1</v>
      </c>
      <c r="N53" s="8"/>
      <c r="O53" s="2" t="s">
        <v>665</v>
      </c>
      <c r="P53" s="26">
        <v>0</v>
      </c>
      <c r="Q53" s="27">
        <v>0</v>
      </c>
      <c r="R53" s="30">
        <v>0</v>
      </c>
      <c r="S53" s="27">
        <v>0</v>
      </c>
      <c r="T53" s="30">
        <v>0</v>
      </c>
      <c r="U53" s="34">
        <v>1</v>
      </c>
      <c r="V53" s="34">
        <v>1</v>
      </c>
      <c r="X53" s="8"/>
      <c r="Y53" s="2"/>
      <c r="Z53" s="26"/>
      <c r="AA53" s="26"/>
      <c r="AB53" s="26"/>
      <c r="AC53" s="26"/>
      <c r="AD53" s="27"/>
      <c r="AE53" s="30"/>
      <c r="AF53" s="26"/>
      <c r="AG53" s="26"/>
      <c r="AH53" s="32"/>
      <c r="AJ53" s="8"/>
      <c r="AK53" s="2"/>
      <c r="AL53" s="26"/>
      <c r="AM53" s="26"/>
      <c r="AN53" s="26"/>
      <c r="AO53" s="27"/>
      <c r="AP53" s="30"/>
      <c r="AQ53" s="26"/>
      <c r="AR53" s="26"/>
      <c r="AS53" s="32"/>
      <c r="AT53" s="34"/>
    </row>
    <row r="54" spans="2:46" x14ac:dyDescent="0.3">
      <c r="B54" s="8"/>
      <c r="C54" s="2" t="s">
        <v>782</v>
      </c>
      <c r="D54" s="26">
        <v>0</v>
      </c>
      <c r="E54" s="26">
        <v>0</v>
      </c>
      <c r="F54" s="27">
        <v>0</v>
      </c>
      <c r="G54" s="26">
        <v>0</v>
      </c>
      <c r="H54" s="26">
        <v>0</v>
      </c>
      <c r="I54" s="27">
        <v>0</v>
      </c>
      <c r="J54" s="26">
        <v>0</v>
      </c>
      <c r="K54" s="26">
        <v>0</v>
      </c>
      <c r="L54" s="67">
        <v>1</v>
      </c>
      <c r="N54" s="8"/>
      <c r="O54" s="2" t="s">
        <v>825</v>
      </c>
      <c r="P54" s="26">
        <v>0</v>
      </c>
      <c r="Q54" s="27">
        <v>0</v>
      </c>
      <c r="R54" s="30">
        <v>0</v>
      </c>
      <c r="S54" s="27">
        <v>0</v>
      </c>
      <c r="T54" s="30">
        <v>0</v>
      </c>
      <c r="U54" s="34">
        <v>1</v>
      </c>
      <c r="V54" s="34">
        <v>1</v>
      </c>
      <c r="X54" s="8"/>
      <c r="Y54" s="2"/>
      <c r="Z54" s="26"/>
      <c r="AA54" s="26"/>
      <c r="AB54" s="26"/>
      <c r="AC54" s="26"/>
      <c r="AD54" s="27"/>
      <c r="AE54" s="30"/>
      <c r="AF54" s="26"/>
      <c r="AG54" s="26"/>
      <c r="AH54" s="32"/>
      <c r="AJ54" s="8"/>
      <c r="AK54" s="2"/>
      <c r="AL54" s="26"/>
      <c r="AM54" s="26"/>
      <c r="AN54" s="26"/>
      <c r="AO54" s="27"/>
      <c r="AP54" s="30"/>
      <c r="AQ54" s="26"/>
      <c r="AR54" s="26"/>
      <c r="AS54" s="32"/>
      <c r="AT54" s="34"/>
    </row>
    <row r="55" spans="2:46" x14ac:dyDescent="0.3">
      <c r="B55" s="8"/>
      <c r="C55" s="2" t="s">
        <v>783</v>
      </c>
      <c r="D55" s="26">
        <v>0</v>
      </c>
      <c r="E55" s="26">
        <v>0</v>
      </c>
      <c r="F55" s="27">
        <v>0</v>
      </c>
      <c r="G55" s="26">
        <v>0</v>
      </c>
      <c r="H55" s="26">
        <v>0</v>
      </c>
      <c r="I55" s="27">
        <v>0</v>
      </c>
      <c r="J55" s="26">
        <v>0</v>
      </c>
      <c r="K55" s="26">
        <v>0</v>
      </c>
      <c r="L55" s="67">
        <v>1</v>
      </c>
      <c r="N55" s="8"/>
      <c r="O55" s="2" t="s">
        <v>826</v>
      </c>
      <c r="P55" s="26">
        <v>0</v>
      </c>
      <c r="Q55" s="27">
        <v>0</v>
      </c>
      <c r="R55" s="30">
        <v>0</v>
      </c>
      <c r="S55" s="27">
        <v>0</v>
      </c>
      <c r="T55" s="30">
        <v>0</v>
      </c>
      <c r="U55" s="34">
        <v>1</v>
      </c>
      <c r="V55" s="34">
        <v>1</v>
      </c>
      <c r="X55" s="8"/>
      <c r="Y55" s="2"/>
      <c r="Z55" s="26"/>
      <c r="AA55" s="26"/>
      <c r="AB55" s="26"/>
      <c r="AC55" s="26"/>
      <c r="AD55" s="27"/>
      <c r="AE55" s="30"/>
      <c r="AF55" s="26"/>
      <c r="AG55" s="26"/>
      <c r="AH55" s="32"/>
      <c r="AJ55" s="8"/>
      <c r="AK55" s="2"/>
      <c r="AL55" s="26"/>
      <c r="AM55" s="26"/>
      <c r="AN55" s="26"/>
      <c r="AO55" s="27"/>
      <c r="AP55" s="30"/>
      <c r="AQ55" s="26"/>
      <c r="AR55" s="26"/>
      <c r="AS55" s="32"/>
      <c r="AT55" s="34"/>
    </row>
    <row r="56" spans="2:46" x14ac:dyDescent="0.3">
      <c r="B56" s="8"/>
      <c r="C56" s="2" t="s">
        <v>784</v>
      </c>
      <c r="D56" s="26">
        <v>0</v>
      </c>
      <c r="E56" s="26">
        <v>0</v>
      </c>
      <c r="F56" s="27">
        <v>0</v>
      </c>
      <c r="G56" s="26">
        <v>0</v>
      </c>
      <c r="H56" s="26">
        <v>0</v>
      </c>
      <c r="I56" s="27">
        <v>0</v>
      </c>
      <c r="J56" s="26">
        <v>0</v>
      </c>
      <c r="K56" s="26">
        <v>0</v>
      </c>
      <c r="L56" s="67">
        <v>1</v>
      </c>
      <c r="N56" s="8"/>
      <c r="O56" s="2" t="s">
        <v>827</v>
      </c>
      <c r="P56" s="26">
        <v>0</v>
      </c>
      <c r="Q56" s="27">
        <v>0</v>
      </c>
      <c r="R56" s="30">
        <v>0</v>
      </c>
      <c r="S56" s="27">
        <v>0</v>
      </c>
      <c r="T56" s="30">
        <v>0</v>
      </c>
      <c r="U56" s="34">
        <v>1</v>
      </c>
      <c r="V56" s="34">
        <v>1</v>
      </c>
      <c r="X56" s="8"/>
      <c r="Y56" s="2"/>
      <c r="Z56" s="26"/>
      <c r="AA56" s="26"/>
      <c r="AB56" s="26"/>
      <c r="AC56" s="26"/>
      <c r="AD56" s="27"/>
      <c r="AE56" s="30"/>
      <c r="AF56" s="26"/>
      <c r="AG56" s="26"/>
      <c r="AH56" s="32"/>
      <c r="AJ56" s="8"/>
      <c r="AK56" s="2"/>
      <c r="AL56" s="26"/>
      <c r="AM56" s="26"/>
      <c r="AN56" s="26"/>
      <c r="AO56" s="27"/>
      <c r="AP56" s="30"/>
      <c r="AQ56" s="26"/>
      <c r="AR56" s="26"/>
      <c r="AS56" s="32"/>
      <c r="AT56" s="34"/>
    </row>
    <row r="57" spans="2:46" x14ac:dyDescent="0.3">
      <c r="B57" s="8"/>
      <c r="C57" s="2" t="s">
        <v>785</v>
      </c>
      <c r="D57" s="26">
        <v>0</v>
      </c>
      <c r="E57" s="26">
        <v>0</v>
      </c>
      <c r="F57" s="27">
        <v>0</v>
      </c>
      <c r="G57" s="26">
        <v>0</v>
      </c>
      <c r="H57" s="26">
        <v>0</v>
      </c>
      <c r="I57" s="27">
        <v>0</v>
      </c>
      <c r="J57" s="26">
        <v>0</v>
      </c>
      <c r="K57" s="26">
        <v>0</v>
      </c>
      <c r="L57" s="67">
        <v>1</v>
      </c>
      <c r="N57" s="8"/>
      <c r="O57" s="2" t="s">
        <v>828</v>
      </c>
      <c r="P57" s="26">
        <v>0</v>
      </c>
      <c r="Q57" s="27">
        <v>0</v>
      </c>
      <c r="R57" s="30">
        <v>0</v>
      </c>
      <c r="S57" s="27">
        <v>0</v>
      </c>
      <c r="T57" s="30">
        <v>0</v>
      </c>
      <c r="U57" s="34">
        <v>1</v>
      </c>
      <c r="V57" s="34">
        <v>1</v>
      </c>
      <c r="X57" s="8"/>
      <c r="Y57" s="2"/>
      <c r="Z57" s="26"/>
      <c r="AA57" s="26"/>
      <c r="AB57" s="26"/>
      <c r="AC57" s="26"/>
      <c r="AD57" s="27"/>
      <c r="AE57" s="30"/>
      <c r="AF57" s="26"/>
      <c r="AG57" s="26"/>
      <c r="AH57" s="32"/>
      <c r="AJ57" s="8"/>
      <c r="AK57" s="2"/>
      <c r="AL57" s="26"/>
      <c r="AM57" s="26"/>
      <c r="AN57" s="26"/>
      <c r="AO57" s="27"/>
      <c r="AP57" s="30"/>
      <c r="AQ57" s="26"/>
      <c r="AR57" s="26"/>
      <c r="AS57" s="32"/>
      <c r="AT57" s="34"/>
    </row>
    <row r="58" spans="2:46" x14ac:dyDescent="0.3">
      <c r="B58" s="8"/>
      <c r="C58" s="2" t="s">
        <v>786</v>
      </c>
      <c r="D58" s="26">
        <v>0</v>
      </c>
      <c r="E58" s="26">
        <v>0</v>
      </c>
      <c r="F58" s="27">
        <v>0</v>
      </c>
      <c r="G58" s="26">
        <v>0</v>
      </c>
      <c r="H58" s="26">
        <v>0</v>
      </c>
      <c r="I58" s="27">
        <v>0</v>
      </c>
      <c r="J58" s="26">
        <v>0</v>
      </c>
      <c r="K58" s="26">
        <v>0</v>
      </c>
      <c r="L58" s="67">
        <v>1</v>
      </c>
      <c r="N58" s="8"/>
      <c r="O58" s="2" t="s">
        <v>829</v>
      </c>
      <c r="P58" s="26">
        <v>0</v>
      </c>
      <c r="Q58" s="27">
        <v>0</v>
      </c>
      <c r="R58" s="30">
        <v>0</v>
      </c>
      <c r="S58" s="27">
        <v>0</v>
      </c>
      <c r="T58" s="30">
        <v>0</v>
      </c>
      <c r="U58" s="34">
        <v>1</v>
      </c>
      <c r="V58" s="34">
        <v>1</v>
      </c>
      <c r="X58" s="8"/>
      <c r="Y58" s="2"/>
      <c r="Z58" s="26"/>
      <c r="AA58" s="26"/>
      <c r="AB58" s="26"/>
      <c r="AC58" s="26"/>
      <c r="AD58" s="27"/>
      <c r="AE58" s="30"/>
      <c r="AF58" s="26"/>
      <c r="AG58" s="26"/>
      <c r="AH58" s="32"/>
      <c r="AJ58" s="8"/>
      <c r="AK58" s="2"/>
      <c r="AL58" s="26"/>
      <c r="AM58" s="26"/>
      <c r="AN58" s="26"/>
      <c r="AO58" s="27"/>
      <c r="AP58" s="30"/>
      <c r="AQ58" s="26"/>
      <c r="AR58" s="26"/>
      <c r="AS58" s="32"/>
      <c r="AT58" s="34"/>
    </row>
    <row r="59" spans="2:46" x14ac:dyDescent="0.3">
      <c r="B59" s="8"/>
      <c r="C59" s="2" t="s">
        <v>787</v>
      </c>
      <c r="D59" s="26">
        <v>0</v>
      </c>
      <c r="E59" s="26">
        <v>0</v>
      </c>
      <c r="F59" s="27">
        <v>0</v>
      </c>
      <c r="G59" s="26">
        <v>0</v>
      </c>
      <c r="H59" s="26">
        <v>0</v>
      </c>
      <c r="I59" s="27">
        <v>0</v>
      </c>
      <c r="J59" s="26">
        <v>0</v>
      </c>
      <c r="K59" s="26">
        <v>0</v>
      </c>
      <c r="L59" s="67">
        <v>1</v>
      </c>
      <c r="N59" s="8"/>
      <c r="O59" s="2" t="s">
        <v>830</v>
      </c>
      <c r="P59" s="26">
        <v>0</v>
      </c>
      <c r="Q59" s="27">
        <v>0</v>
      </c>
      <c r="R59" s="30">
        <v>0</v>
      </c>
      <c r="S59" s="27">
        <v>0</v>
      </c>
      <c r="T59" s="30">
        <v>0</v>
      </c>
      <c r="U59" s="34">
        <v>1</v>
      </c>
      <c r="V59" s="34">
        <v>1</v>
      </c>
      <c r="X59" s="8"/>
      <c r="Y59" s="2"/>
      <c r="Z59" s="26"/>
      <c r="AA59" s="26"/>
      <c r="AB59" s="26"/>
      <c r="AC59" s="26"/>
      <c r="AD59" s="27"/>
      <c r="AE59" s="30"/>
      <c r="AF59" s="26"/>
      <c r="AG59" s="26"/>
      <c r="AH59" s="32"/>
      <c r="AJ59" s="8"/>
      <c r="AK59" s="2"/>
      <c r="AL59" s="26"/>
      <c r="AM59" s="26"/>
      <c r="AN59" s="26"/>
      <c r="AO59" s="27"/>
      <c r="AP59" s="30"/>
      <c r="AQ59" s="26"/>
      <c r="AR59" s="26"/>
      <c r="AS59" s="32"/>
      <c r="AT59" s="34"/>
    </row>
    <row r="60" spans="2:46" x14ac:dyDescent="0.3">
      <c r="B60" s="8"/>
      <c r="C60" s="2" t="s">
        <v>788</v>
      </c>
      <c r="D60" s="26">
        <v>0</v>
      </c>
      <c r="E60" s="26">
        <v>0</v>
      </c>
      <c r="F60" s="27">
        <v>0</v>
      </c>
      <c r="G60" s="26">
        <v>0</v>
      </c>
      <c r="H60" s="26">
        <v>0</v>
      </c>
      <c r="I60" s="27">
        <v>0</v>
      </c>
      <c r="J60" s="26">
        <v>0</v>
      </c>
      <c r="K60" s="26">
        <v>0</v>
      </c>
      <c r="L60" s="67">
        <v>1</v>
      </c>
      <c r="N60" s="8"/>
      <c r="O60" s="2" t="s">
        <v>831</v>
      </c>
      <c r="P60" s="26">
        <v>0</v>
      </c>
      <c r="Q60" s="27">
        <v>0</v>
      </c>
      <c r="R60" s="30">
        <v>0</v>
      </c>
      <c r="S60" s="27">
        <v>0</v>
      </c>
      <c r="T60" s="30">
        <v>0</v>
      </c>
      <c r="U60" s="34">
        <v>1</v>
      </c>
      <c r="V60" s="34">
        <v>1</v>
      </c>
      <c r="X60" s="8"/>
      <c r="Y60" s="2"/>
      <c r="Z60" s="26"/>
      <c r="AA60" s="26"/>
      <c r="AB60" s="26"/>
      <c r="AC60" s="26"/>
      <c r="AD60" s="27"/>
      <c r="AE60" s="30"/>
      <c r="AF60" s="26"/>
      <c r="AG60" s="26"/>
      <c r="AH60" s="32"/>
      <c r="AJ60" s="8"/>
      <c r="AK60" s="2"/>
      <c r="AL60" s="26"/>
      <c r="AM60" s="26"/>
      <c r="AN60" s="26"/>
      <c r="AO60" s="27"/>
      <c r="AP60" s="30"/>
      <c r="AQ60" s="26"/>
      <c r="AR60" s="26"/>
      <c r="AS60" s="32"/>
      <c r="AT60" s="34"/>
    </row>
    <row r="61" spans="2:46" x14ac:dyDescent="0.3">
      <c r="B61" s="8"/>
      <c r="C61" s="2" t="s">
        <v>789</v>
      </c>
      <c r="D61" s="26">
        <v>0</v>
      </c>
      <c r="E61" s="26">
        <v>0</v>
      </c>
      <c r="F61" s="27">
        <v>0</v>
      </c>
      <c r="G61" s="26">
        <v>0</v>
      </c>
      <c r="H61" s="26">
        <v>0</v>
      </c>
      <c r="I61" s="27">
        <v>0</v>
      </c>
      <c r="J61" s="26">
        <v>0</v>
      </c>
      <c r="K61" s="26">
        <v>0</v>
      </c>
      <c r="L61" s="67">
        <v>1</v>
      </c>
      <c r="N61" s="8"/>
      <c r="O61" s="2" t="s">
        <v>832</v>
      </c>
      <c r="P61" s="26">
        <v>0</v>
      </c>
      <c r="Q61" s="27">
        <v>0</v>
      </c>
      <c r="R61" s="30">
        <v>0</v>
      </c>
      <c r="S61" s="27">
        <v>0</v>
      </c>
      <c r="T61" s="30">
        <v>0</v>
      </c>
      <c r="U61" s="34">
        <v>1</v>
      </c>
      <c r="V61" s="34">
        <v>1</v>
      </c>
      <c r="X61" s="8"/>
      <c r="Y61" s="2"/>
      <c r="Z61" s="26"/>
      <c r="AA61" s="26"/>
      <c r="AB61" s="26"/>
      <c r="AC61" s="26"/>
      <c r="AD61" s="27"/>
      <c r="AE61" s="30"/>
      <c r="AF61" s="26"/>
      <c r="AG61" s="26"/>
      <c r="AH61" s="32"/>
      <c r="AJ61" s="8"/>
      <c r="AK61" s="2"/>
      <c r="AL61" s="26"/>
      <c r="AM61" s="26"/>
      <c r="AN61" s="26"/>
      <c r="AO61" s="27"/>
      <c r="AP61" s="30"/>
      <c r="AQ61" s="26"/>
      <c r="AR61" s="26"/>
      <c r="AS61" s="32"/>
      <c r="AT61" s="34"/>
    </row>
    <row r="62" spans="2:46" x14ac:dyDescent="0.3">
      <c r="B62" s="8"/>
      <c r="C62" s="2" t="s">
        <v>790</v>
      </c>
      <c r="D62" s="26">
        <v>0</v>
      </c>
      <c r="E62" s="26">
        <v>0</v>
      </c>
      <c r="F62" s="27">
        <v>0</v>
      </c>
      <c r="G62" s="26">
        <v>0</v>
      </c>
      <c r="H62" s="26">
        <v>0</v>
      </c>
      <c r="I62" s="27">
        <v>0</v>
      </c>
      <c r="J62" s="26">
        <v>0</v>
      </c>
      <c r="K62" s="26">
        <v>0</v>
      </c>
      <c r="L62" s="67">
        <v>1</v>
      </c>
      <c r="N62" s="8"/>
      <c r="O62" s="2" t="s">
        <v>833</v>
      </c>
      <c r="P62" s="26">
        <v>0</v>
      </c>
      <c r="Q62" s="27">
        <v>0</v>
      </c>
      <c r="R62" s="30">
        <v>0</v>
      </c>
      <c r="S62" s="27">
        <v>0</v>
      </c>
      <c r="T62" s="30">
        <v>0</v>
      </c>
      <c r="U62" s="34">
        <v>1</v>
      </c>
      <c r="V62" s="34">
        <v>1</v>
      </c>
      <c r="X62" s="8"/>
      <c r="Y62" s="2"/>
      <c r="Z62" s="26"/>
      <c r="AA62" s="26"/>
      <c r="AB62" s="26"/>
      <c r="AC62" s="26"/>
      <c r="AD62" s="27"/>
      <c r="AE62" s="30"/>
      <c r="AF62" s="26"/>
      <c r="AG62" s="26"/>
      <c r="AH62" s="32"/>
      <c r="AJ62" s="8"/>
      <c r="AK62" s="2"/>
      <c r="AL62" s="26"/>
      <c r="AM62" s="26"/>
      <c r="AN62" s="26"/>
      <c r="AO62" s="27"/>
      <c r="AP62" s="30"/>
      <c r="AQ62" s="26"/>
      <c r="AR62" s="26"/>
      <c r="AS62" s="32"/>
      <c r="AT62" s="34"/>
    </row>
    <row r="63" spans="2:46" x14ac:dyDescent="0.3">
      <c r="B63" s="8"/>
      <c r="C63" s="2" t="s">
        <v>791</v>
      </c>
      <c r="D63" s="26">
        <v>0</v>
      </c>
      <c r="E63" s="26">
        <v>0</v>
      </c>
      <c r="F63" s="27">
        <v>0</v>
      </c>
      <c r="G63" s="26">
        <v>0</v>
      </c>
      <c r="H63" s="26">
        <v>0</v>
      </c>
      <c r="I63" s="27">
        <v>0</v>
      </c>
      <c r="J63" s="26">
        <v>0</v>
      </c>
      <c r="K63" s="26">
        <v>0</v>
      </c>
      <c r="L63" s="67">
        <v>1</v>
      </c>
      <c r="N63" s="8"/>
      <c r="O63" s="2" t="s">
        <v>834</v>
      </c>
      <c r="P63" s="26">
        <v>0</v>
      </c>
      <c r="Q63" s="27">
        <v>0</v>
      </c>
      <c r="R63" s="30">
        <v>0</v>
      </c>
      <c r="S63" s="27">
        <v>0</v>
      </c>
      <c r="T63" s="30">
        <v>0</v>
      </c>
      <c r="U63" s="34">
        <v>1</v>
      </c>
      <c r="V63" s="34">
        <v>1</v>
      </c>
      <c r="X63" s="8"/>
      <c r="Y63" s="2"/>
      <c r="Z63" s="26"/>
      <c r="AA63" s="26"/>
      <c r="AB63" s="26"/>
      <c r="AC63" s="26"/>
      <c r="AD63" s="27"/>
      <c r="AE63" s="30"/>
      <c r="AF63" s="26"/>
      <c r="AG63" s="26"/>
      <c r="AH63" s="32"/>
      <c r="AJ63" s="8"/>
      <c r="AK63" s="2"/>
      <c r="AL63" s="26"/>
      <c r="AM63" s="26"/>
      <c r="AN63" s="26"/>
      <c r="AO63" s="27"/>
      <c r="AP63" s="30"/>
      <c r="AQ63" s="26"/>
      <c r="AR63" s="26"/>
      <c r="AS63" s="32"/>
      <c r="AT63" s="34"/>
    </row>
    <row r="64" spans="2:46" x14ac:dyDescent="0.3">
      <c r="B64" s="8"/>
      <c r="C64" s="2" t="s">
        <v>792</v>
      </c>
      <c r="D64" s="26">
        <v>0</v>
      </c>
      <c r="E64" s="26">
        <v>0</v>
      </c>
      <c r="F64" s="27">
        <v>0</v>
      </c>
      <c r="G64" s="26">
        <v>0</v>
      </c>
      <c r="H64" s="26">
        <v>0</v>
      </c>
      <c r="I64" s="27">
        <v>0</v>
      </c>
      <c r="J64" s="26">
        <v>0</v>
      </c>
      <c r="K64" s="26">
        <v>0</v>
      </c>
      <c r="L64" s="67">
        <v>1</v>
      </c>
      <c r="N64" s="8"/>
      <c r="O64" s="2" t="s">
        <v>835</v>
      </c>
      <c r="P64" s="26">
        <v>0</v>
      </c>
      <c r="Q64" s="27">
        <v>0</v>
      </c>
      <c r="R64" s="30">
        <v>0</v>
      </c>
      <c r="S64" s="27">
        <v>0</v>
      </c>
      <c r="T64" s="30">
        <v>0</v>
      </c>
      <c r="U64" s="34">
        <v>1</v>
      </c>
      <c r="V64" s="34">
        <v>1</v>
      </c>
      <c r="X64" s="8"/>
      <c r="Y64" s="2"/>
      <c r="Z64" s="26"/>
      <c r="AA64" s="26"/>
      <c r="AB64" s="26"/>
      <c r="AC64" s="26"/>
      <c r="AD64" s="27"/>
      <c r="AE64" s="30"/>
      <c r="AF64" s="26"/>
      <c r="AG64" s="26"/>
      <c r="AH64" s="32"/>
      <c r="AJ64" s="8"/>
      <c r="AK64" s="2"/>
      <c r="AL64" s="26"/>
      <c r="AM64" s="26"/>
      <c r="AN64" s="26"/>
      <c r="AO64" s="27"/>
      <c r="AP64" s="30"/>
      <c r="AQ64" s="26"/>
      <c r="AR64" s="26"/>
      <c r="AS64" s="32"/>
      <c r="AT64" s="34"/>
    </row>
    <row r="65" spans="2:46" x14ac:dyDescent="0.3">
      <c r="B65" s="8"/>
      <c r="C65" s="2" t="s">
        <v>793</v>
      </c>
      <c r="D65" s="26">
        <v>0</v>
      </c>
      <c r="E65" s="26">
        <v>0</v>
      </c>
      <c r="F65" s="27">
        <v>0</v>
      </c>
      <c r="G65" s="26">
        <v>0</v>
      </c>
      <c r="H65" s="26">
        <v>0</v>
      </c>
      <c r="I65" s="27">
        <v>0</v>
      </c>
      <c r="J65" s="26">
        <v>0</v>
      </c>
      <c r="K65" s="26">
        <v>0</v>
      </c>
      <c r="L65" s="67">
        <v>1</v>
      </c>
      <c r="N65" s="8"/>
      <c r="O65" s="2" t="s">
        <v>836</v>
      </c>
      <c r="P65" s="26">
        <v>0</v>
      </c>
      <c r="Q65" s="27">
        <v>0</v>
      </c>
      <c r="R65" s="30">
        <v>0</v>
      </c>
      <c r="S65" s="27">
        <v>0</v>
      </c>
      <c r="T65" s="30">
        <v>0</v>
      </c>
      <c r="U65" s="34">
        <v>1</v>
      </c>
      <c r="V65" s="34">
        <v>1</v>
      </c>
      <c r="X65" s="8"/>
      <c r="Y65" s="2"/>
      <c r="Z65" s="26"/>
      <c r="AA65" s="26"/>
      <c r="AB65" s="26"/>
      <c r="AC65" s="26"/>
      <c r="AD65" s="27"/>
      <c r="AE65" s="30"/>
      <c r="AF65" s="26"/>
      <c r="AG65" s="26"/>
      <c r="AH65" s="32"/>
      <c r="AJ65" s="8"/>
      <c r="AK65" s="2"/>
      <c r="AL65" s="26"/>
      <c r="AM65" s="26"/>
      <c r="AN65" s="26"/>
      <c r="AO65" s="27"/>
      <c r="AP65" s="30"/>
      <c r="AQ65" s="26"/>
      <c r="AR65" s="26"/>
      <c r="AS65" s="32"/>
      <c r="AT65" s="34"/>
    </row>
    <row r="66" spans="2:46" x14ac:dyDescent="0.3">
      <c r="B66" s="8"/>
      <c r="C66" s="2" t="s">
        <v>980</v>
      </c>
      <c r="D66" s="26">
        <v>0</v>
      </c>
      <c r="E66" s="26">
        <v>0</v>
      </c>
      <c r="F66" s="27">
        <v>0</v>
      </c>
      <c r="G66" s="26">
        <v>0</v>
      </c>
      <c r="H66" s="26">
        <v>0</v>
      </c>
      <c r="I66" s="27">
        <v>0</v>
      </c>
      <c r="J66" s="26">
        <v>0</v>
      </c>
      <c r="K66" s="26">
        <v>0</v>
      </c>
      <c r="L66" s="67">
        <v>1</v>
      </c>
      <c r="N66" s="8"/>
      <c r="O66" s="2" t="s">
        <v>950</v>
      </c>
      <c r="P66" s="26">
        <v>0</v>
      </c>
      <c r="Q66" s="27">
        <v>0</v>
      </c>
      <c r="R66" s="30">
        <v>0</v>
      </c>
      <c r="S66" s="27">
        <v>0</v>
      </c>
      <c r="T66" s="30">
        <v>0</v>
      </c>
      <c r="U66" s="34">
        <v>1</v>
      </c>
      <c r="V66" s="34">
        <v>1</v>
      </c>
      <c r="X66" s="8"/>
      <c r="Y66" s="2"/>
      <c r="Z66" s="26"/>
      <c r="AA66" s="26"/>
      <c r="AB66" s="26"/>
      <c r="AC66" s="26"/>
      <c r="AD66" s="27"/>
      <c r="AE66" s="30"/>
      <c r="AF66" s="26"/>
      <c r="AG66" s="26"/>
      <c r="AH66" s="32"/>
      <c r="AJ66" s="8"/>
      <c r="AK66" s="2"/>
      <c r="AL66" s="26"/>
      <c r="AM66" s="26"/>
      <c r="AN66" s="26"/>
      <c r="AO66" s="27"/>
      <c r="AP66" s="30"/>
      <c r="AQ66" s="26"/>
      <c r="AR66" s="26"/>
      <c r="AS66" s="32"/>
      <c r="AT66" s="34"/>
    </row>
    <row r="67" spans="2:46" x14ac:dyDescent="0.3">
      <c r="B67" s="8"/>
      <c r="C67" s="2" t="s">
        <v>981</v>
      </c>
      <c r="D67" s="26">
        <v>0</v>
      </c>
      <c r="E67" s="26">
        <v>0</v>
      </c>
      <c r="F67" s="27">
        <v>0</v>
      </c>
      <c r="G67" s="26">
        <v>0</v>
      </c>
      <c r="H67" s="26">
        <v>0</v>
      </c>
      <c r="I67" s="27">
        <v>0</v>
      </c>
      <c r="J67" s="26">
        <v>0</v>
      </c>
      <c r="K67" s="26">
        <v>0</v>
      </c>
      <c r="L67" s="67">
        <v>1</v>
      </c>
      <c r="N67" s="8"/>
      <c r="O67" s="2" t="s">
        <v>951</v>
      </c>
      <c r="P67" s="26">
        <v>0</v>
      </c>
      <c r="Q67" s="27">
        <v>0</v>
      </c>
      <c r="R67" s="30">
        <v>0</v>
      </c>
      <c r="S67" s="27">
        <v>0</v>
      </c>
      <c r="T67" s="30">
        <v>0</v>
      </c>
      <c r="U67" s="34">
        <v>1</v>
      </c>
      <c r="V67" s="34">
        <v>1</v>
      </c>
      <c r="X67" s="8"/>
      <c r="Y67" s="2"/>
      <c r="Z67" s="26"/>
      <c r="AA67" s="26"/>
      <c r="AB67" s="26"/>
      <c r="AC67" s="26"/>
      <c r="AD67" s="27"/>
      <c r="AE67" s="30"/>
      <c r="AF67" s="26"/>
      <c r="AG67" s="26"/>
      <c r="AH67" s="32"/>
      <c r="AJ67" s="8"/>
      <c r="AK67" s="2"/>
      <c r="AL67" s="26"/>
      <c r="AM67" s="26"/>
      <c r="AN67" s="26"/>
      <c r="AO67" s="27"/>
      <c r="AP67" s="30"/>
      <c r="AQ67" s="26"/>
      <c r="AR67" s="26"/>
      <c r="AS67" s="32"/>
      <c r="AT67" s="34"/>
    </row>
    <row r="68" spans="2:46" x14ac:dyDescent="0.3">
      <c r="B68" s="8"/>
      <c r="C68" s="2" t="s">
        <v>794</v>
      </c>
      <c r="D68" s="26">
        <v>0</v>
      </c>
      <c r="E68" s="26">
        <v>0</v>
      </c>
      <c r="F68" s="27">
        <v>0</v>
      </c>
      <c r="G68" s="26">
        <v>0</v>
      </c>
      <c r="H68" s="26">
        <v>0</v>
      </c>
      <c r="I68" s="27">
        <v>0</v>
      </c>
      <c r="J68" s="26">
        <v>0</v>
      </c>
      <c r="K68" s="26">
        <v>0</v>
      </c>
      <c r="L68" s="67">
        <v>1</v>
      </c>
      <c r="N68" s="8"/>
      <c r="O68" s="2" t="s">
        <v>837</v>
      </c>
      <c r="P68" s="26">
        <v>0</v>
      </c>
      <c r="Q68" s="27">
        <v>0</v>
      </c>
      <c r="R68" s="30">
        <v>0</v>
      </c>
      <c r="S68" s="27">
        <v>0</v>
      </c>
      <c r="T68" s="30">
        <v>0</v>
      </c>
      <c r="U68" s="34">
        <v>1</v>
      </c>
      <c r="V68" s="34">
        <v>1</v>
      </c>
      <c r="X68" s="8"/>
      <c r="Y68" s="2"/>
      <c r="Z68" s="26"/>
      <c r="AA68" s="26"/>
      <c r="AB68" s="26"/>
      <c r="AC68" s="26"/>
      <c r="AD68" s="27"/>
      <c r="AE68" s="30"/>
      <c r="AF68" s="26"/>
      <c r="AG68" s="26"/>
      <c r="AH68" s="32"/>
      <c r="AJ68" s="8"/>
      <c r="AK68" s="2"/>
      <c r="AL68" s="26"/>
      <c r="AM68" s="26"/>
      <c r="AN68" s="26"/>
      <c r="AO68" s="27"/>
      <c r="AP68" s="30"/>
      <c r="AQ68" s="26"/>
      <c r="AR68" s="26"/>
      <c r="AS68" s="32"/>
      <c r="AT68" s="34"/>
    </row>
    <row r="69" spans="2:46" x14ac:dyDescent="0.3">
      <c r="B69" s="8"/>
      <c r="C69" s="2" t="s">
        <v>795</v>
      </c>
      <c r="D69" s="26">
        <v>0</v>
      </c>
      <c r="E69" s="26">
        <v>0</v>
      </c>
      <c r="F69" s="27">
        <v>0</v>
      </c>
      <c r="G69" s="26">
        <v>0</v>
      </c>
      <c r="H69" s="26">
        <v>0</v>
      </c>
      <c r="I69" s="27">
        <v>0</v>
      </c>
      <c r="J69" s="26">
        <v>0</v>
      </c>
      <c r="K69" s="26">
        <v>0</v>
      </c>
      <c r="L69" s="67">
        <v>1</v>
      </c>
      <c r="N69" s="8"/>
      <c r="O69" s="2" t="s">
        <v>838</v>
      </c>
      <c r="P69" s="26">
        <v>0</v>
      </c>
      <c r="Q69" s="27">
        <v>0</v>
      </c>
      <c r="R69" s="30">
        <v>0</v>
      </c>
      <c r="S69" s="27">
        <v>0</v>
      </c>
      <c r="T69" s="30">
        <v>0</v>
      </c>
      <c r="U69" s="34">
        <v>1</v>
      </c>
      <c r="V69" s="34">
        <v>1</v>
      </c>
      <c r="X69" s="8"/>
      <c r="Y69" s="2"/>
      <c r="Z69" s="26"/>
      <c r="AA69" s="26"/>
      <c r="AB69" s="26"/>
      <c r="AC69" s="26"/>
      <c r="AD69" s="27"/>
      <c r="AE69" s="30"/>
      <c r="AF69" s="26"/>
      <c r="AG69" s="26"/>
      <c r="AH69" s="32"/>
      <c r="AJ69" s="8"/>
      <c r="AK69" s="2"/>
      <c r="AL69" s="26"/>
      <c r="AM69" s="26"/>
      <c r="AN69" s="26"/>
      <c r="AO69" s="27"/>
      <c r="AP69" s="30"/>
      <c r="AQ69" s="26"/>
      <c r="AR69" s="26"/>
      <c r="AS69" s="32"/>
      <c r="AT69" s="34"/>
    </row>
    <row r="70" spans="2:46" x14ac:dyDescent="0.3">
      <c r="B70" s="8"/>
      <c r="C70" s="2" t="s">
        <v>796</v>
      </c>
      <c r="D70" s="26">
        <v>0</v>
      </c>
      <c r="E70" s="26">
        <v>0</v>
      </c>
      <c r="F70" s="27">
        <v>0</v>
      </c>
      <c r="G70" s="26">
        <v>0</v>
      </c>
      <c r="H70" s="26">
        <v>0</v>
      </c>
      <c r="I70" s="27">
        <v>0</v>
      </c>
      <c r="J70" s="26">
        <v>0</v>
      </c>
      <c r="K70" s="26">
        <v>0</v>
      </c>
      <c r="L70" s="67">
        <v>1</v>
      </c>
      <c r="N70" s="8"/>
      <c r="O70" s="2" t="s">
        <v>839</v>
      </c>
      <c r="P70" s="26">
        <v>0</v>
      </c>
      <c r="Q70" s="27">
        <v>0</v>
      </c>
      <c r="R70" s="30">
        <v>0</v>
      </c>
      <c r="S70" s="27">
        <v>0</v>
      </c>
      <c r="T70" s="30">
        <v>0</v>
      </c>
      <c r="U70" s="34">
        <v>1</v>
      </c>
      <c r="V70" s="34">
        <v>1</v>
      </c>
      <c r="X70" s="8"/>
      <c r="Y70" s="2"/>
      <c r="Z70" s="26"/>
      <c r="AA70" s="26"/>
      <c r="AB70" s="26"/>
      <c r="AC70" s="26"/>
      <c r="AD70" s="27"/>
      <c r="AE70" s="30"/>
      <c r="AF70" s="26"/>
      <c r="AG70" s="26"/>
      <c r="AH70" s="32"/>
      <c r="AJ70" s="8"/>
      <c r="AK70" s="2"/>
      <c r="AL70" s="26"/>
      <c r="AM70" s="26"/>
      <c r="AN70" s="26"/>
      <c r="AO70" s="27"/>
      <c r="AP70" s="30"/>
      <c r="AQ70" s="26"/>
      <c r="AR70" s="26"/>
      <c r="AS70" s="32"/>
      <c r="AT70" s="34"/>
    </row>
    <row r="71" spans="2:46" x14ac:dyDescent="0.3">
      <c r="B71" s="8"/>
      <c r="C71" s="2" t="s">
        <v>797</v>
      </c>
      <c r="D71" s="26">
        <v>0</v>
      </c>
      <c r="E71" s="26">
        <v>0</v>
      </c>
      <c r="F71" s="27">
        <v>0</v>
      </c>
      <c r="G71" s="26">
        <v>0</v>
      </c>
      <c r="H71" s="26">
        <v>0</v>
      </c>
      <c r="I71" s="27">
        <v>0</v>
      </c>
      <c r="J71" s="26">
        <v>0</v>
      </c>
      <c r="K71" s="26">
        <v>0</v>
      </c>
      <c r="L71" s="67">
        <v>1</v>
      </c>
      <c r="N71" s="8"/>
      <c r="O71" s="2" t="s">
        <v>840</v>
      </c>
      <c r="P71" s="26">
        <v>0</v>
      </c>
      <c r="Q71" s="27">
        <v>0</v>
      </c>
      <c r="R71" s="30">
        <v>0</v>
      </c>
      <c r="S71" s="27">
        <v>0</v>
      </c>
      <c r="T71" s="30">
        <v>0</v>
      </c>
      <c r="U71" s="34">
        <v>1</v>
      </c>
      <c r="V71" s="34">
        <v>1</v>
      </c>
      <c r="X71" s="8"/>
      <c r="Y71" s="2"/>
      <c r="Z71" s="26"/>
      <c r="AA71" s="26"/>
      <c r="AB71" s="26"/>
      <c r="AC71" s="26"/>
      <c r="AD71" s="27"/>
      <c r="AE71" s="30"/>
      <c r="AF71" s="26"/>
      <c r="AG71" s="26"/>
      <c r="AH71" s="32"/>
      <c r="AJ71" s="8"/>
      <c r="AK71" s="2"/>
      <c r="AL71" s="26"/>
      <c r="AM71" s="26"/>
      <c r="AN71" s="26"/>
      <c r="AO71" s="27"/>
      <c r="AP71" s="30"/>
      <c r="AQ71" s="26"/>
      <c r="AR71" s="26"/>
      <c r="AS71" s="32"/>
      <c r="AT71" s="34"/>
    </row>
    <row r="72" spans="2:46" x14ac:dyDescent="0.3">
      <c r="B72" s="8"/>
      <c r="C72" s="2" t="s">
        <v>798</v>
      </c>
      <c r="D72" s="26">
        <v>0</v>
      </c>
      <c r="E72" s="26">
        <v>0</v>
      </c>
      <c r="F72" s="27">
        <v>0</v>
      </c>
      <c r="G72" s="26">
        <v>0</v>
      </c>
      <c r="H72" s="26">
        <v>0</v>
      </c>
      <c r="I72" s="27">
        <v>0</v>
      </c>
      <c r="J72" s="26">
        <v>0</v>
      </c>
      <c r="K72" s="26">
        <v>0</v>
      </c>
      <c r="L72" s="67">
        <v>1</v>
      </c>
      <c r="N72" s="8"/>
      <c r="O72" s="2" t="s">
        <v>841</v>
      </c>
      <c r="P72" s="26">
        <v>0</v>
      </c>
      <c r="Q72" s="27">
        <v>0</v>
      </c>
      <c r="R72" s="30">
        <v>0</v>
      </c>
      <c r="S72" s="27">
        <v>0</v>
      </c>
      <c r="T72" s="30">
        <v>0</v>
      </c>
      <c r="U72" s="34">
        <v>1</v>
      </c>
      <c r="V72" s="34">
        <v>1</v>
      </c>
      <c r="X72" s="8"/>
      <c r="Y72" s="2"/>
      <c r="Z72" s="26"/>
      <c r="AA72" s="26"/>
      <c r="AB72" s="26"/>
      <c r="AC72" s="26"/>
      <c r="AD72" s="27"/>
      <c r="AE72" s="30"/>
      <c r="AF72" s="26"/>
      <c r="AG72" s="26"/>
      <c r="AH72" s="32"/>
      <c r="AJ72" s="8"/>
      <c r="AK72" s="2"/>
      <c r="AL72" s="26"/>
      <c r="AM72" s="26"/>
      <c r="AN72" s="26"/>
      <c r="AO72" s="27"/>
      <c r="AP72" s="30"/>
      <c r="AQ72" s="26"/>
      <c r="AR72" s="26"/>
      <c r="AS72" s="32"/>
      <c r="AT72" s="34"/>
    </row>
    <row r="73" spans="2:46" x14ac:dyDescent="0.3">
      <c r="B73" s="8"/>
      <c r="C73" s="2" t="s">
        <v>730</v>
      </c>
      <c r="D73" s="26">
        <v>0</v>
      </c>
      <c r="E73" s="26">
        <v>0</v>
      </c>
      <c r="F73" s="27">
        <v>0</v>
      </c>
      <c r="G73" s="26">
        <v>0</v>
      </c>
      <c r="H73" s="26">
        <v>0</v>
      </c>
      <c r="I73" s="27">
        <v>0</v>
      </c>
      <c r="J73" s="26">
        <v>0</v>
      </c>
      <c r="K73" s="26">
        <v>0</v>
      </c>
      <c r="L73" s="67">
        <v>1</v>
      </c>
      <c r="N73" s="8"/>
      <c r="O73" s="2" t="s">
        <v>666</v>
      </c>
      <c r="P73" s="26">
        <v>0</v>
      </c>
      <c r="Q73" s="27">
        <v>0</v>
      </c>
      <c r="R73" s="30">
        <v>0</v>
      </c>
      <c r="S73" s="27">
        <v>0</v>
      </c>
      <c r="T73" s="30">
        <v>0</v>
      </c>
      <c r="U73" s="34">
        <v>1</v>
      </c>
      <c r="V73" s="34">
        <v>1</v>
      </c>
      <c r="X73" s="8"/>
      <c r="Y73" s="2"/>
      <c r="Z73" s="26"/>
      <c r="AA73" s="26"/>
      <c r="AB73" s="26"/>
      <c r="AC73" s="26"/>
      <c r="AD73" s="27"/>
      <c r="AE73" s="30"/>
      <c r="AF73" s="26"/>
      <c r="AG73" s="26"/>
      <c r="AH73" s="32"/>
      <c r="AJ73" s="8"/>
      <c r="AK73" s="2"/>
      <c r="AL73" s="26"/>
      <c r="AM73" s="26"/>
      <c r="AN73" s="26"/>
      <c r="AO73" s="27"/>
      <c r="AP73" s="30"/>
      <c r="AQ73" s="26"/>
      <c r="AR73" s="26"/>
      <c r="AS73" s="32"/>
      <c r="AT73" s="34"/>
    </row>
    <row r="74" spans="2:46" x14ac:dyDescent="0.3">
      <c r="B74" s="8"/>
      <c r="C74" s="2" t="s">
        <v>799</v>
      </c>
      <c r="D74" s="26">
        <v>0</v>
      </c>
      <c r="E74" s="26">
        <v>0</v>
      </c>
      <c r="F74" s="27">
        <v>0</v>
      </c>
      <c r="G74" s="26">
        <v>0</v>
      </c>
      <c r="H74" s="26">
        <v>0</v>
      </c>
      <c r="I74" s="27">
        <v>0</v>
      </c>
      <c r="J74" s="26">
        <v>0</v>
      </c>
      <c r="K74" s="26">
        <v>0</v>
      </c>
      <c r="L74" s="67">
        <v>1</v>
      </c>
      <c r="N74" s="8"/>
      <c r="O74" s="2" t="s">
        <v>842</v>
      </c>
      <c r="P74" s="26">
        <v>0</v>
      </c>
      <c r="Q74" s="27">
        <v>0</v>
      </c>
      <c r="R74" s="30">
        <v>0</v>
      </c>
      <c r="S74" s="27">
        <v>0</v>
      </c>
      <c r="T74" s="30">
        <v>0</v>
      </c>
      <c r="U74" s="34">
        <v>1</v>
      </c>
      <c r="V74" s="34">
        <v>1</v>
      </c>
      <c r="X74" s="8"/>
      <c r="Y74" s="2"/>
      <c r="Z74" s="26"/>
      <c r="AA74" s="26"/>
      <c r="AB74" s="26"/>
      <c r="AC74" s="26"/>
      <c r="AD74" s="27"/>
      <c r="AE74" s="30"/>
      <c r="AF74" s="26"/>
      <c r="AG74" s="26"/>
      <c r="AH74" s="32"/>
      <c r="AJ74" s="8"/>
      <c r="AK74" s="2"/>
      <c r="AL74" s="26"/>
      <c r="AM74" s="26"/>
      <c r="AN74" s="26"/>
      <c r="AO74" s="27"/>
      <c r="AP74" s="30"/>
      <c r="AQ74" s="26"/>
      <c r="AR74" s="26"/>
      <c r="AS74" s="32"/>
      <c r="AT74" s="34"/>
    </row>
    <row r="75" spans="2:46" x14ac:dyDescent="0.3">
      <c r="B75" s="8"/>
      <c r="C75" s="2" t="s">
        <v>731</v>
      </c>
      <c r="D75" s="26">
        <v>0</v>
      </c>
      <c r="E75" s="26">
        <v>0</v>
      </c>
      <c r="F75" s="27">
        <v>0</v>
      </c>
      <c r="G75" s="26">
        <v>0</v>
      </c>
      <c r="H75" s="26">
        <v>0</v>
      </c>
      <c r="I75" s="27">
        <v>0</v>
      </c>
      <c r="J75" s="26">
        <v>0</v>
      </c>
      <c r="K75" s="26">
        <v>0</v>
      </c>
      <c r="L75" s="67">
        <v>1</v>
      </c>
      <c r="N75" s="8"/>
      <c r="O75" s="2" t="s">
        <v>667</v>
      </c>
      <c r="P75" s="26">
        <v>0</v>
      </c>
      <c r="Q75" s="27">
        <v>0</v>
      </c>
      <c r="R75" s="30">
        <v>0</v>
      </c>
      <c r="S75" s="27">
        <v>0</v>
      </c>
      <c r="T75" s="30">
        <v>0</v>
      </c>
      <c r="U75" s="34">
        <v>1</v>
      </c>
      <c r="V75" s="34">
        <v>1</v>
      </c>
      <c r="X75" s="8"/>
      <c r="Y75" s="2"/>
      <c r="Z75" s="26"/>
      <c r="AA75" s="26"/>
      <c r="AB75" s="26"/>
      <c r="AC75" s="26"/>
      <c r="AD75" s="27"/>
      <c r="AE75" s="30"/>
      <c r="AF75" s="26"/>
      <c r="AG75" s="26"/>
      <c r="AH75" s="32"/>
      <c r="AJ75" s="8"/>
      <c r="AK75" s="2"/>
      <c r="AL75" s="26"/>
      <c r="AM75" s="26"/>
      <c r="AN75" s="26"/>
      <c r="AO75" s="27"/>
      <c r="AP75" s="30"/>
      <c r="AQ75" s="26"/>
      <c r="AR75" s="26"/>
      <c r="AS75" s="32"/>
      <c r="AT75" s="34"/>
    </row>
    <row r="76" spans="2:46" x14ac:dyDescent="0.3">
      <c r="B76" s="8"/>
      <c r="C76" s="2" t="s">
        <v>800</v>
      </c>
      <c r="D76" s="26">
        <v>0</v>
      </c>
      <c r="E76" s="26">
        <v>0</v>
      </c>
      <c r="F76" s="27">
        <v>0</v>
      </c>
      <c r="G76" s="26">
        <v>0</v>
      </c>
      <c r="H76" s="26">
        <v>0</v>
      </c>
      <c r="I76" s="27">
        <v>0</v>
      </c>
      <c r="J76" s="26">
        <v>0</v>
      </c>
      <c r="K76" s="26">
        <v>0</v>
      </c>
      <c r="L76" s="67">
        <v>1</v>
      </c>
      <c r="N76" s="8"/>
      <c r="O76" s="2" t="s">
        <v>843</v>
      </c>
      <c r="P76" s="26">
        <v>0</v>
      </c>
      <c r="Q76" s="27">
        <v>0</v>
      </c>
      <c r="R76" s="30">
        <v>0</v>
      </c>
      <c r="S76" s="27">
        <v>0</v>
      </c>
      <c r="T76" s="30">
        <v>0</v>
      </c>
      <c r="U76" s="34">
        <v>1</v>
      </c>
      <c r="V76" s="34">
        <v>1</v>
      </c>
      <c r="X76" s="8"/>
      <c r="Y76" s="2"/>
      <c r="Z76" s="26"/>
      <c r="AA76" s="26"/>
      <c r="AB76" s="26"/>
      <c r="AC76" s="26"/>
      <c r="AD76" s="27"/>
      <c r="AE76" s="30"/>
      <c r="AF76" s="26"/>
      <c r="AG76" s="26"/>
      <c r="AH76" s="32"/>
      <c r="AJ76" s="8"/>
      <c r="AK76" s="2"/>
      <c r="AL76" s="26"/>
      <c r="AM76" s="26"/>
      <c r="AN76" s="26"/>
      <c r="AO76" s="27"/>
      <c r="AP76" s="30"/>
      <c r="AQ76" s="26"/>
      <c r="AR76" s="26"/>
      <c r="AS76" s="32"/>
      <c r="AT76" s="34"/>
    </row>
    <row r="77" spans="2:46" x14ac:dyDescent="0.3">
      <c r="B77" s="8"/>
      <c r="C77" s="2" t="s">
        <v>982</v>
      </c>
      <c r="D77" s="26">
        <v>0</v>
      </c>
      <c r="E77" s="26">
        <v>0</v>
      </c>
      <c r="F77" s="27">
        <v>0</v>
      </c>
      <c r="G77" s="26">
        <v>0</v>
      </c>
      <c r="H77" s="26">
        <v>0</v>
      </c>
      <c r="I77" s="27">
        <v>0</v>
      </c>
      <c r="J77" s="26">
        <v>0</v>
      </c>
      <c r="K77" s="26">
        <v>0</v>
      </c>
      <c r="L77" s="67">
        <v>1</v>
      </c>
      <c r="N77" s="8"/>
      <c r="O77" s="2" t="s">
        <v>952</v>
      </c>
      <c r="P77" s="26">
        <v>0</v>
      </c>
      <c r="Q77" s="27">
        <v>0</v>
      </c>
      <c r="R77" s="30">
        <v>0</v>
      </c>
      <c r="S77" s="27">
        <v>0</v>
      </c>
      <c r="T77" s="30">
        <v>0</v>
      </c>
      <c r="U77" s="34">
        <v>1</v>
      </c>
      <c r="V77" s="34">
        <v>1</v>
      </c>
      <c r="X77" s="8"/>
      <c r="Y77" s="2"/>
      <c r="Z77" s="26"/>
      <c r="AA77" s="26"/>
      <c r="AB77" s="26"/>
      <c r="AC77" s="26"/>
      <c r="AD77" s="27"/>
      <c r="AE77" s="30"/>
      <c r="AF77" s="26"/>
      <c r="AG77" s="26"/>
      <c r="AH77" s="32"/>
      <c r="AJ77" s="8"/>
      <c r="AK77" s="2"/>
      <c r="AL77" s="26"/>
      <c r="AM77" s="26"/>
      <c r="AN77" s="26"/>
      <c r="AO77" s="27"/>
      <c r="AP77" s="30"/>
      <c r="AQ77" s="26"/>
      <c r="AR77" s="26"/>
      <c r="AS77" s="32"/>
      <c r="AT77" s="34"/>
    </row>
    <row r="78" spans="2:46" x14ac:dyDescent="0.3">
      <c r="B78" s="8"/>
      <c r="C78" s="2" t="s">
        <v>983</v>
      </c>
      <c r="D78" s="26">
        <v>0</v>
      </c>
      <c r="E78" s="26">
        <v>0</v>
      </c>
      <c r="F78" s="27">
        <v>0</v>
      </c>
      <c r="G78" s="26">
        <v>0</v>
      </c>
      <c r="H78" s="26">
        <v>0</v>
      </c>
      <c r="I78" s="27">
        <v>0</v>
      </c>
      <c r="J78" s="26">
        <v>0</v>
      </c>
      <c r="K78" s="26">
        <v>0</v>
      </c>
      <c r="L78" s="67">
        <v>1</v>
      </c>
      <c r="N78" s="8"/>
      <c r="O78" s="2" t="s">
        <v>953</v>
      </c>
      <c r="P78" s="26">
        <v>0</v>
      </c>
      <c r="Q78" s="27">
        <v>0</v>
      </c>
      <c r="R78" s="30">
        <v>0</v>
      </c>
      <c r="S78" s="27">
        <v>0</v>
      </c>
      <c r="T78" s="30">
        <v>0</v>
      </c>
      <c r="U78" s="34">
        <v>1</v>
      </c>
      <c r="V78" s="34">
        <v>1</v>
      </c>
      <c r="X78" s="8"/>
      <c r="Y78" s="2"/>
      <c r="Z78" s="26"/>
      <c r="AA78" s="26"/>
      <c r="AB78" s="26"/>
      <c r="AC78" s="26"/>
      <c r="AD78" s="27"/>
      <c r="AE78" s="30"/>
      <c r="AF78" s="26"/>
      <c r="AG78" s="26"/>
      <c r="AH78" s="32"/>
      <c r="AJ78" s="8"/>
      <c r="AK78" s="2"/>
      <c r="AL78" s="26"/>
      <c r="AM78" s="26"/>
      <c r="AN78" s="26"/>
      <c r="AO78" s="27"/>
      <c r="AP78" s="30"/>
      <c r="AQ78" s="26"/>
      <c r="AR78" s="26"/>
      <c r="AS78" s="32"/>
      <c r="AT78" s="34"/>
    </row>
    <row r="79" spans="2:46" x14ac:dyDescent="0.3">
      <c r="B79" s="8"/>
      <c r="C79" s="2" t="s">
        <v>984</v>
      </c>
      <c r="D79" s="26">
        <v>0</v>
      </c>
      <c r="E79" s="26">
        <v>0</v>
      </c>
      <c r="F79" s="27">
        <v>0</v>
      </c>
      <c r="G79" s="26">
        <v>0</v>
      </c>
      <c r="H79" s="26">
        <v>0</v>
      </c>
      <c r="I79" s="27">
        <v>0</v>
      </c>
      <c r="J79" s="26">
        <v>0</v>
      </c>
      <c r="K79" s="26">
        <v>0</v>
      </c>
      <c r="L79" s="67">
        <v>1</v>
      </c>
      <c r="N79" s="8"/>
      <c r="O79" s="2" t="s">
        <v>954</v>
      </c>
      <c r="P79" s="26">
        <v>0</v>
      </c>
      <c r="Q79" s="27">
        <v>0</v>
      </c>
      <c r="R79" s="30">
        <v>0</v>
      </c>
      <c r="S79" s="27">
        <v>0</v>
      </c>
      <c r="T79" s="30">
        <v>0</v>
      </c>
      <c r="U79" s="34">
        <v>1</v>
      </c>
      <c r="V79" s="34">
        <v>1</v>
      </c>
      <c r="X79" s="8"/>
      <c r="Y79" s="2"/>
      <c r="Z79" s="26"/>
      <c r="AA79" s="26"/>
      <c r="AB79" s="26"/>
      <c r="AC79" s="26"/>
      <c r="AD79" s="27"/>
      <c r="AE79" s="30"/>
      <c r="AF79" s="26"/>
      <c r="AG79" s="26"/>
      <c r="AH79" s="32"/>
      <c r="AJ79" s="8"/>
      <c r="AK79" s="2"/>
      <c r="AL79" s="26"/>
      <c r="AM79" s="26"/>
      <c r="AN79" s="26"/>
      <c r="AO79" s="27"/>
      <c r="AP79" s="30"/>
      <c r="AQ79" s="26"/>
      <c r="AR79" s="26"/>
      <c r="AS79" s="32"/>
      <c r="AT79" s="34"/>
    </row>
    <row r="80" spans="2:46" x14ac:dyDescent="0.3">
      <c r="B80" s="8"/>
      <c r="C80" s="2" t="s">
        <v>732</v>
      </c>
      <c r="D80" s="26">
        <v>0</v>
      </c>
      <c r="E80" s="26">
        <v>0</v>
      </c>
      <c r="F80" s="27">
        <v>0</v>
      </c>
      <c r="G80" s="26">
        <v>0</v>
      </c>
      <c r="H80" s="26">
        <v>0</v>
      </c>
      <c r="I80" s="27">
        <v>0</v>
      </c>
      <c r="J80" s="26">
        <v>0</v>
      </c>
      <c r="K80" s="26">
        <v>0</v>
      </c>
      <c r="L80" s="67">
        <v>1</v>
      </c>
      <c r="N80" s="8"/>
      <c r="O80" s="2" t="s">
        <v>668</v>
      </c>
      <c r="P80" s="26">
        <v>0</v>
      </c>
      <c r="Q80" s="27">
        <v>0</v>
      </c>
      <c r="R80" s="30">
        <v>0</v>
      </c>
      <c r="S80" s="27">
        <v>0</v>
      </c>
      <c r="T80" s="30">
        <v>0</v>
      </c>
      <c r="U80" s="34">
        <v>1</v>
      </c>
      <c r="V80" s="34">
        <v>1</v>
      </c>
      <c r="X80" s="8"/>
      <c r="Y80" s="2"/>
      <c r="Z80" s="26"/>
      <c r="AA80" s="26"/>
      <c r="AB80" s="26"/>
      <c r="AC80" s="26"/>
      <c r="AD80" s="27"/>
      <c r="AE80" s="30"/>
      <c r="AF80" s="26"/>
      <c r="AG80" s="26"/>
      <c r="AH80" s="32"/>
      <c r="AJ80" s="8"/>
      <c r="AK80" s="2"/>
      <c r="AL80" s="26"/>
      <c r="AM80" s="26"/>
      <c r="AN80" s="26"/>
      <c r="AO80" s="27"/>
      <c r="AP80" s="30"/>
      <c r="AQ80" s="26"/>
      <c r="AR80" s="26"/>
      <c r="AS80" s="32"/>
      <c r="AT80" s="34"/>
    </row>
    <row r="81" spans="2:46" x14ac:dyDescent="0.3">
      <c r="B81" s="8"/>
      <c r="C81" s="2" t="s">
        <v>801</v>
      </c>
      <c r="D81" s="26">
        <v>0</v>
      </c>
      <c r="E81" s="26">
        <v>0</v>
      </c>
      <c r="F81" s="27">
        <v>0</v>
      </c>
      <c r="G81" s="26">
        <v>0</v>
      </c>
      <c r="H81" s="26">
        <v>0</v>
      </c>
      <c r="I81" s="27">
        <v>0</v>
      </c>
      <c r="J81" s="26">
        <v>0</v>
      </c>
      <c r="K81" s="26">
        <v>0</v>
      </c>
      <c r="L81" s="67">
        <v>1</v>
      </c>
      <c r="N81" s="8"/>
      <c r="O81" s="2" t="s">
        <v>844</v>
      </c>
      <c r="P81" s="26">
        <v>0</v>
      </c>
      <c r="Q81" s="27">
        <v>0</v>
      </c>
      <c r="R81" s="30">
        <v>0</v>
      </c>
      <c r="S81" s="27">
        <v>0</v>
      </c>
      <c r="T81" s="30">
        <v>0</v>
      </c>
      <c r="U81" s="34">
        <v>1</v>
      </c>
      <c r="V81" s="34">
        <v>1</v>
      </c>
      <c r="X81" s="8"/>
      <c r="Y81" s="2"/>
      <c r="Z81" s="26"/>
      <c r="AA81" s="26"/>
      <c r="AB81" s="26"/>
      <c r="AC81" s="26"/>
      <c r="AD81" s="27"/>
      <c r="AE81" s="30"/>
      <c r="AF81" s="26"/>
      <c r="AG81" s="26"/>
      <c r="AH81" s="32"/>
      <c r="AJ81" s="8"/>
      <c r="AK81" s="2"/>
      <c r="AL81" s="26"/>
      <c r="AM81" s="26"/>
      <c r="AN81" s="26"/>
      <c r="AO81" s="27"/>
      <c r="AP81" s="30"/>
      <c r="AQ81" s="26"/>
      <c r="AR81" s="26"/>
      <c r="AS81" s="32"/>
      <c r="AT81" s="34"/>
    </row>
    <row r="82" spans="2:46" x14ac:dyDescent="0.3">
      <c r="B82" s="8"/>
      <c r="C82" s="2" t="s">
        <v>802</v>
      </c>
      <c r="D82" s="26">
        <v>0</v>
      </c>
      <c r="E82" s="26">
        <v>0</v>
      </c>
      <c r="F82" s="27">
        <v>0</v>
      </c>
      <c r="G82" s="26">
        <v>0</v>
      </c>
      <c r="H82" s="26">
        <v>0</v>
      </c>
      <c r="I82" s="27">
        <v>0</v>
      </c>
      <c r="J82" s="26">
        <v>0</v>
      </c>
      <c r="K82" s="26">
        <v>0</v>
      </c>
      <c r="L82" s="67">
        <v>1</v>
      </c>
      <c r="N82" s="8"/>
      <c r="O82" s="2" t="s">
        <v>845</v>
      </c>
      <c r="P82" s="26">
        <v>0</v>
      </c>
      <c r="Q82" s="27">
        <v>0</v>
      </c>
      <c r="R82" s="30">
        <v>0</v>
      </c>
      <c r="S82" s="27">
        <v>0</v>
      </c>
      <c r="T82" s="30">
        <v>0</v>
      </c>
      <c r="U82" s="34">
        <v>1</v>
      </c>
      <c r="V82" s="34">
        <v>1</v>
      </c>
      <c r="X82" s="8"/>
      <c r="Y82" s="2"/>
      <c r="Z82" s="26"/>
      <c r="AA82" s="26"/>
      <c r="AB82" s="26"/>
      <c r="AC82" s="26"/>
      <c r="AD82" s="27"/>
      <c r="AE82" s="30"/>
      <c r="AF82" s="26"/>
      <c r="AG82" s="26"/>
      <c r="AH82" s="32"/>
      <c r="AJ82" s="8"/>
      <c r="AK82" s="2"/>
      <c r="AL82" s="26"/>
      <c r="AM82" s="26"/>
      <c r="AN82" s="26"/>
      <c r="AO82" s="27"/>
      <c r="AP82" s="30"/>
      <c r="AQ82" s="26"/>
      <c r="AR82" s="26"/>
      <c r="AS82" s="32"/>
      <c r="AT82" s="34"/>
    </row>
    <row r="83" spans="2:46" x14ac:dyDescent="0.3">
      <c r="B83" s="8"/>
      <c r="C83" s="2" t="s">
        <v>733</v>
      </c>
      <c r="D83" s="26">
        <v>0</v>
      </c>
      <c r="E83" s="26">
        <v>0</v>
      </c>
      <c r="F83" s="27">
        <v>0</v>
      </c>
      <c r="G83" s="26">
        <v>0</v>
      </c>
      <c r="H83" s="26">
        <v>0</v>
      </c>
      <c r="I83" s="27">
        <v>0</v>
      </c>
      <c r="J83" s="26">
        <v>0</v>
      </c>
      <c r="K83" s="26">
        <v>0</v>
      </c>
      <c r="L83" s="67">
        <v>1</v>
      </c>
      <c r="N83" s="8"/>
      <c r="O83" s="2" t="s">
        <v>669</v>
      </c>
      <c r="P83" s="26">
        <v>0</v>
      </c>
      <c r="Q83" s="27">
        <v>0</v>
      </c>
      <c r="R83" s="30">
        <v>0</v>
      </c>
      <c r="S83" s="27">
        <v>0</v>
      </c>
      <c r="T83" s="30">
        <v>0</v>
      </c>
      <c r="U83" s="34">
        <v>1</v>
      </c>
      <c r="V83" s="34">
        <v>1</v>
      </c>
      <c r="X83" s="8"/>
      <c r="Y83" s="2"/>
      <c r="Z83" s="26"/>
      <c r="AA83" s="26"/>
      <c r="AB83" s="26"/>
      <c r="AC83" s="26"/>
      <c r="AD83" s="27"/>
      <c r="AE83" s="30"/>
      <c r="AF83" s="26"/>
      <c r="AG83" s="26"/>
      <c r="AH83" s="32"/>
      <c r="AJ83" s="8"/>
      <c r="AK83" s="2"/>
      <c r="AL83" s="26"/>
      <c r="AM83" s="26"/>
      <c r="AN83" s="26"/>
      <c r="AO83" s="27"/>
      <c r="AP83" s="30"/>
      <c r="AQ83" s="26"/>
      <c r="AR83" s="26"/>
      <c r="AS83" s="32"/>
      <c r="AT83" s="34"/>
    </row>
    <row r="84" spans="2:46" x14ac:dyDescent="0.3">
      <c r="B84" s="8"/>
      <c r="C84" s="2" t="s">
        <v>803</v>
      </c>
      <c r="D84" s="26">
        <v>0</v>
      </c>
      <c r="E84" s="26">
        <v>0</v>
      </c>
      <c r="F84" s="27">
        <v>0</v>
      </c>
      <c r="G84" s="26">
        <v>0</v>
      </c>
      <c r="H84" s="26">
        <v>0</v>
      </c>
      <c r="I84" s="27">
        <v>0</v>
      </c>
      <c r="J84" s="26">
        <v>0</v>
      </c>
      <c r="K84" s="26">
        <v>0</v>
      </c>
      <c r="L84" s="67">
        <v>1</v>
      </c>
      <c r="N84" s="8"/>
      <c r="O84" s="2" t="s">
        <v>846</v>
      </c>
      <c r="P84" s="26">
        <v>0</v>
      </c>
      <c r="Q84" s="27">
        <v>0</v>
      </c>
      <c r="R84" s="30">
        <v>0</v>
      </c>
      <c r="S84" s="27">
        <v>0</v>
      </c>
      <c r="T84" s="30">
        <v>0</v>
      </c>
      <c r="U84" s="34">
        <v>1</v>
      </c>
      <c r="V84" s="34">
        <v>1</v>
      </c>
      <c r="X84" s="8"/>
      <c r="Y84" s="2"/>
      <c r="Z84" s="26"/>
      <c r="AA84" s="26"/>
      <c r="AB84" s="26"/>
      <c r="AC84" s="26"/>
      <c r="AD84" s="27"/>
      <c r="AE84" s="30"/>
      <c r="AF84" s="26"/>
      <c r="AG84" s="26"/>
      <c r="AH84" s="32"/>
      <c r="AJ84" s="8"/>
      <c r="AK84" s="2"/>
      <c r="AL84" s="26"/>
      <c r="AM84" s="26"/>
      <c r="AN84" s="26"/>
      <c r="AO84" s="27"/>
      <c r="AP84" s="30"/>
      <c r="AQ84" s="26"/>
      <c r="AR84" s="26"/>
      <c r="AS84" s="32"/>
      <c r="AT84" s="34"/>
    </row>
    <row r="85" spans="2:46" x14ac:dyDescent="0.3">
      <c r="B85" s="8"/>
      <c r="C85" s="2" t="s">
        <v>804</v>
      </c>
      <c r="D85" s="26">
        <v>0</v>
      </c>
      <c r="E85" s="26">
        <v>0</v>
      </c>
      <c r="F85" s="27">
        <v>0</v>
      </c>
      <c r="G85" s="26">
        <v>0</v>
      </c>
      <c r="H85" s="26">
        <v>0</v>
      </c>
      <c r="I85" s="27">
        <v>0</v>
      </c>
      <c r="J85" s="26">
        <v>0</v>
      </c>
      <c r="K85" s="26">
        <v>0</v>
      </c>
      <c r="L85" s="67">
        <v>1</v>
      </c>
      <c r="N85" s="8"/>
      <c r="O85" s="2" t="s">
        <v>847</v>
      </c>
      <c r="P85" s="26">
        <v>0</v>
      </c>
      <c r="Q85" s="27">
        <v>0</v>
      </c>
      <c r="R85" s="30">
        <v>0</v>
      </c>
      <c r="S85" s="27">
        <v>0</v>
      </c>
      <c r="T85" s="30">
        <v>0</v>
      </c>
      <c r="U85" s="34">
        <v>1</v>
      </c>
      <c r="V85" s="34">
        <v>1</v>
      </c>
      <c r="X85" s="8"/>
      <c r="Y85" s="2"/>
      <c r="Z85" s="26"/>
      <c r="AA85" s="26"/>
      <c r="AB85" s="26"/>
      <c r="AC85" s="26"/>
      <c r="AD85" s="27"/>
      <c r="AE85" s="30"/>
      <c r="AF85" s="26"/>
      <c r="AG85" s="26"/>
      <c r="AH85" s="32"/>
      <c r="AJ85" s="8"/>
      <c r="AK85" s="2"/>
      <c r="AL85" s="26"/>
      <c r="AM85" s="26"/>
      <c r="AN85" s="26"/>
      <c r="AO85" s="27"/>
      <c r="AP85" s="30"/>
      <c r="AQ85" s="26"/>
      <c r="AR85" s="26"/>
      <c r="AS85" s="32"/>
      <c r="AT85" s="34"/>
    </row>
    <row r="86" spans="2:46" x14ac:dyDescent="0.3">
      <c r="B86" s="8"/>
      <c r="C86" s="2" t="s">
        <v>805</v>
      </c>
      <c r="D86" s="26">
        <v>0</v>
      </c>
      <c r="E86" s="26">
        <v>0</v>
      </c>
      <c r="F86" s="27">
        <v>0</v>
      </c>
      <c r="G86" s="26">
        <v>0</v>
      </c>
      <c r="H86" s="26">
        <v>0</v>
      </c>
      <c r="I86" s="27">
        <v>0</v>
      </c>
      <c r="J86" s="26">
        <v>0</v>
      </c>
      <c r="K86" s="26">
        <v>0</v>
      </c>
      <c r="L86" s="67">
        <v>1</v>
      </c>
      <c r="N86" s="8"/>
      <c r="O86" s="2" t="s">
        <v>848</v>
      </c>
      <c r="P86" s="26">
        <v>0</v>
      </c>
      <c r="Q86" s="27">
        <v>0</v>
      </c>
      <c r="R86" s="30">
        <v>0</v>
      </c>
      <c r="S86" s="27">
        <v>0</v>
      </c>
      <c r="T86" s="30">
        <v>0</v>
      </c>
      <c r="U86" s="34">
        <v>1</v>
      </c>
      <c r="V86" s="34">
        <v>1</v>
      </c>
      <c r="X86" s="8"/>
      <c r="Y86" s="2"/>
      <c r="Z86" s="26"/>
      <c r="AA86" s="26"/>
      <c r="AB86" s="26"/>
      <c r="AC86" s="26"/>
      <c r="AD86" s="27"/>
      <c r="AE86" s="30"/>
      <c r="AF86" s="26"/>
      <c r="AG86" s="26"/>
      <c r="AH86" s="32"/>
      <c r="AJ86" s="8"/>
      <c r="AK86" s="2"/>
      <c r="AL86" s="26"/>
      <c r="AM86" s="26"/>
      <c r="AN86" s="26"/>
      <c r="AO86" s="27"/>
      <c r="AP86" s="30"/>
      <c r="AQ86" s="26"/>
      <c r="AR86" s="26"/>
      <c r="AS86" s="32"/>
      <c r="AT86" s="34"/>
    </row>
    <row r="87" spans="2:46" x14ac:dyDescent="0.3">
      <c r="B87" s="8"/>
      <c r="C87" s="2" t="s">
        <v>734</v>
      </c>
      <c r="D87" s="26">
        <v>0</v>
      </c>
      <c r="E87" s="26">
        <v>0</v>
      </c>
      <c r="F87" s="27">
        <v>0</v>
      </c>
      <c r="G87" s="26">
        <v>0</v>
      </c>
      <c r="H87" s="26">
        <v>0</v>
      </c>
      <c r="I87" s="27">
        <v>0</v>
      </c>
      <c r="J87" s="26">
        <v>0</v>
      </c>
      <c r="K87" s="26">
        <v>0</v>
      </c>
      <c r="L87" s="67">
        <v>1</v>
      </c>
      <c r="N87" s="8"/>
      <c r="O87" s="2" t="s">
        <v>670</v>
      </c>
      <c r="P87" s="26">
        <v>0</v>
      </c>
      <c r="Q87" s="27">
        <v>0</v>
      </c>
      <c r="R87" s="30">
        <v>0</v>
      </c>
      <c r="S87" s="27">
        <v>0</v>
      </c>
      <c r="T87" s="30">
        <v>0</v>
      </c>
      <c r="U87" s="34">
        <v>1</v>
      </c>
      <c r="V87" s="34">
        <v>1</v>
      </c>
      <c r="X87" s="8"/>
      <c r="Y87" s="2"/>
      <c r="Z87" s="26"/>
      <c r="AA87" s="26"/>
      <c r="AB87" s="26"/>
      <c r="AC87" s="26"/>
      <c r="AD87" s="27"/>
      <c r="AE87" s="30"/>
      <c r="AF87" s="26"/>
      <c r="AG87" s="26"/>
      <c r="AH87" s="32"/>
      <c r="AJ87" s="8"/>
      <c r="AK87" s="2"/>
      <c r="AL87" s="26"/>
      <c r="AM87" s="26"/>
      <c r="AN87" s="26"/>
      <c r="AO87" s="27"/>
      <c r="AP87" s="30"/>
      <c r="AQ87" s="26"/>
      <c r="AR87" s="26"/>
      <c r="AS87" s="32"/>
      <c r="AT87" s="34"/>
    </row>
    <row r="88" spans="2:46" x14ac:dyDescent="0.3">
      <c r="B88" s="8"/>
      <c r="C88" s="2" t="s">
        <v>735</v>
      </c>
      <c r="D88" s="26">
        <v>0</v>
      </c>
      <c r="E88" s="26">
        <v>0</v>
      </c>
      <c r="F88" s="27">
        <v>0</v>
      </c>
      <c r="G88" s="26">
        <v>0</v>
      </c>
      <c r="H88" s="26">
        <v>0</v>
      </c>
      <c r="I88" s="27">
        <v>0</v>
      </c>
      <c r="J88" s="26">
        <v>0</v>
      </c>
      <c r="K88" s="26">
        <v>0</v>
      </c>
      <c r="L88" s="67">
        <v>1</v>
      </c>
      <c r="N88" s="8"/>
      <c r="O88" s="2" t="s">
        <v>671</v>
      </c>
      <c r="P88" s="26">
        <v>0</v>
      </c>
      <c r="Q88" s="27">
        <v>0</v>
      </c>
      <c r="R88" s="30">
        <v>0</v>
      </c>
      <c r="S88" s="27">
        <v>0</v>
      </c>
      <c r="T88" s="30">
        <v>0</v>
      </c>
      <c r="U88" s="34">
        <v>1</v>
      </c>
      <c r="V88" s="34">
        <v>1</v>
      </c>
      <c r="X88" s="8"/>
      <c r="Y88" s="2"/>
      <c r="Z88" s="26"/>
      <c r="AA88" s="26"/>
      <c r="AB88" s="26"/>
      <c r="AC88" s="26"/>
      <c r="AD88" s="27"/>
      <c r="AE88" s="30"/>
      <c r="AF88" s="26"/>
      <c r="AG88" s="26"/>
      <c r="AH88" s="32"/>
      <c r="AJ88" s="8"/>
      <c r="AK88" s="2"/>
      <c r="AL88" s="26"/>
      <c r="AM88" s="26"/>
      <c r="AN88" s="26"/>
      <c r="AO88" s="27"/>
      <c r="AP88" s="30"/>
      <c r="AQ88" s="26"/>
      <c r="AR88" s="26"/>
      <c r="AS88" s="32"/>
      <c r="AT88" s="34"/>
    </row>
    <row r="89" spans="2:46" x14ac:dyDescent="0.3">
      <c r="B89" s="8"/>
      <c r="C89" s="2" t="s">
        <v>736</v>
      </c>
      <c r="D89" s="26">
        <v>0</v>
      </c>
      <c r="E89" s="26">
        <v>0</v>
      </c>
      <c r="F89" s="27">
        <v>0</v>
      </c>
      <c r="G89" s="26">
        <v>0</v>
      </c>
      <c r="H89" s="26">
        <v>0</v>
      </c>
      <c r="I89" s="27">
        <v>0</v>
      </c>
      <c r="J89" s="26">
        <v>0</v>
      </c>
      <c r="K89" s="26">
        <v>0</v>
      </c>
      <c r="L89" s="67">
        <v>1</v>
      </c>
      <c r="N89" s="8"/>
      <c r="O89" s="2" t="s">
        <v>672</v>
      </c>
      <c r="P89" s="26">
        <v>0</v>
      </c>
      <c r="Q89" s="27">
        <v>0</v>
      </c>
      <c r="R89" s="30">
        <v>0</v>
      </c>
      <c r="S89" s="27">
        <v>0</v>
      </c>
      <c r="T89" s="30">
        <v>0</v>
      </c>
      <c r="U89" s="34">
        <v>1</v>
      </c>
      <c r="V89" s="34">
        <v>1</v>
      </c>
      <c r="X89" s="8"/>
      <c r="Y89" s="2"/>
      <c r="Z89" s="26"/>
      <c r="AA89" s="26"/>
      <c r="AB89" s="26"/>
      <c r="AC89" s="26"/>
      <c r="AD89" s="27"/>
      <c r="AE89" s="30"/>
      <c r="AF89" s="26"/>
      <c r="AG89" s="26"/>
      <c r="AH89" s="32"/>
      <c r="AJ89" s="8"/>
      <c r="AK89" s="2"/>
      <c r="AL89" s="26"/>
      <c r="AM89" s="26"/>
      <c r="AN89" s="26"/>
      <c r="AO89" s="27"/>
      <c r="AP89" s="30"/>
      <c r="AQ89" s="26"/>
      <c r="AR89" s="26"/>
      <c r="AS89" s="32"/>
      <c r="AT89" s="34"/>
    </row>
    <row r="90" spans="2:46" x14ac:dyDescent="0.3">
      <c r="B90" s="8"/>
      <c r="C90" s="2" t="s">
        <v>737</v>
      </c>
      <c r="D90" s="26">
        <v>0</v>
      </c>
      <c r="E90" s="26">
        <v>0</v>
      </c>
      <c r="F90" s="27">
        <v>0</v>
      </c>
      <c r="G90" s="26">
        <v>0</v>
      </c>
      <c r="H90" s="26">
        <v>0</v>
      </c>
      <c r="I90" s="27">
        <v>0</v>
      </c>
      <c r="J90" s="26">
        <v>0</v>
      </c>
      <c r="K90" s="26">
        <v>0</v>
      </c>
      <c r="L90" s="67">
        <v>1</v>
      </c>
      <c r="N90" s="8"/>
      <c r="O90" s="2" t="s">
        <v>673</v>
      </c>
      <c r="P90" s="26">
        <v>0</v>
      </c>
      <c r="Q90" s="27">
        <v>0</v>
      </c>
      <c r="R90" s="30">
        <v>0</v>
      </c>
      <c r="S90" s="27">
        <v>0</v>
      </c>
      <c r="T90" s="30">
        <v>0</v>
      </c>
      <c r="U90" s="34">
        <v>1</v>
      </c>
      <c r="V90" s="34">
        <v>1</v>
      </c>
      <c r="X90" s="8"/>
      <c r="Y90" s="2"/>
      <c r="Z90" s="26"/>
      <c r="AA90" s="26"/>
      <c r="AB90" s="26"/>
      <c r="AC90" s="26"/>
      <c r="AD90" s="27"/>
      <c r="AE90" s="30"/>
      <c r="AF90" s="26"/>
      <c r="AG90" s="26"/>
      <c r="AH90" s="32"/>
      <c r="AJ90" s="8"/>
      <c r="AK90" s="2"/>
      <c r="AL90" s="26"/>
      <c r="AM90" s="26"/>
      <c r="AN90" s="26"/>
      <c r="AO90" s="27"/>
      <c r="AP90" s="30"/>
      <c r="AQ90" s="26"/>
      <c r="AR90" s="26"/>
      <c r="AS90" s="32"/>
      <c r="AT90" s="34"/>
    </row>
    <row r="91" spans="2:46" x14ac:dyDescent="0.3">
      <c r="B91" s="8"/>
      <c r="C91" s="2" t="s">
        <v>806</v>
      </c>
      <c r="D91" s="26">
        <v>0</v>
      </c>
      <c r="E91" s="26">
        <v>0</v>
      </c>
      <c r="F91" s="27">
        <v>0</v>
      </c>
      <c r="G91" s="26">
        <v>0</v>
      </c>
      <c r="H91" s="26">
        <v>0</v>
      </c>
      <c r="I91" s="27">
        <v>0</v>
      </c>
      <c r="J91" s="26">
        <v>0</v>
      </c>
      <c r="K91" s="26">
        <v>0</v>
      </c>
      <c r="L91" s="67">
        <v>1</v>
      </c>
      <c r="N91" s="8"/>
      <c r="O91" s="2" t="s">
        <v>849</v>
      </c>
      <c r="P91" s="26">
        <v>0</v>
      </c>
      <c r="Q91" s="27">
        <v>0</v>
      </c>
      <c r="R91" s="30">
        <v>0</v>
      </c>
      <c r="S91" s="27">
        <v>0</v>
      </c>
      <c r="T91" s="30">
        <v>0</v>
      </c>
      <c r="U91" s="34">
        <v>1</v>
      </c>
      <c r="V91" s="34">
        <v>1</v>
      </c>
      <c r="X91" s="8"/>
      <c r="Y91" s="2"/>
      <c r="Z91" s="26"/>
      <c r="AA91" s="26"/>
      <c r="AB91" s="26"/>
      <c r="AC91" s="26"/>
      <c r="AD91" s="27"/>
      <c r="AE91" s="30"/>
      <c r="AF91" s="26"/>
      <c r="AG91" s="26"/>
      <c r="AH91" s="32"/>
      <c r="AJ91" s="8"/>
      <c r="AK91" s="2"/>
      <c r="AL91" s="26"/>
      <c r="AM91" s="26"/>
      <c r="AN91" s="26"/>
      <c r="AO91" s="27"/>
      <c r="AP91" s="30"/>
      <c r="AQ91" s="26"/>
      <c r="AR91" s="26"/>
      <c r="AS91" s="32"/>
      <c r="AT91" s="34"/>
    </row>
    <row r="92" spans="2:46" x14ac:dyDescent="0.3">
      <c r="B92" s="8"/>
      <c r="C92" s="2" t="s">
        <v>807</v>
      </c>
      <c r="D92" s="26">
        <v>0</v>
      </c>
      <c r="E92" s="26">
        <v>0</v>
      </c>
      <c r="F92" s="27">
        <v>0</v>
      </c>
      <c r="G92" s="26">
        <v>0</v>
      </c>
      <c r="H92" s="26">
        <v>0</v>
      </c>
      <c r="I92" s="27">
        <v>0</v>
      </c>
      <c r="J92" s="26">
        <v>0</v>
      </c>
      <c r="K92" s="26">
        <v>0</v>
      </c>
      <c r="L92" s="67">
        <v>1</v>
      </c>
      <c r="N92" s="8"/>
      <c r="O92" s="2" t="s">
        <v>850</v>
      </c>
      <c r="P92" s="26">
        <v>0</v>
      </c>
      <c r="Q92" s="27">
        <v>0</v>
      </c>
      <c r="R92" s="30">
        <v>0</v>
      </c>
      <c r="S92" s="27">
        <v>0</v>
      </c>
      <c r="T92" s="30">
        <v>0</v>
      </c>
      <c r="U92" s="34">
        <v>1</v>
      </c>
      <c r="V92" s="34">
        <v>1</v>
      </c>
      <c r="X92" s="8"/>
      <c r="Y92" s="2"/>
      <c r="Z92" s="26"/>
      <c r="AA92" s="26"/>
      <c r="AB92" s="26"/>
      <c r="AC92" s="26"/>
      <c r="AD92" s="27"/>
      <c r="AE92" s="30"/>
      <c r="AF92" s="26"/>
      <c r="AG92" s="26"/>
      <c r="AH92" s="32"/>
      <c r="AJ92" s="8"/>
      <c r="AK92" s="2"/>
      <c r="AL92" s="26"/>
      <c r="AM92" s="26"/>
      <c r="AN92" s="26"/>
      <c r="AO92" s="27"/>
      <c r="AP92" s="30"/>
      <c r="AQ92" s="26"/>
      <c r="AR92" s="26"/>
      <c r="AS92" s="32"/>
      <c r="AT92" s="34"/>
    </row>
    <row r="93" spans="2:46" x14ac:dyDescent="0.3">
      <c r="B93" s="8"/>
      <c r="C93" s="2" t="s">
        <v>738</v>
      </c>
      <c r="D93" s="26">
        <v>0</v>
      </c>
      <c r="E93" s="26">
        <v>0</v>
      </c>
      <c r="F93" s="27">
        <v>0</v>
      </c>
      <c r="G93" s="26">
        <v>0</v>
      </c>
      <c r="H93" s="26">
        <v>0</v>
      </c>
      <c r="I93" s="27">
        <v>0</v>
      </c>
      <c r="J93" s="26">
        <v>0</v>
      </c>
      <c r="K93" s="26">
        <v>0</v>
      </c>
      <c r="L93" s="67">
        <v>1</v>
      </c>
      <c r="N93" s="8"/>
      <c r="O93" s="2" t="s">
        <v>674</v>
      </c>
      <c r="P93" s="26">
        <v>0</v>
      </c>
      <c r="Q93" s="27">
        <v>0</v>
      </c>
      <c r="R93" s="30">
        <v>0</v>
      </c>
      <c r="S93" s="27">
        <v>0</v>
      </c>
      <c r="T93" s="30">
        <v>0</v>
      </c>
      <c r="U93" s="34">
        <v>1</v>
      </c>
      <c r="V93" s="34">
        <v>1</v>
      </c>
      <c r="X93" s="8"/>
      <c r="Y93" s="2"/>
      <c r="Z93" s="26"/>
      <c r="AA93" s="26"/>
      <c r="AB93" s="26"/>
      <c r="AC93" s="26"/>
      <c r="AD93" s="27"/>
      <c r="AE93" s="30"/>
      <c r="AF93" s="26"/>
      <c r="AG93" s="26"/>
      <c r="AH93" s="32"/>
      <c r="AJ93" s="8"/>
      <c r="AK93" s="2"/>
      <c r="AL93" s="26"/>
      <c r="AM93" s="26"/>
      <c r="AN93" s="26"/>
      <c r="AO93" s="27"/>
      <c r="AP93" s="30"/>
      <c r="AQ93" s="26"/>
      <c r="AR93" s="26"/>
      <c r="AS93" s="32"/>
      <c r="AT93" s="34"/>
    </row>
    <row r="94" spans="2:46" x14ac:dyDescent="0.3">
      <c r="B94" s="8"/>
      <c r="C94" s="2" t="s">
        <v>739</v>
      </c>
      <c r="D94" s="26">
        <v>0</v>
      </c>
      <c r="E94" s="26">
        <v>0</v>
      </c>
      <c r="F94" s="27">
        <v>0</v>
      </c>
      <c r="G94" s="26">
        <v>0</v>
      </c>
      <c r="H94" s="26">
        <v>0</v>
      </c>
      <c r="I94" s="27">
        <v>0</v>
      </c>
      <c r="J94" s="26">
        <v>0</v>
      </c>
      <c r="K94" s="26">
        <v>0</v>
      </c>
      <c r="L94" s="67">
        <v>1</v>
      </c>
      <c r="N94" s="8"/>
      <c r="O94" s="2" t="s">
        <v>675</v>
      </c>
      <c r="P94" s="26">
        <v>0</v>
      </c>
      <c r="Q94" s="27">
        <v>0</v>
      </c>
      <c r="R94" s="30">
        <v>0</v>
      </c>
      <c r="S94" s="27">
        <v>0</v>
      </c>
      <c r="T94" s="30">
        <v>0</v>
      </c>
      <c r="U94" s="34">
        <v>1</v>
      </c>
      <c r="V94" s="34">
        <v>1</v>
      </c>
      <c r="X94" s="8"/>
      <c r="Y94" s="2"/>
      <c r="Z94" s="26"/>
      <c r="AA94" s="26"/>
      <c r="AB94" s="26"/>
      <c r="AC94" s="26"/>
      <c r="AD94" s="27"/>
      <c r="AE94" s="30"/>
      <c r="AF94" s="26"/>
      <c r="AG94" s="26"/>
      <c r="AH94" s="32"/>
      <c r="AJ94" s="8"/>
      <c r="AK94" s="2"/>
      <c r="AL94" s="26"/>
      <c r="AM94" s="26"/>
      <c r="AN94" s="26"/>
      <c r="AO94" s="27"/>
      <c r="AP94" s="30"/>
      <c r="AQ94" s="26"/>
      <c r="AR94" s="26"/>
      <c r="AS94" s="32"/>
      <c r="AT94" s="34"/>
    </row>
    <row r="95" spans="2:46" x14ac:dyDescent="0.3">
      <c r="B95" s="8"/>
      <c r="C95" s="2" t="s">
        <v>740</v>
      </c>
      <c r="D95" s="26">
        <v>0</v>
      </c>
      <c r="E95" s="26">
        <v>0</v>
      </c>
      <c r="F95" s="27">
        <v>0</v>
      </c>
      <c r="G95" s="26">
        <v>0</v>
      </c>
      <c r="H95" s="26">
        <v>0</v>
      </c>
      <c r="I95" s="27">
        <v>0</v>
      </c>
      <c r="J95" s="26">
        <v>0</v>
      </c>
      <c r="K95" s="26">
        <v>0</v>
      </c>
      <c r="L95" s="67">
        <v>1</v>
      </c>
      <c r="N95" s="8"/>
      <c r="O95" s="2" t="s">
        <v>676</v>
      </c>
      <c r="P95" s="26">
        <v>0</v>
      </c>
      <c r="Q95" s="27">
        <v>0</v>
      </c>
      <c r="R95" s="30">
        <v>0</v>
      </c>
      <c r="S95" s="27">
        <v>0</v>
      </c>
      <c r="T95" s="30">
        <v>0</v>
      </c>
      <c r="U95" s="34">
        <v>1</v>
      </c>
      <c r="V95" s="34">
        <v>1</v>
      </c>
      <c r="X95" s="8"/>
      <c r="Y95" s="2"/>
      <c r="Z95" s="26"/>
      <c r="AA95" s="26"/>
      <c r="AB95" s="26"/>
      <c r="AC95" s="26"/>
      <c r="AD95" s="27"/>
      <c r="AE95" s="30"/>
      <c r="AF95" s="26"/>
      <c r="AG95" s="26"/>
      <c r="AH95" s="32"/>
      <c r="AJ95" s="8"/>
      <c r="AK95" s="2"/>
      <c r="AL95" s="26"/>
      <c r="AM95" s="26"/>
      <c r="AN95" s="26"/>
      <c r="AO95" s="27"/>
      <c r="AP95" s="30"/>
      <c r="AQ95" s="26"/>
      <c r="AR95" s="26"/>
      <c r="AS95" s="32"/>
      <c r="AT95" s="34"/>
    </row>
    <row r="96" spans="2:46" x14ac:dyDescent="0.3">
      <c r="B96" s="8"/>
      <c r="C96" s="2" t="s">
        <v>741</v>
      </c>
      <c r="D96" s="26">
        <v>0</v>
      </c>
      <c r="E96" s="26">
        <v>0</v>
      </c>
      <c r="F96" s="27">
        <v>0</v>
      </c>
      <c r="G96" s="26">
        <v>0</v>
      </c>
      <c r="H96" s="26">
        <v>0</v>
      </c>
      <c r="I96" s="27">
        <v>0</v>
      </c>
      <c r="J96" s="26">
        <v>0</v>
      </c>
      <c r="K96" s="26">
        <v>0</v>
      </c>
      <c r="L96" s="67">
        <v>1</v>
      </c>
      <c r="N96" s="8"/>
      <c r="O96" s="2" t="s">
        <v>677</v>
      </c>
      <c r="P96" s="26">
        <v>0</v>
      </c>
      <c r="Q96" s="27">
        <v>0</v>
      </c>
      <c r="R96" s="30">
        <v>0</v>
      </c>
      <c r="S96" s="27">
        <v>0</v>
      </c>
      <c r="T96" s="30">
        <v>0</v>
      </c>
      <c r="U96" s="34">
        <v>1</v>
      </c>
      <c r="V96" s="34">
        <v>1</v>
      </c>
      <c r="X96" s="8"/>
      <c r="Y96" s="2"/>
      <c r="Z96" s="26"/>
      <c r="AA96" s="26"/>
      <c r="AB96" s="26"/>
      <c r="AC96" s="26"/>
      <c r="AD96" s="27"/>
      <c r="AE96" s="30"/>
      <c r="AF96" s="26"/>
      <c r="AG96" s="26"/>
      <c r="AH96" s="32"/>
      <c r="AJ96" s="8"/>
      <c r="AK96" s="2"/>
      <c r="AL96" s="26"/>
      <c r="AM96" s="26"/>
      <c r="AN96" s="26"/>
      <c r="AO96" s="27"/>
      <c r="AP96" s="30"/>
      <c r="AQ96" s="26"/>
      <c r="AR96" s="26"/>
      <c r="AS96" s="32"/>
      <c r="AT96" s="34"/>
    </row>
    <row r="97" spans="2:46" x14ac:dyDescent="0.3">
      <c r="B97" s="8"/>
      <c r="C97" s="2" t="s">
        <v>742</v>
      </c>
      <c r="D97" s="26">
        <v>0</v>
      </c>
      <c r="E97" s="26">
        <v>0</v>
      </c>
      <c r="F97" s="27">
        <v>0</v>
      </c>
      <c r="G97" s="26">
        <v>0</v>
      </c>
      <c r="H97" s="26">
        <v>0</v>
      </c>
      <c r="I97" s="27">
        <v>0</v>
      </c>
      <c r="J97" s="26">
        <v>0</v>
      </c>
      <c r="K97" s="26">
        <v>0</v>
      </c>
      <c r="L97" s="67">
        <v>1</v>
      </c>
      <c r="N97" s="8"/>
      <c r="O97" s="2" t="s">
        <v>678</v>
      </c>
      <c r="P97" s="26">
        <v>0</v>
      </c>
      <c r="Q97" s="27">
        <v>0</v>
      </c>
      <c r="R97" s="30">
        <v>0</v>
      </c>
      <c r="S97" s="27">
        <v>0</v>
      </c>
      <c r="T97" s="30">
        <v>0</v>
      </c>
      <c r="U97" s="34">
        <v>1</v>
      </c>
      <c r="V97" s="34">
        <v>1</v>
      </c>
      <c r="X97" s="8"/>
      <c r="Y97" s="2"/>
      <c r="Z97" s="26"/>
      <c r="AA97" s="26"/>
      <c r="AB97" s="26"/>
      <c r="AC97" s="26"/>
      <c r="AD97" s="27"/>
      <c r="AE97" s="30"/>
      <c r="AF97" s="26"/>
      <c r="AG97" s="26"/>
      <c r="AH97" s="32"/>
      <c r="AJ97" s="8"/>
      <c r="AK97" s="2"/>
      <c r="AL97" s="26"/>
      <c r="AM97" s="26"/>
      <c r="AN97" s="26"/>
      <c r="AO97" s="27"/>
      <c r="AP97" s="30"/>
      <c r="AQ97" s="26"/>
      <c r="AR97" s="26"/>
      <c r="AS97" s="32"/>
      <c r="AT97" s="34"/>
    </row>
    <row r="98" spans="2:46" x14ac:dyDescent="0.3">
      <c r="B98" s="8"/>
      <c r="C98" s="2" t="s">
        <v>743</v>
      </c>
      <c r="D98" s="26">
        <v>0</v>
      </c>
      <c r="E98" s="26">
        <v>0</v>
      </c>
      <c r="F98" s="27">
        <v>0</v>
      </c>
      <c r="G98" s="26">
        <v>0</v>
      </c>
      <c r="H98" s="26">
        <v>0</v>
      </c>
      <c r="I98" s="27">
        <v>0</v>
      </c>
      <c r="J98" s="26">
        <v>0</v>
      </c>
      <c r="K98" s="26">
        <v>0</v>
      </c>
      <c r="L98" s="67">
        <v>1</v>
      </c>
      <c r="N98" s="8"/>
      <c r="O98" s="2" t="s">
        <v>679</v>
      </c>
      <c r="P98" s="26">
        <v>0</v>
      </c>
      <c r="Q98" s="27">
        <v>0</v>
      </c>
      <c r="R98" s="30">
        <v>0</v>
      </c>
      <c r="S98" s="27">
        <v>0</v>
      </c>
      <c r="T98" s="30">
        <v>0</v>
      </c>
      <c r="U98" s="34">
        <v>1</v>
      </c>
      <c r="V98" s="34">
        <v>1</v>
      </c>
      <c r="X98" s="8"/>
      <c r="Y98" s="2"/>
      <c r="Z98" s="26"/>
      <c r="AA98" s="26"/>
      <c r="AB98" s="26"/>
      <c r="AC98" s="26"/>
      <c r="AD98" s="27"/>
      <c r="AE98" s="30"/>
      <c r="AF98" s="26"/>
      <c r="AG98" s="26"/>
      <c r="AH98" s="32"/>
      <c r="AJ98" s="8"/>
      <c r="AK98" s="2"/>
      <c r="AL98" s="26"/>
      <c r="AM98" s="26"/>
      <c r="AN98" s="26"/>
      <c r="AO98" s="27"/>
      <c r="AP98" s="30"/>
      <c r="AQ98" s="26"/>
      <c r="AR98" s="26"/>
      <c r="AS98" s="32"/>
      <c r="AT98" s="34"/>
    </row>
    <row r="99" spans="2:46" x14ac:dyDescent="0.3">
      <c r="B99" s="8"/>
      <c r="C99" s="2" t="s">
        <v>744</v>
      </c>
      <c r="D99" s="26">
        <v>0</v>
      </c>
      <c r="E99" s="26">
        <v>0</v>
      </c>
      <c r="F99" s="27">
        <v>0</v>
      </c>
      <c r="G99" s="26">
        <v>0</v>
      </c>
      <c r="H99" s="26">
        <v>0</v>
      </c>
      <c r="I99" s="27">
        <v>0</v>
      </c>
      <c r="J99" s="26">
        <v>0</v>
      </c>
      <c r="K99" s="26">
        <v>0</v>
      </c>
      <c r="L99" s="67">
        <v>1</v>
      </c>
      <c r="N99" s="8"/>
      <c r="O99" s="2" t="s">
        <v>680</v>
      </c>
      <c r="P99" s="26">
        <v>0</v>
      </c>
      <c r="Q99" s="27">
        <v>0</v>
      </c>
      <c r="R99" s="30">
        <v>0</v>
      </c>
      <c r="S99" s="27">
        <v>0</v>
      </c>
      <c r="T99" s="30">
        <v>0</v>
      </c>
      <c r="U99" s="34">
        <v>1</v>
      </c>
      <c r="V99" s="34">
        <v>1</v>
      </c>
      <c r="X99" s="8"/>
      <c r="Y99" s="2"/>
      <c r="Z99" s="26"/>
      <c r="AA99" s="26"/>
      <c r="AB99" s="26"/>
      <c r="AC99" s="26"/>
      <c r="AD99" s="27"/>
      <c r="AE99" s="30"/>
      <c r="AF99" s="26"/>
      <c r="AG99" s="26"/>
      <c r="AH99" s="32"/>
      <c r="AJ99" s="8"/>
      <c r="AK99" s="2"/>
      <c r="AL99" s="26"/>
      <c r="AM99" s="26"/>
      <c r="AN99" s="26"/>
      <c r="AO99" s="27"/>
      <c r="AP99" s="30"/>
      <c r="AQ99" s="26"/>
      <c r="AR99" s="26"/>
      <c r="AS99" s="32"/>
      <c r="AT99" s="34"/>
    </row>
    <row r="100" spans="2:46" x14ac:dyDescent="0.3">
      <c r="B100" s="8"/>
      <c r="C100" s="2" t="s">
        <v>808</v>
      </c>
      <c r="D100" s="26">
        <v>0</v>
      </c>
      <c r="E100" s="26">
        <v>0</v>
      </c>
      <c r="F100" s="27">
        <v>0</v>
      </c>
      <c r="G100" s="26">
        <v>0</v>
      </c>
      <c r="H100" s="26">
        <v>0</v>
      </c>
      <c r="I100" s="27">
        <v>0</v>
      </c>
      <c r="J100" s="26">
        <v>0</v>
      </c>
      <c r="K100" s="26">
        <v>0</v>
      </c>
      <c r="L100" s="67">
        <v>1</v>
      </c>
      <c r="N100" s="8"/>
      <c r="O100" s="2" t="s">
        <v>851</v>
      </c>
      <c r="P100" s="26">
        <v>0</v>
      </c>
      <c r="Q100" s="27">
        <v>0</v>
      </c>
      <c r="R100" s="30">
        <v>0</v>
      </c>
      <c r="S100" s="27">
        <v>0</v>
      </c>
      <c r="T100" s="30">
        <v>0</v>
      </c>
      <c r="U100" s="34">
        <v>1</v>
      </c>
      <c r="V100" s="34">
        <v>1</v>
      </c>
      <c r="X100" s="8"/>
      <c r="Y100" s="2"/>
      <c r="Z100" s="26"/>
      <c r="AA100" s="26"/>
      <c r="AB100" s="26"/>
      <c r="AC100" s="26"/>
      <c r="AD100" s="27"/>
      <c r="AE100" s="30"/>
      <c r="AF100" s="26"/>
      <c r="AG100" s="26"/>
      <c r="AH100" s="32"/>
      <c r="AJ100" s="8"/>
      <c r="AK100" s="2"/>
      <c r="AL100" s="26"/>
      <c r="AM100" s="26"/>
      <c r="AN100" s="26"/>
      <c r="AO100" s="27"/>
      <c r="AP100" s="30"/>
      <c r="AQ100" s="26"/>
      <c r="AR100" s="26"/>
      <c r="AS100" s="32"/>
      <c r="AT100" s="34"/>
    </row>
    <row r="101" spans="2:46" x14ac:dyDescent="0.3">
      <c r="B101" s="8"/>
      <c r="C101" s="2" t="s">
        <v>745</v>
      </c>
      <c r="D101" s="26">
        <v>0</v>
      </c>
      <c r="E101" s="26">
        <v>0</v>
      </c>
      <c r="F101" s="27">
        <v>0</v>
      </c>
      <c r="G101" s="26">
        <v>0</v>
      </c>
      <c r="H101" s="26">
        <v>0</v>
      </c>
      <c r="I101" s="27">
        <v>0</v>
      </c>
      <c r="J101" s="26">
        <v>0</v>
      </c>
      <c r="K101" s="26">
        <v>0</v>
      </c>
      <c r="L101" s="67">
        <v>1</v>
      </c>
      <c r="N101" s="8"/>
      <c r="O101" s="2" t="s">
        <v>681</v>
      </c>
      <c r="P101" s="26">
        <v>0</v>
      </c>
      <c r="Q101" s="27">
        <v>0</v>
      </c>
      <c r="R101" s="30">
        <v>0</v>
      </c>
      <c r="S101" s="27">
        <v>0</v>
      </c>
      <c r="T101" s="30">
        <v>0</v>
      </c>
      <c r="U101" s="34">
        <v>1</v>
      </c>
      <c r="V101" s="34">
        <v>1</v>
      </c>
      <c r="X101" s="8"/>
      <c r="Y101" s="2"/>
      <c r="Z101" s="26"/>
      <c r="AA101" s="26"/>
      <c r="AB101" s="26"/>
      <c r="AC101" s="26"/>
      <c r="AD101" s="27"/>
      <c r="AE101" s="30"/>
      <c r="AF101" s="26"/>
      <c r="AG101" s="26"/>
      <c r="AH101" s="32"/>
      <c r="AJ101" s="8"/>
      <c r="AK101" s="2"/>
      <c r="AL101" s="26"/>
      <c r="AM101" s="26"/>
      <c r="AN101" s="26"/>
      <c r="AO101" s="27"/>
      <c r="AP101" s="30"/>
      <c r="AQ101" s="26"/>
      <c r="AR101" s="26"/>
      <c r="AS101" s="32"/>
      <c r="AT101" s="34"/>
    </row>
    <row r="102" spans="2:46" x14ac:dyDescent="0.3">
      <c r="B102" s="8"/>
      <c r="C102" s="2" t="s">
        <v>746</v>
      </c>
      <c r="D102" s="26">
        <v>0</v>
      </c>
      <c r="E102" s="26">
        <v>0</v>
      </c>
      <c r="F102" s="27">
        <v>0</v>
      </c>
      <c r="G102" s="26">
        <v>0</v>
      </c>
      <c r="H102" s="26">
        <v>0</v>
      </c>
      <c r="I102" s="27">
        <v>0</v>
      </c>
      <c r="J102" s="26">
        <v>0</v>
      </c>
      <c r="K102" s="26">
        <v>0</v>
      </c>
      <c r="L102" s="67">
        <v>1</v>
      </c>
      <c r="N102" s="8"/>
      <c r="O102" s="2" t="s">
        <v>682</v>
      </c>
      <c r="P102" s="26">
        <v>0</v>
      </c>
      <c r="Q102" s="27">
        <v>0</v>
      </c>
      <c r="R102" s="30">
        <v>0</v>
      </c>
      <c r="S102" s="27">
        <v>0</v>
      </c>
      <c r="T102" s="30">
        <v>0</v>
      </c>
      <c r="U102" s="34">
        <v>1</v>
      </c>
      <c r="V102" s="34">
        <v>1</v>
      </c>
      <c r="X102" s="8"/>
      <c r="Y102" s="2"/>
      <c r="Z102" s="26"/>
      <c r="AA102" s="26"/>
      <c r="AB102" s="26"/>
      <c r="AC102" s="26"/>
      <c r="AD102" s="27"/>
      <c r="AE102" s="30"/>
      <c r="AF102" s="26"/>
      <c r="AG102" s="26"/>
      <c r="AH102" s="32"/>
      <c r="AJ102" s="8"/>
      <c r="AK102" s="2"/>
      <c r="AL102" s="26"/>
      <c r="AM102" s="26"/>
      <c r="AN102" s="26"/>
      <c r="AO102" s="27"/>
      <c r="AP102" s="30"/>
      <c r="AQ102" s="26"/>
      <c r="AR102" s="26"/>
      <c r="AS102" s="32"/>
      <c r="AT102" s="34"/>
    </row>
    <row r="103" spans="2:46" x14ac:dyDescent="0.3">
      <c r="B103" s="8"/>
      <c r="C103" s="2" t="s">
        <v>747</v>
      </c>
      <c r="D103" s="26">
        <v>0</v>
      </c>
      <c r="E103" s="26">
        <v>0</v>
      </c>
      <c r="F103" s="27">
        <v>0</v>
      </c>
      <c r="G103" s="26">
        <v>0</v>
      </c>
      <c r="H103" s="26">
        <v>0</v>
      </c>
      <c r="I103" s="27">
        <v>0</v>
      </c>
      <c r="J103" s="26">
        <v>0</v>
      </c>
      <c r="K103" s="26">
        <v>0</v>
      </c>
      <c r="L103" s="67">
        <v>1</v>
      </c>
      <c r="N103" s="8"/>
      <c r="O103" s="2" t="s">
        <v>683</v>
      </c>
      <c r="P103" s="26">
        <v>0</v>
      </c>
      <c r="Q103" s="27">
        <v>0</v>
      </c>
      <c r="R103" s="30">
        <v>0</v>
      </c>
      <c r="S103" s="27">
        <v>0</v>
      </c>
      <c r="T103" s="30">
        <v>0</v>
      </c>
      <c r="U103" s="34">
        <v>1</v>
      </c>
      <c r="V103" s="34">
        <v>1</v>
      </c>
      <c r="X103" s="8"/>
      <c r="Y103" s="2"/>
      <c r="Z103" s="26"/>
      <c r="AA103" s="26"/>
      <c r="AB103" s="26"/>
      <c r="AC103" s="26"/>
      <c r="AD103" s="27"/>
      <c r="AE103" s="30"/>
      <c r="AF103" s="26"/>
      <c r="AG103" s="26"/>
      <c r="AH103" s="32"/>
      <c r="AJ103" s="8"/>
      <c r="AK103" s="2"/>
      <c r="AL103" s="26"/>
      <c r="AM103" s="26"/>
      <c r="AN103" s="26"/>
      <c r="AO103" s="27"/>
      <c r="AP103" s="30"/>
      <c r="AQ103" s="26"/>
      <c r="AR103" s="26"/>
      <c r="AS103" s="32"/>
      <c r="AT103" s="34"/>
    </row>
    <row r="104" spans="2:46" x14ac:dyDescent="0.3">
      <c r="B104" s="8"/>
      <c r="C104" s="2" t="s">
        <v>748</v>
      </c>
      <c r="D104" s="26">
        <v>0</v>
      </c>
      <c r="E104" s="26">
        <v>0</v>
      </c>
      <c r="F104" s="27">
        <v>0</v>
      </c>
      <c r="G104" s="26">
        <v>0</v>
      </c>
      <c r="H104" s="26">
        <v>0</v>
      </c>
      <c r="I104" s="27">
        <v>0</v>
      </c>
      <c r="J104" s="26">
        <v>0</v>
      </c>
      <c r="K104" s="26">
        <v>0</v>
      </c>
      <c r="L104" s="67">
        <v>1</v>
      </c>
      <c r="N104" s="8"/>
      <c r="O104" s="2" t="s">
        <v>684</v>
      </c>
      <c r="P104" s="26">
        <v>0</v>
      </c>
      <c r="Q104" s="27">
        <v>0</v>
      </c>
      <c r="R104" s="30">
        <v>0</v>
      </c>
      <c r="S104" s="27">
        <v>0</v>
      </c>
      <c r="T104" s="30">
        <v>0</v>
      </c>
      <c r="U104" s="34">
        <v>1</v>
      </c>
      <c r="V104" s="34">
        <v>1</v>
      </c>
      <c r="X104" s="8"/>
      <c r="Y104" s="2"/>
      <c r="Z104" s="26"/>
      <c r="AA104" s="26"/>
      <c r="AB104" s="26"/>
      <c r="AC104" s="26"/>
      <c r="AD104" s="27"/>
      <c r="AE104" s="30"/>
      <c r="AF104" s="26"/>
      <c r="AG104" s="26"/>
      <c r="AH104" s="32"/>
      <c r="AJ104" s="8"/>
      <c r="AK104" s="2"/>
      <c r="AL104" s="26"/>
      <c r="AM104" s="26"/>
      <c r="AN104" s="26"/>
      <c r="AO104" s="27"/>
      <c r="AP104" s="30"/>
      <c r="AQ104" s="26"/>
      <c r="AR104" s="26"/>
      <c r="AS104" s="32"/>
      <c r="AT104" s="34"/>
    </row>
    <row r="105" spans="2:46" x14ac:dyDescent="0.3">
      <c r="B105" s="8"/>
      <c r="C105" s="2" t="s">
        <v>749</v>
      </c>
      <c r="D105" s="26">
        <v>0</v>
      </c>
      <c r="E105" s="26">
        <v>0</v>
      </c>
      <c r="F105" s="27">
        <v>0</v>
      </c>
      <c r="G105" s="26">
        <v>0</v>
      </c>
      <c r="H105" s="26">
        <v>0</v>
      </c>
      <c r="I105" s="27">
        <v>0</v>
      </c>
      <c r="J105" s="26">
        <v>0</v>
      </c>
      <c r="K105" s="26">
        <v>0</v>
      </c>
      <c r="L105" s="67">
        <v>1</v>
      </c>
      <c r="N105" s="8"/>
      <c r="O105" s="2" t="s">
        <v>685</v>
      </c>
      <c r="P105" s="26">
        <v>0</v>
      </c>
      <c r="Q105" s="27">
        <v>0</v>
      </c>
      <c r="R105" s="30">
        <v>0</v>
      </c>
      <c r="S105" s="27">
        <v>0</v>
      </c>
      <c r="T105" s="30">
        <v>0</v>
      </c>
      <c r="U105" s="34">
        <v>1</v>
      </c>
      <c r="V105" s="34">
        <v>1</v>
      </c>
      <c r="X105" s="8"/>
      <c r="Y105" s="2"/>
      <c r="Z105" s="26"/>
      <c r="AA105" s="26"/>
      <c r="AB105" s="26"/>
      <c r="AC105" s="26"/>
      <c r="AD105" s="27"/>
      <c r="AE105" s="30"/>
      <c r="AF105" s="26"/>
      <c r="AG105" s="26"/>
      <c r="AH105" s="32"/>
      <c r="AJ105" s="8"/>
      <c r="AK105" s="2"/>
      <c r="AL105" s="26"/>
      <c r="AM105" s="26"/>
      <c r="AN105" s="26"/>
      <c r="AO105" s="27"/>
      <c r="AP105" s="30"/>
      <c r="AQ105" s="26"/>
      <c r="AR105" s="26"/>
      <c r="AS105" s="32"/>
      <c r="AT105" s="34"/>
    </row>
    <row r="106" spans="2:46" x14ac:dyDescent="0.3">
      <c r="B106" s="8"/>
      <c r="C106" s="2" t="s">
        <v>750</v>
      </c>
      <c r="D106" s="26">
        <v>0</v>
      </c>
      <c r="E106" s="26">
        <v>0</v>
      </c>
      <c r="F106" s="27">
        <v>0</v>
      </c>
      <c r="G106" s="26">
        <v>0</v>
      </c>
      <c r="H106" s="26">
        <v>0</v>
      </c>
      <c r="I106" s="27">
        <v>0</v>
      </c>
      <c r="J106" s="26">
        <v>0</v>
      </c>
      <c r="K106" s="26">
        <v>0</v>
      </c>
      <c r="L106" s="67">
        <v>1</v>
      </c>
      <c r="N106" s="8"/>
      <c r="O106" s="2" t="s">
        <v>686</v>
      </c>
      <c r="P106" s="26">
        <v>0</v>
      </c>
      <c r="Q106" s="27">
        <v>0</v>
      </c>
      <c r="R106" s="30">
        <v>0</v>
      </c>
      <c r="S106" s="27">
        <v>0</v>
      </c>
      <c r="T106" s="30">
        <v>0</v>
      </c>
      <c r="U106" s="34">
        <v>1</v>
      </c>
      <c r="V106" s="34">
        <v>1</v>
      </c>
      <c r="X106" s="8"/>
      <c r="Y106" s="2"/>
      <c r="Z106" s="26"/>
      <c r="AA106" s="26"/>
      <c r="AB106" s="26"/>
      <c r="AC106" s="26"/>
      <c r="AD106" s="27"/>
      <c r="AE106" s="30"/>
      <c r="AF106" s="26"/>
      <c r="AG106" s="26"/>
      <c r="AH106" s="32"/>
      <c r="AJ106" s="8"/>
      <c r="AK106" s="2"/>
      <c r="AL106" s="26"/>
      <c r="AM106" s="26"/>
      <c r="AN106" s="26"/>
      <c r="AO106" s="27"/>
      <c r="AP106" s="30"/>
      <c r="AQ106" s="26"/>
      <c r="AR106" s="26"/>
      <c r="AS106" s="32"/>
      <c r="AT106" s="34"/>
    </row>
    <row r="107" spans="2:46" x14ac:dyDescent="0.3">
      <c r="B107" s="8"/>
      <c r="C107" s="2" t="s">
        <v>751</v>
      </c>
      <c r="D107" s="26">
        <v>0</v>
      </c>
      <c r="E107" s="26">
        <v>0</v>
      </c>
      <c r="F107" s="27">
        <v>0</v>
      </c>
      <c r="G107" s="26">
        <v>0</v>
      </c>
      <c r="H107" s="26">
        <v>0</v>
      </c>
      <c r="I107" s="27">
        <v>0</v>
      </c>
      <c r="J107" s="26">
        <v>0</v>
      </c>
      <c r="K107" s="26">
        <v>0</v>
      </c>
      <c r="L107" s="67">
        <v>1</v>
      </c>
      <c r="N107" s="8"/>
      <c r="O107" s="2" t="s">
        <v>687</v>
      </c>
      <c r="P107" s="26">
        <v>0</v>
      </c>
      <c r="Q107" s="27">
        <v>0</v>
      </c>
      <c r="R107" s="30">
        <v>0</v>
      </c>
      <c r="S107" s="27">
        <v>0</v>
      </c>
      <c r="T107" s="30">
        <v>0</v>
      </c>
      <c r="U107" s="34">
        <v>1</v>
      </c>
      <c r="V107" s="34">
        <v>1</v>
      </c>
      <c r="X107" s="8"/>
      <c r="Y107" s="2"/>
      <c r="Z107" s="26"/>
      <c r="AA107" s="26"/>
      <c r="AB107" s="26"/>
      <c r="AC107" s="26"/>
      <c r="AD107" s="27"/>
      <c r="AE107" s="30"/>
      <c r="AF107" s="26"/>
      <c r="AG107" s="26"/>
      <c r="AH107" s="32"/>
      <c r="AJ107" s="8"/>
      <c r="AK107" s="2"/>
      <c r="AL107" s="26"/>
      <c r="AM107" s="26"/>
      <c r="AN107" s="26"/>
      <c r="AO107" s="27"/>
      <c r="AP107" s="30"/>
      <c r="AQ107" s="26"/>
      <c r="AR107" s="26"/>
      <c r="AS107" s="32"/>
      <c r="AT107" s="34"/>
    </row>
    <row r="108" spans="2:46" x14ac:dyDescent="0.3">
      <c r="B108" s="8"/>
      <c r="C108" s="2" t="s">
        <v>752</v>
      </c>
      <c r="D108" s="26">
        <v>0</v>
      </c>
      <c r="E108" s="26">
        <v>0</v>
      </c>
      <c r="F108" s="27">
        <v>0</v>
      </c>
      <c r="G108" s="26">
        <v>0</v>
      </c>
      <c r="H108" s="26">
        <v>0</v>
      </c>
      <c r="I108" s="27">
        <v>0</v>
      </c>
      <c r="J108" s="26">
        <v>0</v>
      </c>
      <c r="K108" s="26">
        <v>0</v>
      </c>
      <c r="L108" s="67">
        <v>1</v>
      </c>
      <c r="N108" s="8"/>
      <c r="O108" s="2" t="s">
        <v>688</v>
      </c>
      <c r="P108" s="26">
        <v>0</v>
      </c>
      <c r="Q108" s="27">
        <v>0</v>
      </c>
      <c r="R108" s="30">
        <v>0</v>
      </c>
      <c r="S108" s="27">
        <v>0</v>
      </c>
      <c r="T108" s="30">
        <v>0</v>
      </c>
      <c r="U108" s="34">
        <v>1</v>
      </c>
      <c r="V108" s="34">
        <v>1</v>
      </c>
      <c r="X108" s="8"/>
      <c r="Y108" s="2"/>
      <c r="Z108" s="26"/>
      <c r="AA108" s="26"/>
      <c r="AB108" s="26"/>
      <c r="AC108" s="26"/>
      <c r="AD108" s="27"/>
      <c r="AE108" s="30"/>
      <c r="AF108" s="26"/>
      <c r="AG108" s="26"/>
      <c r="AH108" s="32"/>
      <c r="AJ108" s="8"/>
      <c r="AK108" s="2"/>
      <c r="AL108" s="26"/>
      <c r="AM108" s="26"/>
      <c r="AN108" s="26"/>
      <c r="AO108" s="27"/>
      <c r="AP108" s="30"/>
      <c r="AQ108" s="26"/>
      <c r="AR108" s="26"/>
      <c r="AS108" s="32"/>
      <c r="AT108" s="34"/>
    </row>
    <row r="109" spans="2:46" x14ac:dyDescent="0.3">
      <c r="B109" s="8"/>
      <c r="C109" s="2"/>
      <c r="D109" s="26"/>
      <c r="E109" s="26"/>
      <c r="F109" s="27"/>
      <c r="G109" s="26"/>
      <c r="H109" s="26"/>
      <c r="I109" s="27"/>
      <c r="J109" s="26"/>
      <c r="K109" s="26"/>
      <c r="L109" s="67"/>
      <c r="N109" s="8"/>
      <c r="O109" s="2"/>
      <c r="P109" s="26"/>
      <c r="Q109" s="27"/>
      <c r="R109" s="30"/>
      <c r="S109" s="27"/>
      <c r="T109" s="30"/>
      <c r="U109" s="34"/>
      <c r="V109" s="34"/>
      <c r="X109" s="8"/>
      <c r="Y109" s="2"/>
      <c r="Z109" s="26"/>
      <c r="AA109" s="26"/>
      <c r="AB109" s="26"/>
      <c r="AC109" s="26"/>
      <c r="AD109" s="27"/>
      <c r="AE109" s="30"/>
      <c r="AF109" s="26"/>
      <c r="AG109" s="26"/>
      <c r="AH109" s="32"/>
      <c r="AJ109" s="8"/>
      <c r="AK109" s="2"/>
      <c r="AL109" s="26"/>
      <c r="AM109" s="26"/>
      <c r="AN109" s="26"/>
      <c r="AO109" s="27"/>
      <c r="AP109" s="30"/>
      <c r="AQ109" s="26"/>
      <c r="AR109" s="26"/>
      <c r="AS109" s="32"/>
      <c r="AT109" s="34"/>
    </row>
    <row r="110" spans="2:46" x14ac:dyDescent="0.3">
      <c r="B110" s="8"/>
      <c r="C110" s="2"/>
      <c r="D110" s="26"/>
      <c r="E110" s="26"/>
      <c r="F110" s="27"/>
      <c r="G110" s="26"/>
      <c r="H110" s="26"/>
      <c r="I110" s="27"/>
      <c r="J110" s="26"/>
      <c r="K110" s="26"/>
      <c r="L110" s="67"/>
      <c r="N110" s="8"/>
      <c r="O110" s="2"/>
      <c r="P110" s="26"/>
      <c r="Q110" s="27"/>
      <c r="R110" s="30"/>
      <c r="S110" s="27"/>
      <c r="T110" s="30"/>
      <c r="U110" s="34"/>
      <c r="V110" s="34"/>
      <c r="X110" s="8"/>
      <c r="Y110" s="2"/>
      <c r="Z110" s="26"/>
      <c r="AA110" s="26"/>
      <c r="AB110" s="26"/>
      <c r="AC110" s="26"/>
      <c r="AD110" s="27"/>
      <c r="AE110" s="30"/>
      <c r="AF110" s="26"/>
      <c r="AG110" s="26"/>
      <c r="AH110" s="32"/>
      <c r="AJ110" s="8"/>
      <c r="AK110" s="2"/>
      <c r="AL110" s="26"/>
      <c r="AM110" s="26"/>
      <c r="AN110" s="26"/>
      <c r="AO110" s="27"/>
      <c r="AP110" s="30"/>
      <c r="AQ110" s="26"/>
      <c r="AR110" s="26"/>
      <c r="AS110" s="32"/>
      <c r="AT110" s="34"/>
    </row>
    <row r="111" spans="2:46" x14ac:dyDescent="0.3">
      <c r="B111" s="8"/>
      <c r="C111" s="2"/>
      <c r="D111" s="26"/>
      <c r="E111" s="26"/>
      <c r="F111" s="27"/>
      <c r="G111" s="26"/>
      <c r="H111" s="26"/>
      <c r="I111" s="27"/>
      <c r="J111" s="26"/>
      <c r="K111" s="26"/>
      <c r="L111" s="67"/>
      <c r="N111" s="8"/>
      <c r="O111" s="2"/>
      <c r="P111" s="26"/>
      <c r="Q111" s="27"/>
      <c r="R111" s="30"/>
      <c r="S111" s="27"/>
      <c r="T111" s="30"/>
      <c r="U111" s="34"/>
      <c r="V111" s="34"/>
      <c r="X111" s="8"/>
      <c r="Y111" s="2"/>
      <c r="Z111" s="26"/>
      <c r="AA111" s="26"/>
      <c r="AB111" s="26"/>
      <c r="AC111" s="26"/>
      <c r="AD111" s="27"/>
      <c r="AE111" s="30"/>
      <c r="AF111" s="26"/>
      <c r="AG111" s="26"/>
      <c r="AH111" s="32"/>
      <c r="AJ111" s="8"/>
      <c r="AK111" s="2"/>
      <c r="AL111" s="26"/>
      <c r="AM111" s="26"/>
      <c r="AN111" s="26"/>
      <c r="AO111" s="27"/>
      <c r="AP111" s="30"/>
      <c r="AQ111" s="26"/>
      <c r="AR111" s="26"/>
      <c r="AS111" s="32"/>
      <c r="AT111" s="34"/>
    </row>
    <row r="112" spans="2:46" x14ac:dyDescent="0.3">
      <c r="B112" s="8"/>
      <c r="C112" s="2"/>
      <c r="D112" s="26"/>
      <c r="E112" s="26"/>
      <c r="F112" s="27"/>
      <c r="G112" s="26"/>
      <c r="H112" s="26"/>
      <c r="I112" s="27"/>
      <c r="J112" s="26"/>
      <c r="K112" s="26"/>
      <c r="L112" s="67"/>
      <c r="N112" s="8"/>
      <c r="O112" s="2"/>
      <c r="P112" s="26"/>
      <c r="Q112" s="27"/>
      <c r="R112" s="30"/>
      <c r="S112" s="27"/>
      <c r="T112" s="30"/>
      <c r="U112" s="34"/>
      <c r="V112" s="34"/>
      <c r="X112" s="8"/>
      <c r="Y112" s="2"/>
      <c r="Z112" s="26"/>
      <c r="AA112" s="26"/>
      <c r="AB112" s="26"/>
      <c r="AC112" s="26"/>
      <c r="AD112" s="27"/>
      <c r="AE112" s="30"/>
      <c r="AF112" s="26"/>
      <c r="AG112" s="26"/>
      <c r="AH112" s="32"/>
      <c r="AJ112" s="8"/>
      <c r="AK112" s="2"/>
      <c r="AL112" s="26"/>
      <c r="AM112" s="26"/>
      <c r="AN112" s="26"/>
      <c r="AO112" s="27"/>
      <c r="AP112" s="30"/>
      <c r="AQ112" s="26"/>
      <c r="AR112" s="26"/>
      <c r="AS112" s="32"/>
      <c r="AT112" s="34"/>
    </row>
    <row r="113" spans="2:46" x14ac:dyDescent="0.3">
      <c r="B113" s="8"/>
      <c r="C113" s="2"/>
      <c r="D113" s="26"/>
      <c r="E113" s="26"/>
      <c r="F113" s="27"/>
      <c r="G113" s="26"/>
      <c r="H113" s="26"/>
      <c r="I113" s="27"/>
      <c r="J113" s="26"/>
      <c r="K113" s="26"/>
      <c r="L113" s="67"/>
      <c r="N113" s="8"/>
      <c r="O113" s="2"/>
      <c r="P113" s="26"/>
      <c r="Q113" s="27"/>
      <c r="R113" s="30"/>
      <c r="S113" s="27"/>
      <c r="T113" s="30"/>
      <c r="U113" s="34"/>
      <c r="V113" s="34"/>
      <c r="X113" s="8"/>
      <c r="Y113" s="2"/>
      <c r="Z113" s="26"/>
      <c r="AA113" s="26"/>
      <c r="AB113" s="26"/>
      <c r="AC113" s="26"/>
      <c r="AD113" s="27"/>
      <c r="AE113" s="30"/>
      <c r="AF113" s="26"/>
      <c r="AG113" s="26"/>
      <c r="AH113" s="32"/>
      <c r="AJ113" s="8"/>
      <c r="AK113" s="2"/>
      <c r="AL113" s="26"/>
      <c r="AM113" s="26"/>
      <c r="AN113" s="26"/>
      <c r="AO113" s="27"/>
      <c r="AP113" s="30"/>
      <c r="AQ113" s="26"/>
      <c r="AR113" s="26"/>
      <c r="AS113" s="32"/>
      <c r="AT113" s="34"/>
    </row>
    <row r="114" spans="2:46" x14ac:dyDescent="0.3">
      <c r="B114" s="8"/>
      <c r="C114" s="2"/>
      <c r="D114" s="26"/>
      <c r="E114" s="26"/>
      <c r="F114" s="27"/>
      <c r="G114" s="26"/>
      <c r="H114" s="26"/>
      <c r="I114" s="27"/>
      <c r="J114" s="26"/>
      <c r="K114" s="26"/>
      <c r="L114" s="67"/>
      <c r="N114" s="8"/>
      <c r="O114" s="2"/>
      <c r="P114" s="26"/>
      <c r="Q114" s="27"/>
      <c r="R114" s="30"/>
      <c r="S114" s="27"/>
      <c r="T114" s="30"/>
      <c r="U114" s="34"/>
      <c r="V114" s="34"/>
      <c r="X114" s="8"/>
      <c r="Y114" s="2"/>
      <c r="Z114" s="26"/>
      <c r="AA114" s="26"/>
      <c r="AB114" s="26"/>
      <c r="AC114" s="26"/>
      <c r="AD114" s="27"/>
      <c r="AE114" s="30"/>
      <c r="AF114" s="26"/>
      <c r="AG114" s="26"/>
      <c r="AH114" s="32"/>
      <c r="AJ114" s="8"/>
      <c r="AK114" s="2"/>
      <c r="AL114" s="26"/>
      <c r="AM114" s="26"/>
      <c r="AN114" s="26"/>
      <c r="AO114" s="27"/>
      <c r="AP114" s="30"/>
      <c r="AQ114" s="26"/>
      <c r="AR114" s="26"/>
      <c r="AS114" s="32"/>
      <c r="AT114" s="34"/>
    </row>
    <row r="115" spans="2:46" x14ac:dyDescent="0.3">
      <c r="B115" s="8"/>
      <c r="C115" s="2"/>
      <c r="D115" s="26"/>
      <c r="E115" s="26"/>
      <c r="F115" s="27"/>
      <c r="G115" s="26"/>
      <c r="H115" s="26"/>
      <c r="I115" s="27"/>
      <c r="J115" s="26"/>
      <c r="K115" s="26"/>
      <c r="L115" s="67"/>
      <c r="N115" s="8"/>
      <c r="O115" s="2"/>
      <c r="P115" s="26"/>
      <c r="Q115" s="27"/>
      <c r="R115" s="30"/>
      <c r="S115" s="27"/>
      <c r="T115" s="30"/>
      <c r="U115" s="34"/>
      <c r="V115" s="34"/>
      <c r="X115" s="8"/>
      <c r="Y115" s="2"/>
      <c r="Z115" s="26"/>
      <c r="AA115" s="26"/>
      <c r="AB115" s="26"/>
      <c r="AC115" s="26"/>
      <c r="AD115" s="27"/>
      <c r="AE115" s="30"/>
      <c r="AF115" s="26"/>
      <c r="AG115" s="26"/>
      <c r="AH115" s="32"/>
      <c r="AJ115" s="8"/>
      <c r="AK115" s="2"/>
      <c r="AL115" s="26"/>
      <c r="AM115" s="26"/>
      <c r="AN115" s="26"/>
      <c r="AO115" s="27"/>
      <c r="AP115" s="30"/>
      <c r="AQ115" s="26"/>
      <c r="AR115" s="26"/>
      <c r="AS115" s="32"/>
      <c r="AT115" s="34"/>
    </row>
    <row r="116" spans="2:46" x14ac:dyDescent="0.3">
      <c r="B116" s="8"/>
      <c r="C116" s="2"/>
      <c r="D116" s="26"/>
      <c r="E116" s="26"/>
      <c r="F116" s="27"/>
      <c r="G116" s="26"/>
      <c r="H116" s="26"/>
      <c r="I116" s="27"/>
      <c r="J116" s="26"/>
      <c r="K116" s="26"/>
      <c r="L116" s="67"/>
      <c r="N116" s="8"/>
      <c r="O116" s="2"/>
      <c r="P116" s="26"/>
      <c r="Q116" s="27"/>
      <c r="R116" s="30"/>
      <c r="S116" s="27"/>
      <c r="T116" s="30"/>
      <c r="U116" s="34"/>
      <c r="V116" s="34"/>
      <c r="X116" s="8"/>
      <c r="Y116" s="2"/>
      <c r="Z116" s="26"/>
      <c r="AA116" s="26"/>
      <c r="AB116" s="26"/>
      <c r="AC116" s="26"/>
      <c r="AD116" s="27"/>
      <c r="AE116" s="30"/>
      <c r="AF116" s="26"/>
      <c r="AG116" s="26"/>
      <c r="AH116" s="32"/>
      <c r="AJ116" s="8"/>
      <c r="AK116" s="2"/>
      <c r="AL116" s="26"/>
      <c r="AM116" s="26"/>
      <c r="AN116" s="26"/>
      <c r="AO116" s="27"/>
      <c r="AP116" s="30"/>
      <c r="AQ116" s="26"/>
      <c r="AR116" s="26"/>
      <c r="AS116" s="32"/>
      <c r="AT116" s="34"/>
    </row>
    <row r="117" spans="2:46" x14ac:dyDescent="0.3">
      <c r="B117" s="8"/>
      <c r="C117" s="2"/>
      <c r="D117" s="26"/>
      <c r="E117" s="26"/>
      <c r="F117" s="27"/>
      <c r="G117" s="26"/>
      <c r="H117" s="26"/>
      <c r="I117" s="27"/>
      <c r="J117" s="26"/>
      <c r="K117" s="26"/>
      <c r="L117" s="67"/>
      <c r="N117" s="8"/>
      <c r="O117" s="2"/>
      <c r="P117" s="26"/>
      <c r="Q117" s="27"/>
      <c r="R117" s="30"/>
      <c r="S117" s="27"/>
      <c r="T117" s="30"/>
      <c r="U117" s="34"/>
      <c r="V117" s="34"/>
      <c r="X117" s="8"/>
      <c r="Y117" s="2"/>
      <c r="Z117" s="26"/>
      <c r="AA117" s="26"/>
      <c r="AB117" s="26"/>
      <c r="AC117" s="26"/>
      <c r="AD117" s="27"/>
      <c r="AE117" s="30"/>
      <c r="AF117" s="26"/>
      <c r="AG117" s="26"/>
      <c r="AH117" s="32"/>
      <c r="AJ117" s="8"/>
      <c r="AK117" s="2"/>
      <c r="AL117" s="26"/>
      <c r="AM117" s="26"/>
      <c r="AN117" s="26"/>
      <c r="AO117" s="27"/>
      <c r="AP117" s="30"/>
      <c r="AQ117" s="26"/>
      <c r="AR117" s="26"/>
      <c r="AS117" s="32"/>
      <c r="AT117" s="34"/>
    </row>
    <row r="118" spans="2:46" x14ac:dyDescent="0.3">
      <c r="B118" s="8"/>
      <c r="C118" s="2"/>
      <c r="D118" s="26"/>
      <c r="E118" s="26"/>
      <c r="F118" s="27"/>
      <c r="G118" s="26"/>
      <c r="H118" s="26"/>
      <c r="I118" s="27"/>
      <c r="J118" s="26"/>
      <c r="K118" s="26"/>
      <c r="L118" s="67"/>
      <c r="N118" s="8"/>
      <c r="O118" s="2"/>
      <c r="P118" s="26"/>
      <c r="Q118" s="27"/>
      <c r="R118" s="30"/>
      <c r="S118" s="27"/>
      <c r="T118" s="30"/>
      <c r="U118" s="34"/>
      <c r="V118" s="34"/>
      <c r="X118" s="8"/>
      <c r="Y118" s="2"/>
      <c r="Z118" s="26"/>
      <c r="AA118" s="26"/>
      <c r="AB118" s="26"/>
      <c r="AC118" s="26"/>
      <c r="AD118" s="27"/>
      <c r="AE118" s="30"/>
      <c r="AF118" s="26"/>
      <c r="AG118" s="26"/>
      <c r="AH118" s="32"/>
      <c r="AJ118" s="8"/>
      <c r="AK118" s="2"/>
      <c r="AL118" s="26"/>
      <c r="AM118" s="26"/>
      <c r="AN118" s="26"/>
      <c r="AO118" s="27"/>
      <c r="AP118" s="30"/>
      <c r="AQ118" s="26"/>
      <c r="AR118" s="26"/>
      <c r="AS118" s="32"/>
      <c r="AT118" s="34"/>
    </row>
    <row r="119" spans="2:46" x14ac:dyDescent="0.3">
      <c r="B119" s="8"/>
      <c r="C119" s="2"/>
      <c r="D119" s="26"/>
      <c r="E119" s="26"/>
      <c r="F119" s="27"/>
      <c r="G119" s="26"/>
      <c r="H119" s="26"/>
      <c r="I119" s="27"/>
      <c r="J119" s="26"/>
      <c r="K119" s="26"/>
      <c r="L119" s="67"/>
      <c r="N119" s="8"/>
      <c r="O119" s="2"/>
      <c r="P119" s="26"/>
      <c r="Q119" s="27"/>
      <c r="R119" s="30"/>
      <c r="S119" s="27"/>
      <c r="T119" s="30"/>
      <c r="U119" s="34"/>
      <c r="V119" s="34"/>
      <c r="X119" s="8"/>
      <c r="Y119" s="2"/>
      <c r="Z119" s="26"/>
      <c r="AA119" s="26"/>
      <c r="AB119" s="26"/>
      <c r="AC119" s="26"/>
      <c r="AD119" s="27"/>
      <c r="AE119" s="30"/>
      <c r="AF119" s="26"/>
      <c r="AG119" s="26"/>
      <c r="AH119" s="32"/>
      <c r="AJ119" s="8"/>
      <c r="AK119" s="2"/>
      <c r="AL119" s="26"/>
      <c r="AM119" s="26"/>
      <c r="AN119" s="26"/>
      <c r="AO119" s="27"/>
      <c r="AP119" s="30"/>
      <c r="AQ119" s="26"/>
      <c r="AR119" s="26"/>
      <c r="AS119" s="32"/>
      <c r="AT119" s="34"/>
    </row>
    <row r="120" spans="2:46" x14ac:dyDescent="0.3">
      <c r="B120" s="8"/>
      <c r="C120" s="2"/>
      <c r="D120" s="26"/>
      <c r="E120" s="26"/>
      <c r="F120" s="27"/>
      <c r="G120" s="26"/>
      <c r="H120" s="26"/>
      <c r="I120" s="27"/>
      <c r="J120" s="26"/>
      <c r="K120" s="26"/>
      <c r="L120" s="67"/>
      <c r="N120" s="8"/>
      <c r="O120" s="2"/>
      <c r="P120" s="26"/>
      <c r="Q120" s="27"/>
      <c r="R120" s="30"/>
      <c r="S120" s="27"/>
      <c r="T120" s="30"/>
      <c r="U120" s="34"/>
      <c r="V120" s="34"/>
      <c r="X120" s="8"/>
      <c r="Y120" s="2"/>
      <c r="Z120" s="26"/>
      <c r="AA120" s="26"/>
      <c r="AB120" s="26"/>
      <c r="AC120" s="26"/>
      <c r="AD120" s="27"/>
      <c r="AE120" s="30"/>
      <c r="AF120" s="26"/>
      <c r="AG120" s="26"/>
      <c r="AH120" s="32"/>
      <c r="AJ120" s="8"/>
      <c r="AK120" s="2"/>
      <c r="AL120" s="26"/>
      <c r="AM120" s="26"/>
      <c r="AN120" s="26"/>
      <c r="AO120" s="27"/>
      <c r="AP120" s="30"/>
      <c r="AQ120" s="26"/>
      <c r="AR120" s="26"/>
      <c r="AS120" s="32"/>
      <c r="AT120" s="34"/>
    </row>
    <row r="121" spans="2:46" x14ac:dyDescent="0.3">
      <c r="B121" s="8"/>
      <c r="C121" s="2"/>
      <c r="D121" s="26"/>
      <c r="E121" s="26"/>
      <c r="F121" s="27"/>
      <c r="G121" s="26"/>
      <c r="H121" s="26"/>
      <c r="I121" s="27"/>
      <c r="J121" s="26"/>
      <c r="K121" s="26"/>
      <c r="L121" s="67"/>
      <c r="N121" s="8"/>
      <c r="O121" s="2"/>
      <c r="P121" s="26"/>
      <c r="Q121" s="27"/>
      <c r="R121" s="30"/>
      <c r="S121" s="27"/>
      <c r="T121" s="30"/>
      <c r="U121" s="34"/>
      <c r="V121" s="34"/>
      <c r="X121" s="8"/>
      <c r="Y121" s="2"/>
      <c r="Z121" s="26"/>
      <c r="AA121" s="26"/>
      <c r="AB121" s="26"/>
      <c r="AC121" s="26"/>
      <c r="AD121" s="27"/>
      <c r="AE121" s="30"/>
      <c r="AF121" s="26"/>
      <c r="AG121" s="26"/>
      <c r="AH121" s="32"/>
      <c r="AJ121" s="8"/>
      <c r="AK121" s="2"/>
      <c r="AL121" s="26"/>
      <c r="AM121" s="26"/>
      <c r="AN121" s="26"/>
      <c r="AO121" s="27"/>
      <c r="AP121" s="30"/>
      <c r="AQ121" s="26"/>
      <c r="AR121" s="26"/>
      <c r="AS121" s="32"/>
      <c r="AT121" s="34"/>
    </row>
    <row r="122" spans="2:46" x14ac:dyDescent="0.3">
      <c r="B122" s="8"/>
      <c r="C122" s="2"/>
      <c r="D122" s="26"/>
      <c r="E122" s="26"/>
      <c r="F122" s="27"/>
      <c r="G122" s="26"/>
      <c r="H122" s="26"/>
      <c r="I122" s="27"/>
      <c r="J122" s="26"/>
      <c r="K122" s="26"/>
      <c r="L122" s="67"/>
      <c r="N122" s="8"/>
      <c r="O122" s="2"/>
      <c r="P122" s="26"/>
      <c r="Q122" s="27"/>
      <c r="R122" s="30"/>
      <c r="S122" s="27"/>
      <c r="T122" s="30"/>
      <c r="U122" s="34"/>
      <c r="V122" s="34"/>
      <c r="X122" s="8"/>
      <c r="Y122" s="2"/>
      <c r="Z122" s="26"/>
      <c r="AA122" s="26"/>
      <c r="AB122" s="26"/>
      <c r="AC122" s="26"/>
      <c r="AD122" s="27"/>
      <c r="AE122" s="30"/>
      <c r="AF122" s="26"/>
      <c r="AG122" s="26"/>
      <c r="AH122" s="32"/>
      <c r="AJ122" s="8"/>
      <c r="AK122" s="2"/>
      <c r="AL122" s="26"/>
      <c r="AM122" s="26"/>
      <c r="AN122" s="26"/>
      <c r="AO122" s="27"/>
      <c r="AP122" s="30"/>
      <c r="AQ122" s="26"/>
      <c r="AR122" s="26"/>
      <c r="AS122" s="32"/>
      <c r="AT122" s="34"/>
    </row>
    <row r="123" spans="2:46" x14ac:dyDescent="0.3">
      <c r="B123" s="8"/>
      <c r="C123" s="2"/>
      <c r="D123" s="26"/>
      <c r="E123" s="26"/>
      <c r="F123" s="27"/>
      <c r="G123" s="26"/>
      <c r="H123" s="26"/>
      <c r="I123" s="27"/>
      <c r="J123" s="26"/>
      <c r="K123" s="26"/>
      <c r="L123" s="67"/>
      <c r="N123" s="8"/>
      <c r="O123" s="2"/>
      <c r="P123" s="26"/>
      <c r="Q123" s="27"/>
      <c r="R123" s="30"/>
      <c r="S123" s="27"/>
      <c r="T123" s="30"/>
      <c r="U123" s="34"/>
      <c r="V123" s="34"/>
      <c r="X123" s="8"/>
      <c r="Y123" s="2"/>
      <c r="Z123" s="26"/>
      <c r="AA123" s="26"/>
      <c r="AB123" s="26"/>
      <c r="AC123" s="26"/>
      <c r="AD123" s="27"/>
      <c r="AE123" s="30"/>
      <c r="AF123" s="26"/>
      <c r="AG123" s="26"/>
      <c r="AH123" s="32"/>
      <c r="AJ123" s="8"/>
      <c r="AK123" s="2"/>
      <c r="AL123" s="26"/>
      <c r="AM123" s="26"/>
      <c r="AN123" s="26"/>
      <c r="AO123" s="27"/>
      <c r="AP123" s="30"/>
      <c r="AQ123" s="26"/>
      <c r="AR123" s="26"/>
      <c r="AS123" s="32"/>
      <c r="AT123" s="34"/>
    </row>
    <row r="124" spans="2:46" x14ac:dyDescent="0.3">
      <c r="B124" s="8"/>
      <c r="C124" s="2"/>
      <c r="D124" s="26"/>
      <c r="E124" s="26"/>
      <c r="F124" s="27"/>
      <c r="G124" s="26"/>
      <c r="H124" s="26"/>
      <c r="I124" s="27"/>
      <c r="J124" s="26"/>
      <c r="K124" s="26"/>
      <c r="L124" s="67"/>
      <c r="N124" s="8"/>
      <c r="O124" s="2"/>
      <c r="P124" s="26"/>
      <c r="Q124" s="27"/>
      <c r="R124" s="30"/>
      <c r="S124" s="27"/>
      <c r="T124" s="30"/>
      <c r="U124" s="34"/>
      <c r="V124" s="34"/>
      <c r="X124" s="8"/>
      <c r="Y124" s="2"/>
      <c r="Z124" s="26"/>
      <c r="AA124" s="26"/>
      <c r="AB124" s="26"/>
      <c r="AC124" s="26"/>
      <c r="AD124" s="27"/>
      <c r="AE124" s="30"/>
      <c r="AF124" s="26"/>
      <c r="AG124" s="26"/>
      <c r="AH124" s="32"/>
      <c r="AJ124" s="8"/>
      <c r="AK124" s="2"/>
      <c r="AL124" s="26"/>
      <c r="AM124" s="26"/>
      <c r="AN124" s="26"/>
      <c r="AO124" s="27"/>
      <c r="AP124" s="30"/>
      <c r="AQ124" s="26"/>
      <c r="AR124" s="26"/>
      <c r="AS124" s="32"/>
      <c r="AT124" s="34"/>
    </row>
    <row r="125" spans="2:46" x14ac:dyDescent="0.3">
      <c r="B125" s="8"/>
      <c r="C125" s="2"/>
      <c r="D125" s="26"/>
      <c r="E125" s="26"/>
      <c r="F125" s="27"/>
      <c r="G125" s="26"/>
      <c r="H125" s="26"/>
      <c r="I125" s="27"/>
      <c r="J125" s="26"/>
      <c r="K125" s="26"/>
      <c r="L125" s="67"/>
      <c r="N125" s="8"/>
      <c r="O125" s="2"/>
      <c r="P125" s="26"/>
      <c r="Q125" s="27"/>
      <c r="R125" s="30"/>
      <c r="S125" s="27"/>
      <c r="T125" s="30"/>
      <c r="U125" s="34"/>
      <c r="V125" s="34"/>
      <c r="X125" s="8"/>
      <c r="Y125" s="2"/>
      <c r="Z125" s="26"/>
      <c r="AA125" s="26"/>
      <c r="AB125" s="26"/>
      <c r="AC125" s="26"/>
      <c r="AD125" s="27"/>
      <c r="AE125" s="30"/>
      <c r="AF125" s="26"/>
      <c r="AG125" s="26"/>
      <c r="AH125" s="32"/>
      <c r="AJ125" s="8"/>
      <c r="AK125" s="2"/>
      <c r="AL125" s="26"/>
      <c r="AM125" s="26"/>
      <c r="AN125" s="26"/>
      <c r="AO125" s="27"/>
      <c r="AP125" s="30"/>
      <c r="AQ125" s="26"/>
      <c r="AR125" s="26"/>
      <c r="AS125" s="32"/>
      <c r="AT125" s="34"/>
    </row>
    <row r="126" spans="2:46" x14ac:dyDescent="0.3">
      <c r="B126" s="8"/>
      <c r="C126" s="2"/>
      <c r="D126" s="26"/>
      <c r="E126" s="26"/>
      <c r="F126" s="27"/>
      <c r="G126" s="26"/>
      <c r="H126" s="26"/>
      <c r="I126" s="27"/>
      <c r="J126" s="26"/>
      <c r="K126" s="26"/>
      <c r="L126" s="67"/>
      <c r="N126" s="8"/>
      <c r="O126" s="2"/>
      <c r="P126" s="26"/>
      <c r="Q126" s="27"/>
      <c r="R126" s="30"/>
      <c r="S126" s="27"/>
      <c r="T126" s="30"/>
      <c r="U126" s="34"/>
      <c r="V126" s="34"/>
      <c r="X126" s="8"/>
      <c r="Y126" s="2"/>
      <c r="Z126" s="26"/>
      <c r="AA126" s="26"/>
      <c r="AB126" s="26"/>
      <c r="AC126" s="26"/>
      <c r="AD126" s="27"/>
      <c r="AE126" s="30"/>
      <c r="AF126" s="26"/>
      <c r="AG126" s="26"/>
      <c r="AH126" s="32"/>
      <c r="AJ126" s="8"/>
      <c r="AK126" s="2"/>
      <c r="AL126" s="26"/>
      <c r="AM126" s="26"/>
      <c r="AN126" s="26"/>
      <c r="AO126" s="27"/>
      <c r="AP126" s="30"/>
      <c r="AQ126" s="26"/>
      <c r="AR126" s="26"/>
      <c r="AS126" s="32"/>
      <c r="AT126" s="34"/>
    </row>
    <row r="127" spans="2:46" x14ac:dyDescent="0.3">
      <c r="B127" s="8"/>
      <c r="C127" s="2"/>
      <c r="D127" s="26"/>
      <c r="E127" s="26"/>
      <c r="F127" s="27"/>
      <c r="G127" s="26"/>
      <c r="H127" s="26"/>
      <c r="I127" s="27"/>
      <c r="J127" s="26"/>
      <c r="K127" s="26"/>
      <c r="L127" s="67"/>
      <c r="N127" s="8"/>
      <c r="O127" s="2"/>
      <c r="P127" s="26"/>
      <c r="Q127" s="27"/>
      <c r="R127" s="30"/>
      <c r="S127" s="27"/>
      <c r="T127" s="30"/>
      <c r="U127" s="34"/>
      <c r="V127" s="34"/>
      <c r="X127" s="8"/>
      <c r="Y127" s="2"/>
      <c r="Z127" s="26"/>
      <c r="AA127" s="26"/>
      <c r="AB127" s="26"/>
      <c r="AC127" s="26"/>
      <c r="AD127" s="27"/>
      <c r="AE127" s="30"/>
      <c r="AF127" s="26"/>
      <c r="AG127" s="26"/>
      <c r="AH127" s="32"/>
      <c r="AJ127" s="8"/>
      <c r="AK127" s="2"/>
      <c r="AL127" s="26"/>
      <c r="AM127" s="26"/>
      <c r="AN127" s="26"/>
      <c r="AO127" s="27"/>
      <c r="AP127" s="30"/>
      <c r="AQ127" s="26"/>
      <c r="AR127" s="26"/>
      <c r="AS127" s="32"/>
      <c r="AT127" s="34"/>
    </row>
    <row r="128" spans="2:46" x14ac:dyDescent="0.3">
      <c r="B128" s="8"/>
      <c r="C128" s="2"/>
      <c r="D128" s="26"/>
      <c r="E128" s="26"/>
      <c r="F128" s="27"/>
      <c r="G128" s="26"/>
      <c r="H128" s="26"/>
      <c r="I128" s="27"/>
      <c r="J128" s="26"/>
      <c r="K128" s="26"/>
      <c r="L128" s="67"/>
      <c r="N128" s="8"/>
      <c r="O128" s="2"/>
      <c r="P128" s="26"/>
      <c r="Q128" s="27"/>
      <c r="R128" s="30"/>
      <c r="S128" s="27"/>
      <c r="T128" s="30"/>
      <c r="U128" s="34"/>
      <c r="V128" s="34"/>
      <c r="X128" s="8"/>
      <c r="Y128" s="2"/>
      <c r="Z128" s="26"/>
      <c r="AA128" s="26"/>
      <c r="AB128" s="26"/>
      <c r="AC128" s="26"/>
      <c r="AD128" s="27"/>
      <c r="AE128" s="30"/>
      <c r="AF128" s="26"/>
      <c r="AG128" s="26"/>
      <c r="AH128" s="32"/>
      <c r="AJ128" s="8"/>
      <c r="AK128" s="2"/>
      <c r="AL128" s="26"/>
      <c r="AM128" s="26"/>
      <c r="AN128" s="26"/>
      <c r="AO128" s="27"/>
      <c r="AP128" s="30"/>
      <c r="AQ128" s="26"/>
      <c r="AR128" s="26"/>
      <c r="AS128" s="32"/>
      <c r="AT128" s="34"/>
    </row>
    <row r="129" spans="2:46" x14ac:dyDescent="0.3">
      <c r="B129" s="8"/>
      <c r="C129" s="2"/>
      <c r="D129" s="26"/>
      <c r="E129" s="26"/>
      <c r="F129" s="27"/>
      <c r="G129" s="26"/>
      <c r="H129" s="26"/>
      <c r="I129" s="27"/>
      <c r="J129" s="26"/>
      <c r="K129" s="26"/>
      <c r="L129" s="67"/>
      <c r="N129" s="8"/>
      <c r="O129" s="2"/>
      <c r="P129" s="26"/>
      <c r="Q129" s="27"/>
      <c r="R129" s="30"/>
      <c r="S129" s="27"/>
      <c r="T129" s="30"/>
      <c r="U129" s="34"/>
      <c r="V129" s="34"/>
      <c r="X129" s="8"/>
      <c r="Y129" s="2"/>
      <c r="Z129" s="26"/>
      <c r="AA129" s="26"/>
      <c r="AB129" s="26"/>
      <c r="AC129" s="26"/>
      <c r="AD129" s="27"/>
      <c r="AE129" s="30"/>
      <c r="AF129" s="26"/>
      <c r="AG129" s="26"/>
      <c r="AH129" s="32"/>
      <c r="AJ129" s="8"/>
      <c r="AK129" s="2"/>
      <c r="AL129" s="26"/>
      <c r="AM129" s="26"/>
      <c r="AN129" s="26"/>
      <c r="AO129" s="27"/>
      <c r="AP129" s="30"/>
      <c r="AQ129" s="26"/>
      <c r="AR129" s="26"/>
      <c r="AS129" s="32"/>
      <c r="AT129" s="34"/>
    </row>
    <row r="130" spans="2:46" x14ac:dyDescent="0.3">
      <c r="B130" s="8"/>
      <c r="C130" s="2"/>
      <c r="D130" s="26"/>
      <c r="E130" s="26"/>
      <c r="F130" s="27"/>
      <c r="G130" s="26"/>
      <c r="H130" s="26"/>
      <c r="I130" s="27"/>
      <c r="J130" s="26"/>
      <c r="K130" s="26"/>
      <c r="L130" s="67"/>
      <c r="N130" s="8"/>
      <c r="O130" s="2"/>
      <c r="P130" s="26"/>
      <c r="Q130" s="27"/>
      <c r="R130" s="30"/>
      <c r="S130" s="27"/>
      <c r="T130" s="30"/>
      <c r="U130" s="34"/>
      <c r="V130" s="34"/>
      <c r="X130" s="8"/>
      <c r="Y130" s="2"/>
      <c r="Z130" s="26"/>
      <c r="AA130" s="26"/>
      <c r="AB130" s="26"/>
      <c r="AC130" s="26"/>
      <c r="AD130" s="27"/>
      <c r="AE130" s="30"/>
      <c r="AF130" s="26"/>
      <c r="AG130" s="26"/>
      <c r="AH130" s="32"/>
      <c r="AJ130" s="8"/>
      <c r="AK130" s="2"/>
      <c r="AL130" s="26"/>
      <c r="AM130" s="26"/>
      <c r="AN130" s="26"/>
      <c r="AO130" s="27"/>
      <c r="AP130" s="30"/>
      <c r="AQ130" s="26"/>
      <c r="AR130" s="26"/>
      <c r="AS130" s="32"/>
      <c r="AT130" s="34"/>
    </row>
    <row r="131" spans="2:46" x14ac:dyDescent="0.3">
      <c r="B131" s="8"/>
      <c r="C131" s="2"/>
      <c r="D131" s="26"/>
      <c r="E131" s="26"/>
      <c r="F131" s="27"/>
      <c r="G131" s="26"/>
      <c r="H131" s="26"/>
      <c r="I131" s="27"/>
      <c r="J131" s="26"/>
      <c r="K131" s="26"/>
      <c r="L131" s="67"/>
      <c r="N131" s="8"/>
      <c r="O131" s="2"/>
      <c r="P131" s="26"/>
      <c r="Q131" s="27"/>
      <c r="R131" s="30"/>
      <c r="S131" s="27"/>
      <c r="T131" s="30"/>
      <c r="U131" s="34"/>
      <c r="V131" s="34"/>
      <c r="X131" s="8"/>
      <c r="Y131" s="2"/>
      <c r="Z131" s="26"/>
      <c r="AA131" s="26"/>
      <c r="AB131" s="26"/>
      <c r="AC131" s="26"/>
      <c r="AD131" s="27"/>
      <c r="AE131" s="30"/>
      <c r="AF131" s="26"/>
      <c r="AG131" s="26"/>
      <c r="AH131" s="32"/>
      <c r="AJ131" s="8"/>
      <c r="AK131" s="2"/>
      <c r="AL131" s="26"/>
      <c r="AM131" s="26"/>
      <c r="AN131" s="26"/>
      <c r="AO131" s="27"/>
      <c r="AP131" s="30"/>
      <c r="AQ131" s="26"/>
      <c r="AR131" s="26"/>
      <c r="AS131" s="32"/>
      <c r="AT131" s="34"/>
    </row>
    <row r="132" spans="2:46" x14ac:dyDescent="0.3">
      <c r="B132" s="8"/>
      <c r="C132" s="2"/>
      <c r="D132" s="26"/>
      <c r="E132" s="26"/>
      <c r="F132" s="27"/>
      <c r="G132" s="26"/>
      <c r="H132" s="26"/>
      <c r="I132" s="27"/>
      <c r="J132" s="26"/>
      <c r="K132" s="26"/>
      <c r="L132" s="67"/>
      <c r="N132" s="8"/>
      <c r="O132" s="2"/>
      <c r="P132" s="26"/>
      <c r="Q132" s="27"/>
      <c r="R132" s="30"/>
      <c r="S132" s="27"/>
      <c r="T132" s="30"/>
      <c r="U132" s="34"/>
      <c r="V132" s="34"/>
      <c r="X132" s="8"/>
      <c r="Y132" s="2"/>
      <c r="Z132" s="26"/>
      <c r="AA132" s="26"/>
      <c r="AB132" s="26"/>
      <c r="AC132" s="26"/>
      <c r="AD132" s="27"/>
      <c r="AE132" s="30"/>
      <c r="AF132" s="26"/>
      <c r="AG132" s="26"/>
      <c r="AH132" s="32"/>
      <c r="AJ132" s="8"/>
      <c r="AK132" s="2"/>
      <c r="AL132" s="26"/>
      <c r="AM132" s="26"/>
      <c r="AN132" s="26"/>
      <c r="AO132" s="27"/>
      <c r="AP132" s="30"/>
      <c r="AQ132" s="26"/>
      <c r="AR132" s="26"/>
      <c r="AS132" s="32"/>
      <c r="AT132" s="34"/>
    </row>
    <row r="133" spans="2:46" x14ac:dyDescent="0.3">
      <c r="B133" s="8"/>
      <c r="C133" s="2"/>
      <c r="D133" s="26"/>
      <c r="E133" s="26"/>
      <c r="F133" s="27"/>
      <c r="G133" s="26"/>
      <c r="H133" s="26"/>
      <c r="I133" s="27"/>
      <c r="J133" s="26"/>
      <c r="K133" s="26"/>
      <c r="L133" s="67"/>
      <c r="N133" s="8"/>
      <c r="O133" s="2"/>
      <c r="P133" s="26"/>
      <c r="Q133" s="27"/>
      <c r="R133" s="30"/>
      <c r="S133" s="27"/>
      <c r="T133" s="30"/>
      <c r="U133" s="34"/>
      <c r="V133" s="34"/>
      <c r="X133" s="8"/>
      <c r="Y133" s="2"/>
      <c r="Z133" s="26"/>
      <c r="AA133" s="26"/>
      <c r="AB133" s="26"/>
      <c r="AC133" s="26"/>
      <c r="AD133" s="27"/>
      <c r="AE133" s="30"/>
      <c r="AF133" s="26"/>
      <c r="AG133" s="26"/>
      <c r="AH133" s="32"/>
      <c r="AJ133" s="8"/>
      <c r="AK133" s="2"/>
      <c r="AL133" s="26"/>
      <c r="AM133" s="26"/>
      <c r="AN133" s="26"/>
      <c r="AO133" s="27"/>
      <c r="AP133" s="30"/>
      <c r="AQ133" s="26"/>
      <c r="AR133" s="26"/>
      <c r="AS133" s="32"/>
      <c r="AT133" s="34"/>
    </row>
    <row r="134" spans="2:46" x14ac:dyDescent="0.3">
      <c r="B134" s="8"/>
      <c r="C134" s="2"/>
      <c r="D134" s="26"/>
      <c r="E134" s="26"/>
      <c r="F134" s="27"/>
      <c r="G134" s="26"/>
      <c r="H134" s="26"/>
      <c r="I134" s="27"/>
      <c r="J134" s="26"/>
      <c r="K134" s="26"/>
      <c r="L134" s="67"/>
      <c r="N134" s="8"/>
      <c r="O134" s="2"/>
      <c r="P134" s="26"/>
      <c r="Q134" s="27"/>
      <c r="R134" s="30"/>
      <c r="S134" s="27"/>
      <c r="T134" s="30"/>
      <c r="U134" s="34"/>
      <c r="V134" s="34"/>
      <c r="X134" s="8"/>
      <c r="Y134" s="2"/>
      <c r="Z134" s="26"/>
      <c r="AA134" s="26"/>
      <c r="AB134" s="26"/>
      <c r="AC134" s="26"/>
      <c r="AD134" s="27"/>
      <c r="AE134" s="30"/>
      <c r="AF134" s="26"/>
      <c r="AG134" s="26"/>
      <c r="AH134" s="32"/>
      <c r="AJ134" s="8"/>
      <c r="AK134" s="2"/>
      <c r="AL134" s="26"/>
      <c r="AM134" s="26"/>
      <c r="AN134" s="26"/>
      <c r="AO134" s="27"/>
      <c r="AP134" s="30"/>
      <c r="AQ134" s="26"/>
      <c r="AR134" s="26"/>
      <c r="AS134" s="32"/>
      <c r="AT134" s="34"/>
    </row>
    <row r="135" spans="2:46" x14ac:dyDescent="0.3">
      <c r="B135" s="8"/>
      <c r="C135" s="2"/>
      <c r="D135" s="26"/>
      <c r="E135" s="26"/>
      <c r="F135" s="27"/>
      <c r="G135" s="26"/>
      <c r="H135" s="26"/>
      <c r="I135" s="27"/>
      <c r="J135" s="26"/>
      <c r="K135" s="26"/>
      <c r="L135" s="67"/>
      <c r="N135" s="8"/>
      <c r="O135" s="2"/>
      <c r="P135" s="26"/>
      <c r="Q135" s="27"/>
      <c r="R135" s="30"/>
      <c r="S135" s="27"/>
      <c r="T135" s="30"/>
      <c r="U135" s="34"/>
      <c r="V135" s="34"/>
      <c r="X135" s="8"/>
      <c r="Y135" s="2"/>
      <c r="Z135" s="26"/>
      <c r="AA135" s="26"/>
      <c r="AB135" s="26"/>
      <c r="AC135" s="26"/>
      <c r="AD135" s="27"/>
      <c r="AE135" s="30"/>
      <c r="AF135" s="26"/>
      <c r="AG135" s="26"/>
      <c r="AH135" s="32"/>
      <c r="AJ135" s="8"/>
      <c r="AK135" s="2"/>
      <c r="AL135" s="26"/>
      <c r="AM135" s="26"/>
      <c r="AN135" s="26"/>
      <c r="AO135" s="27"/>
      <c r="AP135" s="30"/>
      <c r="AQ135" s="26"/>
      <c r="AR135" s="26"/>
      <c r="AS135" s="32"/>
      <c r="AT135" s="34"/>
    </row>
    <row r="136" spans="2:46" x14ac:dyDescent="0.3">
      <c r="B136" s="8"/>
      <c r="C136" s="2"/>
      <c r="D136" s="26"/>
      <c r="E136" s="26"/>
      <c r="F136" s="27"/>
      <c r="G136" s="26"/>
      <c r="H136" s="26"/>
      <c r="I136" s="27"/>
      <c r="J136" s="26"/>
      <c r="K136" s="26"/>
      <c r="L136" s="67"/>
      <c r="N136" s="8"/>
      <c r="O136" s="2"/>
      <c r="P136" s="26"/>
      <c r="Q136" s="27"/>
      <c r="R136" s="30"/>
      <c r="S136" s="27"/>
      <c r="T136" s="30"/>
      <c r="U136" s="34"/>
      <c r="V136" s="34"/>
      <c r="X136" s="8"/>
      <c r="Y136" s="2"/>
      <c r="Z136" s="26"/>
      <c r="AA136" s="26"/>
      <c r="AB136" s="26"/>
      <c r="AC136" s="26"/>
      <c r="AD136" s="27"/>
      <c r="AE136" s="30"/>
      <c r="AF136" s="26"/>
      <c r="AG136" s="26"/>
      <c r="AH136" s="32"/>
      <c r="AJ136" s="8"/>
      <c r="AK136" s="2"/>
      <c r="AL136" s="26"/>
      <c r="AM136" s="26"/>
      <c r="AN136" s="26"/>
      <c r="AO136" s="27"/>
      <c r="AP136" s="30"/>
      <c r="AQ136" s="26"/>
      <c r="AR136" s="26"/>
      <c r="AS136" s="32"/>
      <c r="AT136" s="34"/>
    </row>
    <row r="137" spans="2:46" x14ac:dyDescent="0.3">
      <c r="B137" s="8"/>
      <c r="C137" s="2"/>
      <c r="D137" s="26"/>
      <c r="E137" s="26"/>
      <c r="F137" s="27"/>
      <c r="G137" s="26"/>
      <c r="H137" s="26"/>
      <c r="I137" s="27"/>
      <c r="J137" s="26"/>
      <c r="K137" s="26"/>
      <c r="L137" s="67"/>
      <c r="N137" s="8"/>
      <c r="O137" s="2"/>
      <c r="P137" s="26"/>
      <c r="Q137" s="27"/>
      <c r="R137" s="30"/>
      <c r="S137" s="27"/>
      <c r="T137" s="30"/>
      <c r="U137" s="34"/>
      <c r="V137" s="34"/>
      <c r="X137" s="8"/>
      <c r="Y137" s="2"/>
      <c r="Z137" s="26"/>
      <c r="AA137" s="26"/>
      <c r="AB137" s="26"/>
      <c r="AC137" s="26"/>
      <c r="AD137" s="27"/>
      <c r="AE137" s="30"/>
      <c r="AF137" s="26"/>
      <c r="AG137" s="26"/>
      <c r="AH137" s="32"/>
      <c r="AJ137" s="8"/>
      <c r="AK137" s="2"/>
      <c r="AL137" s="26"/>
      <c r="AM137" s="26"/>
      <c r="AN137" s="26"/>
      <c r="AO137" s="27"/>
      <c r="AP137" s="30"/>
      <c r="AQ137" s="26"/>
      <c r="AR137" s="26"/>
      <c r="AS137" s="32"/>
      <c r="AT137" s="34"/>
    </row>
    <row r="138" spans="2:46" x14ac:dyDescent="0.3">
      <c r="B138" s="8"/>
      <c r="C138" s="2"/>
      <c r="D138" s="26"/>
      <c r="E138" s="26"/>
      <c r="F138" s="27"/>
      <c r="G138" s="26"/>
      <c r="H138" s="26"/>
      <c r="I138" s="27"/>
      <c r="J138" s="26"/>
      <c r="K138" s="26"/>
      <c r="L138" s="67"/>
      <c r="N138" s="8"/>
      <c r="O138" s="2"/>
      <c r="P138" s="26"/>
      <c r="Q138" s="27"/>
      <c r="R138" s="30"/>
      <c r="S138" s="27"/>
      <c r="T138" s="30"/>
      <c r="U138" s="34"/>
      <c r="V138" s="34"/>
      <c r="X138" s="8"/>
      <c r="Y138" s="2"/>
      <c r="Z138" s="26"/>
      <c r="AA138" s="26"/>
      <c r="AB138" s="26"/>
      <c r="AC138" s="26"/>
      <c r="AD138" s="27"/>
      <c r="AE138" s="30"/>
      <c r="AF138" s="26"/>
      <c r="AG138" s="26"/>
      <c r="AH138" s="32"/>
      <c r="AJ138" s="8"/>
      <c r="AK138" s="2"/>
      <c r="AL138" s="26"/>
      <c r="AM138" s="26"/>
      <c r="AN138" s="26"/>
      <c r="AO138" s="27"/>
      <c r="AP138" s="30"/>
      <c r="AQ138" s="26"/>
      <c r="AR138" s="26"/>
      <c r="AS138" s="32"/>
      <c r="AT138" s="34"/>
    </row>
    <row r="139" spans="2:46" x14ac:dyDescent="0.3">
      <c r="B139" s="8"/>
      <c r="C139" s="2"/>
      <c r="D139" s="26"/>
      <c r="E139" s="26"/>
      <c r="F139" s="27"/>
      <c r="G139" s="26"/>
      <c r="H139" s="26"/>
      <c r="I139" s="27"/>
      <c r="J139" s="26"/>
      <c r="K139" s="26"/>
      <c r="L139" s="67"/>
      <c r="N139" s="8"/>
      <c r="O139" s="2"/>
      <c r="P139" s="26"/>
      <c r="Q139" s="27"/>
      <c r="R139" s="30"/>
      <c r="S139" s="27"/>
      <c r="T139" s="30"/>
      <c r="U139" s="34"/>
      <c r="V139" s="34"/>
      <c r="X139" s="8"/>
      <c r="Y139" s="2"/>
      <c r="Z139" s="26"/>
      <c r="AA139" s="26"/>
      <c r="AB139" s="26"/>
      <c r="AC139" s="26"/>
      <c r="AD139" s="27"/>
      <c r="AE139" s="30"/>
      <c r="AF139" s="26"/>
      <c r="AG139" s="26"/>
      <c r="AH139" s="32"/>
      <c r="AJ139" s="8"/>
      <c r="AK139" s="2"/>
      <c r="AL139" s="26"/>
      <c r="AM139" s="26"/>
      <c r="AN139" s="26"/>
      <c r="AO139" s="27"/>
      <c r="AP139" s="30"/>
      <c r="AQ139" s="26"/>
      <c r="AR139" s="26"/>
      <c r="AS139" s="32"/>
      <c r="AT139" s="34"/>
    </row>
    <row r="140" spans="2:46" x14ac:dyDescent="0.3">
      <c r="B140" s="8"/>
      <c r="C140" s="2"/>
      <c r="D140" s="26"/>
      <c r="E140" s="26"/>
      <c r="F140" s="27"/>
      <c r="G140" s="26"/>
      <c r="H140" s="26"/>
      <c r="I140" s="27"/>
      <c r="J140" s="26"/>
      <c r="K140" s="26"/>
      <c r="L140" s="67"/>
      <c r="N140" s="8"/>
      <c r="O140" s="2"/>
      <c r="P140" s="26"/>
      <c r="Q140" s="27"/>
      <c r="R140" s="30"/>
      <c r="S140" s="27"/>
      <c r="T140" s="30"/>
      <c r="U140" s="34"/>
      <c r="V140" s="34"/>
      <c r="X140" s="8"/>
      <c r="Y140" s="2"/>
      <c r="Z140" s="26"/>
      <c r="AA140" s="26"/>
      <c r="AB140" s="26"/>
      <c r="AC140" s="26"/>
      <c r="AD140" s="27"/>
      <c r="AE140" s="30"/>
      <c r="AF140" s="26"/>
      <c r="AG140" s="26"/>
      <c r="AH140" s="32"/>
      <c r="AJ140" s="8"/>
      <c r="AK140" s="2"/>
      <c r="AL140" s="26"/>
      <c r="AM140" s="26"/>
      <c r="AN140" s="26"/>
      <c r="AO140" s="27"/>
      <c r="AP140" s="30"/>
      <c r="AQ140" s="26"/>
      <c r="AR140" s="26"/>
      <c r="AS140" s="32"/>
      <c r="AT140" s="34"/>
    </row>
    <row r="141" spans="2:46" x14ac:dyDescent="0.3">
      <c r="B141" s="8"/>
      <c r="C141" s="2"/>
      <c r="D141" s="26"/>
      <c r="E141" s="26"/>
      <c r="F141" s="27"/>
      <c r="G141" s="26"/>
      <c r="H141" s="26"/>
      <c r="I141" s="27"/>
      <c r="J141" s="26"/>
      <c r="K141" s="26"/>
      <c r="L141" s="67"/>
      <c r="N141" s="8"/>
      <c r="O141" s="2"/>
      <c r="P141" s="26"/>
      <c r="Q141" s="27"/>
      <c r="R141" s="30"/>
      <c r="S141" s="27"/>
      <c r="T141" s="30"/>
      <c r="U141" s="34"/>
      <c r="V141" s="34"/>
      <c r="X141" s="8"/>
      <c r="Y141" s="2"/>
      <c r="Z141" s="26"/>
      <c r="AA141" s="26"/>
      <c r="AB141" s="26"/>
      <c r="AC141" s="26"/>
      <c r="AD141" s="27"/>
      <c r="AE141" s="30"/>
      <c r="AF141" s="26"/>
      <c r="AG141" s="26"/>
      <c r="AH141" s="32"/>
      <c r="AJ141" s="8"/>
      <c r="AK141" s="2"/>
      <c r="AL141" s="26"/>
      <c r="AM141" s="26"/>
      <c r="AN141" s="26"/>
      <c r="AO141" s="27"/>
      <c r="AP141" s="30"/>
      <c r="AQ141" s="26"/>
      <c r="AR141" s="26"/>
      <c r="AS141" s="32"/>
      <c r="AT141" s="34"/>
    </row>
    <row r="142" spans="2:46" x14ac:dyDescent="0.3">
      <c r="B142" s="8"/>
      <c r="C142" s="2"/>
      <c r="D142" s="26"/>
      <c r="E142" s="26"/>
      <c r="F142" s="27"/>
      <c r="G142" s="26"/>
      <c r="H142" s="26"/>
      <c r="I142" s="27"/>
      <c r="J142" s="26"/>
      <c r="K142" s="26"/>
      <c r="L142" s="67"/>
      <c r="N142" s="8"/>
      <c r="O142" s="2"/>
      <c r="P142" s="26"/>
      <c r="Q142" s="27"/>
      <c r="R142" s="30"/>
      <c r="S142" s="27"/>
      <c r="T142" s="30"/>
      <c r="U142" s="34"/>
      <c r="V142" s="34"/>
      <c r="X142" s="8"/>
      <c r="Y142" s="2"/>
      <c r="Z142" s="26"/>
      <c r="AA142" s="26"/>
      <c r="AB142" s="26"/>
      <c r="AC142" s="26"/>
      <c r="AD142" s="27"/>
      <c r="AE142" s="30"/>
      <c r="AF142" s="26"/>
      <c r="AG142" s="26"/>
      <c r="AH142" s="32"/>
      <c r="AJ142" s="8"/>
      <c r="AK142" s="2"/>
      <c r="AL142" s="26"/>
      <c r="AM142" s="26"/>
      <c r="AN142" s="26"/>
      <c r="AO142" s="27"/>
      <c r="AP142" s="30"/>
      <c r="AQ142" s="26"/>
      <c r="AR142" s="26"/>
      <c r="AS142" s="32"/>
      <c r="AT142" s="34"/>
    </row>
    <row r="143" spans="2:46" x14ac:dyDescent="0.3">
      <c r="B143" s="8"/>
      <c r="C143" s="2"/>
      <c r="D143" s="26"/>
      <c r="E143" s="26"/>
      <c r="F143" s="27"/>
      <c r="G143" s="26"/>
      <c r="H143" s="26"/>
      <c r="I143" s="27"/>
      <c r="J143" s="26"/>
      <c r="K143" s="26"/>
      <c r="L143" s="67"/>
      <c r="N143" s="8"/>
      <c r="O143" s="2"/>
      <c r="P143" s="26"/>
      <c r="Q143" s="27"/>
      <c r="R143" s="30"/>
      <c r="S143" s="27"/>
      <c r="T143" s="30"/>
      <c r="U143" s="34"/>
      <c r="V143" s="34"/>
      <c r="X143" s="8"/>
      <c r="Y143" s="2"/>
      <c r="Z143" s="26"/>
      <c r="AA143" s="26"/>
      <c r="AB143" s="26"/>
      <c r="AC143" s="26"/>
      <c r="AD143" s="27"/>
      <c r="AE143" s="30"/>
      <c r="AF143" s="26"/>
      <c r="AG143" s="26"/>
      <c r="AH143" s="32"/>
      <c r="AJ143" s="8"/>
      <c r="AK143" s="2"/>
      <c r="AL143" s="26"/>
      <c r="AM143" s="26"/>
      <c r="AN143" s="26"/>
      <c r="AO143" s="27"/>
      <c r="AP143" s="30"/>
      <c r="AQ143" s="26"/>
      <c r="AR143" s="26"/>
      <c r="AS143" s="32"/>
      <c r="AT143" s="34"/>
    </row>
    <row r="144" spans="2:46" x14ac:dyDescent="0.3">
      <c r="B144" s="8"/>
      <c r="C144" s="2"/>
      <c r="D144" s="26"/>
      <c r="E144" s="26"/>
      <c r="F144" s="27"/>
      <c r="G144" s="26"/>
      <c r="H144" s="26"/>
      <c r="I144" s="27"/>
      <c r="J144" s="26"/>
      <c r="K144" s="26"/>
      <c r="L144" s="67"/>
      <c r="N144" s="8"/>
      <c r="O144" s="2"/>
      <c r="P144" s="26"/>
      <c r="Q144" s="27"/>
      <c r="R144" s="30"/>
      <c r="S144" s="27"/>
      <c r="T144" s="30"/>
      <c r="U144" s="34"/>
      <c r="V144" s="34"/>
      <c r="X144" s="8"/>
      <c r="Y144" s="2"/>
      <c r="Z144" s="26"/>
      <c r="AA144" s="26"/>
      <c r="AB144" s="26"/>
      <c r="AC144" s="26"/>
      <c r="AD144" s="27"/>
      <c r="AE144" s="30"/>
      <c r="AF144" s="26"/>
      <c r="AG144" s="26"/>
      <c r="AH144" s="32"/>
      <c r="AJ144" s="8"/>
      <c r="AK144" s="2"/>
      <c r="AL144" s="26"/>
      <c r="AM144" s="26"/>
      <c r="AN144" s="26"/>
      <c r="AO144" s="27"/>
      <c r="AP144" s="30"/>
      <c r="AQ144" s="26"/>
      <c r="AR144" s="26"/>
      <c r="AS144" s="32"/>
      <c r="AT144" s="34"/>
    </row>
    <row r="145" spans="2:46" x14ac:dyDescent="0.3">
      <c r="B145" s="8"/>
      <c r="C145" s="2"/>
      <c r="D145" s="26"/>
      <c r="E145" s="26"/>
      <c r="F145" s="27"/>
      <c r="G145" s="26"/>
      <c r="H145" s="26"/>
      <c r="I145" s="27"/>
      <c r="J145" s="26"/>
      <c r="K145" s="26"/>
      <c r="L145" s="67"/>
      <c r="N145" s="8"/>
      <c r="O145" s="2"/>
      <c r="P145" s="26"/>
      <c r="Q145" s="27"/>
      <c r="R145" s="30"/>
      <c r="S145" s="27"/>
      <c r="T145" s="30"/>
      <c r="U145" s="34"/>
      <c r="V145" s="34"/>
      <c r="X145" s="8"/>
      <c r="Y145" s="2"/>
      <c r="Z145" s="26"/>
      <c r="AA145" s="26"/>
      <c r="AB145" s="26"/>
      <c r="AC145" s="26"/>
      <c r="AD145" s="27"/>
      <c r="AE145" s="30"/>
      <c r="AF145" s="26"/>
      <c r="AG145" s="26"/>
      <c r="AH145" s="32"/>
      <c r="AJ145" s="8"/>
      <c r="AK145" s="2"/>
      <c r="AL145" s="26"/>
      <c r="AM145" s="26"/>
      <c r="AN145" s="26"/>
      <c r="AO145" s="27"/>
      <c r="AP145" s="30"/>
      <c r="AQ145" s="26"/>
      <c r="AR145" s="26"/>
      <c r="AS145" s="32"/>
      <c r="AT145" s="34"/>
    </row>
    <row r="146" spans="2:46" x14ac:dyDescent="0.3">
      <c r="B146" s="8"/>
      <c r="C146" s="2"/>
      <c r="D146" s="26"/>
      <c r="E146" s="26"/>
      <c r="F146" s="27"/>
      <c r="G146" s="26"/>
      <c r="H146" s="26"/>
      <c r="I146" s="27"/>
      <c r="J146" s="26"/>
      <c r="K146" s="26"/>
      <c r="L146" s="67"/>
      <c r="N146" s="8"/>
      <c r="O146" s="2"/>
      <c r="P146" s="26"/>
      <c r="Q146" s="27"/>
      <c r="R146" s="30"/>
      <c r="S146" s="27"/>
      <c r="T146" s="30"/>
      <c r="U146" s="34"/>
      <c r="V146" s="34"/>
      <c r="X146" s="8"/>
      <c r="Y146" s="2"/>
      <c r="Z146" s="26"/>
      <c r="AA146" s="26"/>
      <c r="AB146" s="26"/>
      <c r="AC146" s="26"/>
      <c r="AD146" s="27"/>
      <c r="AE146" s="30"/>
      <c r="AF146" s="26"/>
      <c r="AG146" s="26"/>
      <c r="AH146" s="32"/>
      <c r="AJ146" s="8"/>
      <c r="AK146" s="2"/>
      <c r="AL146" s="26"/>
      <c r="AM146" s="26"/>
      <c r="AN146" s="26"/>
      <c r="AO146" s="27"/>
      <c r="AP146" s="30"/>
      <c r="AQ146" s="26"/>
      <c r="AR146" s="26"/>
      <c r="AS146" s="32"/>
      <c r="AT146" s="34"/>
    </row>
    <row r="147" spans="2:46" x14ac:dyDescent="0.3">
      <c r="B147" s="8"/>
      <c r="C147" s="2"/>
      <c r="D147" s="26"/>
      <c r="E147" s="26"/>
      <c r="F147" s="27"/>
      <c r="G147" s="26"/>
      <c r="H147" s="26"/>
      <c r="I147" s="27"/>
      <c r="J147" s="26"/>
      <c r="K147" s="26"/>
      <c r="L147" s="67"/>
      <c r="N147" s="8"/>
      <c r="O147" s="2"/>
      <c r="P147" s="26"/>
      <c r="Q147" s="27"/>
      <c r="R147" s="30"/>
      <c r="S147" s="27"/>
      <c r="T147" s="30"/>
      <c r="U147" s="34"/>
      <c r="V147" s="34"/>
      <c r="X147" s="8"/>
      <c r="Y147" s="2"/>
      <c r="Z147" s="26"/>
      <c r="AA147" s="26"/>
      <c r="AB147" s="26"/>
      <c r="AC147" s="26"/>
      <c r="AD147" s="27"/>
      <c r="AE147" s="30"/>
      <c r="AF147" s="26"/>
      <c r="AG147" s="26"/>
      <c r="AH147" s="32"/>
      <c r="AJ147" s="8"/>
      <c r="AK147" s="2"/>
      <c r="AL147" s="26"/>
      <c r="AM147" s="26"/>
      <c r="AN147" s="26"/>
      <c r="AO147" s="27"/>
      <c r="AP147" s="30"/>
      <c r="AQ147" s="26"/>
      <c r="AR147" s="26"/>
      <c r="AS147" s="32"/>
      <c r="AT147" s="34"/>
    </row>
    <row r="148" spans="2:46" x14ac:dyDescent="0.3">
      <c r="B148" s="8"/>
      <c r="C148" s="2"/>
      <c r="D148" s="26"/>
      <c r="E148" s="26"/>
      <c r="F148" s="27"/>
      <c r="G148" s="26"/>
      <c r="H148" s="26"/>
      <c r="I148" s="27"/>
      <c r="J148" s="26"/>
      <c r="K148" s="26"/>
      <c r="L148" s="67"/>
      <c r="N148" s="8"/>
      <c r="O148" s="2"/>
      <c r="P148" s="26"/>
      <c r="Q148" s="27"/>
      <c r="R148" s="30"/>
      <c r="S148" s="27"/>
      <c r="T148" s="30"/>
      <c r="U148" s="34"/>
      <c r="V148" s="34"/>
      <c r="X148" s="8"/>
      <c r="Y148" s="2"/>
      <c r="Z148" s="26"/>
      <c r="AA148" s="26"/>
      <c r="AB148" s="26"/>
      <c r="AC148" s="26"/>
      <c r="AD148" s="27"/>
      <c r="AE148" s="30"/>
      <c r="AF148" s="26"/>
      <c r="AG148" s="26"/>
      <c r="AH148" s="32"/>
      <c r="AJ148" s="8"/>
      <c r="AK148" s="2"/>
      <c r="AL148" s="26"/>
      <c r="AM148" s="26"/>
      <c r="AN148" s="26"/>
      <c r="AO148" s="27"/>
      <c r="AP148" s="30"/>
      <c r="AQ148" s="26"/>
      <c r="AR148" s="26"/>
      <c r="AS148" s="32"/>
      <c r="AT148" s="34"/>
    </row>
    <row r="149" spans="2:46" x14ac:dyDescent="0.3">
      <c r="B149" s="8"/>
      <c r="C149" s="2"/>
      <c r="D149" s="26"/>
      <c r="E149" s="26"/>
      <c r="F149" s="27"/>
      <c r="G149" s="26"/>
      <c r="H149" s="26"/>
      <c r="I149" s="27"/>
      <c r="J149" s="26"/>
      <c r="K149" s="26"/>
      <c r="L149" s="67"/>
      <c r="N149" s="8"/>
      <c r="O149" s="2"/>
      <c r="P149" s="26"/>
      <c r="Q149" s="27"/>
      <c r="R149" s="30"/>
      <c r="S149" s="27"/>
      <c r="T149" s="30"/>
      <c r="U149" s="34"/>
      <c r="V149" s="34"/>
      <c r="X149" s="8"/>
      <c r="Y149" s="2"/>
      <c r="Z149" s="26"/>
      <c r="AA149" s="26"/>
      <c r="AB149" s="26"/>
      <c r="AC149" s="26"/>
      <c r="AD149" s="27"/>
      <c r="AE149" s="30"/>
      <c r="AF149" s="26"/>
      <c r="AG149" s="26"/>
      <c r="AH149" s="32"/>
      <c r="AJ149" s="8"/>
      <c r="AK149" s="2"/>
      <c r="AL149" s="26"/>
      <c r="AM149" s="26"/>
      <c r="AN149" s="26"/>
      <c r="AO149" s="27"/>
      <c r="AP149" s="30"/>
      <c r="AQ149" s="26"/>
      <c r="AR149" s="26"/>
      <c r="AS149" s="32"/>
      <c r="AT149" s="34"/>
    </row>
    <row r="150" spans="2:46" x14ac:dyDescent="0.3">
      <c r="B150" s="8"/>
      <c r="C150" s="2"/>
      <c r="D150" s="26"/>
      <c r="E150" s="26"/>
      <c r="F150" s="27"/>
      <c r="G150" s="26"/>
      <c r="H150" s="26"/>
      <c r="I150" s="27"/>
      <c r="J150" s="26"/>
      <c r="K150" s="26"/>
      <c r="L150" s="67"/>
      <c r="N150" s="8"/>
      <c r="O150" s="2"/>
      <c r="P150" s="26"/>
      <c r="Q150" s="27"/>
      <c r="R150" s="30"/>
      <c r="S150" s="27"/>
      <c r="T150" s="30"/>
      <c r="U150" s="34"/>
      <c r="V150" s="34"/>
      <c r="X150" s="8"/>
      <c r="Y150" s="2"/>
      <c r="Z150" s="26"/>
      <c r="AA150" s="26"/>
      <c r="AB150" s="26"/>
      <c r="AC150" s="26"/>
      <c r="AD150" s="27"/>
      <c r="AE150" s="30"/>
      <c r="AF150" s="26"/>
      <c r="AG150" s="26"/>
      <c r="AH150" s="32"/>
      <c r="AJ150" s="8"/>
      <c r="AK150" s="2"/>
      <c r="AL150" s="26"/>
      <c r="AM150" s="26"/>
      <c r="AN150" s="26"/>
      <c r="AO150" s="27"/>
      <c r="AP150" s="30"/>
      <c r="AQ150" s="26"/>
      <c r="AR150" s="26"/>
      <c r="AS150" s="32"/>
      <c r="AT150" s="34"/>
    </row>
    <row r="151" spans="2:46" x14ac:dyDescent="0.3">
      <c r="B151" s="8"/>
      <c r="C151" s="2"/>
      <c r="D151" s="26"/>
      <c r="E151" s="26"/>
      <c r="F151" s="27"/>
      <c r="G151" s="26"/>
      <c r="H151" s="26"/>
      <c r="I151" s="27"/>
      <c r="J151" s="26"/>
      <c r="K151" s="26"/>
      <c r="L151" s="67"/>
      <c r="N151" s="8"/>
      <c r="O151" s="2"/>
      <c r="P151" s="26"/>
      <c r="Q151" s="27"/>
      <c r="R151" s="30"/>
      <c r="S151" s="27"/>
      <c r="T151" s="30"/>
      <c r="U151" s="34"/>
      <c r="V151" s="34"/>
      <c r="X151" s="8"/>
      <c r="Y151" s="2"/>
      <c r="Z151" s="26"/>
      <c r="AA151" s="26"/>
      <c r="AB151" s="26"/>
      <c r="AC151" s="26"/>
      <c r="AD151" s="27"/>
      <c r="AE151" s="30"/>
      <c r="AF151" s="26"/>
      <c r="AG151" s="26"/>
      <c r="AH151" s="32"/>
      <c r="AJ151" s="8"/>
      <c r="AK151" s="2"/>
      <c r="AL151" s="26"/>
      <c r="AM151" s="26"/>
      <c r="AN151" s="26"/>
      <c r="AO151" s="27"/>
      <c r="AP151" s="30"/>
      <c r="AQ151" s="26"/>
      <c r="AR151" s="26"/>
      <c r="AS151" s="32"/>
      <c r="AT151" s="34"/>
    </row>
    <row r="152" spans="2:46" x14ac:dyDescent="0.3">
      <c r="B152" s="8"/>
      <c r="C152" s="2"/>
      <c r="D152" s="26"/>
      <c r="E152" s="26"/>
      <c r="F152" s="27"/>
      <c r="G152" s="26"/>
      <c r="H152" s="26"/>
      <c r="I152" s="27"/>
      <c r="J152" s="26"/>
      <c r="K152" s="26"/>
      <c r="L152" s="67"/>
      <c r="N152" s="8"/>
      <c r="O152" s="2"/>
      <c r="P152" s="26"/>
      <c r="Q152" s="27"/>
      <c r="R152" s="30"/>
      <c r="S152" s="27"/>
      <c r="T152" s="30"/>
      <c r="U152" s="34"/>
      <c r="V152" s="34"/>
      <c r="X152" s="8"/>
      <c r="Y152" s="2"/>
      <c r="Z152" s="26"/>
      <c r="AA152" s="26"/>
      <c r="AB152" s="26"/>
      <c r="AC152" s="26"/>
      <c r="AD152" s="27"/>
      <c r="AE152" s="30"/>
      <c r="AF152" s="26"/>
      <c r="AG152" s="26"/>
      <c r="AH152" s="32"/>
      <c r="AJ152" s="8"/>
      <c r="AK152" s="2"/>
      <c r="AL152" s="26"/>
      <c r="AM152" s="26"/>
      <c r="AN152" s="26"/>
      <c r="AO152" s="27"/>
      <c r="AP152" s="30"/>
      <c r="AQ152" s="26"/>
      <c r="AR152" s="26"/>
      <c r="AS152" s="32"/>
      <c r="AT152" s="34"/>
    </row>
    <row r="153" spans="2:46" x14ac:dyDescent="0.3">
      <c r="B153" s="8"/>
      <c r="C153" s="2"/>
      <c r="D153" s="26"/>
      <c r="E153" s="26"/>
      <c r="F153" s="27"/>
      <c r="G153" s="26"/>
      <c r="H153" s="26"/>
      <c r="I153" s="27"/>
      <c r="J153" s="26"/>
      <c r="K153" s="26"/>
      <c r="L153" s="67"/>
      <c r="N153" s="8"/>
      <c r="O153" s="2"/>
      <c r="P153" s="26"/>
      <c r="Q153" s="27"/>
      <c r="R153" s="30"/>
      <c r="S153" s="27"/>
      <c r="T153" s="30"/>
      <c r="U153" s="34"/>
      <c r="V153" s="34"/>
      <c r="X153" s="8"/>
      <c r="Y153" s="2"/>
      <c r="Z153" s="26"/>
      <c r="AA153" s="26"/>
      <c r="AB153" s="26"/>
      <c r="AC153" s="26"/>
      <c r="AD153" s="27"/>
      <c r="AE153" s="30"/>
      <c r="AF153" s="26"/>
      <c r="AG153" s="26"/>
      <c r="AH153" s="32"/>
      <c r="AJ153" s="8"/>
      <c r="AK153" s="2"/>
      <c r="AL153" s="26"/>
      <c r="AM153" s="26"/>
      <c r="AN153" s="26"/>
      <c r="AO153" s="27"/>
      <c r="AP153" s="30"/>
      <c r="AQ153" s="26"/>
      <c r="AR153" s="26"/>
      <c r="AS153" s="32"/>
      <c r="AT153" s="34"/>
    </row>
    <row r="154" spans="2:46" x14ac:dyDescent="0.3">
      <c r="B154" s="8"/>
      <c r="C154" s="2"/>
      <c r="D154" s="26"/>
      <c r="E154" s="26"/>
      <c r="F154" s="27"/>
      <c r="G154" s="26"/>
      <c r="H154" s="26"/>
      <c r="I154" s="27"/>
      <c r="J154" s="26"/>
      <c r="K154" s="26"/>
      <c r="L154" s="67"/>
      <c r="N154" s="8"/>
      <c r="O154" s="2"/>
      <c r="P154" s="26"/>
      <c r="Q154" s="27"/>
      <c r="R154" s="30"/>
      <c r="S154" s="27"/>
      <c r="T154" s="30"/>
      <c r="U154" s="34"/>
      <c r="V154" s="34"/>
      <c r="X154" s="8"/>
      <c r="Y154" s="2"/>
      <c r="Z154" s="26"/>
      <c r="AA154" s="26"/>
      <c r="AB154" s="26"/>
      <c r="AC154" s="26"/>
      <c r="AD154" s="27"/>
      <c r="AE154" s="30"/>
      <c r="AF154" s="26"/>
      <c r="AG154" s="26"/>
      <c r="AH154" s="32"/>
      <c r="AJ154" s="8"/>
      <c r="AK154" s="2"/>
      <c r="AL154" s="26"/>
      <c r="AM154" s="26"/>
      <c r="AN154" s="26"/>
      <c r="AO154" s="27"/>
      <c r="AP154" s="30"/>
      <c r="AQ154" s="26"/>
      <c r="AR154" s="26"/>
      <c r="AS154" s="32"/>
      <c r="AT154" s="34"/>
    </row>
    <row r="155" spans="2:46" x14ac:dyDescent="0.3">
      <c r="B155" s="8"/>
      <c r="C155" s="2"/>
      <c r="D155" s="26"/>
      <c r="E155" s="26"/>
      <c r="F155" s="27"/>
      <c r="G155" s="26"/>
      <c r="H155" s="26"/>
      <c r="I155" s="27"/>
      <c r="J155" s="26"/>
      <c r="K155" s="26"/>
      <c r="L155" s="67"/>
      <c r="N155" s="8"/>
      <c r="O155" s="2"/>
      <c r="P155" s="26"/>
      <c r="Q155" s="27"/>
      <c r="R155" s="30"/>
      <c r="S155" s="27"/>
      <c r="T155" s="30"/>
      <c r="U155" s="34"/>
      <c r="V155" s="34"/>
      <c r="X155" s="8"/>
      <c r="Y155" s="2"/>
      <c r="Z155" s="26"/>
      <c r="AA155" s="26"/>
      <c r="AB155" s="26"/>
      <c r="AC155" s="26"/>
      <c r="AD155" s="27"/>
      <c r="AE155" s="30"/>
      <c r="AF155" s="26"/>
      <c r="AG155" s="26"/>
      <c r="AH155" s="32"/>
      <c r="AJ155" s="8"/>
      <c r="AK155" s="2"/>
      <c r="AL155" s="26"/>
      <c r="AM155" s="26"/>
      <c r="AN155" s="26"/>
      <c r="AO155" s="27"/>
      <c r="AP155" s="30"/>
      <c r="AQ155" s="26"/>
      <c r="AR155" s="26"/>
      <c r="AS155" s="32"/>
      <c r="AT155" s="34"/>
    </row>
    <row r="156" spans="2:46" x14ac:dyDescent="0.3">
      <c r="B156" s="8"/>
      <c r="C156" s="2"/>
      <c r="D156" s="26"/>
      <c r="E156" s="26"/>
      <c r="F156" s="27"/>
      <c r="G156" s="26"/>
      <c r="H156" s="26"/>
      <c r="I156" s="27"/>
      <c r="J156" s="26"/>
      <c r="K156" s="26"/>
      <c r="L156" s="67"/>
      <c r="N156" s="8"/>
      <c r="O156" s="2"/>
      <c r="P156" s="26"/>
      <c r="Q156" s="27"/>
      <c r="R156" s="30"/>
      <c r="S156" s="27"/>
      <c r="T156" s="30"/>
      <c r="U156" s="34"/>
      <c r="V156" s="34"/>
      <c r="X156" s="8"/>
      <c r="Y156" s="2"/>
      <c r="Z156" s="26"/>
      <c r="AA156" s="26"/>
      <c r="AB156" s="26"/>
      <c r="AC156" s="26"/>
      <c r="AD156" s="27"/>
      <c r="AE156" s="30"/>
      <c r="AF156" s="26"/>
      <c r="AG156" s="26"/>
      <c r="AH156" s="32"/>
      <c r="AJ156" s="8"/>
      <c r="AK156" s="2"/>
      <c r="AL156" s="26"/>
      <c r="AM156" s="26"/>
      <c r="AN156" s="26"/>
      <c r="AO156" s="27"/>
      <c r="AP156" s="30"/>
      <c r="AQ156" s="26"/>
      <c r="AR156" s="26"/>
      <c r="AS156" s="32"/>
      <c r="AT156" s="34"/>
    </row>
    <row r="157" spans="2:46" x14ac:dyDescent="0.3">
      <c r="B157" s="8"/>
      <c r="C157" s="2"/>
      <c r="D157" s="26"/>
      <c r="E157" s="26"/>
      <c r="F157" s="27"/>
      <c r="G157" s="26"/>
      <c r="H157" s="26"/>
      <c r="I157" s="27"/>
      <c r="J157" s="26"/>
      <c r="K157" s="26"/>
      <c r="L157" s="67"/>
      <c r="N157" s="8"/>
      <c r="O157" s="2"/>
      <c r="P157" s="26"/>
      <c r="Q157" s="27"/>
      <c r="R157" s="30"/>
      <c r="S157" s="27"/>
      <c r="T157" s="30"/>
      <c r="U157" s="34"/>
      <c r="V157" s="34"/>
      <c r="X157" s="8"/>
      <c r="Y157" s="2"/>
      <c r="Z157" s="26"/>
      <c r="AA157" s="26"/>
      <c r="AB157" s="26"/>
      <c r="AC157" s="26"/>
      <c r="AD157" s="27"/>
      <c r="AE157" s="30"/>
      <c r="AF157" s="26"/>
      <c r="AG157" s="26"/>
      <c r="AH157" s="32"/>
      <c r="AJ157" s="8"/>
      <c r="AK157" s="2"/>
      <c r="AL157" s="26"/>
      <c r="AM157" s="26"/>
      <c r="AN157" s="26"/>
      <c r="AO157" s="27"/>
      <c r="AP157" s="30"/>
      <c r="AQ157" s="26"/>
      <c r="AR157" s="26"/>
      <c r="AS157" s="32"/>
      <c r="AT157" s="34"/>
    </row>
    <row r="158" spans="2:46" x14ac:dyDescent="0.3">
      <c r="B158" s="8"/>
      <c r="C158" s="2"/>
      <c r="D158" s="26"/>
      <c r="E158" s="26"/>
      <c r="F158" s="27"/>
      <c r="G158" s="26"/>
      <c r="H158" s="26"/>
      <c r="I158" s="27"/>
      <c r="J158" s="26"/>
      <c r="K158" s="26"/>
      <c r="L158" s="67"/>
      <c r="N158" s="8"/>
      <c r="O158" s="2"/>
      <c r="P158" s="26"/>
      <c r="Q158" s="27"/>
      <c r="R158" s="30"/>
      <c r="S158" s="27"/>
      <c r="T158" s="30"/>
      <c r="U158" s="34"/>
      <c r="V158" s="34"/>
      <c r="X158" s="8"/>
      <c r="Y158" s="2"/>
      <c r="Z158" s="26"/>
      <c r="AA158" s="26"/>
      <c r="AB158" s="26"/>
      <c r="AC158" s="26"/>
      <c r="AD158" s="27"/>
      <c r="AE158" s="30"/>
      <c r="AF158" s="26"/>
      <c r="AG158" s="26"/>
      <c r="AH158" s="32"/>
      <c r="AJ158" s="8"/>
      <c r="AK158" s="2"/>
      <c r="AL158" s="26"/>
      <c r="AM158" s="26"/>
      <c r="AN158" s="26"/>
      <c r="AO158" s="27"/>
      <c r="AP158" s="30"/>
      <c r="AQ158" s="26"/>
      <c r="AR158" s="26"/>
      <c r="AS158" s="32"/>
      <c r="AT158" s="34"/>
    </row>
    <row r="159" spans="2:46" x14ac:dyDescent="0.3">
      <c r="B159" s="8"/>
      <c r="C159" s="2"/>
      <c r="D159" s="26"/>
      <c r="E159" s="26"/>
      <c r="F159" s="27"/>
      <c r="G159" s="26"/>
      <c r="H159" s="26"/>
      <c r="I159" s="27"/>
      <c r="J159" s="26"/>
      <c r="K159" s="26"/>
      <c r="L159" s="67"/>
      <c r="N159" s="8"/>
      <c r="O159" s="2"/>
      <c r="P159" s="26"/>
      <c r="Q159" s="27"/>
      <c r="R159" s="30"/>
      <c r="S159" s="27"/>
      <c r="T159" s="30"/>
      <c r="U159" s="34"/>
      <c r="V159" s="34"/>
      <c r="X159" s="8"/>
      <c r="Y159" s="2"/>
      <c r="Z159" s="26"/>
      <c r="AA159" s="26"/>
      <c r="AB159" s="26"/>
      <c r="AC159" s="26"/>
      <c r="AD159" s="27"/>
      <c r="AE159" s="30"/>
      <c r="AF159" s="26"/>
      <c r="AG159" s="26"/>
      <c r="AH159" s="32"/>
      <c r="AJ159" s="8"/>
      <c r="AK159" s="2"/>
      <c r="AL159" s="26"/>
      <c r="AM159" s="26"/>
      <c r="AN159" s="26"/>
      <c r="AO159" s="27"/>
      <c r="AP159" s="30"/>
      <c r="AQ159" s="26"/>
      <c r="AR159" s="26"/>
      <c r="AS159" s="32"/>
      <c r="AT159" s="34"/>
    </row>
    <row r="160" spans="2:46" x14ac:dyDescent="0.3">
      <c r="B160" s="8"/>
      <c r="C160" s="2"/>
      <c r="D160" s="26"/>
      <c r="E160" s="26"/>
      <c r="F160" s="27"/>
      <c r="G160" s="26"/>
      <c r="H160" s="26"/>
      <c r="I160" s="27"/>
      <c r="J160" s="26"/>
      <c r="K160" s="26"/>
      <c r="L160" s="67"/>
      <c r="N160" s="8"/>
      <c r="O160" s="2"/>
      <c r="P160" s="26"/>
      <c r="Q160" s="27"/>
      <c r="R160" s="30"/>
      <c r="S160" s="27"/>
      <c r="T160" s="30"/>
      <c r="U160" s="34"/>
      <c r="V160" s="34"/>
      <c r="X160" s="8"/>
      <c r="Y160" s="2"/>
      <c r="Z160" s="26"/>
      <c r="AA160" s="26"/>
      <c r="AB160" s="26"/>
      <c r="AC160" s="26"/>
      <c r="AD160" s="27"/>
      <c r="AE160" s="30"/>
      <c r="AF160" s="26"/>
      <c r="AG160" s="26"/>
      <c r="AH160" s="32"/>
      <c r="AJ160" s="8"/>
      <c r="AK160" s="2"/>
      <c r="AL160" s="26"/>
      <c r="AM160" s="26"/>
      <c r="AN160" s="26"/>
      <c r="AO160" s="27"/>
      <c r="AP160" s="30"/>
      <c r="AQ160" s="26"/>
      <c r="AR160" s="26"/>
      <c r="AS160" s="32"/>
      <c r="AT160" s="34"/>
    </row>
    <row r="161" spans="2:46" x14ac:dyDescent="0.3">
      <c r="B161" s="8"/>
      <c r="C161" s="2"/>
      <c r="D161" s="26"/>
      <c r="E161" s="26"/>
      <c r="F161" s="27"/>
      <c r="G161" s="26"/>
      <c r="H161" s="26"/>
      <c r="I161" s="27"/>
      <c r="J161" s="26"/>
      <c r="K161" s="26"/>
      <c r="L161" s="67"/>
      <c r="N161" s="8"/>
      <c r="O161" s="2"/>
      <c r="P161" s="26"/>
      <c r="Q161" s="27"/>
      <c r="R161" s="30"/>
      <c r="S161" s="27"/>
      <c r="T161" s="30"/>
      <c r="U161" s="34"/>
      <c r="V161" s="34"/>
      <c r="X161" s="8"/>
      <c r="Y161" s="2"/>
      <c r="Z161" s="26"/>
      <c r="AA161" s="26"/>
      <c r="AB161" s="26"/>
      <c r="AC161" s="26"/>
      <c r="AD161" s="27"/>
      <c r="AE161" s="30"/>
      <c r="AF161" s="26"/>
      <c r="AG161" s="26"/>
      <c r="AH161" s="32"/>
      <c r="AJ161" s="8"/>
      <c r="AK161" s="2"/>
      <c r="AL161" s="26"/>
      <c r="AM161" s="26"/>
      <c r="AN161" s="26"/>
      <c r="AO161" s="27"/>
      <c r="AP161" s="30"/>
      <c r="AQ161" s="26"/>
      <c r="AR161" s="26"/>
      <c r="AS161" s="32"/>
      <c r="AT161" s="34"/>
    </row>
    <row r="162" spans="2:46" x14ac:dyDescent="0.3">
      <c r="B162" s="8"/>
      <c r="C162" s="2"/>
      <c r="D162" s="26"/>
      <c r="E162" s="26"/>
      <c r="F162" s="27"/>
      <c r="G162" s="26"/>
      <c r="H162" s="26"/>
      <c r="I162" s="27"/>
      <c r="J162" s="26"/>
      <c r="K162" s="26"/>
      <c r="L162" s="67"/>
      <c r="N162" s="8"/>
      <c r="O162" s="2"/>
      <c r="P162" s="26"/>
      <c r="Q162" s="27"/>
      <c r="R162" s="30"/>
      <c r="S162" s="27"/>
      <c r="T162" s="30"/>
      <c r="U162" s="34"/>
      <c r="V162" s="34"/>
      <c r="X162" s="8"/>
      <c r="Y162" s="2"/>
      <c r="Z162" s="26"/>
      <c r="AA162" s="26"/>
      <c r="AB162" s="26"/>
      <c r="AC162" s="26"/>
      <c r="AD162" s="27"/>
      <c r="AE162" s="30"/>
      <c r="AF162" s="26"/>
      <c r="AG162" s="26"/>
      <c r="AH162" s="32"/>
      <c r="AJ162" s="8"/>
      <c r="AK162" s="2"/>
      <c r="AL162" s="26"/>
      <c r="AM162" s="26"/>
      <c r="AN162" s="26"/>
      <c r="AO162" s="27"/>
      <c r="AP162" s="30"/>
      <c r="AQ162" s="26"/>
      <c r="AR162" s="26"/>
      <c r="AS162" s="32"/>
      <c r="AT162" s="34"/>
    </row>
    <row r="163" spans="2:46" x14ac:dyDescent="0.3">
      <c r="B163" s="8"/>
      <c r="C163" s="2"/>
      <c r="D163" s="26"/>
      <c r="E163" s="26"/>
      <c r="F163" s="27"/>
      <c r="G163" s="26"/>
      <c r="H163" s="26"/>
      <c r="I163" s="27"/>
      <c r="J163" s="26"/>
      <c r="K163" s="26"/>
      <c r="L163" s="67"/>
      <c r="N163" s="8"/>
      <c r="O163" s="2"/>
      <c r="P163" s="26"/>
      <c r="Q163" s="27"/>
      <c r="R163" s="30"/>
      <c r="S163" s="27"/>
      <c r="T163" s="30"/>
      <c r="U163" s="34"/>
      <c r="V163" s="34"/>
      <c r="X163" s="8"/>
      <c r="Y163" s="2"/>
      <c r="Z163" s="26"/>
      <c r="AA163" s="26"/>
      <c r="AB163" s="26"/>
      <c r="AC163" s="26"/>
      <c r="AD163" s="27"/>
      <c r="AE163" s="30"/>
      <c r="AF163" s="26"/>
      <c r="AG163" s="26"/>
      <c r="AH163" s="32"/>
      <c r="AJ163" s="8"/>
      <c r="AK163" s="2"/>
      <c r="AL163" s="26"/>
      <c r="AM163" s="26"/>
      <c r="AN163" s="26"/>
      <c r="AO163" s="27"/>
      <c r="AP163" s="30"/>
      <c r="AQ163" s="26"/>
      <c r="AR163" s="26"/>
      <c r="AS163" s="32"/>
      <c r="AT163" s="34"/>
    </row>
    <row r="164" spans="2:46" x14ac:dyDescent="0.3">
      <c r="B164" s="8"/>
      <c r="C164" s="2"/>
      <c r="D164" s="26"/>
      <c r="E164" s="26"/>
      <c r="F164" s="27"/>
      <c r="G164" s="26"/>
      <c r="H164" s="26"/>
      <c r="I164" s="27"/>
      <c r="J164" s="26"/>
      <c r="K164" s="26"/>
      <c r="L164" s="67"/>
      <c r="N164" s="8"/>
      <c r="O164" s="2"/>
      <c r="P164" s="26"/>
      <c r="Q164" s="27"/>
      <c r="R164" s="30"/>
      <c r="S164" s="27"/>
      <c r="T164" s="30"/>
      <c r="U164" s="34"/>
      <c r="V164" s="34"/>
      <c r="X164" s="8"/>
      <c r="Y164" s="2"/>
      <c r="Z164" s="26"/>
      <c r="AA164" s="26"/>
      <c r="AB164" s="26"/>
      <c r="AC164" s="26"/>
      <c r="AD164" s="27"/>
      <c r="AE164" s="30"/>
      <c r="AF164" s="26"/>
      <c r="AG164" s="26"/>
      <c r="AH164" s="32"/>
      <c r="AJ164" s="8"/>
      <c r="AK164" s="2"/>
      <c r="AL164" s="26"/>
      <c r="AM164" s="26"/>
      <c r="AN164" s="26"/>
      <c r="AO164" s="27"/>
      <c r="AP164" s="30"/>
      <c r="AQ164" s="26"/>
      <c r="AR164" s="26"/>
      <c r="AS164" s="32"/>
      <c r="AT164" s="34"/>
    </row>
    <row r="165" spans="2:46" x14ac:dyDescent="0.3">
      <c r="B165" s="8"/>
      <c r="C165" s="2"/>
      <c r="D165" s="26"/>
      <c r="E165" s="26"/>
      <c r="F165" s="27"/>
      <c r="G165" s="26"/>
      <c r="H165" s="26"/>
      <c r="I165" s="27"/>
      <c r="J165" s="26"/>
      <c r="K165" s="26"/>
      <c r="L165" s="67"/>
      <c r="N165" s="8"/>
      <c r="O165" s="2"/>
      <c r="P165" s="26"/>
      <c r="Q165" s="27"/>
      <c r="R165" s="30"/>
      <c r="S165" s="27"/>
      <c r="T165" s="30"/>
      <c r="U165" s="34"/>
      <c r="V165" s="34"/>
      <c r="X165" s="8"/>
      <c r="Y165" s="2"/>
      <c r="Z165" s="26"/>
      <c r="AA165" s="26"/>
      <c r="AB165" s="26"/>
      <c r="AC165" s="26"/>
      <c r="AD165" s="27"/>
      <c r="AE165" s="30"/>
      <c r="AF165" s="26"/>
      <c r="AG165" s="26"/>
      <c r="AH165" s="32"/>
      <c r="AJ165" s="8"/>
      <c r="AK165" s="2"/>
      <c r="AL165" s="26"/>
      <c r="AM165" s="26"/>
      <c r="AN165" s="26"/>
      <c r="AO165" s="27"/>
      <c r="AP165" s="30"/>
      <c r="AQ165" s="26"/>
      <c r="AR165" s="26"/>
      <c r="AS165" s="32"/>
      <c r="AT165" s="34"/>
    </row>
    <row r="166" spans="2:46" x14ac:dyDescent="0.3">
      <c r="B166" s="8"/>
      <c r="C166" s="2"/>
      <c r="D166" s="26"/>
      <c r="E166" s="26"/>
      <c r="F166" s="28"/>
      <c r="G166" s="29"/>
      <c r="H166" s="29"/>
      <c r="I166" s="28"/>
      <c r="J166" s="29"/>
      <c r="K166" s="29"/>
      <c r="L166" s="68"/>
      <c r="N166" s="8"/>
      <c r="O166" s="2"/>
      <c r="P166" s="26"/>
      <c r="Q166" s="28"/>
      <c r="R166" s="31"/>
      <c r="S166" s="28"/>
      <c r="T166" s="31"/>
      <c r="U166" s="34"/>
      <c r="V166" s="34"/>
      <c r="X166" s="8"/>
      <c r="Y166" s="2"/>
      <c r="Z166" s="26"/>
      <c r="AA166" s="26"/>
      <c r="AB166" s="26"/>
      <c r="AC166" s="26"/>
      <c r="AD166" s="28"/>
      <c r="AE166" s="31"/>
      <c r="AF166" s="26"/>
      <c r="AG166" s="26"/>
      <c r="AH166" s="33"/>
      <c r="AJ166" s="8"/>
      <c r="AK166" s="2"/>
      <c r="AL166" s="26"/>
      <c r="AM166" s="26"/>
      <c r="AN166" s="26"/>
      <c r="AO166" s="28"/>
      <c r="AP166" s="31"/>
      <c r="AQ166" s="26"/>
      <c r="AR166" s="26"/>
      <c r="AS166" s="32"/>
      <c r="AT166" s="34"/>
    </row>
    <row r="167" spans="2:46" x14ac:dyDescent="0.3">
      <c r="B167" s="22"/>
      <c r="C167" s="22"/>
      <c r="D167" s="22"/>
      <c r="E167" s="22"/>
      <c r="F167" s="22"/>
      <c r="G167" s="22"/>
      <c r="H167" s="22"/>
      <c r="I167" s="22"/>
      <c r="J167" s="22"/>
      <c r="K167" s="22"/>
      <c r="L167" s="22"/>
      <c r="N167" s="22"/>
      <c r="O167" s="22"/>
      <c r="P167" s="22"/>
      <c r="Q167" s="22"/>
      <c r="R167" s="22"/>
      <c r="S167" s="22"/>
      <c r="T167" s="22"/>
      <c r="U167" s="22"/>
      <c r="V167" s="22"/>
      <c r="X167" s="22"/>
      <c r="Y167" s="22"/>
      <c r="Z167" s="22"/>
      <c r="AA167" s="22"/>
      <c r="AB167" s="22"/>
      <c r="AC167" s="22"/>
      <c r="AD167" s="22"/>
      <c r="AE167" s="22"/>
      <c r="AF167" s="22"/>
      <c r="AG167" s="22"/>
      <c r="AH167" s="22"/>
      <c r="AJ167" s="22"/>
      <c r="AK167" s="22"/>
      <c r="AL167" s="22"/>
      <c r="AM167" s="22"/>
      <c r="AN167" s="22"/>
      <c r="AO167" s="22"/>
      <c r="AP167" s="22"/>
      <c r="AQ167" s="22"/>
      <c r="AR167" s="22"/>
      <c r="AS167" s="22"/>
      <c r="AT167" s="22"/>
    </row>
  </sheetData>
  <mergeCells count="11">
    <mergeCell ref="AF4:AG4"/>
    <mergeCell ref="AO4:AP4"/>
    <mergeCell ref="AQ4:AR4"/>
    <mergeCell ref="AS4:AT4"/>
    <mergeCell ref="D4:E4"/>
    <mergeCell ref="F4:H4"/>
    <mergeCell ref="I4:K4"/>
    <mergeCell ref="Q4:R4"/>
    <mergeCell ref="AD4:AE4"/>
    <mergeCell ref="S4:T4"/>
    <mergeCell ref="U4:V4"/>
  </mergeCells>
  <conditionalFormatting sqref="D13:K13 P13:R13 Z13:AG13 AL13:AR13">
    <cfRule type="cellIs" dxfId="142" priority="11" operator="greaterThan">
      <formula>1</formula>
    </cfRule>
  </conditionalFormatting>
  <conditionalFormatting sqref="D17:K166 Z17:AG166 AL17:AR166">
    <cfRule type="cellIs" dxfId="141" priority="12" operator="lessThan">
      <formula>0</formula>
    </cfRule>
    <cfRule type="cellIs" dxfId="140" priority="13" operator="greaterThan">
      <formula>0</formula>
    </cfRule>
  </conditionalFormatting>
  <conditionalFormatting sqref="U17:V166">
    <cfRule type="cellIs" dxfId="139" priority="9" operator="greaterThan">
      <formula>1</formula>
    </cfRule>
  </conditionalFormatting>
  <conditionalFormatting sqref="AH17:AH166">
    <cfRule type="cellIs" dxfId="138" priority="8" operator="greaterThan">
      <formula>1</formula>
    </cfRule>
  </conditionalFormatting>
  <conditionalFormatting sqref="AS17:AT166">
    <cfRule type="cellIs" dxfId="137" priority="6" operator="greaterThan">
      <formula>1</formula>
    </cfRule>
  </conditionalFormatting>
  <conditionalFormatting sqref="BA7:BA24 P17:T166">
    <cfRule type="cellIs" dxfId="134" priority="3" operator="lessThan">
      <formula>0</formula>
    </cfRule>
    <cfRule type="cellIs" dxfId="133" priority="4" operator="greaterThan">
      <formula>0</formula>
    </cfRule>
  </conditionalFormatting>
  <conditionalFormatting sqref="BB7:BB24 L17:L166">
    <cfRule type="cellIs" dxfId="132" priority="5" operator="greaterThan">
      <formula>1</formula>
    </cfRule>
  </conditionalFormatting>
  <dataValidations count="4">
    <dataValidation type="whole" errorStyle="information" allowBlank="1" showInputMessage="1" showErrorMessage="1" errorTitle="Must select 1 or 2" error="1 = Included in closure_x000a_2 = Excluded" sqref="V17:V166 AH17:AH166 L17:L166 AS17:AT166" xr:uid="{713E3BB7-D9B8-4508-80FB-8D81BFC59DA1}">
      <formula1>1</formula1>
      <formula2>2</formula2>
    </dataValidation>
    <dataValidation type="whole" errorStyle="information" allowBlank="1" showInputMessage="1" showErrorMessage="1" errorTitle="Must select 1 or 2" error="1 = Included in shock_x000a_2 = Excluded" sqref="U17:U166" xr:uid="{888E5F47-D347-4C4A-BEC3-A94001A0FB07}">
      <formula1>1</formula1>
      <formula2>2</formula2>
    </dataValidation>
    <dataValidation type="decimal" errorStyle="information" allowBlank="1" showInputMessage="1" showErrorMessage="1" errorTitle="Must select a number" error="Cannot choose letters or special characters." sqref="D17:K166 BA7:BA24 P17:T166 Z17:AG166 AO17:AR166 AL17:AN37" xr:uid="{EBCAB1A9-7179-402A-B11F-26C0EBA6C654}">
      <formula1>-1000000000</formula1>
      <formula2>1000000000</formula2>
    </dataValidation>
    <dataValidation type="whole" errorStyle="information" allowBlank="1" showInputMessage="1" showErrorMessage="1" errorTitle="Must select 1 or 2" error="1 = Multiplicative_x000a_2 = Additive" sqref="AL13:AR13 Z13:AG13 P13:R13 D13:K13 BB7:BB24" xr:uid="{5C5D0DB6-A4EA-4234-A67F-CD1190E1BCA1}">
      <formula1>1</formula1>
      <formula2>2</formula2>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ellIs" priority="15" operator="equal" id="{E257460C-5035-4193-807B-6BD6BC366637}">
            <xm:f>Notes!$L$4</xm:f>
            <x14:dxf>
              <font>
                <b val="0"/>
                <i val="0"/>
                <strike val="0"/>
                <color theme="0" tint="-0.34998626667073579"/>
              </font>
              <fill>
                <patternFill patternType="none">
                  <bgColor auto="1"/>
                </patternFill>
              </fill>
            </x14:dxf>
          </x14:cfRule>
          <xm:sqref>AY7:AY24 D8:K8 P8:T8 Z8:AG8 AL8:AR8</xm:sqref>
        </x14:conditionalFormatting>
        <x14:conditionalFormatting xmlns:xm="http://schemas.microsoft.com/office/excel/2006/main">
          <x14:cfRule type="cellIs" priority="14" operator="equal" id="{13C2CF90-F57E-4D1B-88BD-D8F7EFD4B629}">
            <xm:f>Notes!$L$5</xm:f>
            <x14:dxf>
              <font>
                <b val="0"/>
                <i val="0"/>
                <strike val="0"/>
                <color theme="0" tint="-0.34998626667073579"/>
              </font>
              <fill>
                <patternFill patternType="none">
                  <bgColor auto="1"/>
                </patternFill>
              </fill>
            </x14:dxf>
          </x14:cfRule>
          <xm:sqref>AZ7:AZ24 D9:K9 P9:T9 Z9:AG9 AL9:AR9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Out of range" error="Time periods must fall within the range specified on the &quot;Base&quot; worksheet." xr:uid="{87612F03-CD9D-4C1E-8DC4-C3366F9982D3}">
          <x14:formula1>
            <xm:f>Main!$H$5:$H$58</xm:f>
          </x14:formula1>
          <xm:sqref>D8:K9 AY7:AZ24 AL8:AR9 P8:T9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91108-0B47-44B3-8F4E-A1C4C8818325}">
  <sheetPr>
    <tabColor theme="8" tint="-0.499984740745262"/>
  </sheetPr>
  <dimension ref="A1:BE167"/>
  <sheetViews>
    <sheetView zoomScale="55" zoomScaleNormal="55" workbookViewId="0">
      <pane ySplit="16" topLeftCell="A17" activePane="bottomLeft" state="frozen"/>
      <selection activeCell="V17" sqref="V17"/>
      <selection pane="bottomLeft" activeCell="V17" sqref="V17"/>
    </sheetView>
  </sheetViews>
  <sheetFormatPr defaultColWidth="0" defaultRowHeight="14.4" zeroHeight="1" x14ac:dyDescent="0.3"/>
  <cols>
    <col min="1" max="2" width="2.44140625" customWidth="1"/>
    <col min="3" max="12" width="9.109375" customWidth="1"/>
    <col min="13" max="14" width="2.44140625" customWidth="1"/>
    <col min="15" max="22" width="9.109375" customWidth="1"/>
    <col min="23" max="24" width="2.44140625" customWidth="1"/>
    <col min="25" max="34" width="9.109375" customWidth="1"/>
    <col min="35" max="36" width="2.44140625" customWidth="1"/>
    <col min="37" max="37" width="11.77734375" customWidth="1"/>
    <col min="38" max="46" width="9.109375" customWidth="1"/>
    <col min="47" max="48" width="2.44140625" customWidth="1"/>
    <col min="49" max="49" width="18.88671875" bestFit="1" customWidth="1"/>
    <col min="50" max="54" width="9.109375" customWidth="1"/>
    <col min="55" max="55" width="2.44140625" customWidth="1"/>
    <col min="56" max="57" width="0" hidden="1" customWidth="1"/>
    <col min="58" max="16384" width="9.109375" hidden="1"/>
  </cols>
  <sheetData>
    <row r="1" spans="1:55" ht="18" x14ac:dyDescent="0.35">
      <c r="A1" s="6" t="str">
        <f>"Simulation "&amp;AC1&amp;IF(AD1&lt;&gt;""," : "&amp;AD1,"")</f>
        <v>Simulation sim4</v>
      </c>
      <c r="B1" s="6"/>
      <c r="C1" s="4"/>
      <c r="D1" s="4"/>
      <c r="E1" s="4"/>
      <c r="F1" s="4"/>
      <c r="G1" s="4"/>
      <c r="H1" s="4"/>
      <c r="I1" s="4"/>
      <c r="J1" s="4"/>
      <c r="K1" s="4"/>
      <c r="L1" s="4"/>
      <c r="M1" s="4"/>
      <c r="N1" s="4"/>
      <c r="O1" s="4"/>
      <c r="P1" s="4"/>
      <c r="Q1" s="4"/>
      <c r="R1" s="4"/>
      <c r="S1" s="4"/>
      <c r="T1" s="4"/>
      <c r="U1" s="4"/>
      <c r="V1" s="4"/>
      <c r="W1" s="4"/>
      <c r="X1" s="4"/>
      <c r="Y1" s="4"/>
      <c r="Z1" s="4"/>
      <c r="AA1" s="4"/>
      <c r="AB1" s="4"/>
      <c r="AC1" s="4" t="str">
        <f>Main!C10</f>
        <v>sim4</v>
      </c>
      <c r="AD1" s="4" t="str">
        <f>IF(Main!E10&lt;&gt;"",Main!E10,"")</f>
        <v/>
      </c>
      <c r="AE1" s="4"/>
      <c r="AF1" s="4"/>
      <c r="AG1" s="4"/>
      <c r="AH1" s="4"/>
      <c r="AI1" s="4"/>
      <c r="AJ1" s="4"/>
      <c r="AK1" s="4"/>
      <c r="AL1" s="4"/>
      <c r="AM1" s="4"/>
      <c r="AN1" s="4"/>
      <c r="AO1" s="4"/>
      <c r="AP1" s="4"/>
      <c r="AQ1" s="4"/>
      <c r="AR1" s="4"/>
      <c r="AS1" s="4"/>
      <c r="AT1" s="4"/>
      <c r="AU1" s="4"/>
      <c r="AV1" s="4"/>
      <c r="AW1" s="4"/>
      <c r="AX1" s="4"/>
      <c r="AY1" s="4"/>
      <c r="AZ1" s="4"/>
      <c r="BA1" s="4"/>
      <c r="BB1" s="4"/>
      <c r="BC1" s="4"/>
    </row>
    <row r="2" spans="1:55" x14ac:dyDescent="0.3"/>
    <row r="3" spans="1:55" ht="15.6" x14ac:dyDescent="0.3">
      <c r="B3" s="7"/>
      <c r="C3" s="17" t="s">
        <v>55</v>
      </c>
      <c r="D3" s="36"/>
      <c r="E3" s="36"/>
      <c r="F3" s="36"/>
      <c r="G3" s="36"/>
      <c r="H3" s="36"/>
      <c r="I3" s="36"/>
      <c r="J3" s="36"/>
      <c r="K3" s="36"/>
      <c r="L3" s="36"/>
      <c r="N3" s="7"/>
      <c r="O3" s="17" t="s">
        <v>56</v>
      </c>
      <c r="P3" s="36"/>
      <c r="Q3" s="36"/>
      <c r="R3" s="36"/>
      <c r="S3" s="36"/>
      <c r="T3" s="36"/>
      <c r="U3" s="36"/>
      <c r="V3" s="36"/>
      <c r="X3" s="7"/>
      <c r="Y3" s="17" t="s">
        <v>57</v>
      </c>
      <c r="Z3" s="36"/>
      <c r="AA3" s="36"/>
      <c r="AB3" s="36"/>
      <c r="AC3" s="36"/>
      <c r="AD3" s="36"/>
      <c r="AE3" s="36"/>
      <c r="AF3" s="36"/>
      <c r="AG3" s="36"/>
      <c r="AH3" s="36"/>
      <c r="AJ3" s="7"/>
      <c r="AK3" s="17" t="s">
        <v>283</v>
      </c>
      <c r="AL3" s="36"/>
      <c r="AM3" s="36"/>
      <c r="AN3" s="36"/>
      <c r="AO3" s="36"/>
      <c r="AP3" s="36"/>
      <c r="AQ3" s="36"/>
      <c r="AR3" s="36"/>
      <c r="AS3" s="36"/>
      <c r="AT3" s="36"/>
      <c r="AV3" s="7"/>
      <c r="AW3" s="17" t="s">
        <v>125</v>
      </c>
      <c r="AX3" s="36"/>
      <c r="AY3" s="36"/>
      <c r="AZ3" s="36"/>
      <c r="BA3" s="36"/>
      <c r="BB3" s="36"/>
    </row>
    <row r="4" spans="1:55" x14ac:dyDescent="0.3">
      <c r="B4" s="14"/>
      <c r="C4" s="9"/>
      <c r="D4" s="74" t="s">
        <v>58</v>
      </c>
      <c r="E4" s="74"/>
      <c r="F4" s="75" t="s">
        <v>59</v>
      </c>
      <c r="G4" s="74"/>
      <c r="H4" s="74"/>
      <c r="I4" s="75" t="s">
        <v>7</v>
      </c>
      <c r="J4" s="74"/>
      <c r="K4" s="74"/>
      <c r="L4" s="37" t="s">
        <v>103</v>
      </c>
      <c r="N4" s="14"/>
      <c r="O4" s="9"/>
      <c r="P4" s="38" t="s">
        <v>60</v>
      </c>
      <c r="Q4" s="75" t="s">
        <v>61</v>
      </c>
      <c r="R4" s="76"/>
      <c r="S4" s="75" t="s">
        <v>646</v>
      </c>
      <c r="T4" s="74"/>
      <c r="U4" s="75" t="s">
        <v>103</v>
      </c>
      <c r="V4" s="74"/>
      <c r="X4" s="14"/>
      <c r="Y4" s="9"/>
      <c r="Z4" s="38" t="s">
        <v>63</v>
      </c>
      <c r="AA4" s="38" t="s">
        <v>62</v>
      </c>
      <c r="AB4" s="38" t="s">
        <v>311</v>
      </c>
      <c r="AC4" s="38" t="s">
        <v>62</v>
      </c>
      <c r="AD4" s="75" t="s">
        <v>126</v>
      </c>
      <c r="AE4" s="76"/>
      <c r="AF4" s="74" t="s">
        <v>127</v>
      </c>
      <c r="AG4" s="74"/>
      <c r="AH4" s="37" t="s">
        <v>103</v>
      </c>
      <c r="AJ4" s="14"/>
      <c r="AK4" s="9"/>
      <c r="AL4" s="38" t="s">
        <v>132</v>
      </c>
      <c r="AM4" s="38" t="s">
        <v>99</v>
      </c>
      <c r="AN4" s="38" t="s">
        <v>289</v>
      </c>
      <c r="AO4" s="75" t="s">
        <v>126</v>
      </c>
      <c r="AP4" s="76"/>
      <c r="AQ4" s="74" t="s">
        <v>127</v>
      </c>
      <c r="AR4" s="74"/>
      <c r="AS4" s="75" t="s">
        <v>103</v>
      </c>
      <c r="AT4" s="74"/>
      <c r="AV4" s="8"/>
      <c r="AY4" s="39" t="s">
        <v>335</v>
      </c>
      <c r="AZ4" s="39" t="s">
        <v>336</v>
      </c>
      <c r="BA4" s="39" t="s">
        <v>300</v>
      </c>
      <c r="BB4" s="39" t="s">
        <v>304</v>
      </c>
    </row>
    <row r="5" spans="1:55" x14ac:dyDescent="0.3">
      <c r="B5" s="14"/>
      <c r="C5" s="9"/>
      <c r="D5" s="40" t="s">
        <v>64</v>
      </c>
      <c r="E5" s="40" t="s">
        <v>65</v>
      </c>
      <c r="F5" s="41" t="s">
        <v>64</v>
      </c>
      <c r="G5" s="40" t="s">
        <v>65</v>
      </c>
      <c r="H5" s="40" t="s">
        <v>66</v>
      </c>
      <c r="I5" s="41" t="s">
        <v>64</v>
      </c>
      <c r="J5" s="40" t="s">
        <v>65</v>
      </c>
      <c r="K5" s="40" t="s">
        <v>67</v>
      </c>
      <c r="L5" s="41" t="s">
        <v>100</v>
      </c>
      <c r="N5" s="14"/>
      <c r="O5" s="9"/>
      <c r="P5" s="40"/>
      <c r="Q5" s="41" t="s">
        <v>68</v>
      </c>
      <c r="R5" s="42" t="s">
        <v>124</v>
      </c>
      <c r="S5" s="40" t="s">
        <v>284</v>
      </c>
      <c r="T5" s="40" t="s">
        <v>286</v>
      </c>
      <c r="U5" s="69" t="s">
        <v>313</v>
      </c>
      <c r="V5" s="40" t="s">
        <v>100</v>
      </c>
      <c r="X5" s="14"/>
      <c r="Y5" s="9"/>
      <c r="Z5" s="38" t="s">
        <v>70</v>
      </c>
      <c r="AA5" s="38" t="s">
        <v>71</v>
      </c>
      <c r="AB5" s="38" t="s">
        <v>312</v>
      </c>
      <c r="AC5" s="38" t="s">
        <v>69</v>
      </c>
      <c r="AD5" s="41" t="s">
        <v>86</v>
      </c>
      <c r="AE5" s="42" t="s">
        <v>87</v>
      </c>
      <c r="AF5" s="40" t="s">
        <v>86</v>
      </c>
      <c r="AG5" s="40" t="s">
        <v>87</v>
      </c>
      <c r="AH5" s="41" t="s">
        <v>100</v>
      </c>
      <c r="AJ5" s="14"/>
      <c r="AK5" s="9"/>
      <c r="AL5" s="38" t="s">
        <v>134</v>
      </c>
      <c r="AM5" s="38" t="s">
        <v>70</v>
      </c>
      <c r="AN5" s="38" t="s">
        <v>123</v>
      </c>
      <c r="AO5" s="41" t="s">
        <v>86</v>
      </c>
      <c r="AP5" s="42" t="s">
        <v>87</v>
      </c>
      <c r="AQ5" s="40" t="s">
        <v>86</v>
      </c>
      <c r="AR5" s="40" t="s">
        <v>87</v>
      </c>
      <c r="AS5" s="41" t="s">
        <v>99</v>
      </c>
      <c r="AT5" s="40" t="s">
        <v>100</v>
      </c>
      <c r="AV5" s="8"/>
      <c r="BA5" s="43"/>
      <c r="BB5" s="44" t="s">
        <v>305</v>
      </c>
    </row>
    <row r="6" spans="1:55" x14ac:dyDescent="0.3">
      <c r="B6" s="8"/>
      <c r="F6" s="45"/>
      <c r="I6" s="45"/>
      <c r="L6" s="45"/>
      <c r="N6" s="8"/>
      <c r="Q6" s="45"/>
      <c r="R6" s="46"/>
      <c r="U6" s="70"/>
      <c r="X6" s="8"/>
      <c r="AD6" s="45"/>
      <c r="AE6" s="46"/>
      <c r="AH6" s="45"/>
      <c r="AJ6" s="8"/>
      <c r="AO6" s="45"/>
      <c r="AP6" s="46"/>
      <c r="AS6" s="45"/>
      <c r="AV6" s="8"/>
      <c r="AW6" s="47" t="s">
        <v>303</v>
      </c>
      <c r="AX6" s="48"/>
      <c r="AY6" s="49" t="s">
        <v>337</v>
      </c>
      <c r="AZ6" s="49" t="s">
        <v>338</v>
      </c>
      <c r="BA6" s="49" t="s">
        <v>206</v>
      </c>
      <c r="BB6" s="49" t="s">
        <v>207</v>
      </c>
    </row>
    <row r="7" spans="1:55" x14ac:dyDescent="0.3">
      <c r="B7" s="8"/>
      <c r="D7" s="50" t="s">
        <v>72</v>
      </c>
      <c r="E7" s="50" t="s">
        <v>73</v>
      </c>
      <c r="F7" s="51" t="s">
        <v>74</v>
      </c>
      <c r="G7" s="50" t="s">
        <v>75</v>
      </c>
      <c r="H7" s="50" t="s">
        <v>76</v>
      </c>
      <c r="I7" s="51" t="s">
        <v>77</v>
      </c>
      <c r="J7" s="50" t="s">
        <v>78</v>
      </c>
      <c r="K7" s="50" t="s">
        <v>79</v>
      </c>
      <c r="L7" s="45"/>
      <c r="N7" s="8"/>
      <c r="P7" s="50" t="s">
        <v>81</v>
      </c>
      <c r="Q7" s="51" t="s">
        <v>82</v>
      </c>
      <c r="R7" s="52" t="s">
        <v>621</v>
      </c>
      <c r="S7" s="50" t="s">
        <v>80</v>
      </c>
      <c r="T7" s="50" t="s">
        <v>285</v>
      </c>
      <c r="U7" s="70"/>
      <c r="X7" s="8"/>
      <c r="Z7" s="50" t="s">
        <v>84</v>
      </c>
      <c r="AA7" s="50" t="s">
        <v>85</v>
      </c>
      <c r="AB7" s="50" t="s">
        <v>310</v>
      </c>
      <c r="AC7" s="50" t="s">
        <v>83</v>
      </c>
      <c r="AD7" s="51" t="s">
        <v>130</v>
      </c>
      <c r="AE7" s="52" t="s">
        <v>131</v>
      </c>
      <c r="AF7" s="50" t="s">
        <v>128</v>
      </c>
      <c r="AG7" s="50" t="s">
        <v>129</v>
      </c>
      <c r="AH7" s="45"/>
      <c r="AJ7" s="8"/>
      <c r="AL7" s="50" t="s">
        <v>133</v>
      </c>
      <c r="AM7" s="50" t="s">
        <v>101</v>
      </c>
      <c r="AN7" s="50" t="s">
        <v>622</v>
      </c>
      <c r="AO7" s="51" t="s">
        <v>130</v>
      </c>
      <c r="AP7" s="52" t="s">
        <v>131</v>
      </c>
      <c r="AQ7" s="50" t="s">
        <v>128</v>
      </c>
      <c r="AR7" s="50" t="s">
        <v>129</v>
      </c>
      <c r="AS7" s="45"/>
      <c r="AV7" s="8"/>
      <c r="AW7" s="9" t="s">
        <v>88</v>
      </c>
      <c r="AX7" s="53" t="s">
        <v>89</v>
      </c>
      <c r="AY7" s="63">
        <f>Notes!$L$4</f>
        <v>2024</v>
      </c>
      <c r="AZ7" s="63">
        <f>Notes!$L$5</f>
        <v>2040</v>
      </c>
      <c r="BA7" s="26">
        <v>0</v>
      </c>
      <c r="BB7" s="34">
        <v>1</v>
      </c>
    </row>
    <row r="8" spans="1:55" x14ac:dyDescent="0.3">
      <c r="B8" s="8"/>
      <c r="C8" s="1" t="s">
        <v>339</v>
      </c>
      <c r="D8" s="63">
        <f>Notes!$L4</f>
        <v>2024</v>
      </c>
      <c r="E8" s="63">
        <f>Notes!$L4</f>
        <v>2024</v>
      </c>
      <c r="F8" s="64">
        <f>Notes!$L4</f>
        <v>2024</v>
      </c>
      <c r="G8" s="63">
        <f>Notes!$L4</f>
        <v>2024</v>
      </c>
      <c r="H8" s="63">
        <f>Notes!$L4</f>
        <v>2024</v>
      </c>
      <c r="I8" s="64">
        <f>Notes!$L4</f>
        <v>2024</v>
      </c>
      <c r="J8" s="63">
        <f>Notes!$L4</f>
        <v>2024</v>
      </c>
      <c r="K8" s="63">
        <f>Notes!$L4</f>
        <v>2024</v>
      </c>
      <c r="L8" s="45"/>
      <c r="N8" s="8"/>
      <c r="O8" s="1" t="s">
        <v>339</v>
      </c>
      <c r="P8" s="63">
        <f>Notes!$L4</f>
        <v>2024</v>
      </c>
      <c r="Q8" s="64">
        <f>Notes!$L4</f>
        <v>2024</v>
      </c>
      <c r="R8" s="63">
        <f>Notes!$L4</f>
        <v>2024</v>
      </c>
      <c r="S8" s="64">
        <f>Notes!$L4</f>
        <v>2024</v>
      </c>
      <c r="T8" s="63">
        <f>Notes!$L4</f>
        <v>2024</v>
      </c>
      <c r="U8" s="70"/>
      <c r="X8" s="8"/>
      <c r="Y8" s="1" t="s">
        <v>339</v>
      </c>
      <c r="Z8" s="63">
        <f>Notes!$L4</f>
        <v>2024</v>
      </c>
      <c r="AA8" s="63">
        <f>Notes!$L4</f>
        <v>2024</v>
      </c>
      <c r="AB8" s="63">
        <f>Notes!$L4</f>
        <v>2024</v>
      </c>
      <c r="AC8" s="63">
        <f>Notes!$L4</f>
        <v>2024</v>
      </c>
      <c r="AD8" s="64">
        <f>Notes!$L4</f>
        <v>2024</v>
      </c>
      <c r="AE8" s="63">
        <f>Notes!$L4</f>
        <v>2024</v>
      </c>
      <c r="AF8" s="64">
        <f>Notes!$L4</f>
        <v>2024</v>
      </c>
      <c r="AG8" s="63">
        <f>Notes!$L4</f>
        <v>2024</v>
      </c>
      <c r="AH8" s="45"/>
      <c r="AJ8" s="8"/>
      <c r="AK8" s="1" t="s">
        <v>339</v>
      </c>
      <c r="AL8" s="63">
        <f>Notes!$L4</f>
        <v>2024</v>
      </c>
      <c r="AM8" s="63">
        <f>Notes!$L4</f>
        <v>2024</v>
      </c>
      <c r="AN8" s="63">
        <f>Notes!$L4</f>
        <v>2024</v>
      </c>
      <c r="AO8" s="64">
        <f>Notes!$L4</f>
        <v>2024</v>
      </c>
      <c r="AP8" s="63">
        <f>Notes!$L4</f>
        <v>2024</v>
      </c>
      <c r="AQ8" s="64">
        <f>Notes!$L$4</f>
        <v>2024</v>
      </c>
      <c r="AR8" s="63">
        <f>Notes!$L4</f>
        <v>2024</v>
      </c>
      <c r="AS8" s="45"/>
      <c r="AV8" s="8"/>
      <c r="AW8" s="9" t="s">
        <v>92</v>
      </c>
      <c r="AX8" s="53" t="s">
        <v>93</v>
      </c>
      <c r="AY8" s="63">
        <f>Notes!$L$4</f>
        <v>2024</v>
      </c>
      <c r="AZ8" s="63">
        <f>Notes!$L$5</f>
        <v>2040</v>
      </c>
      <c r="BA8" s="26">
        <v>0</v>
      </c>
      <c r="BB8" s="34">
        <v>1</v>
      </c>
    </row>
    <row r="9" spans="1:55" x14ac:dyDescent="0.3">
      <c r="B9" s="8"/>
      <c r="C9" s="1" t="s">
        <v>340</v>
      </c>
      <c r="D9" s="63">
        <f>Notes!$L5</f>
        <v>2040</v>
      </c>
      <c r="E9" s="63">
        <f>Notes!$L5</f>
        <v>2040</v>
      </c>
      <c r="F9" s="64">
        <f>Notes!$L5</f>
        <v>2040</v>
      </c>
      <c r="G9" s="63">
        <f>Notes!$L5</f>
        <v>2040</v>
      </c>
      <c r="H9" s="63">
        <f>Notes!$L5</f>
        <v>2040</v>
      </c>
      <c r="I9" s="64">
        <f>Notes!$L5</f>
        <v>2040</v>
      </c>
      <c r="J9" s="63">
        <f>Notes!$L5</f>
        <v>2040</v>
      </c>
      <c r="K9" s="63">
        <f>Notes!$L5</f>
        <v>2040</v>
      </c>
      <c r="L9" s="45"/>
      <c r="N9" s="8"/>
      <c r="O9" s="1" t="s">
        <v>340</v>
      </c>
      <c r="P9" s="63">
        <f>Notes!$L5</f>
        <v>2040</v>
      </c>
      <c r="Q9" s="64">
        <f>Notes!$L5</f>
        <v>2040</v>
      </c>
      <c r="R9" s="63">
        <f>Notes!$L5</f>
        <v>2040</v>
      </c>
      <c r="S9" s="64">
        <f>Notes!$L5</f>
        <v>2040</v>
      </c>
      <c r="T9" s="63">
        <f>Notes!$L5</f>
        <v>2040</v>
      </c>
      <c r="U9" s="70"/>
      <c r="X9" s="8"/>
      <c r="Y9" s="1" t="s">
        <v>340</v>
      </c>
      <c r="Z9" s="63">
        <f>Notes!$L5</f>
        <v>2040</v>
      </c>
      <c r="AA9" s="63">
        <f>Notes!$L5</f>
        <v>2040</v>
      </c>
      <c r="AB9" s="63">
        <f>Notes!$L5</f>
        <v>2040</v>
      </c>
      <c r="AC9" s="63">
        <f>Notes!$L5</f>
        <v>2040</v>
      </c>
      <c r="AD9" s="64">
        <f>Notes!$L5</f>
        <v>2040</v>
      </c>
      <c r="AE9" s="63">
        <f>Notes!$L5</f>
        <v>2040</v>
      </c>
      <c r="AF9" s="64">
        <f>Notes!$L5</f>
        <v>2040</v>
      </c>
      <c r="AG9" s="63">
        <f>Notes!$L5</f>
        <v>2040</v>
      </c>
      <c r="AH9" s="45"/>
      <c r="AJ9" s="8"/>
      <c r="AK9" s="1" t="s">
        <v>340</v>
      </c>
      <c r="AL9" s="63">
        <f>Notes!$L5</f>
        <v>2040</v>
      </c>
      <c r="AM9" s="63">
        <f>Notes!$L5</f>
        <v>2040</v>
      </c>
      <c r="AN9" s="63">
        <f>Notes!$L5</f>
        <v>2040</v>
      </c>
      <c r="AO9" s="64">
        <f>Notes!$L5</f>
        <v>2040</v>
      </c>
      <c r="AP9" s="63">
        <f>Notes!$L5</f>
        <v>2040</v>
      </c>
      <c r="AQ9" s="64">
        <f>Notes!$L5</f>
        <v>2040</v>
      </c>
      <c r="AR9" s="63">
        <f>Notes!$L5</f>
        <v>2040</v>
      </c>
      <c r="AS9" s="45"/>
      <c r="AV9" s="8"/>
      <c r="AW9" s="9" t="s">
        <v>90</v>
      </c>
      <c r="AX9" s="53" t="s">
        <v>91</v>
      </c>
      <c r="AY9" s="63">
        <f>Notes!$L$4</f>
        <v>2024</v>
      </c>
      <c r="AZ9" s="63">
        <f>Notes!$L$5</f>
        <v>2040</v>
      </c>
      <c r="BA9" s="26">
        <v>0</v>
      </c>
      <c r="BB9" s="34">
        <v>1</v>
      </c>
    </row>
    <row r="10" spans="1:55" x14ac:dyDescent="0.3">
      <c r="B10" s="8"/>
      <c r="F10" s="45"/>
      <c r="I10" s="45"/>
      <c r="L10" s="45"/>
      <c r="N10" s="8"/>
      <c r="Q10" s="45"/>
      <c r="R10" s="46"/>
      <c r="U10" s="70"/>
      <c r="X10" s="8"/>
      <c r="AD10" s="45"/>
      <c r="AE10" s="46"/>
      <c r="AH10" s="45"/>
      <c r="AJ10" s="8"/>
      <c r="AO10" s="45"/>
      <c r="AP10" s="46"/>
      <c r="AS10" s="45"/>
      <c r="AV10" s="8"/>
      <c r="AW10" s="9" t="s">
        <v>298</v>
      </c>
      <c r="AX10" s="53" t="s">
        <v>299</v>
      </c>
      <c r="AY10" s="63">
        <f>Notes!$L$4</f>
        <v>2024</v>
      </c>
      <c r="AZ10" s="63">
        <f>Notes!$L$5</f>
        <v>2040</v>
      </c>
      <c r="BA10" s="26">
        <v>0</v>
      </c>
      <c r="BB10" s="34">
        <v>1</v>
      </c>
    </row>
    <row r="11" spans="1:55" x14ac:dyDescent="0.3">
      <c r="B11" s="8"/>
      <c r="C11" s="54" t="s">
        <v>302</v>
      </c>
      <c r="D11" s="55"/>
      <c r="E11" s="55"/>
      <c r="F11" s="56"/>
      <c r="G11" s="55"/>
      <c r="H11" s="55"/>
      <c r="I11" s="56"/>
      <c r="J11" s="55"/>
      <c r="K11" s="55"/>
      <c r="L11" s="56"/>
      <c r="N11" s="8"/>
      <c r="O11" s="54" t="s">
        <v>302</v>
      </c>
      <c r="P11" s="53"/>
      <c r="Q11" s="57"/>
      <c r="R11" s="58"/>
      <c r="S11" s="53"/>
      <c r="T11" s="53"/>
      <c r="U11" s="71"/>
      <c r="V11" s="53"/>
      <c r="X11" s="8"/>
      <c r="Y11" s="54" t="s">
        <v>302</v>
      </c>
      <c r="Z11" s="53"/>
      <c r="AA11" s="53"/>
      <c r="AB11" s="53"/>
      <c r="AC11" s="53"/>
      <c r="AD11" s="57"/>
      <c r="AE11" s="58"/>
      <c r="AF11" s="53"/>
      <c r="AG11" s="53"/>
      <c r="AH11" s="56"/>
      <c r="AJ11" s="8"/>
      <c r="AK11" s="54" t="s">
        <v>302</v>
      </c>
      <c r="AL11" s="54"/>
      <c r="AM11" s="59"/>
      <c r="AN11" s="53"/>
      <c r="AO11" s="57"/>
      <c r="AP11" s="58"/>
      <c r="AQ11" s="53"/>
      <c r="AR11" s="53"/>
      <c r="AS11" s="57"/>
      <c r="AT11" s="53"/>
      <c r="AV11" s="8"/>
      <c r="AW11" s="9" t="s">
        <v>98</v>
      </c>
      <c r="AX11" s="53" t="s">
        <v>101</v>
      </c>
      <c r="AY11" s="63">
        <f>Notes!$L$4</f>
        <v>2024</v>
      </c>
      <c r="AZ11" s="63">
        <f>Notes!$L$5</f>
        <v>2040</v>
      </c>
      <c r="BA11" s="26">
        <v>0</v>
      </c>
      <c r="BB11" s="34">
        <v>1</v>
      </c>
    </row>
    <row r="12" spans="1:55" x14ac:dyDescent="0.3">
      <c r="B12" s="8"/>
      <c r="C12" s="54"/>
      <c r="D12" s="50" t="s">
        <v>72</v>
      </c>
      <c r="E12" s="50" t="s">
        <v>73</v>
      </c>
      <c r="F12" s="51" t="s">
        <v>74</v>
      </c>
      <c r="G12" s="50" t="s">
        <v>75</v>
      </c>
      <c r="H12" s="50" t="s">
        <v>76</v>
      </c>
      <c r="I12" s="51" t="s">
        <v>77</v>
      </c>
      <c r="J12" s="50" t="s">
        <v>78</v>
      </c>
      <c r="K12" s="50" t="s">
        <v>79</v>
      </c>
      <c r="L12" s="56"/>
      <c r="N12" s="8"/>
      <c r="O12" s="54"/>
      <c r="P12" s="50" t="s">
        <v>81</v>
      </c>
      <c r="Q12" s="51" t="s">
        <v>82</v>
      </c>
      <c r="R12" s="52" t="s">
        <v>621</v>
      </c>
      <c r="S12" s="53"/>
      <c r="T12" s="53"/>
      <c r="U12" s="71"/>
      <c r="V12" s="53"/>
      <c r="X12" s="8"/>
      <c r="Y12" s="54"/>
      <c r="Z12" s="50" t="s">
        <v>84</v>
      </c>
      <c r="AA12" s="50" t="s">
        <v>85</v>
      </c>
      <c r="AB12" s="50" t="s">
        <v>310</v>
      </c>
      <c r="AC12" s="50" t="s">
        <v>83</v>
      </c>
      <c r="AD12" s="51" t="s">
        <v>130</v>
      </c>
      <c r="AE12" s="52" t="s">
        <v>131</v>
      </c>
      <c r="AF12" s="50" t="s">
        <v>128</v>
      </c>
      <c r="AG12" s="50" t="s">
        <v>129</v>
      </c>
      <c r="AH12" s="56"/>
      <c r="AJ12" s="8"/>
      <c r="AK12" s="54"/>
      <c r="AL12" s="50" t="s">
        <v>133</v>
      </c>
      <c r="AM12" s="50" t="s">
        <v>101</v>
      </c>
      <c r="AN12" s="50" t="s">
        <v>622</v>
      </c>
      <c r="AO12" s="51" t="s">
        <v>130</v>
      </c>
      <c r="AP12" s="52" t="s">
        <v>131</v>
      </c>
      <c r="AQ12" s="50" t="s">
        <v>128</v>
      </c>
      <c r="AR12" s="50" t="s">
        <v>129</v>
      </c>
      <c r="AS12" s="57"/>
      <c r="AT12" s="53"/>
      <c r="AV12" s="8"/>
      <c r="AW12" s="9" t="s">
        <v>94</v>
      </c>
      <c r="AX12" s="53" t="s">
        <v>95</v>
      </c>
      <c r="AY12" s="63">
        <f>Notes!$L$4</f>
        <v>2024</v>
      </c>
      <c r="AZ12" s="63">
        <f>Notes!$L$5</f>
        <v>2040</v>
      </c>
      <c r="BA12" s="26">
        <v>0</v>
      </c>
      <c r="BB12" s="34">
        <v>1</v>
      </c>
    </row>
    <row r="13" spans="1:55" x14ac:dyDescent="0.3">
      <c r="B13" s="8"/>
      <c r="C13" s="55"/>
      <c r="D13" s="34">
        <v>1</v>
      </c>
      <c r="E13" s="34">
        <v>1</v>
      </c>
      <c r="F13" s="32">
        <v>1</v>
      </c>
      <c r="G13" s="34">
        <v>1</v>
      </c>
      <c r="H13" s="34">
        <v>1</v>
      </c>
      <c r="I13" s="32">
        <v>1</v>
      </c>
      <c r="J13" s="34">
        <v>1</v>
      </c>
      <c r="K13" s="34">
        <v>1</v>
      </c>
      <c r="L13" s="56"/>
      <c r="N13" s="8"/>
      <c r="O13" s="55"/>
      <c r="P13" s="34">
        <v>1</v>
      </c>
      <c r="Q13" s="32">
        <v>1</v>
      </c>
      <c r="R13" s="35">
        <v>1</v>
      </c>
      <c r="S13" s="55"/>
      <c r="T13" s="55"/>
      <c r="U13" s="72"/>
      <c r="V13" s="55"/>
      <c r="X13" s="8"/>
      <c r="Y13" s="55"/>
      <c r="Z13" s="34">
        <v>1</v>
      </c>
      <c r="AA13" s="34">
        <v>1</v>
      </c>
      <c r="AB13" s="34">
        <v>1</v>
      </c>
      <c r="AC13" s="34">
        <v>1</v>
      </c>
      <c r="AD13" s="32">
        <v>1</v>
      </c>
      <c r="AE13" s="35">
        <v>1</v>
      </c>
      <c r="AF13" s="34">
        <v>1</v>
      </c>
      <c r="AG13" s="34">
        <v>1</v>
      </c>
      <c r="AH13" s="56"/>
      <c r="AJ13" s="8"/>
      <c r="AK13" s="55"/>
      <c r="AL13" s="34">
        <v>1</v>
      </c>
      <c r="AM13" s="34">
        <v>1</v>
      </c>
      <c r="AN13" s="34">
        <v>1</v>
      </c>
      <c r="AO13" s="32">
        <v>1</v>
      </c>
      <c r="AP13" s="35">
        <v>1</v>
      </c>
      <c r="AQ13" s="34">
        <v>1</v>
      </c>
      <c r="AR13" s="34">
        <v>1</v>
      </c>
      <c r="AS13" s="56"/>
      <c r="AT13" s="55"/>
      <c r="AV13" s="8"/>
      <c r="AW13" s="9" t="s">
        <v>96</v>
      </c>
      <c r="AX13" s="53" t="s">
        <v>97</v>
      </c>
      <c r="AY13" s="63">
        <f>Notes!$L$4</f>
        <v>2024</v>
      </c>
      <c r="AZ13" s="63">
        <f>Notes!$L$5</f>
        <v>2040</v>
      </c>
      <c r="BA13" s="26">
        <v>0</v>
      </c>
      <c r="BB13" s="34">
        <v>1</v>
      </c>
    </row>
    <row r="14" spans="1:55" x14ac:dyDescent="0.3">
      <c r="B14" s="8"/>
      <c r="C14" s="55"/>
      <c r="F14" s="45"/>
      <c r="I14" s="45"/>
      <c r="L14" s="45"/>
      <c r="N14" s="8"/>
      <c r="O14" s="55"/>
      <c r="Q14" s="45"/>
      <c r="R14" s="46"/>
      <c r="U14" s="70"/>
      <c r="X14" s="8"/>
      <c r="Y14" s="55"/>
      <c r="AD14" s="45"/>
      <c r="AE14" s="46"/>
      <c r="AH14" s="45"/>
      <c r="AJ14" s="8"/>
      <c r="AK14" s="55"/>
      <c r="AL14" s="55"/>
      <c r="AO14" s="45"/>
      <c r="AP14" s="46"/>
      <c r="AS14" s="45"/>
      <c r="AV14" s="8"/>
      <c r="AW14" s="9" t="s">
        <v>297</v>
      </c>
      <c r="AX14" s="53" t="s">
        <v>296</v>
      </c>
      <c r="AY14" s="63">
        <f>Notes!$L$4</f>
        <v>2024</v>
      </c>
      <c r="AZ14" s="63">
        <f>Notes!$L$5</f>
        <v>2040</v>
      </c>
      <c r="BA14" s="26">
        <v>0</v>
      </c>
      <c r="BB14" s="34">
        <v>1</v>
      </c>
    </row>
    <row r="15" spans="1:55" x14ac:dyDescent="0.3">
      <c r="B15" s="8"/>
      <c r="C15" s="54" t="s">
        <v>301</v>
      </c>
      <c r="F15" s="45"/>
      <c r="I15" s="45"/>
      <c r="L15" s="45"/>
      <c r="N15" s="8"/>
      <c r="O15" s="54" t="s">
        <v>301</v>
      </c>
      <c r="P15" s="60"/>
      <c r="Q15" s="45"/>
      <c r="R15" s="46"/>
      <c r="U15" s="70"/>
      <c r="X15" s="8"/>
      <c r="Y15" s="54" t="s">
        <v>301</v>
      </c>
      <c r="Z15" s="60"/>
      <c r="AD15" s="45"/>
      <c r="AE15" s="46"/>
      <c r="AH15" s="45"/>
      <c r="AJ15" s="8"/>
      <c r="AK15" s="54" t="s">
        <v>301</v>
      </c>
      <c r="AL15" s="54"/>
      <c r="AO15" s="45"/>
      <c r="AP15" s="46"/>
      <c r="AS15" s="45"/>
      <c r="AV15" s="8"/>
      <c r="AW15" s="9" t="s">
        <v>762</v>
      </c>
      <c r="AX15" s="53" t="s">
        <v>131</v>
      </c>
      <c r="AY15" s="63">
        <f>Notes!$L$4</f>
        <v>2024</v>
      </c>
      <c r="AZ15" s="63">
        <f>Notes!$L$5</f>
        <v>2040</v>
      </c>
      <c r="BA15" s="26">
        <v>0</v>
      </c>
      <c r="BB15" s="34">
        <v>1</v>
      </c>
    </row>
    <row r="16" spans="1:55" x14ac:dyDescent="0.3">
      <c r="B16" s="8"/>
      <c r="D16" s="50" t="s">
        <v>72</v>
      </c>
      <c r="E16" s="50" t="s">
        <v>73</v>
      </c>
      <c r="F16" s="51" t="s">
        <v>74</v>
      </c>
      <c r="G16" s="50" t="s">
        <v>75</v>
      </c>
      <c r="H16" s="50" t="s">
        <v>76</v>
      </c>
      <c r="I16" s="51" t="s">
        <v>77</v>
      </c>
      <c r="J16" s="50" t="s">
        <v>78</v>
      </c>
      <c r="K16" s="50" t="s">
        <v>79</v>
      </c>
      <c r="L16" s="51" t="s">
        <v>123</v>
      </c>
      <c r="N16" s="8"/>
      <c r="P16" s="50" t="s">
        <v>81</v>
      </c>
      <c r="Q16" s="51" t="s">
        <v>82</v>
      </c>
      <c r="R16" s="52" t="s">
        <v>621</v>
      </c>
      <c r="S16" s="50" t="s">
        <v>80</v>
      </c>
      <c r="T16" s="50" t="s">
        <v>285</v>
      </c>
      <c r="U16" s="73" t="s">
        <v>310</v>
      </c>
      <c r="V16" s="50" t="s">
        <v>123</v>
      </c>
      <c r="X16" s="8"/>
      <c r="Z16" s="50" t="s">
        <v>84</v>
      </c>
      <c r="AA16" s="50" t="s">
        <v>85</v>
      </c>
      <c r="AB16" s="50" t="s">
        <v>310</v>
      </c>
      <c r="AC16" s="50" t="s">
        <v>83</v>
      </c>
      <c r="AD16" s="51" t="s">
        <v>130</v>
      </c>
      <c r="AE16" s="52" t="s">
        <v>131</v>
      </c>
      <c r="AF16" s="50" t="s">
        <v>128</v>
      </c>
      <c r="AG16" s="61" t="s">
        <v>129</v>
      </c>
      <c r="AH16" s="51" t="s">
        <v>123</v>
      </c>
      <c r="AJ16" s="8"/>
      <c r="AL16" s="50" t="s">
        <v>133</v>
      </c>
      <c r="AM16" s="50" t="s">
        <v>101</v>
      </c>
      <c r="AN16" s="50" t="s">
        <v>622</v>
      </c>
      <c r="AO16" s="51" t="s">
        <v>130</v>
      </c>
      <c r="AP16" s="62" t="s">
        <v>131</v>
      </c>
      <c r="AQ16" s="50" t="s">
        <v>128</v>
      </c>
      <c r="AR16" s="61" t="s">
        <v>129</v>
      </c>
      <c r="AS16" s="51" t="s">
        <v>288</v>
      </c>
      <c r="AT16" s="50" t="s">
        <v>123</v>
      </c>
      <c r="AV16" s="8"/>
      <c r="AW16" s="9" t="s">
        <v>763</v>
      </c>
      <c r="AX16" s="53" t="s">
        <v>129</v>
      </c>
      <c r="AY16" s="63">
        <f>Notes!$L$4</f>
        <v>2024</v>
      </c>
      <c r="AZ16" s="63">
        <f>Notes!$L$5</f>
        <v>2040</v>
      </c>
      <c r="BA16" s="26">
        <v>0</v>
      </c>
      <c r="BB16" s="34">
        <v>1</v>
      </c>
    </row>
    <row r="17" spans="2:54" x14ac:dyDescent="0.3">
      <c r="B17" s="8"/>
      <c r="C17" s="2" t="s">
        <v>713</v>
      </c>
      <c r="D17" s="26">
        <v>0</v>
      </c>
      <c r="E17" s="26">
        <v>0</v>
      </c>
      <c r="F17" s="27">
        <v>0</v>
      </c>
      <c r="G17" s="26">
        <v>0</v>
      </c>
      <c r="H17" s="26">
        <v>0</v>
      </c>
      <c r="I17" s="27">
        <v>0</v>
      </c>
      <c r="J17" s="26">
        <v>0</v>
      </c>
      <c r="K17" s="26">
        <v>0</v>
      </c>
      <c r="L17" s="67">
        <v>1</v>
      </c>
      <c r="N17" s="8"/>
      <c r="O17" s="2" t="s">
        <v>649</v>
      </c>
      <c r="P17" s="26">
        <v>0</v>
      </c>
      <c r="Q17" s="27">
        <v>0</v>
      </c>
      <c r="R17" s="30">
        <v>0</v>
      </c>
      <c r="S17" s="27">
        <v>0</v>
      </c>
      <c r="T17" s="30">
        <v>0</v>
      </c>
      <c r="U17" s="34">
        <v>1</v>
      </c>
      <c r="V17" s="34">
        <v>1</v>
      </c>
      <c r="X17" s="8"/>
      <c r="Y17" s="2" t="s">
        <v>852</v>
      </c>
      <c r="Z17" s="26">
        <v>0</v>
      </c>
      <c r="AA17" s="26">
        <v>0</v>
      </c>
      <c r="AB17" s="26">
        <v>0</v>
      </c>
      <c r="AC17" s="26">
        <v>0</v>
      </c>
      <c r="AD17" s="27">
        <v>0</v>
      </c>
      <c r="AE17" s="30">
        <v>0</v>
      </c>
      <c r="AF17" s="26">
        <v>0</v>
      </c>
      <c r="AG17" s="26">
        <v>0</v>
      </c>
      <c r="AH17" s="32">
        <v>1</v>
      </c>
      <c r="AJ17" s="8"/>
      <c r="AK17" s="2" t="s">
        <v>8</v>
      </c>
      <c r="AL17" s="26">
        <v>0</v>
      </c>
      <c r="AM17" s="26">
        <v>0</v>
      </c>
      <c r="AN17" s="26">
        <v>0</v>
      </c>
      <c r="AO17" s="27">
        <v>0</v>
      </c>
      <c r="AP17" s="30">
        <v>0</v>
      </c>
      <c r="AQ17" s="26">
        <v>0</v>
      </c>
      <c r="AR17" s="26">
        <v>0</v>
      </c>
      <c r="AS17" s="32">
        <v>1</v>
      </c>
      <c r="AT17" s="34">
        <v>1</v>
      </c>
      <c r="AV17" s="8"/>
      <c r="AW17" s="9" t="s">
        <v>290</v>
      </c>
      <c r="AX17" s="53" t="s">
        <v>74</v>
      </c>
      <c r="AY17" s="63">
        <f>Notes!$L$4</f>
        <v>2024</v>
      </c>
      <c r="AZ17" s="63">
        <f>Notes!$L$5</f>
        <v>2040</v>
      </c>
      <c r="BA17" s="26">
        <v>0</v>
      </c>
      <c r="BB17" s="34">
        <v>1</v>
      </c>
    </row>
    <row r="18" spans="2:54" x14ac:dyDescent="0.3">
      <c r="B18" s="8"/>
      <c r="C18" s="2" t="s">
        <v>766</v>
      </c>
      <c r="D18" s="26">
        <v>0</v>
      </c>
      <c r="E18" s="26">
        <v>0</v>
      </c>
      <c r="F18" s="27">
        <v>0</v>
      </c>
      <c r="G18" s="26">
        <v>0</v>
      </c>
      <c r="H18" s="26">
        <v>0</v>
      </c>
      <c r="I18" s="27">
        <v>0</v>
      </c>
      <c r="J18" s="26">
        <v>0</v>
      </c>
      <c r="K18" s="26">
        <v>0</v>
      </c>
      <c r="L18" s="67">
        <v>1</v>
      </c>
      <c r="N18" s="8"/>
      <c r="O18" s="2" t="s">
        <v>809</v>
      </c>
      <c r="P18" s="26">
        <v>0</v>
      </c>
      <c r="Q18" s="27">
        <v>0</v>
      </c>
      <c r="R18" s="30">
        <v>0</v>
      </c>
      <c r="S18" s="27">
        <v>0</v>
      </c>
      <c r="T18" s="30">
        <v>0</v>
      </c>
      <c r="U18" s="34">
        <v>1</v>
      </c>
      <c r="V18" s="34">
        <v>1</v>
      </c>
      <c r="X18" s="8"/>
      <c r="Y18" s="2" t="s">
        <v>853</v>
      </c>
      <c r="Z18" s="26">
        <v>0</v>
      </c>
      <c r="AA18" s="26">
        <v>0</v>
      </c>
      <c r="AB18" s="26">
        <v>0</v>
      </c>
      <c r="AC18" s="26">
        <v>0</v>
      </c>
      <c r="AD18" s="27">
        <v>0</v>
      </c>
      <c r="AE18" s="30">
        <v>0</v>
      </c>
      <c r="AF18" s="26">
        <v>0</v>
      </c>
      <c r="AG18" s="26">
        <v>0</v>
      </c>
      <c r="AH18" s="32">
        <v>1</v>
      </c>
      <c r="AJ18" s="8"/>
      <c r="AK18" s="2" t="s">
        <v>985</v>
      </c>
      <c r="AL18" s="26">
        <v>0</v>
      </c>
      <c r="AM18" s="26">
        <v>0</v>
      </c>
      <c r="AN18" s="26">
        <v>0</v>
      </c>
      <c r="AO18" s="27">
        <v>0</v>
      </c>
      <c r="AP18" s="30">
        <v>0</v>
      </c>
      <c r="AQ18" s="26">
        <v>0</v>
      </c>
      <c r="AR18" s="26">
        <v>0</v>
      </c>
      <c r="AS18" s="32">
        <v>1</v>
      </c>
      <c r="AT18" s="34">
        <v>1</v>
      </c>
      <c r="AV18" s="8"/>
      <c r="AW18" s="9" t="s">
        <v>291</v>
      </c>
      <c r="AX18" s="53" t="s">
        <v>75</v>
      </c>
      <c r="AY18" s="63">
        <f>Notes!$L$4</f>
        <v>2024</v>
      </c>
      <c r="AZ18" s="63">
        <f>Notes!$L$5</f>
        <v>2040</v>
      </c>
      <c r="BA18" s="26">
        <v>0</v>
      </c>
      <c r="BB18" s="34">
        <v>1</v>
      </c>
    </row>
    <row r="19" spans="2:54" x14ac:dyDescent="0.3">
      <c r="B19" s="8"/>
      <c r="C19" s="2" t="s">
        <v>976</v>
      </c>
      <c r="D19" s="26">
        <v>0</v>
      </c>
      <c r="E19" s="26">
        <v>0</v>
      </c>
      <c r="F19" s="27">
        <v>0</v>
      </c>
      <c r="G19" s="26">
        <v>0</v>
      </c>
      <c r="H19" s="26">
        <v>0</v>
      </c>
      <c r="I19" s="27">
        <v>0</v>
      </c>
      <c r="J19" s="26">
        <v>0</v>
      </c>
      <c r="K19" s="26">
        <v>0</v>
      </c>
      <c r="L19" s="67">
        <v>1</v>
      </c>
      <c r="N19" s="8"/>
      <c r="O19" s="2" t="s">
        <v>946</v>
      </c>
      <c r="P19" s="26">
        <v>0</v>
      </c>
      <c r="Q19" s="27">
        <v>0</v>
      </c>
      <c r="R19" s="30">
        <v>0</v>
      </c>
      <c r="S19" s="27">
        <v>0</v>
      </c>
      <c r="T19" s="30">
        <v>0</v>
      </c>
      <c r="U19" s="34">
        <v>1</v>
      </c>
      <c r="V19" s="34">
        <v>1</v>
      </c>
      <c r="X19" s="8"/>
      <c r="Y19" s="2" t="s">
        <v>854</v>
      </c>
      <c r="Z19" s="26">
        <v>0</v>
      </c>
      <c r="AA19" s="26">
        <v>0</v>
      </c>
      <c r="AB19" s="26">
        <v>0</v>
      </c>
      <c r="AC19" s="26">
        <v>0</v>
      </c>
      <c r="AD19" s="27">
        <v>0</v>
      </c>
      <c r="AE19" s="30">
        <v>0</v>
      </c>
      <c r="AF19" s="26">
        <v>0</v>
      </c>
      <c r="AG19" s="26">
        <v>0</v>
      </c>
      <c r="AH19" s="32">
        <v>1</v>
      </c>
      <c r="AJ19" s="8"/>
      <c r="AK19" s="2" t="s">
        <v>986</v>
      </c>
      <c r="AL19" s="26">
        <v>0</v>
      </c>
      <c r="AM19" s="26">
        <v>0</v>
      </c>
      <c r="AN19" s="26">
        <v>0</v>
      </c>
      <c r="AO19" s="27">
        <v>0</v>
      </c>
      <c r="AP19" s="30">
        <v>0</v>
      </c>
      <c r="AQ19" s="26">
        <v>0</v>
      </c>
      <c r="AR19" s="26">
        <v>0</v>
      </c>
      <c r="AS19" s="32">
        <v>1</v>
      </c>
      <c r="AT19" s="34">
        <v>1</v>
      </c>
      <c r="AV19" s="8"/>
      <c r="AW19" s="9" t="s">
        <v>292</v>
      </c>
      <c r="AX19" s="53" t="s">
        <v>76</v>
      </c>
      <c r="AY19" s="63">
        <f>Notes!$L$4</f>
        <v>2024</v>
      </c>
      <c r="AZ19" s="63">
        <f>Notes!$L$5</f>
        <v>2040</v>
      </c>
      <c r="BA19" s="26">
        <v>0</v>
      </c>
      <c r="BB19" s="34">
        <v>1</v>
      </c>
    </row>
    <row r="20" spans="2:54" x14ac:dyDescent="0.3">
      <c r="B20" s="8"/>
      <c r="C20" s="2" t="s">
        <v>977</v>
      </c>
      <c r="D20" s="26">
        <v>0</v>
      </c>
      <c r="E20" s="26">
        <v>0</v>
      </c>
      <c r="F20" s="27">
        <v>0</v>
      </c>
      <c r="G20" s="26">
        <v>0</v>
      </c>
      <c r="H20" s="26">
        <v>0</v>
      </c>
      <c r="I20" s="27">
        <v>0</v>
      </c>
      <c r="J20" s="26">
        <v>0</v>
      </c>
      <c r="K20" s="26">
        <v>0</v>
      </c>
      <c r="L20" s="67">
        <v>1</v>
      </c>
      <c r="N20" s="8"/>
      <c r="O20" s="2" t="s">
        <v>947</v>
      </c>
      <c r="P20" s="26">
        <v>0</v>
      </c>
      <c r="Q20" s="27">
        <v>0</v>
      </c>
      <c r="R20" s="30">
        <v>0</v>
      </c>
      <c r="S20" s="27">
        <v>0</v>
      </c>
      <c r="T20" s="30">
        <v>0</v>
      </c>
      <c r="U20" s="34">
        <v>1</v>
      </c>
      <c r="V20" s="34">
        <v>1</v>
      </c>
      <c r="X20" s="8"/>
      <c r="Y20" s="2" t="s">
        <v>855</v>
      </c>
      <c r="Z20" s="26">
        <v>0</v>
      </c>
      <c r="AA20" s="26">
        <v>0</v>
      </c>
      <c r="AB20" s="26">
        <v>0</v>
      </c>
      <c r="AC20" s="26">
        <v>0</v>
      </c>
      <c r="AD20" s="27">
        <v>0</v>
      </c>
      <c r="AE20" s="30">
        <v>0</v>
      </c>
      <c r="AF20" s="26">
        <v>0</v>
      </c>
      <c r="AG20" s="26">
        <v>0</v>
      </c>
      <c r="AH20" s="32">
        <v>1</v>
      </c>
      <c r="AJ20" s="8"/>
      <c r="AK20" s="2" t="s">
        <v>987</v>
      </c>
      <c r="AL20" s="26">
        <v>0</v>
      </c>
      <c r="AM20" s="26">
        <v>0</v>
      </c>
      <c r="AN20" s="26">
        <v>0</v>
      </c>
      <c r="AO20" s="27">
        <v>0</v>
      </c>
      <c r="AP20" s="30">
        <v>0</v>
      </c>
      <c r="AQ20" s="26">
        <v>0</v>
      </c>
      <c r="AR20" s="26">
        <v>0</v>
      </c>
      <c r="AS20" s="32">
        <v>1</v>
      </c>
      <c r="AT20" s="34">
        <v>1</v>
      </c>
      <c r="AV20" s="8"/>
      <c r="AW20" s="9" t="s">
        <v>61</v>
      </c>
      <c r="AX20" s="53" t="s">
        <v>82</v>
      </c>
      <c r="AY20" s="63">
        <f>Notes!$L$4</f>
        <v>2024</v>
      </c>
      <c r="AZ20" s="63">
        <f>Notes!$L$5</f>
        <v>2040</v>
      </c>
      <c r="BA20" s="26">
        <v>0</v>
      </c>
      <c r="BB20" s="34">
        <v>1</v>
      </c>
    </row>
    <row r="21" spans="2:54" x14ac:dyDescent="0.3">
      <c r="B21" s="8"/>
      <c r="C21" s="2" t="s">
        <v>767</v>
      </c>
      <c r="D21" s="26">
        <v>0</v>
      </c>
      <c r="E21" s="26">
        <v>0</v>
      </c>
      <c r="F21" s="27">
        <v>0</v>
      </c>
      <c r="G21" s="26">
        <v>0</v>
      </c>
      <c r="H21" s="26">
        <v>0</v>
      </c>
      <c r="I21" s="27">
        <v>0</v>
      </c>
      <c r="J21" s="26">
        <v>0</v>
      </c>
      <c r="K21" s="26">
        <v>0</v>
      </c>
      <c r="L21" s="67">
        <v>1</v>
      </c>
      <c r="N21" s="8"/>
      <c r="O21" s="2" t="s">
        <v>810</v>
      </c>
      <c r="P21" s="26">
        <v>0</v>
      </c>
      <c r="Q21" s="27">
        <v>0</v>
      </c>
      <c r="R21" s="30">
        <v>0</v>
      </c>
      <c r="S21" s="27">
        <v>0</v>
      </c>
      <c r="T21" s="30">
        <v>0</v>
      </c>
      <c r="U21" s="34">
        <v>1</v>
      </c>
      <c r="V21" s="34">
        <v>1</v>
      </c>
      <c r="X21" s="8"/>
      <c r="Y21" s="2" t="s">
        <v>856</v>
      </c>
      <c r="Z21" s="26">
        <v>0</v>
      </c>
      <c r="AA21" s="26">
        <v>0</v>
      </c>
      <c r="AB21" s="26">
        <v>0</v>
      </c>
      <c r="AC21" s="26">
        <v>0</v>
      </c>
      <c r="AD21" s="27">
        <v>0</v>
      </c>
      <c r="AE21" s="30">
        <v>0</v>
      </c>
      <c r="AF21" s="26">
        <v>0</v>
      </c>
      <c r="AG21" s="26">
        <v>0</v>
      </c>
      <c r="AH21" s="32">
        <v>1</v>
      </c>
      <c r="AJ21" s="8"/>
      <c r="AK21" s="2" t="s">
        <v>988</v>
      </c>
      <c r="AL21" s="26">
        <v>0</v>
      </c>
      <c r="AM21" s="26">
        <v>0</v>
      </c>
      <c r="AN21" s="26">
        <v>0</v>
      </c>
      <c r="AO21" s="27">
        <v>0</v>
      </c>
      <c r="AP21" s="30">
        <v>0</v>
      </c>
      <c r="AQ21" s="26">
        <v>0</v>
      </c>
      <c r="AR21" s="26">
        <v>0</v>
      </c>
      <c r="AS21" s="32">
        <v>1</v>
      </c>
      <c r="AT21" s="34">
        <v>1</v>
      </c>
      <c r="AV21" s="8"/>
      <c r="AW21" s="9" t="s">
        <v>293</v>
      </c>
      <c r="AX21" s="53" t="s">
        <v>621</v>
      </c>
      <c r="AY21" s="63">
        <f>Notes!$L$4</f>
        <v>2024</v>
      </c>
      <c r="AZ21" s="63">
        <f>Notes!$L$5</f>
        <v>2040</v>
      </c>
      <c r="BA21" s="26">
        <v>0</v>
      </c>
      <c r="BB21" s="34">
        <v>1</v>
      </c>
    </row>
    <row r="22" spans="2:54" x14ac:dyDescent="0.3">
      <c r="B22" s="8"/>
      <c r="C22" s="2" t="s">
        <v>714</v>
      </c>
      <c r="D22" s="26">
        <v>0</v>
      </c>
      <c r="E22" s="26">
        <v>0</v>
      </c>
      <c r="F22" s="27">
        <v>0</v>
      </c>
      <c r="G22" s="26">
        <v>0</v>
      </c>
      <c r="H22" s="26">
        <v>0</v>
      </c>
      <c r="I22" s="27">
        <v>0</v>
      </c>
      <c r="J22" s="26">
        <v>0</v>
      </c>
      <c r="K22" s="26">
        <v>0</v>
      </c>
      <c r="L22" s="67">
        <v>1</v>
      </c>
      <c r="N22" s="8"/>
      <c r="O22" s="2" t="s">
        <v>650</v>
      </c>
      <c r="P22" s="26">
        <v>0</v>
      </c>
      <c r="Q22" s="27">
        <v>0</v>
      </c>
      <c r="R22" s="30">
        <v>0</v>
      </c>
      <c r="S22" s="27">
        <v>0</v>
      </c>
      <c r="T22" s="30">
        <v>0</v>
      </c>
      <c r="U22" s="34">
        <v>1</v>
      </c>
      <c r="V22" s="34">
        <v>1</v>
      </c>
      <c r="X22" s="8"/>
      <c r="Y22" s="2" t="s">
        <v>857</v>
      </c>
      <c r="Z22" s="26">
        <v>0</v>
      </c>
      <c r="AA22" s="26">
        <v>0</v>
      </c>
      <c r="AB22" s="26">
        <v>0</v>
      </c>
      <c r="AC22" s="26">
        <v>0</v>
      </c>
      <c r="AD22" s="27">
        <v>0</v>
      </c>
      <c r="AE22" s="30">
        <v>0</v>
      </c>
      <c r="AF22" s="26">
        <v>0</v>
      </c>
      <c r="AG22" s="26">
        <v>0</v>
      </c>
      <c r="AH22" s="32">
        <v>1</v>
      </c>
      <c r="AJ22" s="8"/>
      <c r="AK22" s="2" t="s">
        <v>989</v>
      </c>
      <c r="AL22" s="26">
        <v>0</v>
      </c>
      <c r="AM22" s="26">
        <v>0</v>
      </c>
      <c r="AN22" s="26">
        <v>0</v>
      </c>
      <c r="AO22" s="27">
        <v>0</v>
      </c>
      <c r="AP22" s="30">
        <v>0</v>
      </c>
      <c r="AQ22" s="26">
        <v>0</v>
      </c>
      <c r="AR22" s="26">
        <v>0</v>
      </c>
      <c r="AS22" s="32">
        <v>1</v>
      </c>
      <c r="AT22" s="34">
        <v>1</v>
      </c>
      <c r="AV22" s="8"/>
      <c r="AW22" s="9" t="s">
        <v>294</v>
      </c>
      <c r="AX22" s="53" t="s">
        <v>83</v>
      </c>
      <c r="AY22" s="63">
        <f>Notes!$L$4</f>
        <v>2024</v>
      </c>
      <c r="AZ22" s="63">
        <f>Notes!$L$5</f>
        <v>2040</v>
      </c>
      <c r="BA22" s="26">
        <v>0</v>
      </c>
      <c r="BB22" s="34">
        <v>1</v>
      </c>
    </row>
    <row r="23" spans="2:54" x14ac:dyDescent="0.3">
      <c r="B23" s="8"/>
      <c r="C23" s="2" t="s">
        <v>715</v>
      </c>
      <c r="D23" s="26">
        <v>0</v>
      </c>
      <c r="E23" s="26">
        <v>0</v>
      </c>
      <c r="F23" s="27">
        <v>0</v>
      </c>
      <c r="G23" s="26">
        <v>0</v>
      </c>
      <c r="H23" s="26">
        <v>0</v>
      </c>
      <c r="I23" s="27">
        <v>0</v>
      </c>
      <c r="J23" s="26">
        <v>0</v>
      </c>
      <c r="K23" s="26">
        <v>0</v>
      </c>
      <c r="L23" s="67">
        <v>1</v>
      </c>
      <c r="N23" s="8"/>
      <c r="O23" s="2" t="s">
        <v>651</v>
      </c>
      <c r="P23" s="26">
        <v>0</v>
      </c>
      <c r="Q23" s="27">
        <v>0</v>
      </c>
      <c r="R23" s="30">
        <v>0</v>
      </c>
      <c r="S23" s="27">
        <v>0</v>
      </c>
      <c r="T23" s="30">
        <v>0</v>
      </c>
      <c r="U23" s="34">
        <v>1</v>
      </c>
      <c r="V23" s="34">
        <v>1</v>
      </c>
      <c r="X23" s="8"/>
      <c r="Y23" s="2" t="s">
        <v>858</v>
      </c>
      <c r="Z23" s="26">
        <v>0</v>
      </c>
      <c r="AA23" s="26">
        <v>0</v>
      </c>
      <c r="AB23" s="26">
        <v>0</v>
      </c>
      <c r="AC23" s="26">
        <v>0</v>
      </c>
      <c r="AD23" s="27">
        <v>0</v>
      </c>
      <c r="AE23" s="30">
        <v>0</v>
      </c>
      <c r="AF23" s="26">
        <v>0</v>
      </c>
      <c r="AG23" s="26">
        <v>0</v>
      </c>
      <c r="AH23" s="32">
        <v>1</v>
      </c>
      <c r="AJ23" s="8"/>
      <c r="AK23" s="2" t="s">
        <v>990</v>
      </c>
      <c r="AL23" s="26">
        <v>0</v>
      </c>
      <c r="AM23" s="26">
        <v>0</v>
      </c>
      <c r="AN23" s="26">
        <v>0</v>
      </c>
      <c r="AO23" s="27">
        <v>0</v>
      </c>
      <c r="AP23" s="30">
        <v>0</v>
      </c>
      <c r="AQ23" s="26">
        <v>0</v>
      </c>
      <c r="AR23" s="26">
        <v>0</v>
      </c>
      <c r="AS23" s="32">
        <v>1</v>
      </c>
      <c r="AT23" s="34">
        <v>1</v>
      </c>
      <c r="AV23" s="8"/>
      <c r="AW23" s="9" t="s">
        <v>295</v>
      </c>
      <c r="AX23" s="53" t="s">
        <v>622</v>
      </c>
      <c r="AY23" s="63">
        <f>Notes!$L$4</f>
        <v>2024</v>
      </c>
      <c r="AZ23" s="63">
        <f>Notes!$L$5</f>
        <v>2040</v>
      </c>
      <c r="BA23" s="26">
        <v>0</v>
      </c>
      <c r="BB23" s="34">
        <v>1</v>
      </c>
    </row>
    <row r="24" spans="2:54" x14ac:dyDescent="0.3">
      <c r="B24" s="8"/>
      <c r="C24" s="2" t="s">
        <v>768</v>
      </c>
      <c r="D24" s="26">
        <v>0</v>
      </c>
      <c r="E24" s="26">
        <v>0</v>
      </c>
      <c r="F24" s="27">
        <v>0</v>
      </c>
      <c r="G24" s="26">
        <v>0</v>
      </c>
      <c r="H24" s="26">
        <v>0</v>
      </c>
      <c r="I24" s="27">
        <v>0</v>
      </c>
      <c r="J24" s="26">
        <v>0</v>
      </c>
      <c r="K24" s="26">
        <v>0</v>
      </c>
      <c r="L24" s="67">
        <v>1</v>
      </c>
      <c r="N24" s="8"/>
      <c r="O24" s="2" t="s">
        <v>811</v>
      </c>
      <c r="P24" s="26">
        <v>0</v>
      </c>
      <c r="Q24" s="27">
        <v>0</v>
      </c>
      <c r="R24" s="30">
        <v>0</v>
      </c>
      <c r="S24" s="27">
        <v>0</v>
      </c>
      <c r="T24" s="30">
        <v>0</v>
      </c>
      <c r="U24" s="34">
        <v>1</v>
      </c>
      <c r="V24" s="34">
        <v>1</v>
      </c>
      <c r="X24" s="8"/>
      <c r="Y24" s="2" t="s">
        <v>859</v>
      </c>
      <c r="Z24" s="26">
        <v>0</v>
      </c>
      <c r="AA24" s="26">
        <v>0</v>
      </c>
      <c r="AB24" s="26">
        <v>0</v>
      </c>
      <c r="AC24" s="26">
        <v>0</v>
      </c>
      <c r="AD24" s="27">
        <v>0</v>
      </c>
      <c r="AE24" s="30">
        <v>0</v>
      </c>
      <c r="AF24" s="26">
        <v>0</v>
      </c>
      <c r="AG24" s="26">
        <v>0</v>
      </c>
      <c r="AH24" s="32">
        <v>1</v>
      </c>
      <c r="AJ24" s="8"/>
      <c r="AK24" s="2" t="s">
        <v>991</v>
      </c>
      <c r="AL24" s="26">
        <v>0</v>
      </c>
      <c r="AM24" s="26">
        <v>0</v>
      </c>
      <c r="AN24" s="26">
        <v>0</v>
      </c>
      <c r="AO24" s="27">
        <v>0</v>
      </c>
      <c r="AP24" s="30">
        <v>0</v>
      </c>
      <c r="AQ24" s="26">
        <v>0</v>
      </c>
      <c r="AR24" s="26">
        <v>0</v>
      </c>
      <c r="AS24" s="32">
        <v>1</v>
      </c>
      <c r="AT24" s="34">
        <v>1</v>
      </c>
      <c r="AV24" s="8"/>
      <c r="AW24" s="9" t="s">
        <v>647</v>
      </c>
      <c r="AX24" s="53" t="s">
        <v>648</v>
      </c>
      <c r="AY24" s="63">
        <f>Notes!$L$4</f>
        <v>2024</v>
      </c>
      <c r="AZ24" s="63">
        <f>Notes!$L$5</f>
        <v>2040</v>
      </c>
      <c r="BA24" s="26">
        <v>0</v>
      </c>
      <c r="BB24" s="34">
        <v>1</v>
      </c>
    </row>
    <row r="25" spans="2:54" x14ac:dyDescent="0.3">
      <c r="B25" s="8"/>
      <c r="C25" s="2" t="s">
        <v>716</v>
      </c>
      <c r="D25" s="26">
        <v>0</v>
      </c>
      <c r="E25" s="26">
        <v>0</v>
      </c>
      <c r="F25" s="27">
        <v>0</v>
      </c>
      <c r="G25" s="26">
        <v>0</v>
      </c>
      <c r="H25" s="26">
        <v>0</v>
      </c>
      <c r="I25" s="27">
        <v>0</v>
      </c>
      <c r="J25" s="26">
        <v>0</v>
      </c>
      <c r="K25" s="26">
        <v>0</v>
      </c>
      <c r="L25" s="67">
        <v>1</v>
      </c>
      <c r="N25" s="8"/>
      <c r="O25" s="2" t="s">
        <v>652</v>
      </c>
      <c r="P25" s="26">
        <v>0</v>
      </c>
      <c r="Q25" s="27">
        <v>0</v>
      </c>
      <c r="R25" s="30">
        <v>0</v>
      </c>
      <c r="S25" s="27">
        <v>0</v>
      </c>
      <c r="T25" s="30">
        <v>0</v>
      </c>
      <c r="U25" s="34">
        <v>1</v>
      </c>
      <c r="V25" s="34">
        <v>1</v>
      </c>
      <c r="X25" s="8"/>
      <c r="Y25" s="2" t="s">
        <v>10</v>
      </c>
      <c r="Z25" s="26">
        <v>0</v>
      </c>
      <c r="AA25" s="26">
        <v>0</v>
      </c>
      <c r="AB25" s="26">
        <v>0</v>
      </c>
      <c r="AC25" s="26">
        <v>0</v>
      </c>
      <c r="AD25" s="27">
        <v>0</v>
      </c>
      <c r="AE25" s="30">
        <v>0</v>
      </c>
      <c r="AF25" s="26">
        <v>0</v>
      </c>
      <c r="AG25" s="26">
        <v>0</v>
      </c>
      <c r="AH25" s="32">
        <v>1</v>
      </c>
      <c r="AJ25" s="8"/>
      <c r="AK25" s="2" t="s">
        <v>992</v>
      </c>
      <c r="AL25" s="26">
        <v>0</v>
      </c>
      <c r="AM25" s="26">
        <v>0</v>
      </c>
      <c r="AN25" s="26">
        <v>0</v>
      </c>
      <c r="AO25" s="27">
        <v>0</v>
      </c>
      <c r="AP25" s="30">
        <v>0</v>
      </c>
      <c r="AQ25" s="26">
        <v>0</v>
      </c>
      <c r="AR25" s="26">
        <v>0</v>
      </c>
      <c r="AS25" s="32">
        <v>1</v>
      </c>
      <c r="AT25" s="34">
        <v>1</v>
      </c>
      <c r="AV25" s="8"/>
    </row>
    <row r="26" spans="2:54" x14ac:dyDescent="0.3">
      <c r="B26" s="8"/>
      <c r="C26" s="2" t="s">
        <v>769</v>
      </c>
      <c r="D26" s="26">
        <v>0</v>
      </c>
      <c r="E26" s="26">
        <v>0</v>
      </c>
      <c r="F26" s="27">
        <v>0</v>
      </c>
      <c r="G26" s="26">
        <v>0</v>
      </c>
      <c r="H26" s="26">
        <v>0</v>
      </c>
      <c r="I26" s="27">
        <v>0</v>
      </c>
      <c r="J26" s="26">
        <v>0</v>
      </c>
      <c r="K26" s="26">
        <v>0</v>
      </c>
      <c r="L26" s="67">
        <v>1</v>
      </c>
      <c r="N26" s="8"/>
      <c r="O26" s="2" t="s">
        <v>812</v>
      </c>
      <c r="P26" s="26">
        <v>0</v>
      </c>
      <c r="Q26" s="27">
        <v>0</v>
      </c>
      <c r="R26" s="30">
        <v>0</v>
      </c>
      <c r="S26" s="27">
        <v>0</v>
      </c>
      <c r="T26" s="30">
        <v>0</v>
      </c>
      <c r="U26" s="34">
        <v>1</v>
      </c>
      <c r="V26" s="34">
        <v>1</v>
      </c>
      <c r="X26" s="8"/>
      <c r="Y26" s="2" t="s">
        <v>860</v>
      </c>
      <c r="Z26" s="26">
        <v>0</v>
      </c>
      <c r="AA26" s="26">
        <v>0</v>
      </c>
      <c r="AB26" s="26">
        <v>0</v>
      </c>
      <c r="AC26" s="26">
        <v>0</v>
      </c>
      <c r="AD26" s="27">
        <v>0</v>
      </c>
      <c r="AE26" s="30">
        <v>0</v>
      </c>
      <c r="AF26" s="26">
        <v>0</v>
      </c>
      <c r="AG26" s="26">
        <v>0</v>
      </c>
      <c r="AH26" s="32">
        <v>1</v>
      </c>
      <c r="AJ26" s="8"/>
      <c r="AK26" s="2" t="s">
        <v>993</v>
      </c>
      <c r="AL26" s="26">
        <v>0</v>
      </c>
      <c r="AM26" s="26">
        <v>0</v>
      </c>
      <c r="AN26" s="26">
        <v>0</v>
      </c>
      <c r="AO26" s="27">
        <v>0</v>
      </c>
      <c r="AP26" s="30">
        <v>0</v>
      </c>
      <c r="AQ26" s="26">
        <v>0</v>
      </c>
      <c r="AR26" s="26">
        <v>0</v>
      </c>
      <c r="AS26" s="32">
        <v>1</v>
      </c>
      <c r="AT26" s="34">
        <v>1</v>
      </c>
    </row>
    <row r="27" spans="2:54" x14ac:dyDescent="0.3">
      <c r="B27" s="8"/>
      <c r="C27" s="2" t="s">
        <v>770</v>
      </c>
      <c r="D27" s="26">
        <v>0</v>
      </c>
      <c r="E27" s="26">
        <v>0</v>
      </c>
      <c r="F27" s="27">
        <v>0</v>
      </c>
      <c r="G27" s="26">
        <v>0</v>
      </c>
      <c r="H27" s="26">
        <v>0</v>
      </c>
      <c r="I27" s="27">
        <v>0</v>
      </c>
      <c r="J27" s="26">
        <v>0</v>
      </c>
      <c r="K27" s="26">
        <v>0</v>
      </c>
      <c r="L27" s="67">
        <v>1</v>
      </c>
      <c r="N27" s="8"/>
      <c r="O27" s="2" t="s">
        <v>813</v>
      </c>
      <c r="P27" s="26">
        <v>0</v>
      </c>
      <c r="Q27" s="27">
        <v>0</v>
      </c>
      <c r="R27" s="30">
        <v>0</v>
      </c>
      <c r="S27" s="27">
        <v>0</v>
      </c>
      <c r="T27" s="30">
        <v>0</v>
      </c>
      <c r="U27" s="34">
        <v>1</v>
      </c>
      <c r="V27" s="34">
        <v>1</v>
      </c>
      <c r="X27" s="8"/>
      <c r="Y27" s="2" t="s">
        <v>861</v>
      </c>
      <c r="Z27" s="26">
        <v>0</v>
      </c>
      <c r="AA27" s="26">
        <v>0</v>
      </c>
      <c r="AB27" s="26">
        <v>0</v>
      </c>
      <c r="AC27" s="26">
        <v>0</v>
      </c>
      <c r="AD27" s="27">
        <v>0</v>
      </c>
      <c r="AE27" s="30">
        <v>0</v>
      </c>
      <c r="AF27" s="26">
        <v>0</v>
      </c>
      <c r="AG27" s="26">
        <v>0</v>
      </c>
      <c r="AH27" s="32">
        <v>1</v>
      </c>
      <c r="AJ27" s="8"/>
      <c r="AK27" s="2" t="s">
        <v>994</v>
      </c>
      <c r="AL27" s="26">
        <v>0</v>
      </c>
      <c r="AM27" s="26">
        <v>0</v>
      </c>
      <c r="AN27" s="26">
        <v>0</v>
      </c>
      <c r="AO27" s="27">
        <v>0</v>
      </c>
      <c r="AP27" s="30">
        <v>0</v>
      </c>
      <c r="AQ27" s="26">
        <v>0</v>
      </c>
      <c r="AR27" s="26">
        <v>0</v>
      </c>
      <c r="AS27" s="32">
        <v>1</v>
      </c>
      <c r="AT27" s="34">
        <v>1</v>
      </c>
    </row>
    <row r="28" spans="2:54" x14ac:dyDescent="0.3">
      <c r="B28" s="8"/>
      <c r="C28" s="2" t="s">
        <v>771</v>
      </c>
      <c r="D28" s="26">
        <v>0</v>
      </c>
      <c r="E28" s="26">
        <v>0</v>
      </c>
      <c r="F28" s="27">
        <v>0</v>
      </c>
      <c r="G28" s="26">
        <v>0</v>
      </c>
      <c r="H28" s="26">
        <v>0</v>
      </c>
      <c r="I28" s="27">
        <v>0</v>
      </c>
      <c r="J28" s="26">
        <v>0</v>
      </c>
      <c r="K28" s="26">
        <v>0</v>
      </c>
      <c r="L28" s="67">
        <v>1</v>
      </c>
      <c r="N28" s="8"/>
      <c r="O28" s="2" t="s">
        <v>814</v>
      </c>
      <c r="P28" s="26">
        <v>0</v>
      </c>
      <c r="Q28" s="27">
        <v>0</v>
      </c>
      <c r="R28" s="30">
        <v>0</v>
      </c>
      <c r="S28" s="27">
        <v>0</v>
      </c>
      <c r="T28" s="30">
        <v>0</v>
      </c>
      <c r="U28" s="34">
        <v>1</v>
      </c>
      <c r="V28" s="34">
        <v>1</v>
      </c>
      <c r="X28" s="8"/>
      <c r="Y28" s="2" t="s">
        <v>862</v>
      </c>
      <c r="Z28" s="26">
        <v>0</v>
      </c>
      <c r="AA28" s="26">
        <v>0</v>
      </c>
      <c r="AB28" s="26">
        <v>0</v>
      </c>
      <c r="AC28" s="26">
        <v>0</v>
      </c>
      <c r="AD28" s="27">
        <v>0</v>
      </c>
      <c r="AE28" s="30">
        <v>0</v>
      </c>
      <c r="AF28" s="26">
        <v>0</v>
      </c>
      <c r="AG28" s="26">
        <v>0</v>
      </c>
      <c r="AH28" s="32">
        <v>1</v>
      </c>
      <c r="AJ28" s="8"/>
      <c r="AK28" s="2" t="s">
        <v>995</v>
      </c>
      <c r="AL28" s="26">
        <v>0</v>
      </c>
      <c r="AM28" s="26">
        <v>0</v>
      </c>
      <c r="AN28" s="26">
        <v>0</v>
      </c>
      <c r="AO28" s="27">
        <v>0</v>
      </c>
      <c r="AP28" s="30">
        <v>0</v>
      </c>
      <c r="AQ28" s="26">
        <v>0</v>
      </c>
      <c r="AR28" s="26">
        <v>0</v>
      </c>
      <c r="AS28" s="32">
        <v>1</v>
      </c>
      <c r="AT28" s="34">
        <v>1</v>
      </c>
    </row>
    <row r="29" spans="2:54" x14ac:dyDescent="0.3">
      <c r="B29" s="8"/>
      <c r="C29" s="2" t="s">
        <v>717</v>
      </c>
      <c r="D29" s="26">
        <v>0</v>
      </c>
      <c r="E29" s="26">
        <v>0</v>
      </c>
      <c r="F29" s="27">
        <v>0</v>
      </c>
      <c r="G29" s="26">
        <v>0</v>
      </c>
      <c r="H29" s="26">
        <v>0</v>
      </c>
      <c r="I29" s="27">
        <v>0</v>
      </c>
      <c r="J29" s="26">
        <v>0</v>
      </c>
      <c r="K29" s="26">
        <v>0</v>
      </c>
      <c r="L29" s="67">
        <v>1</v>
      </c>
      <c r="N29" s="8"/>
      <c r="O29" s="2" t="s">
        <v>653</v>
      </c>
      <c r="P29" s="26">
        <v>0</v>
      </c>
      <c r="Q29" s="27">
        <v>0</v>
      </c>
      <c r="R29" s="30">
        <v>0</v>
      </c>
      <c r="S29" s="27">
        <v>0</v>
      </c>
      <c r="T29" s="30">
        <v>0</v>
      </c>
      <c r="U29" s="34">
        <v>1</v>
      </c>
      <c r="V29" s="34">
        <v>1</v>
      </c>
      <c r="X29" s="8"/>
      <c r="Y29" s="2" t="s">
        <v>863</v>
      </c>
      <c r="Z29" s="26">
        <v>0</v>
      </c>
      <c r="AA29" s="26">
        <v>0</v>
      </c>
      <c r="AB29" s="26">
        <v>0</v>
      </c>
      <c r="AC29" s="26">
        <v>0</v>
      </c>
      <c r="AD29" s="27">
        <v>0</v>
      </c>
      <c r="AE29" s="30">
        <v>0</v>
      </c>
      <c r="AF29" s="26">
        <v>0</v>
      </c>
      <c r="AG29" s="26">
        <v>0</v>
      </c>
      <c r="AH29" s="32">
        <v>1</v>
      </c>
      <c r="AJ29" s="8"/>
      <c r="AK29" s="2" t="s">
        <v>996</v>
      </c>
      <c r="AL29" s="26">
        <v>0</v>
      </c>
      <c r="AM29" s="26">
        <v>0</v>
      </c>
      <c r="AN29" s="26">
        <v>0</v>
      </c>
      <c r="AO29" s="27">
        <v>0</v>
      </c>
      <c r="AP29" s="30">
        <v>0</v>
      </c>
      <c r="AQ29" s="26">
        <v>0</v>
      </c>
      <c r="AR29" s="26">
        <v>0</v>
      </c>
      <c r="AS29" s="32">
        <v>1</v>
      </c>
      <c r="AT29" s="34">
        <v>1</v>
      </c>
    </row>
    <row r="30" spans="2:54" x14ac:dyDescent="0.3">
      <c r="B30" s="8"/>
      <c r="C30" s="2" t="s">
        <v>978</v>
      </c>
      <c r="D30" s="26">
        <v>0</v>
      </c>
      <c r="E30" s="26">
        <v>0</v>
      </c>
      <c r="F30" s="27">
        <v>0</v>
      </c>
      <c r="G30" s="26">
        <v>0</v>
      </c>
      <c r="H30" s="26">
        <v>0</v>
      </c>
      <c r="I30" s="27">
        <v>0</v>
      </c>
      <c r="J30" s="26">
        <v>0</v>
      </c>
      <c r="K30" s="26">
        <v>0</v>
      </c>
      <c r="L30" s="67">
        <v>1</v>
      </c>
      <c r="N30" s="8"/>
      <c r="O30" s="2" t="s">
        <v>948</v>
      </c>
      <c r="P30" s="26">
        <v>0</v>
      </c>
      <c r="Q30" s="27">
        <v>0</v>
      </c>
      <c r="R30" s="30">
        <v>0</v>
      </c>
      <c r="S30" s="27">
        <v>0</v>
      </c>
      <c r="T30" s="30">
        <v>0</v>
      </c>
      <c r="U30" s="34">
        <v>1</v>
      </c>
      <c r="V30" s="34">
        <v>1</v>
      </c>
      <c r="X30" s="8"/>
      <c r="Y30" s="2"/>
      <c r="Z30" s="26"/>
      <c r="AA30" s="26"/>
      <c r="AB30" s="26"/>
      <c r="AC30" s="26"/>
      <c r="AD30" s="27"/>
      <c r="AE30" s="30"/>
      <c r="AF30" s="26"/>
      <c r="AG30" s="26"/>
      <c r="AH30" s="32"/>
      <c r="AJ30" s="8"/>
      <c r="AK30" s="2" t="s">
        <v>997</v>
      </c>
      <c r="AL30" s="26">
        <v>0</v>
      </c>
      <c r="AM30" s="26">
        <v>0</v>
      </c>
      <c r="AN30" s="26">
        <v>0</v>
      </c>
      <c r="AO30" s="27">
        <v>0</v>
      </c>
      <c r="AP30" s="30">
        <v>0</v>
      </c>
      <c r="AQ30" s="26">
        <v>0</v>
      </c>
      <c r="AR30" s="26">
        <v>0</v>
      </c>
      <c r="AS30" s="32">
        <v>1</v>
      </c>
      <c r="AT30" s="34">
        <v>1</v>
      </c>
    </row>
    <row r="31" spans="2:54" x14ac:dyDescent="0.3">
      <c r="B31" s="8"/>
      <c r="C31" s="2" t="s">
        <v>718</v>
      </c>
      <c r="D31" s="26">
        <v>0</v>
      </c>
      <c r="E31" s="26">
        <v>0</v>
      </c>
      <c r="F31" s="27">
        <v>0</v>
      </c>
      <c r="G31" s="26">
        <v>0</v>
      </c>
      <c r="H31" s="26">
        <v>0</v>
      </c>
      <c r="I31" s="27">
        <v>0</v>
      </c>
      <c r="J31" s="26">
        <v>0</v>
      </c>
      <c r="K31" s="26">
        <v>0</v>
      </c>
      <c r="L31" s="67">
        <v>1</v>
      </c>
      <c r="N31" s="8"/>
      <c r="O31" s="2" t="s">
        <v>654</v>
      </c>
      <c r="P31" s="26">
        <v>0</v>
      </c>
      <c r="Q31" s="27">
        <v>0</v>
      </c>
      <c r="R31" s="30">
        <v>0</v>
      </c>
      <c r="S31" s="27">
        <v>0</v>
      </c>
      <c r="T31" s="30">
        <v>0</v>
      </c>
      <c r="U31" s="34">
        <v>1</v>
      </c>
      <c r="V31" s="34">
        <v>1</v>
      </c>
      <c r="X31" s="8"/>
      <c r="Y31" s="2"/>
      <c r="Z31" s="26"/>
      <c r="AA31" s="26"/>
      <c r="AB31" s="26"/>
      <c r="AC31" s="26"/>
      <c r="AD31" s="27"/>
      <c r="AE31" s="30"/>
      <c r="AF31" s="26"/>
      <c r="AG31" s="26"/>
      <c r="AH31" s="32"/>
      <c r="AJ31" s="8"/>
      <c r="AK31" s="2" t="s">
        <v>998</v>
      </c>
      <c r="AL31" s="26">
        <v>0</v>
      </c>
      <c r="AM31" s="26">
        <v>0</v>
      </c>
      <c r="AN31" s="26">
        <v>0</v>
      </c>
      <c r="AO31" s="27">
        <v>0</v>
      </c>
      <c r="AP31" s="30">
        <v>0</v>
      </c>
      <c r="AQ31" s="26">
        <v>0</v>
      </c>
      <c r="AR31" s="26">
        <v>0</v>
      </c>
      <c r="AS31" s="32">
        <v>1</v>
      </c>
      <c r="AT31" s="34">
        <v>1</v>
      </c>
    </row>
    <row r="32" spans="2:54" x14ac:dyDescent="0.3">
      <c r="B32" s="8"/>
      <c r="C32" s="2" t="s">
        <v>719</v>
      </c>
      <c r="D32" s="26">
        <v>0</v>
      </c>
      <c r="E32" s="26">
        <v>0</v>
      </c>
      <c r="F32" s="27">
        <v>0</v>
      </c>
      <c r="G32" s="26">
        <v>0</v>
      </c>
      <c r="H32" s="26">
        <v>0</v>
      </c>
      <c r="I32" s="27">
        <v>0</v>
      </c>
      <c r="J32" s="26">
        <v>0</v>
      </c>
      <c r="K32" s="26">
        <v>0</v>
      </c>
      <c r="L32" s="67">
        <v>1</v>
      </c>
      <c r="N32" s="8"/>
      <c r="O32" s="2" t="s">
        <v>655</v>
      </c>
      <c r="P32" s="26">
        <v>0</v>
      </c>
      <c r="Q32" s="27">
        <v>0</v>
      </c>
      <c r="R32" s="30">
        <v>0</v>
      </c>
      <c r="S32" s="27">
        <v>0</v>
      </c>
      <c r="T32" s="30">
        <v>0</v>
      </c>
      <c r="U32" s="34">
        <v>1</v>
      </c>
      <c r="V32" s="34">
        <v>1</v>
      </c>
      <c r="X32" s="8"/>
      <c r="Y32" s="2"/>
      <c r="Z32" s="26"/>
      <c r="AA32" s="26"/>
      <c r="AB32" s="26"/>
      <c r="AC32" s="26"/>
      <c r="AD32" s="27"/>
      <c r="AE32" s="30"/>
      <c r="AF32" s="26"/>
      <c r="AG32" s="26"/>
      <c r="AH32" s="32"/>
      <c r="AJ32" s="8"/>
      <c r="AK32" s="2" t="s">
        <v>999</v>
      </c>
      <c r="AL32" s="26">
        <v>0</v>
      </c>
      <c r="AM32" s="26">
        <v>0</v>
      </c>
      <c r="AN32" s="26">
        <v>0</v>
      </c>
      <c r="AO32" s="27">
        <v>0</v>
      </c>
      <c r="AP32" s="30">
        <v>0</v>
      </c>
      <c r="AQ32" s="26">
        <v>0</v>
      </c>
      <c r="AR32" s="26">
        <v>0</v>
      </c>
      <c r="AS32" s="32">
        <v>1</v>
      </c>
      <c r="AT32" s="34">
        <v>1</v>
      </c>
    </row>
    <row r="33" spans="2:46" x14ac:dyDescent="0.3">
      <c r="B33" s="8"/>
      <c r="C33" s="2" t="s">
        <v>720</v>
      </c>
      <c r="D33" s="26">
        <v>0</v>
      </c>
      <c r="E33" s="26">
        <v>0</v>
      </c>
      <c r="F33" s="27">
        <v>0</v>
      </c>
      <c r="G33" s="26">
        <v>0</v>
      </c>
      <c r="H33" s="26">
        <v>0</v>
      </c>
      <c r="I33" s="27">
        <v>0</v>
      </c>
      <c r="J33" s="26">
        <v>0</v>
      </c>
      <c r="K33" s="26">
        <v>0</v>
      </c>
      <c r="L33" s="67">
        <v>1</v>
      </c>
      <c r="N33" s="8"/>
      <c r="O33" s="2" t="s">
        <v>656</v>
      </c>
      <c r="P33" s="26">
        <v>0</v>
      </c>
      <c r="Q33" s="27">
        <v>0</v>
      </c>
      <c r="R33" s="30">
        <v>0</v>
      </c>
      <c r="S33" s="27">
        <v>0</v>
      </c>
      <c r="T33" s="30">
        <v>0</v>
      </c>
      <c r="U33" s="34">
        <v>1</v>
      </c>
      <c r="V33" s="34">
        <v>1</v>
      </c>
      <c r="X33" s="8"/>
      <c r="Y33" s="2"/>
      <c r="Z33" s="26"/>
      <c r="AA33" s="26"/>
      <c r="AB33" s="26"/>
      <c r="AC33" s="26"/>
      <c r="AD33" s="27"/>
      <c r="AE33" s="30"/>
      <c r="AF33" s="26"/>
      <c r="AG33" s="26"/>
      <c r="AH33" s="32"/>
      <c r="AJ33" s="8"/>
      <c r="AK33" s="2" t="s">
        <v>1000</v>
      </c>
      <c r="AL33" s="26">
        <v>0</v>
      </c>
      <c r="AM33" s="26">
        <v>0</v>
      </c>
      <c r="AN33" s="26">
        <v>0</v>
      </c>
      <c r="AO33" s="27">
        <v>0</v>
      </c>
      <c r="AP33" s="30">
        <v>0</v>
      </c>
      <c r="AQ33" s="26">
        <v>0</v>
      </c>
      <c r="AR33" s="26">
        <v>0</v>
      </c>
      <c r="AS33" s="32">
        <v>1</v>
      </c>
      <c r="AT33" s="34">
        <v>1</v>
      </c>
    </row>
    <row r="34" spans="2:46" x14ac:dyDescent="0.3">
      <c r="B34" s="8"/>
      <c r="C34" s="2" t="s">
        <v>721</v>
      </c>
      <c r="D34" s="26">
        <v>0</v>
      </c>
      <c r="E34" s="26">
        <v>0</v>
      </c>
      <c r="F34" s="27">
        <v>0</v>
      </c>
      <c r="G34" s="26">
        <v>0</v>
      </c>
      <c r="H34" s="26">
        <v>0</v>
      </c>
      <c r="I34" s="27">
        <v>0</v>
      </c>
      <c r="J34" s="26">
        <v>0</v>
      </c>
      <c r="K34" s="26">
        <v>0</v>
      </c>
      <c r="L34" s="67">
        <v>1</v>
      </c>
      <c r="N34" s="8"/>
      <c r="O34" s="2" t="s">
        <v>657</v>
      </c>
      <c r="P34" s="26">
        <v>0</v>
      </c>
      <c r="Q34" s="27">
        <v>0</v>
      </c>
      <c r="R34" s="30">
        <v>0</v>
      </c>
      <c r="S34" s="27">
        <v>0</v>
      </c>
      <c r="T34" s="30">
        <v>0</v>
      </c>
      <c r="U34" s="34">
        <v>1</v>
      </c>
      <c r="V34" s="34">
        <v>1</v>
      </c>
      <c r="X34" s="8"/>
      <c r="Y34" s="2"/>
      <c r="Z34" s="26"/>
      <c r="AA34" s="26"/>
      <c r="AB34" s="26"/>
      <c r="AC34" s="26"/>
      <c r="AD34" s="27"/>
      <c r="AE34" s="30"/>
      <c r="AF34" s="26"/>
      <c r="AG34" s="26"/>
      <c r="AH34" s="32"/>
      <c r="AJ34" s="8"/>
      <c r="AK34" s="2" t="s">
        <v>1001</v>
      </c>
      <c r="AL34" s="26">
        <v>0</v>
      </c>
      <c r="AM34" s="26">
        <v>0</v>
      </c>
      <c r="AN34" s="26">
        <v>0</v>
      </c>
      <c r="AO34" s="27">
        <v>0</v>
      </c>
      <c r="AP34" s="30">
        <v>0</v>
      </c>
      <c r="AQ34" s="26">
        <v>0</v>
      </c>
      <c r="AR34" s="26">
        <v>0</v>
      </c>
      <c r="AS34" s="32">
        <v>1</v>
      </c>
      <c r="AT34" s="34">
        <v>1</v>
      </c>
    </row>
    <row r="35" spans="2:46" x14ac:dyDescent="0.3">
      <c r="B35" s="8"/>
      <c r="C35" s="2" t="s">
        <v>979</v>
      </c>
      <c r="D35" s="26">
        <v>0</v>
      </c>
      <c r="E35" s="26">
        <v>0</v>
      </c>
      <c r="F35" s="27">
        <v>0</v>
      </c>
      <c r="G35" s="26">
        <v>0</v>
      </c>
      <c r="H35" s="26">
        <v>0</v>
      </c>
      <c r="I35" s="27">
        <v>0</v>
      </c>
      <c r="J35" s="26">
        <v>0</v>
      </c>
      <c r="K35" s="26">
        <v>0</v>
      </c>
      <c r="L35" s="67">
        <v>1</v>
      </c>
      <c r="N35" s="8"/>
      <c r="O35" s="2" t="s">
        <v>949</v>
      </c>
      <c r="P35" s="26">
        <v>0</v>
      </c>
      <c r="Q35" s="27">
        <v>0</v>
      </c>
      <c r="R35" s="30">
        <v>0</v>
      </c>
      <c r="S35" s="27">
        <v>0</v>
      </c>
      <c r="T35" s="30">
        <v>0</v>
      </c>
      <c r="U35" s="34">
        <v>1</v>
      </c>
      <c r="V35" s="34">
        <v>1</v>
      </c>
      <c r="X35" s="8"/>
      <c r="Y35" s="2"/>
      <c r="Z35" s="26"/>
      <c r="AA35" s="26"/>
      <c r="AB35" s="26"/>
      <c r="AC35" s="26"/>
      <c r="AD35" s="27"/>
      <c r="AE35" s="30"/>
      <c r="AF35" s="26"/>
      <c r="AG35" s="26"/>
      <c r="AH35" s="32"/>
      <c r="AJ35" s="8"/>
      <c r="AK35" s="2" t="s">
        <v>1002</v>
      </c>
      <c r="AL35" s="26">
        <v>0</v>
      </c>
      <c r="AM35" s="26">
        <v>0</v>
      </c>
      <c r="AN35" s="26">
        <v>0</v>
      </c>
      <c r="AO35" s="27">
        <v>0</v>
      </c>
      <c r="AP35" s="30">
        <v>0</v>
      </c>
      <c r="AQ35" s="26">
        <v>0</v>
      </c>
      <c r="AR35" s="26">
        <v>0</v>
      </c>
      <c r="AS35" s="32">
        <v>1</v>
      </c>
      <c r="AT35" s="34">
        <v>1</v>
      </c>
    </row>
    <row r="36" spans="2:46" x14ac:dyDescent="0.3">
      <c r="B36" s="8"/>
      <c r="C36" s="2" t="s">
        <v>772</v>
      </c>
      <c r="D36" s="26">
        <v>0</v>
      </c>
      <c r="E36" s="26">
        <v>0</v>
      </c>
      <c r="F36" s="27">
        <v>0</v>
      </c>
      <c r="G36" s="26">
        <v>0</v>
      </c>
      <c r="H36" s="26">
        <v>0</v>
      </c>
      <c r="I36" s="27">
        <v>0</v>
      </c>
      <c r="J36" s="26">
        <v>0</v>
      </c>
      <c r="K36" s="26">
        <v>0</v>
      </c>
      <c r="L36" s="67">
        <v>1</v>
      </c>
      <c r="N36" s="8"/>
      <c r="O36" s="2" t="s">
        <v>815</v>
      </c>
      <c r="P36" s="26">
        <v>0</v>
      </c>
      <c r="Q36" s="27">
        <v>0</v>
      </c>
      <c r="R36" s="30">
        <v>0</v>
      </c>
      <c r="S36" s="27">
        <v>0</v>
      </c>
      <c r="T36" s="30">
        <v>0</v>
      </c>
      <c r="U36" s="34">
        <v>1</v>
      </c>
      <c r="V36" s="34">
        <v>1</v>
      </c>
      <c r="X36" s="8"/>
      <c r="Y36" s="2"/>
      <c r="Z36" s="26"/>
      <c r="AA36" s="26"/>
      <c r="AB36" s="26"/>
      <c r="AC36" s="26"/>
      <c r="AD36" s="27"/>
      <c r="AE36" s="30"/>
      <c r="AF36" s="26"/>
      <c r="AG36" s="26"/>
      <c r="AH36" s="32"/>
      <c r="AJ36" s="8"/>
      <c r="AK36" s="2" t="s">
        <v>1003</v>
      </c>
      <c r="AL36" s="26">
        <v>0</v>
      </c>
      <c r="AM36" s="26">
        <v>0</v>
      </c>
      <c r="AN36" s="26">
        <v>0</v>
      </c>
      <c r="AO36" s="27">
        <v>0</v>
      </c>
      <c r="AP36" s="30">
        <v>0</v>
      </c>
      <c r="AQ36" s="26">
        <v>0</v>
      </c>
      <c r="AR36" s="26">
        <v>0</v>
      </c>
      <c r="AS36" s="32">
        <v>1</v>
      </c>
      <c r="AT36" s="34">
        <v>1</v>
      </c>
    </row>
    <row r="37" spans="2:46" x14ac:dyDescent="0.3">
      <c r="B37" s="8"/>
      <c r="C37" s="2" t="s">
        <v>773</v>
      </c>
      <c r="D37" s="26">
        <v>0</v>
      </c>
      <c r="E37" s="26">
        <v>0</v>
      </c>
      <c r="F37" s="27">
        <v>0</v>
      </c>
      <c r="G37" s="26">
        <v>0</v>
      </c>
      <c r="H37" s="26">
        <v>0</v>
      </c>
      <c r="I37" s="27">
        <v>0</v>
      </c>
      <c r="J37" s="26">
        <v>0</v>
      </c>
      <c r="K37" s="26">
        <v>0</v>
      </c>
      <c r="L37" s="67">
        <v>1</v>
      </c>
      <c r="N37" s="8"/>
      <c r="O37" s="2" t="s">
        <v>816</v>
      </c>
      <c r="P37" s="26">
        <v>0</v>
      </c>
      <c r="Q37" s="27">
        <v>0</v>
      </c>
      <c r="R37" s="30">
        <v>0</v>
      </c>
      <c r="S37" s="27">
        <v>0</v>
      </c>
      <c r="T37" s="30">
        <v>0</v>
      </c>
      <c r="U37" s="34">
        <v>1</v>
      </c>
      <c r="V37" s="34">
        <v>1</v>
      </c>
      <c r="X37" s="8"/>
      <c r="Y37" s="2"/>
      <c r="Z37" s="26"/>
      <c r="AA37" s="26"/>
      <c r="AB37" s="26"/>
      <c r="AC37" s="26"/>
      <c r="AD37" s="27"/>
      <c r="AE37" s="30"/>
      <c r="AF37" s="26"/>
      <c r="AG37" s="26"/>
      <c r="AH37" s="32"/>
      <c r="AJ37" s="8"/>
      <c r="AK37" s="2" t="s">
        <v>1004</v>
      </c>
      <c r="AL37" s="26">
        <v>0</v>
      </c>
      <c r="AM37" s="26">
        <v>0</v>
      </c>
      <c r="AN37" s="26">
        <v>0</v>
      </c>
      <c r="AO37" s="27">
        <v>0</v>
      </c>
      <c r="AP37" s="30">
        <v>0</v>
      </c>
      <c r="AQ37" s="26">
        <v>0</v>
      </c>
      <c r="AR37" s="26">
        <v>0</v>
      </c>
      <c r="AS37" s="32">
        <v>1</v>
      </c>
      <c r="AT37" s="34">
        <v>1</v>
      </c>
    </row>
    <row r="38" spans="2:46" x14ac:dyDescent="0.3">
      <c r="B38" s="8"/>
      <c r="C38" s="2" t="s">
        <v>722</v>
      </c>
      <c r="D38" s="26">
        <v>0</v>
      </c>
      <c r="E38" s="26">
        <v>0</v>
      </c>
      <c r="F38" s="27">
        <v>0</v>
      </c>
      <c r="G38" s="26">
        <v>0</v>
      </c>
      <c r="H38" s="26">
        <v>0</v>
      </c>
      <c r="I38" s="27">
        <v>0</v>
      </c>
      <c r="J38" s="26">
        <v>0</v>
      </c>
      <c r="K38" s="26">
        <v>0</v>
      </c>
      <c r="L38" s="67">
        <v>1</v>
      </c>
      <c r="N38" s="8"/>
      <c r="O38" s="2" t="s">
        <v>658</v>
      </c>
      <c r="P38" s="26">
        <v>0</v>
      </c>
      <c r="Q38" s="27">
        <v>0</v>
      </c>
      <c r="R38" s="30">
        <v>0</v>
      </c>
      <c r="S38" s="27">
        <v>0</v>
      </c>
      <c r="T38" s="30">
        <v>0</v>
      </c>
      <c r="U38" s="34">
        <v>1</v>
      </c>
      <c r="V38" s="34">
        <v>1</v>
      </c>
      <c r="X38" s="8"/>
      <c r="Y38" s="2"/>
      <c r="Z38" s="26"/>
      <c r="AA38" s="26"/>
      <c r="AB38" s="26"/>
      <c r="AC38" s="26"/>
      <c r="AD38" s="27"/>
      <c r="AE38" s="30"/>
      <c r="AF38" s="26"/>
      <c r="AG38" s="26"/>
      <c r="AH38" s="32"/>
      <c r="AJ38" s="8"/>
      <c r="AK38" s="2"/>
      <c r="AL38" s="26"/>
      <c r="AM38" s="26"/>
      <c r="AN38" s="26"/>
      <c r="AO38" s="27"/>
      <c r="AP38" s="30"/>
      <c r="AQ38" s="26"/>
      <c r="AR38" s="26"/>
      <c r="AS38" s="32"/>
      <c r="AT38" s="34"/>
    </row>
    <row r="39" spans="2:46" x14ac:dyDescent="0.3">
      <c r="B39" s="8"/>
      <c r="C39" s="2" t="s">
        <v>774</v>
      </c>
      <c r="D39" s="26">
        <v>0</v>
      </c>
      <c r="E39" s="26">
        <v>0</v>
      </c>
      <c r="F39" s="27">
        <v>0</v>
      </c>
      <c r="G39" s="26">
        <v>0</v>
      </c>
      <c r="H39" s="26">
        <v>0</v>
      </c>
      <c r="I39" s="27">
        <v>0</v>
      </c>
      <c r="J39" s="26">
        <v>0</v>
      </c>
      <c r="K39" s="26">
        <v>0</v>
      </c>
      <c r="L39" s="67">
        <v>1</v>
      </c>
      <c r="N39" s="8"/>
      <c r="O39" s="2" t="s">
        <v>817</v>
      </c>
      <c r="P39" s="26">
        <v>0</v>
      </c>
      <c r="Q39" s="27">
        <v>0</v>
      </c>
      <c r="R39" s="30">
        <v>0</v>
      </c>
      <c r="S39" s="27">
        <v>0</v>
      </c>
      <c r="T39" s="30">
        <v>0</v>
      </c>
      <c r="U39" s="34">
        <v>1</v>
      </c>
      <c r="V39" s="34">
        <v>1</v>
      </c>
      <c r="X39" s="8"/>
      <c r="Y39" s="2"/>
      <c r="Z39" s="26"/>
      <c r="AA39" s="26"/>
      <c r="AB39" s="26"/>
      <c r="AC39" s="26"/>
      <c r="AD39" s="27"/>
      <c r="AE39" s="30"/>
      <c r="AF39" s="26"/>
      <c r="AG39" s="26"/>
      <c r="AH39" s="32"/>
      <c r="AJ39" s="8"/>
      <c r="AK39" s="2"/>
      <c r="AL39" s="26"/>
      <c r="AM39" s="26"/>
      <c r="AN39" s="26"/>
      <c r="AO39" s="27"/>
      <c r="AP39" s="30"/>
      <c r="AQ39" s="26"/>
      <c r="AR39" s="26"/>
      <c r="AS39" s="32"/>
      <c r="AT39" s="34"/>
    </row>
    <row r="40" spans="2:46" x14ac:dyDescent="0.3">
      <c r="B40" s="8"/>
      <c r="C40" s="2" t="s">
        <v>723</v>
      </c>
      <c r="D40" s="26">
        <v>0</v>
      </c>
      <c r="E40" s="26">
        <v>0</v>
      </c>
      <c r="F40" s="27">
        <v>0</v>
      </c>
      <c r="G40" s="26">
        <v>0</v>
      </c>
      <c r="H40" s="26">
        <v>0</v>
      </c>
      <c r="I40" s="27">
        <v>0</v>
      </c>
      <c r="J40" s="26">
        <v>0</v>
      </c>
      <c r="K40" s="26">
        <v>0</v>
      </c>
      <c r="L40" s="67">
        <v>1</v>
      </c>
      <c r="N40" s="8"/>
      <c r="O40" s="2" t="s">
        <v>659</v>
      </c>
      <c r="P40" s="26">
        <v>0</v>
      </c>
      <c r="Q40" s="27">
        <v>0</v>
      </c>
      <c r="R40" s="30">
        <v>0</v>
      </c>
      <c r="S40" s="27">
        <v>0</v>
      </c>
      <c r="T40" s="30">
        <v>0</v>
      </c>
      <c r="U40" s="34">
        <v>1</v>
      </c>
      <c r="V40" s="34">
        <v>1</v>
      </c>
      <c r="X40" s="8"/>
      <c r="Y40" s="2"/>
      <c r="Z40" s="26"/>
      <c r="AA40" s="26"/>
      <c r="AB40" s="26"/>
      <c r="AC40" s="26"/>
      <c r="AD40" s="27"/>
      <c r="AE40" s="30"/>
      <c r="AF40" s="26"/>
      <c r="AG40" s="26"/>
      <c r="AH40" s="32"/>
      <c r="AJ40" s="8"/>
      <c r="AK40" s="2"/>
      <c r="AL40" s="26"/>
      <c r="AM40" s="26"/>
      <c r="AN40" s="26"/>
      <c r="AO40" s="27"/>
      <c r="AP40" s="30"/>
      <c r="AQ40" s="26"/>
      <c r="AR40" s="26"/>
      <c r="AS40" s="32"/>
      <c r="AT40" s="34"/>
    </row>
    <row r="41" spans="2:46" x14ac:dyDescent="0.3">
      <c r="B41" s="8"/>
      <c r="C41" s="2" t="s">
        <v>775</v>
      </c>
      <c r="D41" s="26">
        <v>0</v>
      </c>
      <c r="E41" s="26">
        <v>0</v>
      </c>
      <c r="F41" s="27">
        <v>0</v>
      </c>
      <c r="G41" s="26">
        <v>0</v>
      </c>
      <c r="H41" s="26">
        <v>0</v>
      </c>
      <c r="I41" s="27">
        <v>0</v>
      </c>
      <c r="J41" s="26">
        <v>0</v>
      </c>
      <c r="K41" s="26">
        <v>0</v>
      </c>
      <c r="L41" s="67">
        <v>1</v>
      </c>
      <c r="N41" s="8"/>
      <c r="O41" s="2" t="s">
        <v>818</v>
      </c>
      <c r="P41" s="26">
        <v>0</v>
      </c>
      <c r="Q41" s="27">
        <v>0</v>
      </c>
      <c r="R41" s="30">
        <v>0</v>
      </c>
      <c r="S41" s="27">
        <v>0</v>
      </c>
      <c r="T41" s="30">
        <v>0</v>
      </c>
      <c r="U41" s="34">
        <v>1</v>
      </c>
      <c r="V41" s="34">
        <v>1</v>
      </c>
      <c r="X41" s="8"/>
      <c r="Y41" s="2"/>
      <c r="Z41" s="26"/>
      <c r="AA41" s="26"/>
      <c r="AB41" s="26"/>
      <c r="AC41" s="26"/>
      <c r="AD41" s="27"/>
      <c r="AE41" s="30"/>
      <c r="AF41" s="26"/>
      <c r="AG41" s="26"/>
      <c r="AH41" s="32"/>
      <c r="AJ41" s="8"/>
      <c r="AK41" s="2"/>
      <c r="AL41" s="26"/>
      <c r="AM41" s="26"/>
      <c r="AN41" s="26"/>
      <c r="AO41" s="27"/>
      <c r="AP41" s="30"/>
      <c r="AQ41" s="26"/>
      <c r="AR41" s="26"/>
      <c r="AS41" s="32"/>
      <c r="AT41" s="34"/>
    </row>
    <row r="42" spans="2:46" x14ac:dyDescent="0.3">
      <c r="B42" s="8"/>
      <c r="C42" s="2" t="s">
        <v>776</v>
      </c>
      <c r="D42" s="26">
        <v>0</v>
      </c>
      <c r="E42" s="26">
        <v>0</v>
      </c>
      <c r="F42" s="27">
        <v>0</v>
      </c>
      <c r="G42" s="26">
        <v>0</v>
      </c>
      <c r="H42" s="26">
        <v>0</v>
      </c>
      <c r="I42" s="27">
        <v>0</v>
      </c>
      <c r="J42" s="26">
        <v>0</v>
      </c>
      <c r="K42" s="26">
        <v>0</v>
      </c>
      <c r="L42" s="67">
        <v>1</v>
      </c>
      <c r="N42" s="8"/>
      <c r="O42" s="2" t="s">
        <v>819</v>
      </c>
      <c r="P42" s="26">
        <v>0</v>
      </c>
      <c r="Q42" s="27">
        <v>0</v>
      </c>
      <c r="R42" s="30">
        <v>0</v>
      </c>
      <c r="S42" s="27">
        <v>0</v>
      </c>
      <c r="T42" s="30">
        <v>0</v>
      </c>
      <c r="U42" s="34">
        <v>1</v>
      </c>
      <c r="V42" s="34">
        <v>1</v>
      </c>
      <c r="X42" s="8"/>
      <c r="Y42" s="2"/>
      <c r="Z42" s="26"/>
      <c r="AA42" s="26"/>
      <c r="AB42" s="26"/>
      <c r="AC42" s="26"/>
      <c r="AD42" s="27"/>
      <c r="AE42" s="30"/>
      <c r="AF42" s="26"/>
      <c r="AG42" s="26"/>
      <c r="AH42" s="32"/>
      <c r="AJ42" s="8"/>
      <c r="AK42" s="2"/>
      <c r="AL42" s="26"/>
      <c r="AM42" s="26"/>
      <c r="AN42" s="26"/>
      <c r="AO42" s="27"/>
      <c r="AP42" s="30"/>
      <c r="AQ42" s="26"/>
      <c r="AR42" s="26"/>
      <c r="AS42" s="32"/>
      <c r="AT42" s="34"/>
    </row>
    <row r="43" spans="2:46" x14ac:dyDescent="0.3">
      <c r="B43" s="8"/>
      <c r="C43" s="2" t="s">
        <v>777</v>
      </c>
      <c r="D43" s="26">
        <v>0</v>
      </c>
      <c r="E43" s="26">
        <v>0</v>
      </c>
      <c r="F43" s="27">
        <v>0</v>
      </c>
      <c r="G43" s="26">
        <v>0</v>
      </c>
      <c r="H43" s="26">
        <v>0</v>
      </c>
      <c r="I43" s="27">
        <v>0</v>
      </c>
      <c r="J43" s="26">
        <v>0</v>
      </c>
      <c r="K43" s="26">
        <v>0</v>
      </c>
      <c r="L43" s="67">
        <v>1</v>
      </c>
      <c r="N43" s="8"/>
      <c r="O43" s="2" t="s">
        <v>820</v>
      </c>
      <c r="P43" s="26">
        <v>0</v>
      </c>
      <c r="Q43" s="27">
        <v>0</v>
      </c>
      <c r="R43" s="30">
        <v>0</v>
      </c>
      <c r="S43" s="27">
        <v>0</v>
      </c>
      <c r="T43" s="30">
        <v>0</v>
      </c>
      <c r="U43" s="34">
        <v>1</v>
      </c>
      <c r="V43" s="34">
        <v>1</v>
      </c>
      <c r="X43" s="8"/>
      <c r="Y43" s="2"/>
      <c r="Z43" s="26"/>
      <c r="AA43" s="26"/>
      <c r="AB43" s="26"/>
      <c r="AC43" s="26"/>
      <c r="AD43" s="27"/>
      <c r="AE43" s="30"/>
      <c r="AF43" s="26"/>
      <c r="AG43" s="26"/>
      <c r="AH43" s="32"/>
      <c r="AJ43" s="8"/>
      <c r="AK43" s="2"/>
      <c r="AL43" s="26"/>
      <c r="AM43" s="26"/>
      <c r="AN43" s="26"/>
      <c r="AO43" s="27"/>
      <c r="AP43" s="30"/>
      <c r="AQ43" s="26"/>
      <c r="AR43" s="26"/>
      <c r="AS43" s="32"/>
      <c r="AT43" s="34"/>
    </row>
    <row r="44" spans="2:46" x14ac:dyDescent="0.3">
      <c r="B44" s="8"/>
      <c r="C44" s="2" t="s">
        <v>724</v>
      </c>
      <c r="D44" s="26">
        <v>0</v>
      </c>
      <c r="E44" s="26">
        <v>0</v>
      </c>
      <c r="F44" s="27">
        <v>0</v>
      </c>
      <c r="G44" s="26">
        <v>0</v>
      </c>
      <c r="H44" s="26">
        <v>0</v>
      </c>
      <c r="I44" s="27">
        <v>0</v>
      </c>
      <c r="J44" s="26">
        <v>0</v>
      </c>
      <c r="K44" s="26">
        <v>0</v>
      </c>
      <c r="L44" s="67">
        <v>1</v>
      </c>
      <c r="N44" s="8"/>
      <c r="O44" s="2" t="s">
        <v>660</v>
      </c>
      <c r="P44" s="26">
        <v>0</v>
      </c>
      <c r="Q44" s="27">
        <v>0</v>
      </c>
      <c r="R44" s="30">
        <v>0</v>
      </c>
      <c r="S44" s="27">
        <v>0</v>
      </c>
      <c r="T44" s="30">
        <v>0</v>
      </c>
      <c r="U44" s="34">
        <v>1</v>
      </c>
      <c r="V44" s="34">
        <v>1</v>
      </c>
      <c r="X44" s="8"/>
      <c r="Y44" s="2"/>
      <c r="Z44" s="26"/>
      <c r="AA44" s="26"/>
      <c r="AB44" s="26"/>
      <c r="AC44" s="26"/>
      <c r="AD44" s="27"/>
      <c r="AE44" s="30"/>
      <c r="AF44" s="26"/>
      <c r="AG44" s="26"/>
      <c r="AH44" s="32"/>
      <c r="AJ44" s="8"/>
      <c r="AK44" s="2"/>
      <c r="AL44" s="26"/>
      <c r="AM44" s="26"/>
      <c r="AN44" s="26"/>
      <c r="AO44" s="27"/>
      <c r="AP44" s="30"/>
      <c r="AQ44" s="26"/>
      <c r="AR44" s="26"/>
      <c r="AS44" s="32"/>
      <c r="AT44" s="34"/>
    </row>
    <row r="45" spans="2:46" x14ac:dyDescent="0.3">
      <c r="B45" s="8"/>
      <c r="C45" s="2" t="s">
        <v>725</v>
      </c>
      <c r="D45" s="26">
        <v>0</v>
      </c>
      <c r="E45" s="26">
        <v>0</v>
      </c>
      <c r="F45" s="27">
        <v>0</v>
      </c>
      <c r="G45" s="26">
        <v>0</v>
      </c>
      <c r="H45" s="26">
        <v>0</v>
      </c>
      <c r="I45" s="27">
        <v>0</v>
      </c>
      <c r="J45" s="26">
        <v>0</v>
      </c>
      <c r="K45" s="26">
        <v>0</v>
      </c>
      <c r="L45" s="67">
        <v>1</v>
      </c>
      <c r="N45" s="8"/>
      <c r="O45" s="2" t="s">
        <v>661</v>
      </c>
      <c r="P45" s="26">
        <v>0</v>
      </c>
      <c r="Q45" s="27">
        <v>0</v>
      </c>
      <c r="R45" s="30">
        <v>0</v>
      </c>
      <c r="S45" s="27">
        <v>0</v>
      </c>
      <c r="T45" s="30">
        <v>0</v>
      </c>
      <c r="U45" s="34">
        <v>1</v>
      </c>
      <c r="V45" s="34">
        <v>1</v>
      </c>
      <c r="X45" s="8"/>
      <c r="Y45" s="2"/>
      <c r="Z45" s="26"/>
      <c r="AA45" s="26"/>
      <c r="AB45" s="26"/>
      <c r="AC45" s="26"/>
      <c r="AD45" s="27"/>
      <c r="AE45" s="30"/>
      <c r="AF45" s="26"/>
      <c r="AG45" s="26"/>
      <c r="AH45" s="32"/>
      <c r="AJ45" s="8"/>
      <c r="AK45" s="2"/>
      <c r="AL45" s="26"/>
      <c r="AM45" s="26"/>
      <c r="AN45" s="26"/>
      <c r="AO45" s="27"/>
      <c r="AP45" s="30"/>
      <c r="AQ45" s="26"/>
      <c r="AR45" s="26"/>
      <c r="AS45" s="32"/>
      <c r="AT45" s="34"/>
    </row>
    <row r="46" spans="2:46" x14ac:dyDescent="0.3">
      <c r="B46" s="8"/>
      <c r="C46" s="2" t="s">
        <v>778</v>
      </c>
      <c r="D46" s="26">
        <v>0</v>
      </c>
      <c r="E46" s="26">
        <v>0</v>
      </c>
      <c r="F46" s="27">
        <v>0</v>
      </c>
      <c r="G46" s="26">
        <v>0</v>
      </c>
      <c r="H46" s="26">
        <v>0</v>
      </c>
      <c r="I46" s="27">
        <v>0</v>
      </c>
      <c r="J46" s="26">
        <v>0</v>
      </c>
      <c r="K46" s="26">
        <v>0</v>
      </c>
      <c r="L46" s="67">
        <v>1</v>
      </c>
      <c r="N46" s="8"/>
      <c r="O46" s="2" t="s">
        <v>821</v>
      </c>
      <c r="P46" s="26">
        <v>0</v>
      </c>
      <c r="Q46" s="27">
        <v>0</v>
      </c>
      <c r="R46" s="30">
        <v>0</v>
      </c>
      <c r="S46" s="27">
        <v>0</v>
      </c>
      <c r="T46" s="30">
        <v>0</v>
      </c>
      <c r="U46" s="34">
        <v>1</v>
      </c>
      <c r="V46" s="34">
        <v>1</v>
      </c>
      <c r="X46" s="8"/>
      <c r="Y46" s="2"/>
      <c r="Z46" s="26"/>
      <c r="AA46" s="26"/>
      <c r="AB46" s="26"/>
      <c r="AC46" s="26"/>
      <c r="AD46" s="27"/>
      <c r="AE46" s="30"/>
      <c r="AF46" s="26"/>
      <c r="AG46" s="26"/>
      <c r="AH46" s="32"/>
      <c r="AJ46" s="8"/>
      <c r="AK46" s="2"/>
      <c r="AL46" s="26"/>
      <c r="AM46" s="26"/>
      <c r="AN46" s="26"/>
      <c r="AO46" s="27"/>
      <c r="AP46" s="30"/>
      <c r="AQ46" s="26"/>
      <c r="AR46" s="26"/>
      <c r="AS46" s="32"/>
      <c r="AT46" s="34"/>
    </row>
    <row r="47" spans="2:46" x14ac:dyDescent="0.3">
      <c r="B47" s="8"/>
      <c r="C47" s="2" t="s">
        <v>726</v>
      </c>
      <c r="D47" s="26">
        <v>0</v>
      </c>
      <c r="E47" s="26">
        <v>0</v>
      </c>
      <c r="F47" s="27">
        <v>0</v>
      </c>
      <c r="G47" s="26">
        <v>0</v>
      </c>
      <c r="H47" s="26">
        <v>0</v>
      </c>
      <c r="I47" s="27">
        <v>0</v>
      </c>
      <c r="J47" s="26">
        <v>0</v>
      </c>
      <c r="K47" s="26">
        <v>0</v>
      </c>
      <c r="L47" s="67">
        <v>1</v>
      </c>
      <c r="N47" s="8"/>
      <c r="O47" s="2" t="s">
        <v>662</v>
      </c>
      <c r="P47" s="26">
        <v>0</v>
      </c>
      <c r="Q47" s="27">
        <v>0</v>
      </c>
      <c r="R47" s="30">
        <v>0</v>
      </c>
      <c r="S47" s="27">
        <v>0</v>
      </c>
      <c r="T47" s="30">
        <v>0</v>
      </c>
      <c r="U47" s="34">
        <v>1</v>
      </c>
      <c r="V47" s="34">
        <v>1</v>
      </c>
      <c r="X47" s="8"/>
      <c r="Y47" s="2"/>
      <c r="Z47" s="26"/>
      <c r="AA47" s="26"/>
      <c r="AB47" s="26"/>
      <c r="AC47" s="26"/>
      <c r="AD47" s="27"/>
      <c r="AE47" s="30"/>
      <c r="AF47" s="26"/>
      <c r="AG47" s="26"/>
      <c r="AH47" s="32"/>
      <c r="AJ47" s="8"/>
      <c r="AK47" s="2"/>
      <c r="AL47" s="26"/>
      <c r="AM47" s="26"/>
      <c r="AN47" s="26"/>
      <c r="AO47" s="27"/>
      <c r="AP47" s="30"/>
      <c r="AQ47" s="26"/>
      <c r="AR47" s="26"/>
      <c r="AS47" s="32"/>
      <c r="AT47" s="34"/>
    </row>
    <row r="48" spans="2:46" x14ac:dyDescent="0.3">
      <c r="B48" s="8"/>
      <c r="C48" s="2" t="s">
        <v>779</v>
      </c>
      <c r="D48" s="26">
        <v>0</v>
      </c>
      <c r="E48" s="26">
        <v>0</v>
      </c>
      <c r="F48" s="27">
        <v>0</v>
      </c>
      <c r="G48" s="26">
        <v>0</v>
      </c>
      <c r="H48" s="26">
        <v>0</v>
      </c>
      <c r="I48" s="27">
        <v>0</v>
      </c>
      <c r="J48" s="26">
        <v>0</v>
      </c>
      <c r="K48" s="26">
        <v>0</v>
      </c>
      <c r="L48" s="67">
        <v>1</v>
      </c>
      <c r="N48" s="8"/>
      <c r="O48" s="2" t="s">
        <v>822</v>
      </c>
      <c r="P48" s="26">
        <v>0</v>
      </c>
      <c r="Q48" s="27">
        <v>0</v>
      </c>
      <c r="R48" s="30">
        <v>0</v>
      </c>
      <c r="S48" s="27">
        <v>0</v>
      </c>
      <c r="T48" s="30">
        <v>0</v>
      </c>
      <c r="U48" s="34">
        <v>1</v>
      </c>
      <c r="V48" s="34">
        <v>1</v>
      </c>
      <c r="X48" s="8"/>
      <c r="Y48" s="2"/>
      <c r="Z48" s="26"/>
      <c r="AA48" s="26"/>
      <c r="AB48" s="26"/>
      <c r="AC48" s="26"/>
      <c r="AD48" s="27"/>
      <c r="AE48" s="30"/>
      <c r="AF48" s="26"/>
      <c r="AG48" s="26"/>
      <c r="AH48" s="32"/>
      <c r="AJ48" s="8"/>
      <c r="AK48" s="2"/>
      <c r="AL48" s="26"/>
      <c r="AM48" s="26"/>
      <c r="AN48" s="26"/>
      <c r="AO48" s="27"/>
      <c r="AP48" s="30"/>
      <c r="AQ48" s="26"/>
      <c r="AR48" s="26"/>
      <c r="AS48" s="32"/>
      <c r="AT48" s="34"/>
    </row>
    <row r="49" spans="2:46" x14ac:dyDescent="0.3">
      <c r="B49" s="8"/>
      <c r="C49" s="2" t="s">
        <v>780</v>
      </c>
      <c r="D49" s="26">
        <v>0</v>
      </c>
      <c r="E49" s="26">
        <v>0</v>
      </c>
      <c r="F49" s="27">
        <v>0</v>
      </c>
      <c r="G49" s="26">
        <v>0</v>
      </c>
      <c r="H49" s="26">
        <v>0</v>
      </c>
      <c r="I49" s="27">
        <v>0</v>
      </c>
      <c r="J49" s="26">
        <v>0</v>
      </c>
      <c r="K49" s="26">
        <v>0</v>
      </c>
      <c r="L49" s="67">
        <v>1</v>
      </c>
      <c r="N49" s="8"/>
      <c r="O49" s="2" t="s">
        <v>823</v>
      </c>
      <c r="P49" s="26">
        <v>0</v>
      </c>
      <c r="Q49" s="27">
        <v>0</v>
      </c>
      <c r="R49" s="30">
        <v>0</v>
      </c>
      <c r="S49" s="27">
        <v>0</v>
      </c>
      <c r="T49" s="30">
        <v>0</v>
      </c>
      <c r="U49" s="34">
        <v>1</v>
      </c>
      <c r="V49" s="34">
        <v>1</v>
      </c>
      <c r="X49" s="8"/>
      <c r="Y49" s="2"/>
      <c r="Z49" s="26"/>
      <c r="AA49" s="26"/>
      <c r="AB49" s="26"/>
      <c r="AC49" s="26"/>
      <c r="AD49" s="27"/>
      <c r="AE49" s="30"/>
      <c r="AF49" s="26"/>
      <c r="AG49" s="26"/>
      <c r="AH49" s="32"/>
      <c r="AJ49" s="8"/>
      <c r="AK49" s="2"/>
      <c r="AL49" s="26"/>
      <c r="AM49" s="26"/>
      <c r="AN49" s="26"/>
      <c r="AO49" s="27"/>
      <c r="AP49" s="30"/>
      <c r="AQ49" s="26"/>
      <c r="AR49" s="26"/>
      <c r="AS49" s="32"/>
      <c r="AT49" s="34"/>
    </row>
    <row r="50" spans="2:46" x14ac:dyDescent="0.3">
      <c r="B50" s="8"/>
      <c r="C50" s="2" t="s">
        <v>727</v>
      </c>
      <c r="D50" s="26">
        <v>0</v>
      </c>
      <c r="E50" s="26">
        <v>0</v>
      </c>
      <c r="F50" s="27">
        <v>0</v>
      </c>
      <c r="G50" s="26">
        <v>0</v>
      </c>
      <c r="H50" s="26">
        <v>0</v>
      </c>
      <c r="I50" s="27">
        <v>0</v>
      </c>
      <c r="J50" s="26">
        <v>0</v>
      </c>
      <c r="K50" s="26">
        <v>0</v>
      </c>
      <c r="L50" s="67">
        <v>1</v>
      </c>
      <c r="N50" s="8"/>
      <c r="O50" s="2" t="s">
        <v>663</v>
      </c>
      <c r="P50" s="26">
        <v>0</v>
      </c>
      <c r="Q50" s="27">
        <v>0</v>
      </c>
      <c r="R50" s="30">
        <v>0</v>
      </c>
      <c r="S50" s="27">
        <v>0</v>
      </c>
      <c r="T50" s="30">
        <v>0</v>
      </c>
      <c r="U50" s="34">
        <v>1</v>
      </c>
      <c r="V50" s="34">
        <v>1</v>
      </c>
      <c r="X50" s="8"/>
      <c r="Y50" s="2"/>
      <c r="Z50" s="26"/>
      <c r="AA50" s="26"/>
      <c r="AB50" s="26"/>
      <c r="AC50" s="26"/>
      <c r="AD50" s="27"/>
      <c r="AE50" s="30"/>
      <c r="AF50" s="26"/>
      <c r="AG50" s="26"/>
      <c r="AH50" s="32"/>
      <c r="AJ50" s="8"/>
      <c r="AK50" s="2"/>
      <c r="AL50" s="26"/>
      <c r="AM50" s="26"/>
      <c r="AN50" s="26"/>
      <c r="AO50" s="27"/>
      <c r="AP50" s="30"/>
      <c r="AQ50" s="26"/>
      <c r="AR50" s="26"/>
      <c r="AS50" s="32"/>
      <c r="AT50" s="34"/>
    </row>
    <row r="51" spans="2:46" x14ac:dyDescent="0.3">
      <c r="B51" s="8"/>
      <c r="C51" s="2" t="s">
        <v>728</v>
      </c>
      <c r="D51" s="26">
        <v>0</v>
      </c>
      <c r="E51" s="26">
        <v>0</v>
      </c>
      <c r="F51" s="27">
        <v>0</v>
      </c>
      <c r="G51" s="26">
        <v>0</v>
      </c>
      <c r="H51" s="26">
        <v>0</v>
      </c>
      <c r="I51" s="27">
        <v>0</v>
      </c>
      <c r="J51" s="26">
        <v>0</v>
      </c>
      <c r="K51" s="26">
        <v>0</v>
      </c>
      <c r="L51" s="67">
        <v>1</v>
      </c>
      <c r="N51" s="8"/>
      <c r="O51" s="2" t="s">
        <v>664</v>
      </c>
      <c r="P51" s="26">
        <v>0</v>
      </c>
      <c r="Q51" s="27">
        <v>0</v>
      </c>
      <c r="R51" s="30">
        <v>0</v>
      </c>
      <c r="S51" s="27">
        <v>0</v>
      </c>
      <c r="T51" s="30">
        <v>0</v>
      </c>
      <c r="U51" s="34">
        <v>1</v>
      </c>
      <c r="V51" s="34">
        <v>1</v>
      </c>
      <c r="X51" s="8"/>
      <c r="Y51" s="2"/>
      <c r="Z51" s="26"/>
      <c r="AA51" s="26"/>
      <c r="AB51" s="26"/>
      <c r="AC51" s="26"/>
      <c r="AD51" s="27"/>
      <c r="AE51" s="30"/>
      <c r="AF51" s="26"/>
      <c r="AG51" s="26"/>
      <c r="AH51" s="32"/>
      <c r="AJ51" s="8"/>
      <c r="AK51" s="2"/>
      <c r="AL51" s="26"/>
      <c r="AM51" s="26"/>
      <c r="AN51" s="26"/>
      <c r="AO51" s="27"/>
      <c r="AP51" s="30"/>
      <c r="AQ51" s="26"/>
      <c r="AR51" s="26"/>
      <c r="AS51" s="32"/>
      <c r="AT51" s="34"/>
    </row>
    <row r="52" spans="2:46" x14ac:dyDescent="0.3">
      <c r="B52" s="8"/>
      <c r="C52" s="2" t="s">
        <v>781</v>
      </c>
      <c r="D52" s="26">
        <v>0</v>
      </c>
      <c r="E52" s="26">
        <v>0</v>
      </c>
      <c r="F52" s="27">
        <v>0</v>
      </c>
      <c r="G52" s="26">
        <v>0</v>
      </c>
      <c r="H52" s="26">
        <v>0</v>
      </c>
      <c r="I52" s="27">
        <v>0</v>
      </c>
      <c r="J52" s="26">
        <v>0</v>
      </c>
      <c r="K52" s="26">
        <v>0</v>
      </c>
      <c r="L52" s="67">
        <v>1</v>
      </c>
      <c r="N52" s="8"/>
      <c r="O52" s="2" t="s">
        <v>824</v>
      </c>
      <c r="P52" s="26">
        <v>0</v>
      </c>
      <c r="Q52" s="27">
        <v>0</v>
      </c>
      <c r="R52" s="30">
        <v>0</v>
      </c>
      <c r="S52" s="27">
        <v>0</v>
      </c>
      <c r="T52" s="30">
        <v>0</v>
      </c>
      <c r="U52" s="34">
        <v>1</v>
      </c>
      <c r="V52" s="34">
        <v>1</v>
      </c>
      <c r="X52" s="8"/>
      <c r="Y52" s="2"/>
      <c r="Z52" s="26"/>
      <c r="AA52" s="26"/>
      <c r="AB52" s="26"/>
      <c r="AC52" s="26"/>
      <c r="AD52" s="27"/>
      <c r="AE52" s="30"/>
      <c r="AF52" s="26"/>
      <c r="AG52" s="26"/>
      <c r="AH52" s="32"/>
      <c r="AJ52" s="8"/>
      <c r="AK52" s="2"/>
      <c r="AL52" s="26"/>
      <c r="AM52" s="26"/>
      <c r="AN52" s="26"/>
      <c r="AO52" s="27"/>
      <c r="AP52" s="30"/>
      <c r="AQ52" s="26"/>
      <c r="AR52" s="26"/>
      <c r="AS52" s="32"/>
      <c r="AT52" s="34"/>
    </row>
    <row r="53" spans="2:46" x14ac:dyDescent="0.3">
      <c r="B53" s="8"/>
      <c r="C53" s="2" t="s">
        <v>729</v>
      </c>
      <c r="D53" s="26">
        <v>0</v>
      </c>
      <c r="E53" s="26">
        <v>0</v>
      </c>
      <c r="F53" s="27">
        <v>0</v>
      </c>
      <c r="G53" s="26">
        <v>0</v>
      </c>
      <c r="H53" s="26">
        <v>0</v>
      </c>
      <c r="I53" s="27">
        <v>0</v>
      </c>
      <c r="J53" s="26">
        <v>0</v>
      </c>
      <c r="K53" s="26">
        <v>0</v>
      </c>
      <c r="L53" s="67">
        <v>1</v>
      </c>
      <c r="N53" s="8"/>
      <c r="O53" s="2" t="s">
        <v>665</v>
      </c>
      <c r="P53" s="26">
        <v>0</v>
      </c>
      <c r="Q53" s="27">
        <v>0</v>
      </c>
      <c r="R53" s="30">
        <v>0</v>
      </c>
      <c r="S53" s="27">
        <v>0</v>
      </c>
      <c r="T53" s="30">
        <v>0</v>
      </c>
      <c r="U53" s="34">
        <v>1</v>
      </c>
      <c r="V53" s="34">
        <v>1</v>
      </c>
      <c r="X53" s="8"/>
      <c r="Y53" s="2"/>
      <c r="Z53" s="26"/>
      <c r="AA53" s="26"/>
      <c r="AB53" s="26"/>
      <c r="AC53" s="26"/>
      <c r="AD53" s="27"/>
      <c r="AE53" s="30"/>
      <c r="AF53" s="26"/>
      <c r="AG53" s="26"/>
      <c r="AH53" s="32"/>
      <c r="AJ53" s="8"/>
      <c r="AK53" s="2"/>
      <c r="AL53" s="26"/>
      <c r="AM53" s="26"/>
      <c r="AN53" s="26"/>
      <c r="AO53" s="27"/>
      <c r="AP53" s="30"/>
      <c r="AQ53" s="26"/>
      <c r="AR53" s="26"/>
      <c r="AS53" s="32"/>
      <c r="AT53" s="34"/>
    </row>
    <row r="54" spans="2:46" x14ac:dyDescent="0.3">
      <c r="B54" s="8"/>
      <c r="C54" s="2" t="s">
        <v>782</v>
      </c>
      <c r="D54" s="26">
        <v>0</v>
      </c>
      <c r="E54" s="26">
        <v>0</v>
      </c>
      <c r="F54" s="27">
        <v>0</v>
      </c>
      <c r="G54" s="26">
        <v>0</v>
      </c>
      <c r="H54" s="26">
        <v>0</v>
      </c>
      <c r="I54" s="27">
        <v>0</v>
      </c>
      <c r="J54" s="26">
        <v>0</v>
      </c>
      <c r="K54" s="26">
        <v>0</v>
      </c>
      <c r="L54" s="67">
        <v>1</v>
      </c>
      <c r="N54" s="8"/>
      <c r="O54" s="2" t="s">
        <v>825</v>
      </c>
      <c r="P54" s="26">
        <v>0</v>
      </c>
      <c r="Q54" s="27">
        <v>0</v>
      </c>
      <c r="R54" s="30">
        <v>0</v>
      </c>
      <c r="S54" s="27">
        <v>0</v>
      </c>
      <c r="T54" s="30">
        <v>0</v>
      </c>
      <c r="U54" s="34">
        <v>1</v>
      </c>
      <c r="V54" s="34">
        <v>1</v>
      </c>
      <c r="X54" s="8"/>
      <c r="Y54" s="2"/>
      <c r="Z54" s="26"/>
      <c r="AA54" s="26"/>
      <c r="AB54" s="26"/>
      <c r="AC54" s="26"/>
      <c r="AD54" s="27"/>
      <c r="AE54" s="30"/>
      <c r="AF54" s="26"/>
      <c r="AG54" s="26"/>
      <c r="AH54" s="32"/>
      <c r="AJ54" s="8"/>
      <c r="AK54" s="2"/>
      <c r="AL54" s="26"/>
      <c r="AM54" s="26"/>
      <c r="AN54" s="26"/>
      <c r="AO54" s="27"/>
      <c r="AP54" s="30"/>
      <c r="AQ54" s="26"/>
      <c r="AR54" s="26"/>
      <c r="AS54" s="32"/>
      <c r="AT54" s="34"/>
    </row>
    <row r="55" spans="2:46" x14ac:dyDescent="0.3">
      <c r="B55" s="8"/>
      <c r="C55" s="2" t="s">
        <v>783</v>
      </c>
      <c r="D55" s="26">
        <v>0</v>
      </c>
      <c r="E55" s="26">
        <v>0</v>
      </c>
      <c r="F55" s="27">
        <v>0</v>
      </c>
      <c r="G55" s="26">
        <v>0</v>
      </c>
      <c r="H55" s="26">
        <v>0</v>
      </c>
      <c r="I55" s="27">
        <v>0</v>
      </c>
      <c r="J55" s="26">
        <v>0</v>
      </c>
      <c r="K55" s="26">
        <v>0</v>
      </c>
      <c r="L55" s="67">
        <v>1</v>
      </c>
      <c r="N55" s="8"/>
      <c r="O55" s="2" t="s">
        <v>826</v>
      </c>
      <c r="P55" s="26">
        <v>0</v>
      </c>
      <c r="Q55" s="27">
        <v>0</v>
      </c>
      <c r="R55" s="30">
        <v>0</v>
      </c>
      <c r="S55" s="27">
        <v>0</v>
      </c>
      <c r="T55" s="30">
        <v>0</v>
      </c>
      <c r="U55" s="34">
        <v>1</v>
      </c>
      <c r="V55" s="34">
        <v>1</v>
      </c>
      <c r="X55" s="8"/>
      <c r="Y55" s="2"/>
      <c r="Z55" s="26"/>
      <c r="AA55" s="26"/>
      <c r="AB55" s="26"/>
      <c r="AC55" s="26"/>
      <c r="AD55" s="27"/>
      <c r="AE55" s="30"/>
      <c r="AF55" s="26"/>
      <c r="AG55" s="26"/>
      <c r="AH55" s="32"/>
      <c r="AJ55" s="8"/>
      <c r="AK55" s="2"/>
      <c r="AL55" s="26"/>
      <c r="AM55" s="26"/>
      <c r="AN55" s="26"/>
      <c r="AO55" s="27"/>
      <c r="AP55" s="30"/>
      <c r="AQ55" s="26"/>
      <c r="AR55" s="26"/>
      <c r="AS55" s="32"/>
      <c r="AT55" s="34"/>
    </row>
    <row r="56" spans="2:46" x14ac:dyDescent="0.3">
      <c r="B56" s="8"/>
      <c r="C56" s="2" t="s">
        <v>784</v>
      </c>
      <c r="D56" s="26">
        <v>0</v>
      </c>
      <c r="E56" s="26">
        <v>0</v>
      </c>
      <c r="F56" s="27">
        <v>0</v>
      </c>
      <c r="G56" s="26">
        <v>0</v>
      </c>
      <c r="H56" s="26">
        <v>0</v>
      </c>
      <c r="I56" s="27">
        <v>0</v>
      </c>
      <c r="J56" s="26">
        <v>0</v>
      </c>
      <c r="K56" s="26">
        <v>0</v>
      </c>
      <c r="L56" s="67">
        <v>1</v>
      </c>
      <c r="N56" s="8"/>
      <c r="O56" s="2" t="s">
        <v>827</v>
      </c>
      <c r="P56" s="26">
        <v>0</v>
      </c>
      <c r="Q56" s="27">
        <v>0</v>
      </c>
      <c r="R56" s="30">
        <v>0</v>
      </c>
      <c r="S56" s="27">
        <v>0</v>
      </c>
      <c r="T56" s="30">
        <v>0</v>
      </c>
      <c r="U56" s="34">
        <v>1</v>
      </c>
      <c r="V56" s="34">
        <v>1</v>
      </c>
      <c r="X56" s="8"/>
      <c r="Y56" s="2"/>
      <c r="Z56" s="26"/>
      <c r="AA56" s="26"/>
      <c r="AB56" s="26"/>
      <c r="AC56" s="26"/>
      <c r="AD56" s="27"/>
      <c r="AE56" s="30"/>
      <c r="AF56" s="26"/>
      <c r="AG56" s="26"/>
      <c r="AH56" s="32"/>
      <c r="AJ56" s="8"/>
      <c r="AK56" s="2"/>
      <c r="AL56" s="26"/>
      <c r="AM56" s="26"/>
      <c r="AN56" s="26"/>
      <c r="AO56" s="27"/>
      <c r="AP56" s="30"/>
      <c r="AQ56" s="26"/>
      <c r="AR56" s="26"/>
      <c r="AS56" s="32"/>
      <c r="AT56" s="34"/>
    </row>
    <row r="57" spans="2:46" x14ac:dyDescent="0.3">
      <c r="B57" s="8"/>
      <c r="C57" s="2" t="s">
        <v>785</v>
      </c>
      <c r="D57" s="26">
        <v>0</v>
      </c>
      <c r="E57" s="26">
        <v>0</v>
      </c>
      <c r="F57" s="27">
        <v>0</v>
      </c>
      <c r="G57" s="26">
        <v>0</v>
      </c>
      <c r="H57" s="26">
        <v>0</v>
      </c>
      <c r="I57" s="27">
        <v>0</v>
      </c>
      <c r="J57" s="26">
        <v>0</v>
      </c>
      <c r="K57" s="26">
        <v>0</v>
      </c>
      <c r="L57" s="67">
        <v>1</v>
      </c>
      <c r="N57" s="8"/>
      <c r="O57" s="2" t="s">
        <v>828</v>
      </c>
      <c r="P57" s="26">
        <v>0</v>
      </c>
      <c r="Q57" s="27">
        <v>0</v>
      </c>
      <c r="R57" s="30">
        <v>0</v>
      </c>
      <c r="S57" s="27">
        <v>0</v>
      </c>
      <c r="T57" s="30">
        <v>0</v>
      </c>
      <c r="U57" s="34">
        <v>1</v>
      </c>
      <c r="V57" s="34">
        <v>1</v>
      </c>
      <c r="X57" s="8"/>
      <c r="Y57" s="2"/>
      <c r="Z57" s="26"/>
      <c r="AA57" s="26"/>
      <c r="AB57" s="26"/>
      <c r="AC57" s="26"/>
      <c r="AD57" s="27"/>
      <c r="AE57" s="30"/>
      <c r="AF57" s="26"/>
      <c r="AG57" s="26"/>
      <c r="AH57" s="32"/>
      <c r="AJ57" s="8"/>
      <c r="AK57" s="2"/>
      <c r="AL57" s="26"/>
      <c r="AM57" s="26"/>
      <c r="AN57" s="26"/>
      <c r="AO57" s="27"/>
      <c r="AP57" s="30"/>
      <c r="AQ57" s="26"/>
      <c r="AR57" s="26"/>
      <c r="AS57" s="32"/>
      <c r="AT57" s="34"/>
    </row>
    <row r="58" spans="2:46" x14ac:dyDescent="0.3">
      <c r="B58" s="8"/>
      <c r="C58" s="2" t="s">
        <v>786</v>
      </c>
      <c r="D58" s="26">
        <v>0</v>
      </c>
      <c r="E58" s="26">
        <v>0</v>
      </c>
      <c r="F58" s="27">
        <v>0</v>
      </c>
      <c r="G58" s="26">
        <v>0</v>
      </c>
      <c r="H58" s="26">
        <v>0</v>
      </c>
      <c r="I58" s="27">
        <v>0</v>
      </c>
      <c r="J58" s="26">
        <v>0</v>
      </c>
      <c r="K58" s="26">
        <v>0</v>
      </c>
      <c r="L58" s="67">
        <v>1</v>
      </c>
      <c r="N58" s="8"/>
      <c r="O58" s="2" t="s">
        <v>829</v>
      </c>
      <c r="P58" s="26">
        <v>0</v>
      </c>
      <c r="Q58" s="27">
        <v>0</v>
      </c>
      <c r="R58" s="30">
        <v>0</v>
      </c>
      <c r="S58" s="27">
        <v>0</v>
      </c>
      <c r="T58" s="30">
        <v>0</v>
      </c>
      <c r="U58" s="34">
        <v>1</v>
      </c>
      <c r="V58" s="34">
        <v>1</v>
      </c>
      <c r="X58" s="8"/>
      <c r="Y58" s="2"/>
      <c r="Z58" s="26"/>
      <c r="AA58" s="26"/>
      <c r="AB58" s="26"/>
      <c r="AC58" s="26"/>
      <c r="AD58" s="27"/>
      <c r="AE58" s="30"/>
      <c r="AF58" s="26"/>
      <c r="AG58" s="26"/>
      <c r="AH58" s="32"/>
      <c r="AJ58" s="8"/>
      <c r="AK58" s="2"/>
      <c r="AL58" s="26"/>
      <c r="AM58" s="26"/>
      <c r="AN58" s="26"/>
      <c r="AO58" s="27"/>
      <c r="AP58" s="30"/>
      <c r="AQ58" s="26"/>
      <c r="AR58" s="26"/>
      <c r="AS58" s="32"/>
      <c r="AT58" s="34"/>
    </row>
    <row r="59" spans="2:46" x14ac:dyDescent="0.3">
      <c r="B59" s="8"/>
      <c r="C59" s="2" t="s">
        <v>787</v>
      </c>
      <c r="D59" s="26">
        <v>0</v>
      </c>
      <c r="E59" s="26">
        <v>0</v>
      </c>
      <c r="F59" s="27">
        <v>0</v>
      </c>
      <c r="G59" s="26">
        <v>0</v>
      </c>
      <c r="H59" s="26">
        <v>0</v>
      </c>
      <c r="I59" s="27">
        <v>0</v>
      </c>
      <c r="J59" s="26">
        <v>0</v>
      </c>
      <c r="K59" s="26">
        <v>0</v>
      </c>
      <c r="L59" s="67">
        <v>1</v>
      </c>
      <c r="N59" s="8"/>
      <c r="O59" s="2" t="s">
        <v>830</v>
      </c>
      <c r="P59" s="26">
        <v>0</v>
      </c>
      <c r="Q59" s="27">
        <v>0</v>
      </c>
      <c r="R59" s="30">
        <v>0</v>
      </c>
      <c r="S59" s="27">
        <v>0</v>
      </c>
      <c r="T59" s="30">
        <v>0</v>
      </c>
      <c r="U59" s="34">
        <v>1</v>
      </c>
      <c r="V59" s="34">
        <v>1</v>
      </c>
      <c r="X59" s="8"/>
      <c r="Y59" s="2"/>
      <c r="Z59" s="26"/>
      <c r="AA59" s="26"/>
      <c r="AB59" s="26"/>
      <c r="AC59" s="26"/>
      <c r="AD59" s="27"/>
      <c r="AE59" s="30"/>
      <c r="AF59" s="26"/>
      <c r="AG59" s="26"/>
      <c r="AH59" s="32"/>
      <c r="AJ59" s="8"/>
      <c r="AK59" s="2"/>
      <c r="AL59" s="26"/>
      <c r="AM59" s="26"/>
      <c r="AN59" s="26"/>
      <c r="AO59" s="27"/>
      <c r="AP59" s="30"/>
      <c r="AQ59" s="26"/>
      <c r="AR59" s="26"/>
      <c r="AS59" s="32"/>
      <c r="AT59" s="34"/>
    </row>
    <row r="60" spans="2:46" x14ac:dyDescent="0.3">
      <c r="B60" s="8"/>
      <c r="C60" s="2" t="s">
        <v>788</v>
      </c>
      <c r="D60" s="26">
        <v>0</v>
      </c>
      <c r="E60" s="26">
        <v>0</v>
      </c>
      <c r="F60" s="27">
        <v>0</v>
      </c>
      <c r="G60" s="26">
        <v>0</v>
      </c>
      <c r="H60" s="26">
        <v>0</v>
      </c>
      <c r="I60" s="27">
        <v>0</v>
      </c>
      <c r="J60" s="26">
        <v>0</v>
      </c>
      <c r="K60" s="26">
        <v>0</v>
      </c>
      <c r="L60" s="67">
        <v>1</v>
      </c>
      <c r="N60" s="8"/>
      <c r="O60" s="2" t="s">
        <v>831</v>
      </c>
      <c r="P60" s="26">
        <v>0</v>
      </c>
      <c r="Q60" s="27">
        <v>0</v>
      </c>
      <c r="R60" s="30">
        <v>0</v>
      </c>
      <c r="S60" s="27">
        <v>0</v>
      </c>
      <c r="T60" s="30">
        <v>0</v>
      </c>
      <c r="U60" s="34">
        <v>1</v>
      </c>
      <c r="V60" s="34">
        <v>1</v>
      </c>
      <c r="X60" s="8"/>
      <c r="Y60" s="2"/>
      <c r="Z60" s="26"/>
      <c r="AA60" s="26"/>
      <c r="AB60" s="26"/>
      <c r="AC60" s="26"/>
      <c r="AD60" s="27"/>
      <c r="AE60" s="30"/>
      <c r="AF60" s="26"/>
      <c r="AG60" s="26"/>
      <c r="AH60" s="32"/>
      <c r="AJ60" s="8"/>
      <c r="AK60" s="2"/>
      <c r="AL60" s="26"/>
      <c r="AM60" s="26"/>
      <c r="AN60" s="26"/>
      <c r="AO60" s="27"/>
      <c r="AP60" s="30"/>
      <c r="AQ60" s="26"/>
      <c r="AR60" s="26"/>
      <c r="AS60" s="32"/>
      <c r="AT60" s="34"/>
    </row>
    <row r="61" spans="2:46" x14ac:dyDescent="0.3">
      <c r="B61" s="8"/>
      <c r="C61" s="2" t="s">
        <v>789</v>
      </c>
      <c r="D61" s="26">
        <v>0</v>
      </c>
      <c r="E61" s="26">
        <v>0</v>
      </c>
      <c r="F61" s="27">
        <v>0</v>
      </c>
      <c r="G61" s="26">
        <v>0</v>
      </c>
      <c r="H61" s="26">
        <v>0</v>
      </c>
      <c r="I61" s="27">
        <v>0</v>
      </c>
      <c r="J61" s="26">
        <v>0</v>
      </c>
      <c r="K61" s="26">
        <v>0</v>
      </c>
      <c r="L61" s="67">
        <v>1</v>
      </c>
      <c r="N61" s="8"/>
      <c r="O61" s="2" t="s">
        <v>832</v>
      </c>
      <c r="P61" s="26">
        <v>0</v>
      </c>
      <c r="Q61" s="27">
        <v>0</v>
      </c>
      <c r="R61" s="30">
        <v>0</v>
      </c>
      <c r="S61" s="27">
        <v>0</v>
      </c>
      <c r="T61" s="30">
        <v>0</v>
      </c>
      <c r="U61" s="34">
        <v>1</v>
      </c>
      <c r="V61" s="34">
        <v>1</v>
      </c>
      <c r="X61" s="8"/>
      <c r="Y61" s="2"/>
      <c r="Z61" s="26"/>
      <c r="AA61" s="26"/>
      <c r="AB61" s="26"/>
      <c r="AC61" s="26"/>
      <c r="AD61" s="27"/>
      <c r="AE61" s="30"/>
      <c r="AF61" s="26"/>
      <c r="AG61" s="26"/>
      <c r="AH61" s="32"/>
      <c r="AJ61" s="8"/>
      <c r="AK61" s="2"/>
      <c r="AL61" s="26"/>
      <c r="AM61" s="26"/>
      <c r="AN61" s="26"/>
      <c r="AO61" s="27"/>
      <c r="AP61" s="30"/>
      <c r="AQ61" s="26"/>
      <c r="AR61" s="26"/>
      <c r="AS61" s="32"/>
      <c r="AT61" s="34"/>
    </row>
    <row r="62" spans="2:46" x14ac:dyDescent="0.3">
      <c r="B62" s="8"/>
      <c r="C62" s="2" t="s">
        <v>790</v>
      </c>
      <c r="D62" s="26">
        <v>0</v>
      </c>
      <c r="E62" s="26">
        <v>0</v>
      </c>
      <c r="F62" s="27">
        <v>0</v>
      </c>
      <c r="G62" s="26">
        <v>0</v>
      </c>
      <c r="H62" s="26">
        <v>0</v>
      </c>
      <c r="I62" s="27">
        <v>0</v>
      </c>
      <c r="J62" s="26">
        <v>0</v>
      </c>
      <c r="K62" s="26">
        <v>0</v>
      </c>
      <c r="L62" s="67">
        <v>1</v>
      </c>
      <c r="N62" s="8"/>
      <c r="O62" s="2" t="s">
        <v>833</v>
      </c>
      <c r="P62" s="26">
        <v>0</v>
      </c>
      <c r="Q62" s="27">
        <v>0</v>
      </c>
      <c r="R62" s="30">
        <v>0</v>
      </c>
      <c r="S62" s="27">
        <v>0</v>
      </c>
      <c r="T62" s="30">
        <v>0</v>
      </c>
      <c r="U62" s="34">
        <v>1</v>
      </c>
      <c r="V62" s="34">
        <v>1</v>
      </c>
      <c r="X62" s="8"/>
      <c r="Y62" s="2"/>
      <c r="Z62" s="26"/>
      <c r="AA62" s="26"/>
      <c r="AB62" s="26"/>
      <c r="AC62" s="26"/>
      <c r="AD62" s="27"/>
      <c r="AE62" s="30"/>
      <c r="AF62" s="26"/>
      <c r="AG62" s="26"/>
      <c r="AH62" s="32"/>
      <c r="AJ62" s="8"/>
      <c r="AK62" s="2"/>
      <c r="AL62" s="26"/>
      <c r="AM62" s="26"/>
      <c r="AN62" s="26"/>
      <c r="AO62" s="27"/>
      <c r="AP62" s="30"/>
      <c r="AQ62" s="26"/>
      <c r="AR62" s="26"/>
      <c r="AS62" s="32"/>
      <c r="AT62" s="34"/>
    </row>
    <row r="63" spans="2:46" x14ac:dyDescent="0.3">
      <c r="B63" s="8"/>
      <c r="C63" s="2" t="s">
        <v>791</v>
      </c>
      <c r="D63" s="26">
        <v>0</v>
      </c>
      <c r="E63" s="26">
        <v>0</v>
      </c>
      <c r="F63" s="27">
        <v>0</v>
      </c>
      <c r="G63" s="26">
        <v>0</v>
      </c>
      <c r="H63" s="26">
        <v>0</v>
      </c>
      <c r="I63" s="27">
        <v>0</v>
      </c>
      <c r="J63" s="26">
        <v>0</v>
      </c>
      <c r="K63" s="26">
        <v>0</v>
      </c>
      <c r="L63" s="67">
        <v>1</v>
      </c>
      <c r="N63" s="8"/>
      <c r="O63" s="2" t="s">
        <v>834</v>
      </c>
      <c r="P63" s="26">
        <v>0</v>
      </c>
      <c r="Q63" s="27">
        <v>0</v>
      </c>
      <c r="R63" s="30">
        <v>0</v>
      </c>
      <c r="S63" s="27">
        <v>0</v>
      </c>
      <c r="T63" s="30">
        <v>0</v>
      </c>
      <c r="U63" s="34">
        <v>1</v>
      </c>
      <c r="V63" s="34">
        <v>1</v>
      </c>
      <c r="X63" s="8"/>
      <c r="Y63" s="2"/>
      <c r="Z63" s="26"/>
      <c r="AA63" s="26"/>
      <c r="AB63" s="26"/>
      <c r="AC63" s="26"/>
      <c r="AD63" s="27"/>
      <c r="AE63" s="30"/>
      <c r="AF63" s="26"/>
      <c r="AG63" s="26"/>
      <c r="AH63" s="32"/>
      <c r="AJ63" s="8"/>
      <c r="AK63" s="2"/>
      <c r="AL63" s="26"/>
      <c r="AM63" s="26"/>
      <c r="AN63" s="26"/>
      <c r="AO63" s="27"/>
      <c r="AP63" s="30"/>
      <c r="AQ63" s="26"/>
      <c r="AR63" s="26"/>
      <c r="AS63" s="32"/>
      <c r="AT63" s="34"/>
    </row>
    <row r="64" spans="2:46" x14ac:dyDescent="0.3">
      <c r="B64" s="8"/>
      <c r="C64" s="2" t="s">
        <v>792</v>
      </c>
      <c r="D64" s="26">
        <v>0</v>
      </c>
      <c r="E64" s="26">
        <v>0</v>
      </c>
      <c r="F64" s="27">
        <v>0</v>
      </c>
      <c r="G64" s="26">
        <v>0</v>
      </c>
      <c r="H64" s="26">
        <v>0</v>
      </c>
      <c r="I64" s="27">
        <v>0</v>
      </c>
      <c r="J64" s="26">
        <v>0</v>
      </c>
      <c r="K64" s="26">
        <v>0</v>
      </c>
      <c r="L64" s="67">
        <v>1</v>
      </c>
      <c r="N64" s="8"/>
      <c r="O64" s="2" t="s">
        <v>835</v>
      </c>
      <c r="P64" s="26">
        <v>0</v>
      </c>
      <c r="Q64" s="27">
        <v>0</v>
      </c>
      <c r="R64" s="30">
        <v>0</v>
      </c>
      <c r="S64" s="27">
        <v>0</v>
      </c>
      <c r="T64" s="30">
        <v>0</v>
      </c>
      <c r="U64" s="34">
        <v>1</v>
      </c>
      <c r="V64" s="34">
        <v>1</v>
      </c>
      <c r="X64" s="8"/>
      <c r="Y64" s="2"/>
      <c r="Z64" s="26"/>
      <c r="AA64" s="26"/>
      <c r="AB64" s="26"/>
      <c r="AC64" s="26"/>
      <c r="AD64" s="27"/>
      <c r="AE64" s="30"/>
      <c r="AF64" s="26"/>
      <c r="AG64" s="26"/>
      <c r="AH64" s="32"/>
      <c r="AJ64" s="8"/>
      <c r="AK64" s="2"/>
      <c r="AL64" s="26"/>
      <c r="AM64" s="26"/>
      <c r="AN64" s="26"/>
      <c r="AO64" s="27"/>
      <c r="AP64" s="30"/>
      <c r="AQ64" s="26"/>
      <c r="AR64" s="26"/>
      <c r="AS64" s="32"/>
      <c r="AT64" s="34"/>
    </row>
    <row r="65" spans="2:46" x14ac:dyDescent="0.3">
      <c r="B65" s="8"/>
      <c r="C65" s="2" t="s">
        <v>793</v>
      </c>
      <c r="D65" s="26">
        <v>0</v>
      </c>
      <c r="E65" s="26">
        <v>0</v>
      </c>
      <c r="F65" s="27">
        <v>0</v>
      </c>
      <c r="G65" s="26">
        <v>0</v>
      </c>
      <c r="H65" s="26">
        <v>0</v>
      </c>
      <c r="I65" s="27">
        <v>0</v>
      </c>
      <c r="J65" s="26">
        <v>0</v>
      </c>
      <c r="K65" s="26">
        <v>0</v>
      </c>
      <c r="L65" s="67">
        <v>1</v>
      </c>
      <c r="N65" s="8"/>
      <c r="O65" s="2" t="s">
        <v>836</v>
      </c>
      <c r="P65" s="26">
        <v>0</v>
      </c>
      <c r="Q65" s="27">
        <v>0</v>
      </c>
      <c r="R65" s="30">
        <v>0</v>
      </c>
      <c r="S65" s="27">
        <v>0</v>
      </c>
      <c r="T65" s="30">
        <v>0</v>
      </c>
      <c r="U65" s="34">
        <v>1</v>
      </c>
      <c r="V65" s="34">
        <v>1</v>
      </c>
      <c r="X65" s="8"/>
      <c r="Y65" s="2"/>
      <c r="Z65" s="26"/>
      <c r="AA65" s="26"/>
      <c r="AB65" s="26"/>
      <c r="AC65" s="26"/>
      <c r="AD65" s="27"/>
      <c r="AE65" s="30"/>
      <c r="AF65" s="26"/>
      <c r="AG65" s="26"/>
      <c r="AH65" s="32"/>
      <c r="AJ65" s="8"/>
      <c r="AK65" s="2"/>
      <c r="AL65" s="26"/>
      <c r="AM65" s="26"/>
      <c r="AN65" s="26"/>
      <c r="AO65" s="27"/>
      <c r="AP65" s="30"/>
      <c r="AQ65" s="26"/>
      <c r="AR65" s="26"/>
      <c r="AS65" s="32"/>
      <c r="AT65" s="34"/>
    </row>
    <row r="66" spans="2:46" x14ac:dyDescent="0.3">
      <c r="B66" s="8"/>
      <c r="C66" s="2" t="s">
        <v>980</v>
      </c>
      <c r="D66" s="26">
        <v>0</v>
      </c>
      <c r="E66" s="26">
        <v>0</v>
      </c>
      <c r="F66" s="27">
        <v>0</v>
      </c>
      <c r="G66" s="26">
        <v>0</v>
      </c>
      <c r="H66" s="26">
        <v>0</v>
      </c>
      <c r="I66" s="27">
        <v>0</v>
      </c>
      <c r="J66" s="26">
        <v>0</v>
      </c>
      <c r="K66" s="26">
        <v>0</v>
      </c>
      <c r="L66" s="67">
        <v>1</v>
      </c>
      <c r="N66" s="8"/>
      <c r="O66" s="2" t="s">
        <v>950</v>
      </c>
      <c r="P66" s="26">
        <v>0</v>
      </c>
      <c r="Q66" s="27">
        <v>0</v>
      </c>
      <c r="R66" s="30">
        <v>0</v>
      </c>
      <c r="S66" s="27">
        <v>0</v>
      </c>
      <c r="T66" s="30">
        <v>0</v>
      </c>
      <c r="U66" s="34">
        <v>1</v>
      </c>
      <c r="V66" s="34">
        <v>1</v>
      </c>
      <c r="X66" s="8"/>
      <c r="Y66" s="2"/>
      <c r="Z66" s="26"/>
      <c r="AA66" s="26"/>
      <c r="AB66" s="26"/>
      <c r="AC66" s="26"/>
      <c r="AD66" s="27"/>
      <c r="AE66" s="30"/>
      <c r="AF66" s="26"/>
      <c r="AG66" s="26"/>
      <c r="AH66" s="32"/>
      <c r="AJ66" s="8"/>
      <c r="AK66" s="2"/>
      <c r="AL66" s="26"/>
      <c r="AM66" s="26"/>
      <c r="AN66" s="26"/>
      <c r="AO66" s="27"/>
      <c r="AP66" s="30"/>
      <c r="AQ66" s="26"/>
      <c r="AR66" s="26"/>
      <c r="AS66" s="32"/>
      <c r="AT66" s="34"/>
    </row>
    <row r="67" spans="2:46" x14ac:dyDescent="0.3">
      <c r="B67" s="8"/>
      <c r="C67" s="2" t="s">
        <v>981</v>
      </c>
      <c r="D67" s="26">
        <v>0</v>
      </c>
      <c r="E67" s="26">
        <v>0</v>
      </c>
      <c r="F67" s="27">
        <v>0</v>
      </c>
      <c r="G67" s="26">
        <v>0</v>
      </c>
      <c r="H67" s="26">
        <v>0</v>
      </c>
      <c r="I67" s="27">
        <v>0</v>
      </c>
      <c r="J67" s="26">
        <v>0</v>
      </c>
      <c r="K67" s="26">
        <v>0</v>
      </c>
      <c r="L67" s="67">
        <v>1</v>
      </c>
      <c r="N67" s="8"/>
      <c r="O67" s="2" t="s">
        <v>951</v>
      </c>
      <c r="P67" s="26">
        <v>0</v>
      </c>
      <c r="Q67" s="27">
        <v>0</v>
      </c>
      <c r="R67" s="30">
        <v>0</v>
      </c>
      <c r="S67" s="27">
        <v>0</v>
      </c>
      <c r="T67" s="30">
        <v>0</v>
      </c>
      <c r="U67" s="34">
        <v>1</v>
      </c>
      <c r="V67" s="34">
        <v>1</v>
      </c>
      <c r="X67" s="8"/>
      <c r="Y67" s="2"/>
      <c r="Z67" s="26"/>
      <c r="AA67" s="26"/>
      <c r="AB67" s="26"/>
      <c r="AC67" s="26"/>
      <c r="AD67" s="27"/>
      <c r="AE67" s="30"/>
      <c r="AF67" s="26"/>
      <c r="AG67" s="26"/>
      <c r="AH67" s="32"/>
      <c r="AJ67" s="8"/>
      <c r="AK67" s="2"/>
      <c r="AL67" s="26"/>
      <c r="AM67" s="26"/>
      <c r="AN67" s="26"/>
      <c r="AO67" s="27"/>
      <c r="AP67" s="30"/>
      <c r="AQ67" s="26"/>
      <c r="AR67" s="26"/>
      <c r="AS67" s="32"/>
      <c r="AT67" s="34"/>
    </row>
    <row r="68" spans="2:46" x14ac:dyDescent="0.3">
      <c r="B68" s="8"/>
      <c r="C68" s="2" t="s">
        <v>794</v>
      </c>
      <c r="D68" s="26">
        <v>0</v>
      </c>
      <c r="E68" s="26">
        <v>0</v>
      </c>
      <c r="F68" s="27">
        <v>0</v>
      </c>
      <c r="G68" s="26">
        <v>0</v>
      </c>
      <c r="H68" s="26">
        <v>0</v>
      </c>
      <c r="I68" s="27">
        <v>0</v>
      </c>
      <c r="J68" s="26">
        <v>0</v>
      </c>
      <c r="K68" s="26">
        <v>0</v>
      </c>
      <c r="L68" s="67">
        <v>1</v>
      </c>
      <c r="N68" s="8"/>
      <c r="O68" s="2" t="s">
        <v>837</v>
      </c>
      <c r="P68" s="26">
        <v>0</v>
      </c>
      <c r="Q68" s="27">
        <v>0</v>
      </c>
      <c r="R68" s="30">
        <v>0</v>
      </c>
      <c r="S68" s="27">
        <v>0</v>
      </c>
      <c r="T68" s="30">
        <v>0</v>
      </c>
      <c r="U68" s="34">
        <v>1</v>
      </c>
      <c r="V68" s="34">
        <v>1</v>
      </c>
      <c r="X68" s="8"/>
      <c r="Y68" s="2"/>
      <c r="Z68" s="26"/>
      <c r="AA68" s="26"/>
      <c r="AB68" s="26"/>
      <c r="AC68" s="26"/>
      <c r="AD68" s="27"/>
      <c r="AE68" s="30"/>
      <c r="AF68" s="26"/>
      <c r="AG68" s="26"/>
      <c r="AH68" s="32"/>
      <c r="AJ68" s="8"/>
      <c r="AK68" s="2"/>
      <c r="AL68" s="26"/>
      <c r="AM68" s="26"/>
      <c r="AN68" s="26"/>
      <c r="AO68" s="27"/>
      <c r="AP68" s="30"/>
      <c r="AQ68" s="26"/>
      <c r="AR68" s="26"/>
      <c r="AS68" s="32"/>
      <c r="AT68" s="34"/>
    </row>
    <row r="69" spans="2:46" x14ac:dyDescent="0.3">
      <c r="B69" s="8"/>
      <c r="C69" s="2" t="s">
        <v>795</v>
      </c>
      <c r="D69" s="26">
        <v>0</v>
      </c>
      <c r="E69" s="26">
        <v>0</v>
      </c>
      <c r="F69" s="27">
        <v>0</v>
      </c>
      <c r="G69" s="26">
        <v>0</v>
      </c>
      <c r="H69" s="26">
        <v>0</v>
      </c>
      <c r="I69" s="27">
        <v>0</v>
      </c>
      <c r="J69" s="26">
        <v>0</v>
      </c>
      <c r="K69" s="26">
        <v>0</v>
      </c>
      <c r="L69" s="67">
        <v>1</v>
      </c>
      <c r="N69" s="8"/>
      <c r="O69" s="2" t="s">
        <v>838</v>
      </c>
      <c r="P69" s="26">
        <v>0</v>
      </c>
      <c r="Q69" s="27">
        <v>0</v>
      </c>
      <c r="R69" s="30">
        <v>0</v>
      </c>
      <c r="S69" s="27">
        <v>0</v>
      </c>
      <c r="T69" s="30">
        <v>0</v>
      </c>
      <c r="U69" s="34">
        <v>1</v>
      </c>
      <c r="V69" s="34">
        <v>1</v>
      </c>
      <c r="X69" s="8"/>
      <c r="Y69" s="2"/>
      <c r="Z69" s="26"/>
      <c r="AA69" s="26"/>
      <c r="AB69" s="26"/>
      <c r="AC69" s="26"/>
      <c r="AD69" s="27"/>
      <c r="AE69" s="30"/>
      <c r="AF69" s="26"/>
      <c r="AG69" s="26"/>
      <c r="AH69" s="32"/>
      <c r="AJ69" s="8"/>
      <c r="AK69" s="2"/>
      <c r="AL69" s="26"/>
      <c r="AM69" s="26"/>
      <c r="AN69" s="26"/>
      <c r="AO69" s="27"/>
      <c r="AP69" s="30"/>
      <c r="AQ69" s="26"/>
      <c r="AR69" s="26"/>
      <c r="AS69" s="32"/>
      <c r="AT69" s="34"/>
    </row>
    <row r="70" spans="2:46" x14ac:dyDescent="0.3">
      <c r="B70" s="8"/>
      <c r="C70" s="2" t="s">
        <v>796</v>
      </c>
      <c r="D70" s="26">
        <v>0</v>
      </c>
      <c r="E70" s="26">
        <v>0</v>
      </c>
      <c r="F70" s="27">
        <v>0</v>
      </c>
      <c r="G70" s="26">
        <v>0</v>
      </c>
      <c r="H70" s="26">
        <v>0</v>
      </c>
      <c r="I70" s="27">
        <v>0</v>
      </c>
      <c r="J70" s="26">
        <v>0</v>
      </c>
      <c r="K70" s="26">
        <v>0</v>
      </c>
      <c r="L70" s="67">
        <v>1</v>
      </c>
      <c r="N70" s="8"/>
      <c r="O70" s="2" t="s">
        <v>839</v>
      </c>
      <c r="P70" s="26">
        <v>0</v>
      </c>
      <c r="Q70" s="27">
        <v>0</v>
      </c>
      <c r="R70" s="30">
        <v>0</v>
      </c>
      <c r="S70" s="27">
        <v>0</v>
      </c>
      <c r="T70" s="30">
        <v>0</v>
      </c>
      <c r="U70" s="34">
        <v>1</v>
      </c>
      <c r="V70" s="34">
        <v>1</v>
      </c>
      <c r="X70" s="8"/>
      <c r="Y70" s="2"/>
      <c r="Z70" s="26"/>
      <c r="AA70" s="26"/>
      <c r="AB70" s="26"/>
      <c r="AC70" s="26"/>
      <c r="AD70" s="27"/>
      <c r="AE70" s="30"/>
      <c r="AF70" s="26"/>
      <c r="AG70" s="26"/>
      <c r="AH70" s="32"/>
      <c r="AJ70" s="8"/>
      <c r="AK70" s="2"/>
      <c r="AL70" s="26"/>
      <c r="AM70" s="26"/>
      <c r="AN70" s="26"/>
      <c r="AO70" s="27"/>
      <c r="AP70" s="30"/>
      <c r="AQ70" s="26"/>
      <c r="AR70" s="26"/>
      <c r="AS70" s="32"/>
      <c r="AT70" s="34"/>
    </row>
    <row r="71" spans="2:46" x14ac:dyDescent="0.3">
      <c r="B71" s="8"/>
      <c r="C71" s="2" t="s">
        <v>797</v>
      </c>
      <c r="D71" s="26">
        <v>0</v>
      </c>
      <c r="E71" s="26">
        <v>0</v>
      </c>
      <c r="F71" s="27">
        <v>0</v>
      </c>
      <c r="G71" s="26">
        <v>0</v>
      </c>
      <c r="H71" s="26">
        <v>0</v>
      </c>
      <c r="I71" s="27">
        <v>0</v>
      </c>
      <c r="J71" s="26">
        <v>0</v>
      </c>
      <c r="K71" s="26">
        <v>0</v>
      </c>
      <c r="L71" s="67">
        <v>1</v>
      </c>
      <c r="N71" s="8"/>
      <c r="O71" s="2" t="s">
        <v>840</v>
      </c>
      <c r="P71" s="26">
        <v>0</v>
      </c>
      <c r="Q71" s="27">
        <v>0</v>
      </c>
      <c r="R71" s="30">
        <v>0</v>
      </c>
      <c r="S71" s="27">
        <v>0</v>
      </c>
      <c r="T71" s="30">
        <v>0</v>
      </c>
      <c r="U71" s="34">
        <v>1</v>
      </c>
      <c r="V71" s="34">
        <v>1</v>
      </c>
      <c r="X71" s="8"/>
      <c r="Y71" s="2"/>
      <c r="Z71" s="26"/>
      <c r="AA71" s="26"/>
      <c r="AB71" s="26"/>
      <c r="AC71" s="26"/>
      <c r="AD71" s="27"/>
      <c r="AE71" s="30"/>
      <c r="AF71" s="26"/>
      <c r="AG71" s="26"/>
      <c r="AH71" s="32"/>
      <c r="AJ71" s="8"/>
      <c r="AK71" s="2"/>
      <c r="AL71" s="26"/>
      <c r="AM71" s="26"/>
      <c r="AN71" s="26"/>
      <c r="AO71" s="27"/>
      <c r="AP71" s="30"/>
      <c r="AQ71" s="26"/>
      <c r="AR71" s="26"/>
      <c r="AS71" s="32"/>
      <c r="AT71" s="34"/>
    </row>
    <row r="72" spans="2:46" x14ac:dyDescent="0.3">
      <c r="B72" s="8"/>
      <c r="C72" s="2" t="s">
        <v>798</v>
      </c>
      <c r="D72" s="26">
        <v>0</v>
      </c>
      <c r="E72" s="26">
        <v>0</v>
      </c>
      <c r="F72" s="27">
        <v>0</v>
      </c>
      <c r="G72" s="26">
        <v>0</v>
      </c>
      <c r="H72" s="26">
        <v>0</v>
      </c>
      <c r="I72" s="27">
        <v>0</v>
      </c>
      <c r="J72" s="26">
        <v>0</v>
      </c>
      <c r="K72" s="26">
        <v>0</v>
      </c>
      <c r="L72" s="67">
        <v>1</v>
      </c>
      <c r="N72" s="8"/>
      <c r="O72" s="2" t="s">
        <v>841</v>
      </c>
      <c r="P72" s="26">
        <v>0</v>
      </c>
      <c r="Q72" s="27">
        <v>0</v>
      </c>
      <c r="R72" s="30">
        <v>0</v>
      </c>
      <c r="S72" s="27">
        <v>0</v>
      </c>
      <c r="T72" s="30">
        <v>0</v>
      </c>
      <c r="U72" s="34">
        <v>1</v>
      </c>
      <c r="V72" s="34">
        <v>1</v>
      </c>
      <c r="X72" s="8"/>
      <c r="Y72" s="2"/>
      <c r="Z72" s="26"/>
      <c r="AA72" s="26"/>
      <c r="AB72" s="26"/>
      <c r="AC72" s="26"/>
      <c r="AD72" s="27"/>
      <c r="AE72" s="30"/>
      <c r="AF72" s="26"/>
      <c r="AG72" s="26"/>
      <c r="AH72" s="32"/>
      <c r="AJ72" s="8"/>
      <c r="AK72" s="2"/>
      <c r="AL72" s="26"/>
      <c r="AM72" s="26"/>
      <c r="AN72" s="26"/>
      <c r="AO72" s="27"/>
      <c r="AP72" s="30"/>
      <c r="AQ72" s="26"/>
      <c r="AR72" s="26"/>
      <c r="AS72" s="32"/>
      <c r="AT72" s="34"/>
    </row>
    <row r="73" spans="2:46" x14ac:dyDescent="0.3">
      <c r="B73" s="8"/>
      <c r="C73" s="2" t="s">
        <v>730</v>
      </c>
      <c r="D73" s="26">
        <v>0</v>
      </c>
      <c r="E73" s="26">
        <v>0</v>
      </c>
      <c r="F73" s="27">
        <v>0</v>
      </c>
      <c r="G73" s="26">
        <v>0</v>
      </c>
      <c r="H73" s="26">
        <v>0</v>
      </c>
      <c r="I73" s="27">
        <v>0</v>
      </c>
      <c r="J73" s="26">
        <v>0</v>
      </c>
      <c r="K73" s="26">
        <v>0</v>
      </c>
      <c r="L73" s="67">
        <v>1</v>
      </c>
      <c r="N73" s="8"/>
      <c r="O73" s="2" t="s">
        <v>666</v>
      </c>
      <c r="P73" s="26">
        <v>0</v>
      </c>
      <c r="Q73" s="27">
        <v>0</v>
      </c>
      <c r="R73" s="30">
        <v>0</v>
      </c>
      <c r="S73" s="27">
        <v>0</v>
      </c>
      <c r="T73" s="30">
        <v>0</v>
      </c>
      <c r="U73" s="34">
        <v>1</v>
      </c>
      <c r="V73" s="34">
        <v>1</v>
      </c>
      <c r="X73" s="8"/>
      <c r="Y73" s="2"/>
      <c r="Z73" s="26"/>
      <c r="AA73" s="26"/>
      <c r="AB73" s="26"/>
      <c r="AC73" s="26"/>
      <c r="AD73" s="27"/>
      <c r="AE73" s="30"/>
      <c r="AF73" s="26"/>
      <c r="AG73" s="26"/>
      <c r="AH73" s="32"/>
      <c r="AJ73" s="8"/>
      <c r="AK73" s="2"/>
      <c r="AL73" s="26"/>
      <c r="AM73" s="26"/>
      <c r="AN73" s="26"/>
      <c r="AO73" s="27"/>
      <c r="AP73" s="30"/>
      <c r="AQ73" s="26"/>
      <c r="AR73" s="26"/>
      <c r="AS73" s="32"/>
      <c r="AT73" s="34"/>
    </row>
    <row r="74" spans="2:46" x14ac:dyDescent="0.3">
      <c r="B74" s="8"/>
      <c r="C74" s="2" t="s">
        <v>799</v>
      </c>
      <c r="D74" s="26">
        <v>0</v>
      </c>
      <c r="E74" s="26">
        <v>0</v>
      </c>
      <c r="F74" s="27">
        <v>0</v>
      </c>
      <c r="G74" s="26">
        <v>0</v>
      </c>
      <c r="H74" s="26">
        <v>0</v>
      </c>
      <c r="I74" s="27">
        <v>0</v>
      </c>
      <c r="J74" s="26">
        <v>0</v>
      </c>
      <c r="K74" s="26">
        <v>0</v>
      </c>
      <c r="L74" s="67">
        <v>1</v>
      </c>
      <c r="N74" s="8"/>
      <c r="O74" s="2" t="s">
        <v>842</v>
      </c>
      <c r="P74" s="26">
        <v>0</v>
      </c>
      <c r="Q74" s="27">
        <v>0</v>
      </c>
      <c r="R74" s="30">
        <v>0</v>
      </c>
      <c r="S74" s="27">
        <v>0</v>
      </c>
      <c r="T74" s="30">
        <v>0</v>
      </c>
      <c r="U74" s="34">
        <v>1</v>
      </c>
      <c r="V74" s="34">
        <v>1</v>
      </c>
      <c r="X74" s="8"/>
      <c r="Y74" s="2"/>
      <c r="Z74" s="26"/>
      <c r="AA74" s="26"/>
      <c r="AB74" s="26"/>
      <c r="AC74" s="26"/>
      <c r="AD74" s="27"/>
      <c r="AE74" s="30"/>
      <c r="AF74" s="26"/>
      <c r="AG74" s="26"/>
      <c r="AH74" s="32"/>
      <c r="AJ74" s="8"/>
      <c r="AK74" s="2"/>
      <c r="AL74" s="26"/>
      <c r="AM74" s="26"/>
      <c r="AN74" s="26"/>
      <c r="AO74" s="27"/>
      <c r="AP74" s="30"/>
      <c r="AQ74" s="26"/>
      <c r="AR74" s="26"/>
      <c r="AS74" s="32"/>
      <c r="AT74" s="34"/>
    </row>
    <row r="75" spans="2:46" x14ac:dyDescent="0.3">
      <c r="B75" s="8"/>
      <c r="C75" s="2" t="s">
        <v>731</v>
      </c>
      <c r="D75" s="26">
        <v>0</v>
      </c>
      <c r="E75" s="26">
        <v>0</v>
      </c>
      <c r="F75" s="27">
        <v>0</v>
      </c>
      <c r="G75" s="26">
        <v>0</v>
      </c>
      <c r="H75" s="26">
        <v>0</v>
      </c>
      <c r="I75" s="27">
        <v>0</v>
      </c>
      <c r="J75" s="26">
        <v>0</v>
      </c>
      <c r="K75" s="26">
        <v>0</v>
      </c>
      <c r="L75" s="67">
        <v>1</v>
      </c>
      <c r="N75" s="8"/>
      <c r="O75" s="2" t="s">
        <v>667</v>
      </c>
      <c r="P75" s="26">
        <v>0</v>
      </c>
      <c r="Q75" s="27">
        <v>0</v>
      </c>
      <c r="R75" s="30">
        <v>0</v>
      </c>
      <c r="S75" s="27">
        <v>0</v>
      </c>
      <c r="T75" s="30">
        <v>0</v>
      </c>
      <c r="U75" s="34">
        <v>1</v>
      </c>
      <c r="V75" s="34">
        <v>1</v>
      </c>
      <c r="X75" s="8"/>
      <c r="Y75" s="2"/>
      <c r="Z75" s="26"/>
      <c r="AA75" s="26"/>
      <c r="AB75" s="26"/>
      <c r="AC75" s="26"/>
      <c r="AD75" s="27"/>
      <c r="AE75" s="30"/>
      <c r="AF75" s="26"/>
      <c r="AG75" s="26"/>
      <c r="AH75" s="32"/>
      <c r="AJ75" s="8"/>
      <c r="AK75" s="2"/>
      <c r="AL75" s="26"/>
      <c r="AM75" s="26"/>
      <c r="AN75" s="26"/>
      <c r="AO75" s="27"/>
      <c r="AP75" s="30"/>
      <c r="AQ75" s="26"/>
      <c r="AR75" s="26"/>
      <c r="AS75" s="32"/>
      <c r="AT75" s="34"/>
    </row>
    <row r="76" spans="2:46" x14ac:dyDescent="0.3">
      <c r="B76" s="8"/>
      <c r="C76" s="2" t="s">
        <v>800</v>
      </c>
      <c r="D76" s="26">
        <v>0</v>
      </c>
      <c r="E76" s="26">
        <v>0</v>
      </c>
      <c r="F76" s="27">
        <v>0</v>
      </c>
      <c r="G76" s="26">
        <v>0</v>
      </c>
      <c r="H76" s="26">
        <v>0</v>
      </c>
      <c r="I76" s="27">
        <v>0</v>
      </c>
      <c r="J76" s="26">
        <v>0</v>
      </c>
      <c r="K76" s="26">
        <v>0</v>
      </c>
      <c r="L76" s="67">
        <v>1</v>
      </c>
      <c r="N76" s="8"/>
      <c r="O76" s="2" t="s">
        <v>843</v>
      </c>
      <c r="P76" s="26">
        <v>0</v>
      </c>
      <c r="Q76" s="27">
        <v>0</v>
      </c>
      <c r="R76" s="30">
        <v>0</v>
      </c>
      <c r="S76" s="27">
        <v>0</v>
      </c>
      <c r="T76" s="30">
        <v>0</v>
      </c>
      <c r="U76" s="34">
        <v>1</v>
      </c>
      <c r="V76" s="34">
        <v>1</v>
      </c>
      <c r="X76" s="8"/>
      <c r="Y76" s="2"/>
      <c r="Z76" s="26"/>
      <c r="AA76" s="26"/>
      <c r="AB76" s="26"/>
      <c r="AC76" s="26"/>
      <c r="AD76" s="27"/>
      <c r="AE76" s="30"/>
      <c r="AF76" s="26"/>
      <c r="AG76" s="26"/>
      <c r="AH76" s="32"/>
      <c r="AJ76" s="8"/>
      <c r="AK76" s="2"/>
      <c r="AL76" s="26"/>
      <c r="AM76" s="26"/>
      <c r="AN76" s="26"/>
      <c r="AO76" s="27"/>
      <c r="AP76" s="30"/>
      <c r="AQ76" s="26"/>
      <c r="AR76" s="26"/>
      <c r="AS76" s="32"/>
      <c r="AT76" s="34"/>
    </row>
    <row r="77" spans="2:46" x14ac:dyDescent="0.3">
      <c r="B77" s="8"/>
      <c r="C77" s="2" t="s">
        <v>982</v>
      </c>
      <c r="D77" s="26">
        <v>0</v>
      </c>
      <c r="E77" s="26">
        <v>0</v>
      </c>
      <c r="F77" s="27">
        <v>0</v>
      </c>
      <c r="G77" s="26">
        <v>0</v>
      </c>
      <c r="H77" s="26">
        <v>0</v>
      </c>
      <c r="I77" s="27">
        <v>0</v>
      </c>
      <c r="J77" s="26">
        <v>0</v>
      </c>
      <c r="K77" s="26">
        <v>0</v>
      </c>
      <c r="L77" s="67">
        <v>1</v>
      </c>
      <c r="N77" s="8"/>
      <c r="O77" s="2" t="s">
        <v>952</v>
      </c>
      <c r="P77" s="26">
        <v>0</v>
      </c>
      <c r="Q77" s="27">
        <v>0</v>
      </c>
      <c r="R77" s="30">
        <v>0</v>
      </c>
      <c r="S77" s="27">
        <v>0</v>
      </c>
      <c r="T77" s="30">
        <v>0</v>
      </c>
      <c r="U77" s="34">
        <v>1</v>
      </c>
      <c r="V77" s="34">
        <v>1</v>
      </c>
      <c r="X77" s="8"/>
      <c r="Y77" s="2"/>
      <c r="Z77" s="26"/>
      <c r="AA77" s="26"/>
      <c r="AB77" s="26"/>
      <c r="AC77" s="26"/>
      <c r="AD77" s="27"/>
      <c r="AE77" s="30"/>
      <c r="AF77" s="26"/>
      <c r="AG77" s="26"/>
      <c r="AH77" s="32"/>
      <c r="AJ77" s="8"/>
      <c r="AK77" s="2"/>
      <c r="AL77" s="26"/>
      <c r="AM77" s="26"/>
      <c r="AN77" s="26"/>
      <c r="AO77" s="27"/>
      <c r="AP77" s="30"/>
      <c r="AQ77" s="26"/>
      <c r="AR77" s="26"/>
      <c r="AS77" s="32"/>
      <c r="AT77" s="34"/>
    </row>
    <row r="78" spans="2:46" x14ac:dyDescent="0.3">
      <c r="B78" s="8"/>
      <c r="C78" s="2" t="s">
        <v>983</v>
      </c>
      <c r="D78" s="26">
        <v>0</v>
      </c>
      <c r="E78" s="26">
        <v>0</v>
      </c>
      <c r="F78" s="27">
        <v>0</v>
      </c>
      <c r="G78" s="26">
        <v>0</v>
      </c>
      <c r="H78" s="26">
        <v>0</v>
      </c>
      <c r="I78" s="27">
        <v>0</v>
      </c>
      <c r="J78" s="26">
        <v>0</v>
      </c>
      <c r="K78" s="26">
        <v>0</v>
      </c>
      <c r="L78" s="67">
        <v>1</v>
      </c>
      <c r="N78" s="8"/>
      <c r="O78" s="2" t="s">
        <v>953</v>
      </c>
      <c r="P78" s="26">
        <v>0</v>
      </c>
      <c r="Q78" s="27">
        <v>0</v>
      </c>
      <c r="R78" s="30">
        <v>0</v>
      </c>
      <c r="S78" s="27">
        <v>0</v>
      </c>
      <c r="T78" s="30">
        <v>0</v>
      </c>
      <c r="U78" s="34">
        <v>1</v>
      </c>
      <c r="V78" s="34">
        <v>1</v>
      </c>
      <c r="X78" s="8"/>
      <c r="Y78" s="2"/>
      <c r="Z78" s="26"/>
      <c r="AA78" s="26"/>
      <c r="AB78" s="26"/>
      <c r="AC78" s="26"/>
      <c r="AD78" s="27"/>
      <c r="AE78" s="30"/>
      <c r="AF78" s="26"/>
      <c r="AG78" s="26"/>
      <c r="AH78" s="32"/>
      <c r="AJ78" s="8"/>
      <c r="AK78" s="2"/>
      <c r="AL78" s="26"/>
      <c r="AM78" s="26"/>
      <c r="AN78" s="26"/>
      <c r="AO78" s="27"/>
      <c r="AP78" s="30"/>
      <c r="AQ78" s="26"/>
      <c r="AR78" s="26"/>
      <c r="AS78" s="32"/>
      <c r="AT78" s="34"/>
    </row>
    <row r="79" spans="2:46" x14ac:dyDescent="0.3">
      <c r="B79" s="8"/>
      <c r="C79" s="2" t="s">
        <v>984</v>
      </c>
      <c r="D79" s="26">
        <v>0</v>
      </c>
      <c r="E79" s="26">
        <v>0</v>
      </c>
      <c r="F79" s="27">
        <v>0</v>
      </c>
      <c r="G79" s="26">
        <v>0</v>
      </c>
      <c r="H79" s="26">
        <v>0</v>
      </c>
      <c r="I79" s="27">
        <v>0</v>
      </c>
      <c r="J79" s="26">
        <v>0</v>
      </c>
      <c r="K79" s="26">
        <v>0</v>
      </c>
      <c r="L79" s="67">
        <v>1</v>
      </c>
      <c r="N79" s="8"/>
      <c r="O79" s="2" t="s">
        <v>954</v>
      </c>
      <c r="P79" s="26">
        <v>0</v>
      </c>
      <c r="Q79" s="27">
        <v>0</v>
      </c>
      <c r="R79" s="30">
        <v>0</v>
      </c>
      <c r="S79" s="27">
        <v>0</v>
      </c>
      <c r="T79" s="30">
        <v>0</v>
      </c>
      <c r="U79" s="34">
        <v>1</v>
      </c>
      <c r="V79" s="34">
        <v>1</v>
      </c>
      <c r="X79" s="8"/>
      <c r="Y79" s="2"/>
      <c r="Z79" s="26"/>
      <c r="AA79" s="26"/>
      <c r="AB79" s="26"/>
      <c r="AC79" s="26"/>
      <c r="AD79" s="27"/>
      <c r="AE79" s="30"/>
      <c r="AF79" s="26"/>
      <c r="AG79" s="26"/>
      <c r="AH79" s="32"/>
      <c r="AJ79" s="8"/>
      <c r="AK79" s="2"/>
      <c r="AL79" s="26"/>
      <c r="AM79" s="26"/>
      <c r="AN79" s="26"/>
      <c r="AO79" s="27"/>
      <c r="AP79" s="30"/>
      <c r="AQ79" s="26"/>
      <c r="AR79" s="26"/>
      <c r="AS79" s="32"/>
      <c r="AT79" s="34"/>
    </row>
    <row r="80" spans="2:46" x14ac:dyDescent="0.3">
      <c r="B80" s="8"/>
      <c r="C80" s="2" t="s">
        <v>732</v>
      </c>
      <c r="D80" s="26">
        <v>0</v>
      </c>
      <c r="E80" s="26">
        <v>0</v>
      </c>
      <c r="F80" s="27">
        <v>0</v>
      </c>
      <c r="G80" s="26">
        <v>0</v>
      </c>
      <c r="H80" s="26">
        <v>0</v>
      </c>
      <c r="I80" s="27">
        <v>0</v>
      </c>
      <c r="J80" s="26">
        <v>0</v>
      </c>
      <c r="K80" s="26">
        <v>0</v>
      </c>
      <c r="L80" s="67">
        <v>1</v>
      </c>
      <c r="N80" s="8"/>
      <c r="O80" s="2" t="s">
        <v>668</v>
      </c>
      <c r="P80" s="26">
        <v>0</v>
      </c>
      <c r="Q80" s="27">
        <v>0</v>
      </c>
      <c r="R80" s="30">
        <v>0</v>
      </c>
      <c r="S80" s="27">
        <v>0</v>
      </c>
      <c r="T80" s="30">
        <v>0</v>
      </c>
      <c r="U80" s="34">
        <v>1</v>
      </c>
      <c r="V80" s="34">
        <v>1</v>
      </c>
      <c r="X80" s="8"/>
      <c r="Y80" s="2"/>
      <c r="Z80" s="26"/>
      <c r="AA80" s="26"/>
      <c r="AB80" s="26"/>
      <c r="AC80" s="26"/>
      <c r="AD80" s="27"/>
      <c r="AE80" s="30"/>
      <c r="AF80" s="26"/>
      <c r="AG80" s="26"/>
      <c r="AH80" s="32"/>
      <c r="AJ80" s="8"/>
      <c r="AK80" s="2"/>
      <c r="AL80" s="26"/>
      <c r="AM80" s="26"/>
      <c r="AN80" s="26"/>
      <c r="AO80" s="27"/>
      <c r="AP80" s="30"/>
      <c r="AQ80" s="26"/>
      <c r="AR80" s="26"/>
      <c r="AS80" s="32"/>
      <c r="AT80" s="34"/>
    </row>
    <row r="81" spans="2:46" x14ac:dyDescent="0.3">
      <c r="B81" s="8"/>
      <c r="C81" s="2" t="s">
        <v>801</v>
      </c>
      <c r="D81" s="26">
        <v>0</v>
      </c>
      <c r="E81" s="26">
        <v>0</v>
      </c>
      <c r="F81" s="27">
        <v>0</v>
      </c>
      <c r="G81" s="26">
        <v>0</v>
      </c>
      <c r="H81" s="26">
        <v>0</v>
      </c>
      <c r="I81" s="27">
        <v>0</v>
      </c>
      <c r="J81" s="26">
        <v>0</v>
      </c>
      <c r="K81" s="26">
        <v>0</v>
      </c>
      <c r="L81" s="67">
        <v>1</v>
      </c>
      <c r="N81" s="8"/>
      <c r="O81" s="2" t="s">
        <v>844</v>
      </c>
      <c r="P81" s="26">
        <v>0</v>
      </c>
      <c r="Q81" s="27">
        <v>0</v>
      </c>
      <c r="R81" s="30">
        <v>0</v>
      </c>
      <c r="S81" s="27">
        <v>0</v>
      </c>
      <c r="T81" s="30">
        <v>0</v>
      </c>
      <c r="U81" s="34">
        <v>1</v>
      </c>
      <c r="V81" s="34">
        <v>1</v>
      </c>
      <c r="X81" s="8"/>
      <c r="Y81" s="2"/>
      <c r="Z81" s="26"/>
      <c r="AA81" s="26"/>
      <c r="AB81" s="26"/>
      <c r="AC81" s="26"/>
      <c r="AD81" s="27"/>
      <c r="AE81" s="30"/>
      <c r="AF81" s="26"/>
      <c r="AG81" s="26"/>
      <c r="AH81" s="32"/>
      <c r="AJ81" s="8"/>
      <c r="AK81" s="2"/>
      <c r="AL81" s="26"/>
      <c r="AM81" s="26"/>
      <c r="AN81" s="26"/>
      <c r="AO81" s="27"/>
      <c r="AP81" s="30"/>
      <c r="AQ81" s="26"/>
      <c r="AR81" s="26"/>
      <c r="AS81" s="32"/>
      <c r="AT81" s="34"/>
    </row>
    <row r="82" spans="2:46" x14ac:dyDescent="0.3">
      <c r="B82" s="8"/>
      <c r="C82" s="2" t="s">
        <v>802</v>
      </c>
      <c r="D82" s="26">
        <v>0</v>
      </c>
      <c r="E82" s="26">
        <v>0</v>
      </c>
      <c r="F82" s="27">
        <v>0</v>
      </c>
      <c r="G82" s="26">
        <v>0</v>
      </c>
      <c r="H82" s="26">
        <v>0</v>
      </c>
      <c r="I82" s="27">
        <v>0</v>
      </c>
      <c r="J82" s="26">
        <v>0</v>
      </c>
      <c r="K82" s="26">
        <v>0</v>
      </c>
      <c r="L82" s="67">
        <v>1</v>
      </c>
      <c r="N82" s="8"/>
      <c r="O82" s="2" t="s">
        <v>845</v>
      </c>
      <c r="P82" s="26">
        <v>0</v>
      </c>
      <c r="Q82" s="27">
        <v>0</v>
      </c>
      <c r="R82" s="30">
        <v>0</v>
      </c>
      <c r="S82" s="27">
        <v>0</v>
      </c>
      <c r="T82" s="30">
        <v>0</v>
      </c>
      <c r="U82" s="34">
        <v>1</v>
      </c>
      <c r="V82" s="34">
        <v>1</v>
      </c>
      <c r="X82" s="8"/>
      <c r="Y82" s="2"/>
      <c r="Z82" s="26"/>
      <c r="AA82" s="26"/>
      <c r="AB82" s="26"/>
      <c r="AC82" s="26"/>
      <c r="AD82" s="27"/>
      <c r="AE82" s="30"/>
      <c r="AF82" s="26"/>
      <c r="AG82" s="26"/>
      <c r="AH82" s="32"/>
      <c r="AJ82" s="8"/>
      <c r="AK82" s="2"/>
      <c r="AL82" s="26"/>
      <c r="AM82" s="26"/>
      <c r="AN82" s="26"/>
      <c r="AO82" s="27"/>
      <c r="AP82" s="30"/>
      <c r="AQ82" s="26"/>
      <c r="AR82" s="26"/>
      <c r="AS82" s="32"/>
      <c r="AT82" s="34"/>
    </row>
    <row r="83" spans="2:46" x14ac:dyDescent="0.3">
      <c r="B83" s="8"/>
      <c r="C83" s="2" t="s">
        <v>733</v>
      </c>
      <c r="D83" s="26">
        <v>0</v>
      </c>
      <c r="E83" s="26">
        <v>0</v>
      </c>
      <c r="F83" s="27">
        <v>0</v>
      </c>
      <c r="G83" s="26">
        <v>0</v>
      </c>
      <c r="H83" s="26">
        <v>0</v>
      </c>
      <c r="I83" s="27">
        <v>0</v>
      </c>
      <c r="J83" s="26">
        <v>0</v>
      </c>
      <c r="K83" s="26">
        <v>0</v>
      </c>
      <c r="L83" s="67">
        <v>1</v>
      </c>
      <c r="N83" s="8"/>
      <c r="O83" s="2" t="s">
        <v>669</v>
      </c>
      <c r="P83" s="26">
        <v>0</v>
      </c>
      <c r="Q83" s="27">
        <v>0</v>
      </c>
      <c r="R83" s="30">
        <v>0</v>
      </c>
      <c r="S83" s="27">
        <v>0</v>
      </c>
      <c r="T83" s="30">
        <v>0</v>
      </c>
      <c r="U83" s="34">
        <v>1</v>
      </c>
      <c r="V83" s="34">
        <v>1</v>
      </c>
      <c r="X83" s="8"/>
      <c r="Y83" s="2"/>
      <c r="Z83" s="26"/>
      <c r="AA83" s="26"/>
      <c r="AB83" s="26"/>
      <c r="AC83" s="26"/>
      <c r="AD83" s="27"/>
      <c r="AE83" s="30"/>
      <c r="AF83" s="26"/>
      <c r="AG83" s="26"/>
      <c r="AH83" s="32"/>
      <c r="AJ83" s="8"/>
      <c r="AK83" s="2"/>
      <c r="AL83" s="26"/>
      <c r="AM83" s="26"/>
      <c r="AN83" s="26"/>
      <c r="AO83" s="27"/>
      <c r="AP83" s="30"/>
      <c r="AQ83" s="26"/>
      <c r="AR83" s="26"/>
      <c r="AS83" s="32"/>
      <c r="AT83" s="34"/>
    </row>
    <row r="84" spans="2:46" x14ac:dyDescent="0.3">
      <c r="B84" s="8"/>
      <c r="C84" s="2" t="s">
        <v>803</v>
      </c>
      <c r="D84" s="26">
        <v>0</v>
      </c>
      <c r="E84" s="26">
        <v>0</v>
      </c>
      <c r="F84" s="27">
        <v>0</v>
      </c>
      <c r="G84" s="26">
        <v>0</v>
      </c>
      <c r="H84" s="26">
        <v>0</v>
      </c>
      <c r="I84" s="27">
        <v>0</v>
      </c>
      <c r="J84" s="26">
        <v>0</v>
      </c>
      <c r="K84" s="26">
        <v>0</v>
      </c>
      <c r="L84" s="67">
        <v>1</v>
      </c>
      <c r="N84" s="8"/>
      <c r="O84" s="2" t="s">
        <v>846</v>
      </c>
      <c r="P84" s="26">
        <v>0</v>
      </c>
      <c r="Q84" s="27">
        <v>0</v>
      </c>
      <c r="R84" s="30">
        <v>0</v>
      </c>
      <c r="S84" s="27">
        <v>0</v>
      </c>
      <c r="T84" s="30">
        <v>0</v>
      </c>
      <c r="U84" s="34">
        <v>1</v>
      </c>
      <c r="V84" s="34">
        <v>1</v>
      </c>
      <c r="X84" s="8"/>
      <c r="Y84" s="2"/>
      <c r="Z84" s="26"/>
      <c r="AA84" s="26"/>
      <c r="AB84" s="26"/>
      <c r="AC84" s="26"/>
      <c r="AD84" s="27"/>
      <c r="AE84" s="30"/>
      <c r="AF84" s="26"/>
      <c r="AG84" s="26"/>
      <c r="AH84" s="32"/>
      <c r="AJ84" s="8"/>
      <c r="AK84" s="2"/>
      <c r="AL84" s="26"/>
      <c r="AM84" s="26"/>
      <c r="AN84" s="26"/>
      <c r="AO84" s="27"/>
      <c r="AP84" s="30"/>
      <c r="AQ84" s="26"/>
      <c r="AR84" s="26"/>
      <c r="AS84" s="32"/>
      <c r="AT84" s="34"/>
    </row>
    <row r="85" spans="2:46" x14ac:dyDescent="0.3">
      <c r="B85" s="8"/>
      <c r="C85" s="2" t="s">
        <v>804</v>
      </c>
      <c r="D85" s="26">
        <v>0</v>
      </c>
      <c r="E85" s="26">
        <v>0</v>
      </c>
      <c r="F85" s="27">
        <v>0</v>
      </c>
      <c r="G85" s="26">
        <v>0</v>
      </c>
      <c r="H85" s="26">
        <v>0</v>
      </c>
      <c r="I85" s="27">
        <v>0</v>
      </c>
      <c r="J85" s="26">
        <v>0</v>
      </c>
      <c r="K85" s="26">
        <v>0</v>
      </c>
      <c r="L85" s="67">
        <v>1</v>
      </c>
      <c r="N85" s="8"/>
      <c r="O85" s="2" t="s">
        <v>847</v>
      </c>
      <c r="P85" s="26">
        <v>0</v>
      </c>
      <c r="Q85" s="27">
        <v>0</v>
      </c>
      <c r="R85" s="30">
        <v>0</v>
      </c>
      <c r="S85" s="27">
        <v>0</v>
      </c>
      <c r="T85" s="30">
        <v>0</v>
      </c>
      <c r="U85" s="34">
        <v>1</v>
      </c>
      <c r="V85" s="34">
        <v>1</v>
      </c>
      <c r="X85" s="8"/>
      <c r="Y85" s="2"/>
      <c r="Z85" s="26"/>
      <c r="AA85" s="26"/>
      <c r="AB85" s="26"/>
      <c r="AC85" s="26"/>
      <c r="AD85" s="27"/>
      <c r="AE85" s="30"/>
      <c r="AF85" s="26"/>
      <c r="AG85" s="26"/>
      <c r="AH85" s="32"/>
      <c r="AJ85" s="8"/>
      <c r="AK85" s="2"/>
      <c r="AL85" s="26"/>
      <c r="AM85" s="26"/>
      <c r="AN85" s="26"/>
      <c r="AO85" s="27"/>
      <c r="AP85" s="30"/>
      <c r="AQ85" s="26"/>
      <c r="AR85" s="26"/>
      <c r="AS85" s="32"/>
      <c r="AT85" s="34"/>
    </row>
    <row r="86" spans="2:46" x14ac:dyDescent="0.3">
      <c r="B86" s="8"/>
      <c r="C86" s="2" t="s">
        <v>805</v>
      </c>
      <c r="D86" s="26">
        <v>0</v>
      </c>
      <c r="E86" s="26">
        <v>0</v>
      </c>
      <c r="F86" s="27">
        <v>0</v>
      </c>
      <c r="G86" s="26">
        <v>0</v>
      </c>
      <c r="H86" s="26">
        <v>0</v>
      </c>
      <c r="I86" s="27">
        <v>0</v>
      </c>
      <c r="J86" s="26">
        <v>0</v>
      </c>
      <c r="K86" s="26">
        <v>0</v>
      </c>
      <c r="L86" s="67">
        <v>1</v>
      </c>
      <c r="N86" s="8"/>
      <c r="O86" s="2" t="s">
        <v>848</v>
      </c>
      <c r="P86" s="26">
        <v>0</v>
      </c>
      <c r="Q86" s="27">
        <v>0</v>
      </c>
      <c r="R86" s="30">
        <v>0</v>
      </c>
      <c r="S86" s="27">
        <v>0</v>
      </c>
      <c r="T86" s="30">
        <v>0</v>
      </c>
      <c r="U86" s="34">
        <v>1</v>
      </c>
      <c r="V86" s="34">
        <v>1</v>
      </c>
      <c r="X86" s="8"/>
      <c r="Y86" s="2"/>
      <c r="Z86" s="26"/>
      <c r="AA86" s="26"/>
      <c r="AB86" s="26"/>
      <c r="AC86" s="26"/>
      <c r="AD86" s="27"/>
      <c r="AE86" s="30"/>
      <c r="AF86" s="26"/>
      <c r="AG86" s="26"/>
      <c r="AH86" s="32"/>
      <c r="AJ86" s="8"/>
      <c r="AK86" s="2"/>
      <c r="AL86" s="26"/>
      <c r="AM86" s="26"/>
      <c r="AN86" s="26"/>
      <c r="AO86" s="27"/>
      <c r="AP86" s="30"/>
      <c r="AQ86" s="26"/>
      <c r="AR86" s="26"/>
      <c r="AS86" s="32"/>
      <c r="AT86" s="34"/>
    </row>
    <row r="87" spans="2:46" x14ac:dyDescent="0.3">
      <c r="B87" s="8"/>
      <c r="C87" s="2" t="s">
        <v>734</v>
      </c>
      <c r="D87" s="26">
        <v>0</v>
      </c>
      <c r="E87" s="26">
        <v>0</v>
      </c>
      <c r="F87" s="27">
        <v>0</v>
      </c>
      <c r="G87" s="26">
        <v>0</v>
      </c>
      <c r="H87" s="26">
        <v>0</v>
      </c>
      <c r="I87" s="27">
        <v>0</v>
      </c>
      <c r="J87" s="26">
        <v>0</v>
      </c>
      <c r="K87" s="26">
        <v>0</v>
      </c>
      <c r="L87" s="67">
        <v>1</v>
      </c>
      <c r="N87" s="8"/>
      <c r="O87" s="2" t="s">
        <v>670</v>
      </c>
      <c r="P87" s="26">
        <v>0</v>
      </c>
      <c r="Q87" s="27">
        <v>0</v>
      </c>
      <c r="R87" s="30">
        <v>0</v>
      </c>
      <c r="S87" s="27">
        <v>0</v>
      </c>
      <c r="T87" s="30">
        <v>0</v>
      </c>
      <c r="U87" s="34">
        <v>1</v>
      </c>
      <c r="V87" s="34">
        <v>1</v>
      </c>
      <c r="X87" s="8"/>
      <c r="Y87" s="2"/>
      <c r="Z87" s="26"/>
      <c r="AA87" s="26"/>
      <c r="AB87" s="26"/>
      <c r="AC87" s="26"/>
      <c r="AD87" s="27"/>
      <c r="AE87" s="30"/>
      <c r="AF87" s="26"/>
      <c r="AG87" s="26"/>
      <c r="AH87" s="32"/>
      <c r="AJ87" s="8"/>
      <c r="AK87" s="2"/>
      <c r="AL87" s="26"/>
      <c r="AM87" s="26"/>
      <c r="AN87" s="26"/>
      <c r="AO87" s="27"/>
      <c r="AP87" s="30"/>
      <c r="AQ87" s="26"/>
      <c r="AR87" s="26"/>
      <c r="AS87" s="32"/>
      <c r="AT87" s="34"/>
    </row>
    <row r="88" spans="2:46" x14ac:dyDescent="0.3">
      <c r="B88" s="8"/>
      <c r="C88" s="2" t="s">
        <v>735</v>
      </c>
      <c r="D88" s="26">
        <v>0</v>
      </c>
      <c r="E88" s="26">
        <v>0</v>
      </c>
      <c r="F88" s="27">
        <v>0</v>
      </c>
      <c r="G88" s="26">
        <v>0</v>
      </c>
      <c r="H88" s="26">
        <v>0</v>
      </c>
      <c r="I88" s="27">
        <v>0</v>
      </c>
      <c r="J88" s="26">
        <v>0</v>
      </c>
      <c r="K88" s="26">
        <v>0</v>
      </c>
      <c r="L88" s="67">
        <v>1</v>
      </c>
      <c r="N88" s="8"/>
      <c r="O88" s="2" t="s">
        <v>671</v>
      </c>
      <c r="P88" s="26">
        <v>0</v>
      </c>
      <c r="Q88" s="27">
        <v>0</v>
      </c>
      <c r="R88" s="30">
        <v>0</v>
      </c>
      <c r="S88" s="27">
        <v>0</v>
      </c>
      <c r="T88" s="30">
        <v>0</v>
      </c>
      <c r="U88" s="34">
        <v>1</v>
      </c>
      <c r="V88" s="34">
        <v>1</v>
      </c>
      <c r="X88" s="8"/>
      <c r="Y88" s="2"/>
      <c r="Z88" s="26"/>
      <c r="AA88" s="26"/>
      <c r="AB88" s="26"/>
      <c r="AC88" s="26"/>
      <c r="AD88" s="27"/>
      <c r="AE88" s="30"/>
      <c r="AF88" s="26"/>
      <c r="AG88" s="26"/>
      <c r="AH88" s="32"/>
      <c r="AJ88" s="8"/>
      <c r="AK88" s="2"/>
      <c r="AL88" s="26"/>
      <c r="AM88" s="26"/>
      <c r="AN88" s="26"/>
      <c r="AO88" s="27"/>
      <c r="AP88" s="30"/>
      <c r="AQ88" s="26"/>
      <c r="AR88" s="26"/>
      <c r="AS88" s="32"/>
      <c r="AT88" s="34"/>
    </row>
    <row r="89" spans="2:46" x14ac:dyDescent="0.3">
      <c r="B89" s="8"/>
      <c r="C89" s="2" t="s">
        <v>736</v>
      </c>
      <c r="D89" s="26">
        <v>0</v>
      </c>
      <c r="E89" s="26">
        <v>0</v>
      </c>
      <c r="F89" s="27">
        <v>0</v>
      </c>
      <c r="G89" s="26">
        <v>0</v>
      </c>
      <c r="H89" s="26">
        <v>0</v>
      </c>
      <c r="I89" s="27">
        <v>0</v>
      </c>
      <c r="J89" s="26">
        <v>0</v>
      </c>
      <c r="K89" s="26">
        <v>0</v>
      </c>
      <c r="L89" s="67">
        <v>1</v>
      </c>
      <c r="N89" s="8"/>
      <c r="O89" s="2" t="s">
        <v>672</v>
      </c>
      <c r="P89" s="26">
        <v>0</v>
      </c>
      <c r="Q89" s="27">
        <v>0</v>
      </c>
      <c r="R89" s="30">
        <v>0</v>
      </c>
      <c r="S89" s="27">
        <v>0</v>
      </c>
      <c r="T89" s="30">
        <v>0</v>
      </c>
      <c r="U89" s="34">
        <v>1</v>
      </c>
      <c r="V89" s="34">
        <v>1</v>
      </c>
      <c r="X89" s="8"/>
      <c r="Y89" s="2"/>
      <c r="Z89" s="26"/>
      <c r="AA89" s="26"/>
      <c r="AB89" s="26"/>
      <c r="AC89" s="26"/>
      <c r="AD89" s="27"/>
      <c r="AE89" s="30"/>
      <c r="AF89" s="26"/>
      <c r="AG89" s="26"/>
      <c r="AH89" s="32"/>
      <c r="AJ89" s="8"/>
      <c r="AK89" s="2"/>
      <c r="AL89" s="26"/>
      <c r="AM89" s="26"/>
      <c r="AN89" s="26"/>
      <c r="AO89" s="27"/>
      <c r="AP89" s="30"/>
      <c r="AQ89" s="26"/>
      <c r="AR89" s="26"/>
      <c r="AS89" s="32"/>
      <c r="AT89" s="34"/>
    </row>
    <row r="90" spans="2:46" x14ac:dyDescent="0.3">
      <c r="B90" s="8"/>
      <c r="C90" s="2" t="s">
        <v>737</v>
      </c>
      <c r="D90" s="26">
        <v>0</v>
      </c>
      <c r="E90" s="26">
        <v>0</v>
      </c>
      <c r="F90" s="27">
        <v>0</v>
      </c>
      <c r="G90" s="26">
        <v>0</v>
      </c>
      <c r="H90" s="26">
        <v>0</v>
      </c>
      <c r="I90" s="27">
        <v>0</v>
      </c>
      <c r="J90" s="26">
        <v>0</v>
      </c>
      <c r="K90" s="26">
        <v>0</v>
      </c>
      <c r="L90" s="67">
        <v>1</v>
      </c>
      <c r="N90" s="8"/>
      <c r="O90" s="2" t="s">
        <v>673</v>
      </c>
      <c r="P90" s="26">
        <v>0</v>
      </c>
      <c r="Q90" s="27">
        <v>0</v>
      </c>
      <c r="R90" s="30">
        <v>0</v>
      </c>
      <c r="S90" s="27">
        <v>0</v>
      </c>
      <c r="T90" s="30">
        <v>0</v>
      </c>
      <c r="U90" s="34">
        <v>1</v>
      </c>
      <c r="V90" s="34">
        <v>1</v>
      </c>
      <c r="X90" s="8"/>
      <c r="Y90" s="2"/>
      <c r="Z90" s="26"/>
      <c r="AA90" s="26"/>
      <c r="AB90" s="26"/>
      <c r="AC90" s="26"/>
      <c r="AD90" s="27"/>
      <c r="AE90" s="30"/>
      <c r="AF90" s="26"/>
      <c r="AG90" s="26"/>
      <c r="AH90" s="32"/>
      <c r="AJ90" s="8"/>
      <c r="AK90" s="2"/>
      <c r="AL90" s="26"/>
      <c r="AM90" s="26"/>
      <c r="AN90" s="26"/>
      <c r="AO90" s="27"/>
      <c r="AP90" s="30"/>
      <c r="AQ90" s="26"/>
      <c r="AR90" s="26"/>
      <c r="AS90" s="32"/>
      <c r="AT90" s="34"/>
    </row>
    <row r="91" spans="2:46" x14ac:dyDescent="0.3">
      <c r="B91" s="8"/>
      <c r="C91" s="2" t="s">
        <v>806</v>
      </c>
      <c r="D91" s="26">
        <v>0</v>
      </c>
      <c r="E91" s="26">
        <v>0</v>
      </c>
      <c r="F91" s="27">
        <v>0</v>
      </c>
      <c r="G91" s="26">
        <v>0</v>
      </c>
      <c r="H91" s="26">
        <v>0</v>
      </c>
      <c r="I91" s="27">
        <v>0</v>
      </c>
      <c r="J91" s="26">
        <v>0</v>
      </c>
      <c r="K91" s="26">
        <v>0</v>
      </c>
      <c r="L91" s="67">
        <v>1</v>
      </c>
      <c r="N91" s="8"/>
      <c r="O91" s="2" t="s">
        <v>849</v>
      </c>
      <c r="P91" s="26">
        <v>0</v>
      </c>
      <c r="Q91" s="27">
        <v>0</v>
      </c>
      <c r="R91" s="30">
        <v>0</v>
      </c>
      <c r="S91" s="27">
        <v>0</v>
      </c>
      <c r="T91" s="30">
        <v>0</v>
      </c>
      <c r="U91" s="34">
        <v>1</v>
      </c>
      <c r="V91" s="34">
        <v>1</v>
      </c>
      <c r="X91" s="8"/>
      <c r="Y91" s="2"/>
      <c r="Z91" s="26"/>
      <c r="AA91" s="26"/>
      <c r="AB91" s="26"/>
      <c r="AC91" s="26"/>
      <c r="AD91" s="27"/>
      <c r="AE91" s="30"/>
      <c r="AF91" s="26"/>
      <c r="AG91" s="26"/>
      <c r="AH91" s="32"/>
      <c r="AJ91" s="8"/>
      <c r="AK91" s="2"/>
      <c r="AL91" s="26"/>
      <c r="AM91" s="26"/>
      <c r="AN91" s="26"/>
      <c r="AO91" s="27"/>
      <c r="AP91" s="30"/>
      <c r="AQ91" s="26"/>
      <c r="AR91" s="26"/>
      <c r="AS91" s="32"/>
      <c r="AT91" s="34"/>
    </row>
    <row r="92" spans="2:46" x14ac:dyDescent="0.3">
      <c r="B92" s="8"/>
      <c r="C92" s="2" t="s">
        <v>807</v>
      </c>
      <c r="D92" s="26">
        <v>0</v>
      </c>
      <c r="E92" s="26">
        <v>0</v>
      </c>
      <c r="F92" s="27">
        <v>0</v>
      </c>
      <c r="G92" s="26">
        <v>0</v>
      </c>
      <c r="H92" s="26">
        <v>0</v>
      </c>
      <c r="I92" s="27">
        <v>0</v>
      </c>
      <c r="J92" s="26">
        <v>0</v>
      </c>
      <c r="K92" s="26">
        <v>0</v>
      </c>
      <c r="L92" s="67">
        <v>1</v>
      </c>
      <c r="N92" s="8"/>
      <c r="O92" s="2" t="s">
        <v>850</v>
      </c>
      <c r="P92" s="26">
        <v>0</v>
      </c>
      <c r="Q92" s="27">
        <v>0</v>
      </c>
      <c r="R92" s="30">
        <v>0</v>
      </c>
      <c r="S92" s="27">
        <v>0</v>
      </c>
      <c r="T92" s="30">
        <v>0</v>
      </c>
      <c r="U92" s="34">
        <v>1</v>
      </c>
      <c r="V92" s="34">
        <v>1</v>
      </c>
      <c r="X92" s="8"/>
      <c r="Y92" s="2"/>
      <c r="Z92" s="26"/>
      <c r="AA92" s="26"/>
      <c r="AB92" s="26"/>
      <c r="AC92" s="26"/>
      <c r="AD92" s="27"/>
      <c r="AE92" s="30"/>
      <c r="AF92" s="26"/>
      <c r="AG92" s="26"/>
      <c r="AH92" s="32"/>
      <c r="AJ92" s="8"/>
      <c r="AK92" s="2"/>
      <c r="AL92" s="26"/>
      <c r="AM92" s="26"/>
      <c r="AN92" s="26"/>
      <c r="AO92" s="27"/>
      <c r="AP92" s="30"/>
      <c r="AQ92" s="26"/>
      <c r="AR92" s="26"/>
      <c r="AS92" s="32"/>
      <c r="AT92" s="34"/>
    </row>
    <row r="93" spans="2:46" x14ac:dyDescent="0.3">
      <c r="B93" s="8"/>
      <c r="C93" s="2" t="s">
        <v>738</v>
      </c>
      <c r="D93" s="26">
        <v>0</v>
      </c>
      <c r="E93" s="26">
        <v>0</v>
      </c>
      <c r="F93" s="27">
        <v>0</v>
      </c>
      <c r="G93" s="26">
        <v>0</v>
      </c>
      <c r="H93" s="26">
        <v>0</v>
      </c>
      <c r="I93" s="27">
        <v>0</v>
      </c>
      <c r="J93" s="26">
        <v>0</v>
      </c>
      <c r="K93" s="26">
        <v>0</v>
      </c>
      <c r="L93" s="67">
        <v>1</v>
      </c>
      <c r="N93" s="8"/>
      <c r="O93" s="2" t="s">
        <v>674</v>
      </c>
      <c r="P93" s="26">
        <v>0</v>
      </c>
      <c r="Q93" s="27">
        <v>0</v>
      </c>
      <c r="R93" s="30">
        <v>0</v>
      </c>
      <c r="S93" s="27">
        <v>0</v>
      </c>
      <c r="T93" s="30">
        <v>0</v>
      </c>
      <c r="U93" s="34">
        <v>1</v>
      </c>
      <c r="V93" s="34">
        <v>1</v>
      </c>
      <c r="X93" s="8"/>
      <c r="Y93" s="2"/>
      <c r="Z93" s="26"/>
      <c r="AA93" s="26"/>
      <c r="AB93" s="26"/>
      <c r="AC93" s="26"/>
      <c r="AD93" s="27"/>
      <c r="AE93" s="30"/>
      <c r="AF93" s="26"/>
      <c r="AG93" s="26"/>
      <c r="AH93" s="32"/>
      <c r="AJ93" s="8"/>
      <c r="AK93" s="2"/>
      <c r="AL93" s="26"/>
      <c r="AM93" s="26"/>
      <c r="AN93" s="26"/>
      <c r="AO93" s="27"/>
      <c r="AP93" s="30"/>
      <c r="AQ93" s="26"/>
      <c r="AR93" s="26"/>
      <c r="AS93" s="32"/>
      <c r="AT93" s="34"/>
    </row>
    <row r="94" spans="2:46" x14ac:dyDescent="0.3">
      <c r="B94" s="8"/>
      <c r="C94" s="2" t="s">
        <v>739</v>
      </c>
      <c r="D94" s="26">
        <v>0</v>
      </c>
      <c r="E94" s="26">
        <v>0</v>
      </c>
      <c r="F94" s="27">
        <v>0</v>
      </c>
      <c r="G94" s="26">
        <v>0</v>
      </c>
      <c r="H94" s="26">
        <v>0</v>
      </c>
      <c r="I94" s="27">
        <v>0</v>
      </c>
      <c r="J94" s="26">
        <v>0</v>
      </c>
      <c r="K94" s="26">
        <v>0</v>
      </c>
      <c r="L94" s="67">
        <v>1</v>
      </c>
      <c r="N94" s="8"/>
      <c r="O94" s="2" t="s">
        <v>675</v>
      </c>
      <c r="P94" s="26">
        <v>0</v>
      </c>
      <c r="Q94" s="27">
        <v>0</v>
      </c>
      <c r="R94" s="30">
        <v>0</v>
      </c>
      <c r="S94" s="27">
        <v>0</v>
      </c>
      <c r="T94" s="30">
        <v>0</v>
      </c>
      <c r="U94" s="34">
        <v>1</v>
      </c>
      <c r="V94" s="34">
        <v>1</v>
      </c>
      <c r="X94" s="8"/>
      <c r="Y94" s="2"/>
      <c r="Z94" s="26"/>
      <c r="AA94" s="26"/>
      <c r="AB94" s="26"/>
      <c r="AC94" s="26"/>
      <c r="AD94" s="27"/>
      <c r="AE94" s="30"/>
      <c r="AF94" s="26"/>
      <c r="AG94" s="26"/>
      <c r="AH94" s="32"/>
      <c r="AJ94" s="8"/>
      <c r="AK94" s="2"/>
      <c r="AL94" s="26"/>
      <c r="AM94" s="26"/>
      <c r="AN94" s="26"/>
      <c r="AO94" s="27"/>
      <c r="AP94" s="30"/>
      <c r="AQ94" s="26"/>
      <c r="AR94" s="26"/>
      <c r="AS94" s="32"/>
      <c r="AT94" s="34"/>
    </row>
    <row r="95" spans="2:46" x14ac:dyDescent="0.3">
      <c r="B95" s="8"/>
      <c r="C95" s="2" t="s">
        <v>740</v>
      </c>
      <c r="D95" s="26">
        <v>0</v>
      </c>
      <c r="E95" s="26">
        <v>0</v>
      </c>
      <c r="F95" s="27">
        <v>0</v>
      </c>
      <c r="G95" s="26">
        <v>0</v>
      </c>
      <c r="H95" s="26">
        <v>0</v>
      </c>
      <c r="I95" s="27">
        <v>0</v>
      </c>
      <c r="J95" s="26">
        <v>0</v>
      </c>
      <c r="K95" s="26">
        <v>0</v>
      </c>
      <c r="L95" s="67">
        <v>1</v>
      </c>
      <c r="N95" s="8"/>
      <c r="O95" s="2" t="s">
        <v>676</v>
      </c>
      <c r="P95" s="26">
        <v>0</v>
      </c>
      <c r="Q95" s="27">
        <v>0</v>
      </c>
      <c r="R95" s="30">
        <v>0</v>
      </c>
      <c r="S95" s="27">
        <v>0</v>
      </c>
      <c r="T95" s="30">
        <v>0</v>
      </c>
      <c r="U95" s="34">
        <v>1</v>
      </c>
      <c r="V95" s="34">
        <v>1</v>
      </c>
      <c r="X95" s="8"/>
      <c r="Y95" s="2"/>
      <c r="Z95" s="26"/>
      <c r="AA95" s="26"/>
      <c r="AB95" s="26"/>
      <c r="AC95" s="26"/>
      <c r="AD95" s="27"/>
      <c r="AE95" s="30"/>
      <c r="AF95" s="26"/>
      <c r="AG95" s="26"/>
      <c r="AH95" s="32"/>
      <c r="AJ95" s="8"/>
      <c r="AK95" s="2"/>
      <c r="AL95" s="26"/>
      <c r="AM95" s="26"/>
      <c r="AN95" s="26"/>
      <c r="AO95" s="27"/>
      <c r="AP95" s="30"/>
      <c r="AQ95" s="26"/>
      <c r="AR95" s="26"/>
      <c r="AS95" s="32"/>
      <c r="AT95" s="34"/>
    </row>
    <row r="96" spans="2:46" x14ac:dyDescent="0.3">
      <c r="B96" s="8"/>
      <c r="C96" s="2" t="s">
        <v>741</v>
      </c>
      <c r="D96" s="26">
        <v>0</v>
      </c>
      <c r="E96" s="26">
        <v>0</v>
      </c>
      <c r="F96" s="27">
        <v>0</v>
      </c>
      <c r="G96" s="26">
        <v>0</v>
      </c>
      <c r="H96" s="26">
        <v>0</v>
      </c>
      <c r="I96" s="27">
        <v>0</v>
      </c>
      <c r="J96" s="26">
        <v>0</v>
      </c>
      <c r="K96" s="26">
        <v>0</v>
      </c>
      <c r="L96" s="67">
        <v>1</v>
      </c>
      <c r="N96" s="8"/>
      <c r="O96" s="2" t="s">
        <v>677</v>
      </c>
      <c r="P96" s="26">
        <v>0</v>
      </c>
      <c r="Q96" s="27">
        <v>0</v>
      </c>
      <c r="R96" s="30">
        <v>0</v>
      </c>
      <c r="S96" s="27">
        <v>0</v>
      </c>
      <c r="T96" s="30">
        <v>0</v>
      </c>
      <c r="U96" s="34">
        <v>1</v>
      </c>
      <c r="V96" s="34">
        <v>1</v>
      </c>
      <c r="X96" s="8"/>
      <c r="Y96" s="2"/>
      <c r="Z96" s="26"/>
      <c r="AA96" s="26"/>
      <c r="AB96" s="26"/>
      <c r="AC96" s="26"/>
      <c r="AD96" s="27"/>
      <c r="AE96" s="30"/>
      <c r="AF96" s="26"/>
      <c r="AG96" s="26"/>
      <c r="AH96" s="32"/>
      <c r="AJ96" s="8"/>
      <c r="AK96" s="2"/>
      <c r="AL96" s="26"/>
      <c r="AM96" s="26"/>
      <c r="AN96" s="26"/>
      <c r="AO96" s="27"/>
      <c r="AP96" s="30"/>
      <c r="AQ96" s="26"/>
      <c r="AR96" s="26"/>
      <c r="AS96" s="32"/>
      <c r="AT96" s="34"/>
    </row>
    <row r="97" spans="2:46" x14ac:dyDescent="0.3">
      <c r="B97" s="8"/>
      <c r="C97" s="2" t="s">
        <v>742</v>
      </c>
      <c r="D97" s="26">
        <v>0</v>
      </c>
      <c r="E97" s="26">
        <v>0</v>
      </c>
      <c r="F97" s="27">
        <v>0</v>
      </c>
      <c r="G97" s="26">
        <v>0</v>
      </c>
      <c r="H97" s="26">
        <v>0</v>
      </c>
      <c r="I97" s="27">
        <v>0</v>
      </c>
      <c r="J97" s="26">
        <v>0</v>
      </c>
      <c r="K97" s="26">
        <v>0</v>
      </c>
      <c r="L97" s="67">
        <v>1</v>
      </c>
      <c r="N97" s="8"/>
      <c r="O97" s="2" t="s">
        <v>678</v>
      </c>
      <c r="P97" s="26">
        <v>0</v>
      </c>
      <c r="Q97" s="27">
        <v>0</v>
      </c>
      <c r="R97" s="30">
        <v>0</v>
      </c>
      <c r="S97" s="27">
        <v>0</v>
      </c>
      <c r="T97" s="30">
        <v>0</v>
      </c>
      <c r="U97" s="34">
        <v>1</v>
      </c>
      <c r="V97" s="34">
        <v>1</v>
      </c>
      <c r="X97" s="8"/>
      <c r="Y97" s="2"/>
      <c r="Z97" s="26"/>
      <c r="AA97" s="26"/>
      <c r="AB97" s="26"/>
      <c r="AC97" s="26"/>
      <c r="AD97" s="27"/>
      <c r="AE97" s="30"/>
      <c r="AF97" s="26"/>
      <c r="AG97" s="26"/>
      <c r="AH97" s="32"/>
      <c r="AJ97" s="8"/>
      <c r="AK97" s="2"/>
      <c r="AL97" s="26"/>
      <c r="AM97" s="26"/>
      <c r="AN97" s="26"/>
      <c r="AO97" s="27"/>
      <c r="AP97" s="30"/>
      <c r="AQ97" s="26"/>
      <c r="AR97" s="26"/>
      <c r="AS97" s="32"/>
      <c r="AT97" s="34"/>
    </row>
    <row r="98" spans="2:46" x14ac:dyDescent="0.3">
      <c r="B98" s="8"/>
      <c r="C98" s="2" t="s">
        <v>743</v>
      </c>
      <c r="D98" s="26">
        <v>0</v>
      </c>
      <c r="E98" s="26">
        <v>0</v>
      </c>
      <c r="F98" s="27">
        <v>0</v>
      </c>
      <c r="G98" s="26">
        <v>0</v>
      </c>
      <c r="H98" s="26">
        <v>0</v>
      </c>
      <c r="I98" s="27">
        <v>0</v>
      </c>
      <c r="J98" s="26">
        <v>0</v>
      </c>
      <c r="K98" s="26">
        <v>0</v>
      </c>
      <c r="L98" s="67">
        <v>1</v>
      </c>
      <c r="N98" s="8"/>
      <c r="O98" s="2" t="s">
        <v>679</v>
      </c>
      <c r="P98" s="26">
        <v>0</v>
      </c>
      <c r="Q98" s="27">
        <v>0</v>
      </c>
      <c r="R98" s="30">
        <v>0</v>
      </c>
      <c r="S98" s="27">
        <v>0</v>
      </c>
      <c r="T98" s="30">
        <v>0</v>
      </c>
      <c r="U98" s="34">
        <v>1</v>
      </c>
      <c r="V98" s="34">
        <v>1</v>
      </c>
      <c r="X98" s="8"/>
      <c r="Y98" s="2"/>
      <c r="Z98" s="26"/>
      <c r="AA98" s="26"/>
      <c r="AB98" s="26"/>
      <c r="AC98" s="26"/>
      <c r="AD98" s="27"/>
      <c r="AE98" s="30"/>
      <c r="AF98" s="26"/>
      <c r="AG98" s="26"/>
      <c r="AH98" s="32"/>
      <c r="AJ98" s="8"/>
      <c r="AK98" s="2"/>
      <c r="AL98" s="26"/>
      <c r="AM98" s="26"/>
      <c r="AN98" s="26"/>
      <c r="AO98" s="27"/>
      <c r="AP98" s="30"/>
      <c r="AQ98" s="26"/>
      <c r="AR98" s="26"/>
      <c r="AS98" s="32"/>
      <c r="AT98" s="34"/>
    </row>
    <row r="99" spans="2:46" x14ac:dyDescent="0.3">
      <c r="B99" s="8"/>
      <c r="C99" s="2" t="s">
        <v>744</v>
      </c>
      <c r="D99" s="26">
        <v>0</v>
      </c>
      <c r="E99" s="26">
        <v>0</v>
      </c>
      <c r="F99" s="27">
        <v>0</v>
      </c>
      <c r="G99" s="26">
        <v>0</v>
      </c>
      <c r="H99" s="26">
        <v>0</v>
      </c>
      <c r="I99" s="27">
        <v>0</v>
      </c>
      <c r="J99" s="26">
        <v>0</v>
      </c>
      <c r="K99" s="26">
        <v>0</v>
      </c>
      <c r="L99" s="67">
        <v>1</v>
      </c>
      <c r="N99" s="8"/>
      <c r="O99" s="2" t="s">
        <v>680</v>
      </c>
      <c r="P99" s="26">
        <v>0</v>
      </c>
      <c r="Q99" s="27">
        <v>0</v>
      </c>
      <c r="R99" s="30">
        <v>0</v>
      </c>
      <c r="S99" s="27">
        <v>0</v>
      </c>
      <c r="T99" s="30">
        <v>0</v>
      </c>
      <c r="U99" s="34">
        <v>1</v>
      </c>
      <c r="V99" s="34">
        <v>1</v>
      </c>
      <c r="X99" s="8"/>
      <c r="Y99" s="2"/>
      <c r="Z99" s="26"/>
      <c r="AA99" s="26"/>
      <c r="AB99" s="26"/>
      <c r="AC99" s="26"/>
      <c r="AD99" s="27"/>
      <c r="AE99" s="30"/>
      <c r="AF99" s="26"/>
      <c r="AG99" s="26"/>
      <c r="AH99" s="32"/>
      <c r="AJ99" s="8"/>
      <c r="AK99" s="2"/>
      <c r="AL99" s="26"/>
      <c r="AM99" s="26"/>
      <c r="AN99" s="26"/>
      <c r="AO99" s="27"/>
      <c r="AP99" s="30"/>
      <c r="AQ99" s="26"/>
      <c r="AR99" s="26"/>
      <c r="AS99" s="32"/>
      <c r="AT99" s="34"/>
    </row>
    <row r="100" spans="2:46" x14ac:dyDescent="0.3">
      <c r="B100" s="8"/>
      <c r="C100" s="2" t="s">
        <v>808</v>
      </c>
      <c r="D100" s="26">
        <v>0</v>
      </c>
      <c r="E100" s="26">
        <v>0</v>
      </c>
      <c r="F100" s="27">
        <v>0</v>
      </c>
      <c r="G100" s="26">
        <v>0</v>
      </c>
      <c r="H100" s="26">
        <v>0</v>
      </c>
      <c r="I100" s="27">
        <v>0</v>
      </c>
      <c r="J100" s="26">
        <v>0</v>
      </c>
      <c r="K100" s="26">
        <v>0</v>
      </c>
      <c r="L100" s="67">
        <v>1</v>
      </c>
      <c r="N100" s="8"/>
      <c r="O100" s="2" t="s">
        <v>851</v>
      </c>
      <c r="P100" s="26">
        <v>0</v>
      </c>
      <c r="Q100" s="27">
        <v>0</v>
      </c>
      <c r="R100" s="30">
        <v>0</v>
      </c>
      <c r="S100" s="27">
        <v>0</v>
      </c>
      <c r="T100" s="30">
        <v>0</v>
      </c>
      <c r="U100" s="34">
        <v>1</v>
      </c>
      <c r="V100" s="34">
        <v>1</v>
      </c>
      <c r="X100" s="8"/>
      <c r="Y100" s="2"/>
      <c r="Z100" s="26"/>
      <c r="AA100" s="26"/>
      <c r="AB100" s="26"/>
      <c r="AC100" s="26"/>
      <c r="AD100" s="27"/>
      <c r="AE100" s="30"/>
      <c r="AF100" s="26"/>
      <c r="AG100" s="26"/>
      <c r="AH100" s="32"/>
      <c r="AJ100" s="8"/>
      <c r="AK100" s="2"/>
      <c r="AL100" s="26"/>
      <c r="AM100" s="26"/>
      <c r="AN100" s="26"/>
      <c r="AO100" s="27"/>
      <c r="AP100" s="30"/>
      <c r="AQ100" s="26"/>
      <c r="AR100" s="26"/>
      <c r="AS100" s="32"/>
      <c r="AT100" s="34"/>
    </row>
    <row r="101" spans="2:46" x14ac:dyDescent="0.3">
      <c r="B101" s="8"/>
      <c r="C101" s="2" t="s">
        <v>745</v>
      </c>
      <c r="D101" s="26">
        <v>0</v>
      </c>
      <c r="E101" s="26">
        <v>0</v>
      </c>
      <c r="F101" s="27">
        <v>0</v>
      </c>
      <c r="G101" s="26">
        <v>0</v>
      </c>
      <c r="H101" s="26">
        <v>0</v>
      </c>
      <c r="I101" s="27">
        <v>0</v>
      </c>
      <c r="J101" s="26">
        <v>0</v>
      </c>
      <c r="K101" s="26">
        <v>0</v>
      </c>
      <c r="L101" s="67">
        <v>1</v>
      </c>
      <c r="N101" s="8"/>
      <c r="O101" s="2" t="s">
        <v>681</v>
      </c>
      <c r="P101" s="26">
        <v>0</v>
      </c>
      <c r="Q101" s="27">
        <v>0</v>
      </c>
      <c r="R101" s="30">
        <v>0</v>
      </c>
      <c r="S101" s="27">
        <v>0</v>
      </c>
      <c r="T101" s="30">
        <v>0</v>
      </c>
      <c r="U101" s="34">
        <v>1</v>
      </c>
      <c r="V101" s="34">
        <v>1</v>
      </c>
      <c r="X101" s="8"/>
      <c r="Y101" s="2"/>
      <c r="Z101" s="26"/>
      <c r="AA101" s="26"/>
      <c r="AB101" s="26"/>
      <c r="AC101" s="26"/>
      <c r="AD101" s="27"/>
      <c r="AE101" s="30"/>
      <c r="AF101" s="26"/>
      <c r="AG101" s="26"/>
      <c r="AH101" s="32"/>
      <c r="AJ101" s="8"/>
      <c r="AK101" s="2"/>
      <c r="AL101" s="26"/>
      <c r="AM101" s="26"/>
      <c r="AN101" s="26"/>
      <c r="AO101" s="27"/>
      <c r="AP101" s="30"/>
      <c r="AQ101" s="26"/>
      <c r="AR101" s="26"/>
      <c r="AS101" s="32"/>
      <c r="AT101" s="34"/>
    </row>
    <row r="102" spans="2:46" x14ac:dyDescent="0.3">
      <c r="B102" s="8"/>
      <c r="C102" s="2" t="s">
        <v>746</v>
      </c>
      <c r="D102" s="26">
        <v>0</v>
      </c>
      <c r="E102" s="26">
        <v>0</v>
      </c>
      <c r="F102" s="27">
        <v>0</v>
      </c>
      <c r="G102" s="26">
        <v>0</v>
      </c>
      <c r="H102" s="26">
        <v>0</v>
      </c>
      <c r="I102" s="27">
        <v>0</v>
      </c>
      <c r="J102" s="26">
        <v>0</v>
      </c>
      <c r="K102" s="26">
        <v>0</v>
      </c>
      <c r="L102" s="67">
        <v>1</v>
      </c>
      <c r="N102" s="8"/>
      <c r="O102" s="2" t="s">
        <v>682</v>
      </c>
      <c r="P102" s="26">
        <v>0</v>
      </c>
      <c r="Q102" s="27">
        <v>0</v>
      </c>
      <c r="R102" s="30">
        <v>0</v>
      </c>
      <c r="S102" s="27">
        <v>0</v>
      </c>
      <c r="T102" s="30">
        <v>0</v>
      </c>
      <c r="U102" s="34">
        <v>1</v>
      </c>
      <c r="V102" s="34">
        <v>1</v>
      </c>
      <c r="X102" s="8"/>
      <c r="Y102" s="2"/>
      <c r="Z102" s="26"/>
      <c r="AA102" s="26"/>
      <c r="AB102" s="26"/>
      <c r="AC102" s="26"/>
      <c r="AD102" s="27"/>
      <c r="AE102" s="30"/>
      <c r="AF102" s="26"/>
      <c r="AG102" s="26"/>
      <c r="AH102" s="32"/>
      <c r="AJ102" s="8"/>
      <c r="AK102" s="2"/>
      <c r="AL102" s="26"/>
      <c r="AM102" s="26"/>
      <c r="AN102" s="26"/>
      <c r="AO102" s="27"/>
      <c r="AP102" s="30"/>
      <c r="AQ102" s="26"/>
      <c r="AR102" s="26"/>
      <c r="AS102" s="32"/>
      <c r="AT102" s="34"/>
    </row>
    <row r="103" spans="2:46" x14ac:dyDescent="0.3">
      <c r="B103" s="8"/>
      <c r="C103" s="2" t="s">
        <v>747</v>
      </c>
      <c r="D103" s="26">
        <v>0</v>
      </c>
      <c r="E103" s="26">
        <v>0</v>
      </c>
      <c r="F103" s="27">
        <v>0</v>
      </c>
      <c r="G103" s="26">
        <v>0</v>
      </c>
      <c r="H103" s="26">
        <v>0</v>
      </c>
      <c r="I103" s="27">
        <v>0</v>
      </c>
      <c r="J103" s="26">
        <v>0</v>
      </c>
      <c r="K103" s="26">
        <v>0</v>
      </c>
      <c r="L103" s="67">
        <v>1</v>
      </c>
      <c r="N103" s="8"/>
      <c r="O103" s="2" t="s">
        <v>683</v>
      </c>
      <c r="P103" s="26">
        <v>0</v>
      </c>
      <c r="Q103" s="27">
        <v>0</v>
      </c>
      <c r="R103" s="30">
        <v>0</v>
      </c>
      <c r="S103" s="27">
        <v>0</v>
      </c>
      <c r="T103" s="30">
        <v>0</v>
      </c>
      <c r="U103" s="34">
        <v>1</v>
      </c>
      <c r="V103" s="34">
        <v>1</v>
      </c>
      <c r="X103" s="8"/>
      <c r="Y103" s="2"/>
      <c r="Z103" s="26"/>
      <c r="AA103" s="26"/>
      <c r="AB103" s="26"/>
      <c r="AC103" s="26"/>
      <c r="AD103" s="27"/>
      <c r="AE103" s="30"/>
      <c r="AF103" s="26"/>
      <c r="AG103" s="26"/>
      <c r="AH103" s="32"/>
      <c r="AJ103" s="8"/>
      <c r="AK103" s="2"/>
      <c r="AL103" s="26"/>
      <c r="AM103" s="26"/>
      <c r="AN103" s="26"/>
      <c r="AO103" s="27"/>
      <c r="AP103" s="30"/>
      <c r="AQ103" s="26"/>
      <c r="AR103" s="26"/>
      <c r="AS103" s="32"/>
      <c r="AT103" s="34"/>
    </row>
    <row r="104" spans="2:46" x14ac:dyDescent="0.3">
      <c r="B104" s="8"/>
      <c r="C104" s="2" t="s">
        <v>748</v>
      </c>
      <c r="D104" s="26">
        <v>0</v>
      </c>
      <c r="E104" s="26">
        <v>0</v>
      </c>
      <c r="F104" s="27">
        <v>0</v>
      </c>
      <c r="G104" s="26">
        <v>0</v>
      </c>
      <c r="H104" s="26">
        <v>0</v>
      </c>
      <c r="I104" s="27">
        <v>0</v>
      </c>
      <c r="J104" s="26">
        <v>0</v>
      </c>
      <c r="K104" s="26">
        <v>0</v>
      </c>
      <c r="L104" s="67">
        <v>1</v>
      </c>
      <c r="N104" s="8"/>
      <c r="O104" s="2" t="s">
        <v>684</v>
      </c>
      <c r="P104" s="26">
        <v>0</v>
      </c>
      <c r="Q104" s="27">
        <v>0</v>
      </c>
      <c r="R104" s="30">
        <v>0</v>
      </c>
      <c r="S104" s="27">
        <v>0</v>
      </c>
      <c r="T104" s="30">
        <v>0</v>
      </c>
      <c r="U104" s="34">
        <v>1</v>
      </c>
      <c r="V104" s="34">
        <v>1</v>
      </c>
      <c r="X104" s="8"/>
      <c r="Y104" s="2"/>
      <c r="Z104" s="26"/>
      <c r="AA104" s="26"/>
      <c r="AB104" s="26"/>
      <c r="AC104" s="26"/>
      <c r="AD104" s="27"/>
      <c r="AE104" s="30"/>
      <c r="AF104" s="26"/>
      <c r="AG104" s="26"/>
      <c r="AH104" s="32"/>
      <c r="AJ104" s="8"/>
      <c r="AK104" s="2"/>
      <c r="AL104" s="26"/>
      <c r="AM104" s="26"/>
      <c r="AN104" s="26"/>
      <c r="AO104" s="27"/>
      <c r="AP104" s="30"/>
      <c r="AQ104" s="26"/>
      <c r="AR104" s="26"/>
      <c r="AS104" s="32"/>
      <c r="AT104" s="34"/>
    </row>
    <row r="105" spans="2:46" x14ac:dyDescent="0.3">
      <c r="B105" s="8"/>
      <c r="C105" s="2" t="s">
        <v>749</v>
      </c>
      <c r="D105" s="26">
        <v>0</v>
      </c>
      <c r="E105" s="26">
        <v>0</v>
      </c>
      <c r="F105" s="27">
        <v>0</v>
      </c>
      <c r="G105" s="26">
        <v>0</v>
      </c>
      <c r="H105" s="26">
        <v>0</v>
      </c>
      <c r="I105" s="27">
        <v>0</v>
      </c>
      <c r="J105" s="26">
        <v>0</v>
      </c>
      <c r="K105" s="26">
        <v>0</v>
      </c>
      <c r="L105" s="67">
        <v>1</v>
      </c>
      <c r="N105" s="8"/>
      <c r="O105" s="2" t="s">
        <v>685</v>
      </c>
      <c r="P105" s="26">
        <v>0</v>
      </c>
      <c r="Q105" s="27">
        <v>0</v>
      </c>
      <c r="R105" s="30">
        <v>0</v>
      </c>
      <c r="S105" s="27">
        <v>0</v>
      </c>
      <c r="T105" s="30">
        <v>0</v>
      </c>
      <c r="U105" s="34">
        <v>1</v>
      </c>
      <c r="V105" s="34">
        <v>1</v>
      </c>
      <c r="X105" s="8"/>
      <c r="Y105" s="2"/>
      <c r="Z105" s="26"/>
      <c r="AA105" s="26"/>
      <c r="AB105" s="26"/>
      <c r="AC105" s="26"/>
      <c r="AD105" s="27"/>
      <c r="AE105" s="30"/>
      <c r="AF105" s="26"/>
      <c r="AG105" s="26"/>
      <c r="AH105" s="32"/>
      <c r="AJ105" s="8"/>
      <c r="AK105" s="2"/>
      <c r="AL105" s="26"/>
      <c r="AM105" s="26"/>
      <c r="AN105" s="26"/>
      <c r="AO105" s="27"/>
      <c r="AP105" s="30"/>
      <c r="AQ105" s="26"/>
      <c r="AR105" s="26"/>
      <c r="AS105" s="32"/>
      <c r="AT105" s="34"/>
    </row>
    <row r="106" spans="2:46" x14ac:dyDescent="0.3">
      <c r="B106" s="8"/>
      <c r="C106" s="2" t="s">
        <v>750</v>
      </c>
      <c r="D106" s="26">
        <v>0</v>
      </c>
      <c r="E106" s="26">
        <v>0</v>
      </c>
      <c r="F106" s="27">
        <v>0</v>
      </c>
      <c r="G106" s="26">
        <v>0</v>
      </c>
      <c r="H106" s="26">
        <v>0</v>
      </c>
      <c r="I106" s="27">
        <v>0</v>
      </c>
      <c r="J106" s="26">
        <v>0</v>
      </c>
      <c r="K106" s="26">
        <v>0</v>
      </c>
      <c r="L106" s="67">
        <v>1</v>
      </c>
      <c r="N106" s="8"/>
      <c r="O106" s="2" t="s">
        <v>686</v>
      </c>
      <c r="P106" s="26">
        <v>0</v>
      </c>
      <c r="Q106" s="27">
        <v>0</v>
      </c>
      <c r="R106" s="30">
        <v>0</v>
      </c>
      <c r="S106" s="27">
        <v>0</v>
      </c>
      <c r="T106" s="30">
        <v>0</v>
      </c>
      <c r="U106" s="34">
        <v>1</v>
      </c>
      <c r="V106" s="34">
        <v>1</v>
      </c>
      <c r="X106" s="8"/>
      <c r="Y106" s="2"/>
      <c r="Z106" s="26"/>
      <c r="AA106" s="26"/>
      <c r="AB106" s="26"/>
      <c r="AC106" s="26"/>
      <c r="AD106" s="27"/>
      <c r="AE106" s="30"/>
      <c r="AF106" s="26"/>
      <c r="AG106" s="26"/>
      <c r="AH106" s="32"/>
      <c r="AJ106" s="8"/>
      <c r="AK106" s="2"/>
      <c r="AL106" s="26"/>
      <c r="AM106" s="26"/>
      <c r="AN106" s="26"/>
      <c r="AO106" s="27"/>
      <c r="AP106" s="30"/>
      <c r="AQ106" s="26"/>
      <c r="AR106" s="26"/>
      <c r="AS106" s="32"/>
      <c r="AT106" s="34"/>
    </row>
    <row r="107" spans="2:46" x14ac:dyDescent="0.3">
      <c r="B107" s="8"/>
      <c r="C107" s="2" t="s">
        <v>751</v>
      </c>
      <c r="D107" s="26">
        <v>0</v>
      </c>
      <c r="E107" s="26">
        <v>0</v>
      </c>
      <c r="F107" s="27">
        <v>0</v>
      </c>
      <c r="G107" s="26">
        <v>0</v>
      </c>
      <c r="H107" s="26">
        <v>0</v>
      </c>
      <c r="I107" s="27">
        <v>0</v>
      </c>
      <c r="J107" s="26">
        <v>0</v>
      </c>
      <c r="K107" s="26">
        <v>0</v>
      </c>
      <c r="L107" s="67">
        <v>1</v>
      </c>
      <c r="N107" s="8"/>
      <c r="O107" s="2" t="s">
        <v>687</v>
      </c>
      <c r="P107" s="26">
        <v>0</v>
      </c>
      <c r="Q107" s="27">
        <v>0</v>
      </c>
      <c r="R107" s="30">
        <v>0</v>
      </c>
      <c r="S107" s="27">
        <v>0</v>
      </c>
      <c r="T107" s="30">
        <v>0</v>
      </c>
      <c r="U107" s="34">
        <v>1</v>
      </c>
      <c r="V107" s="34">
        <v>1</v>
      </c>
      <c r="X107" s="8"/>
      <c r="Y107" s="2"/>
      <c r="Z107" s="26"/>
      <c r="AA107" s="26"/>
      <c r="AB107" s="26"/>
      <c r="AC107" s="26"/>
      <c r="AD107" s="27"/>
      <c r="AE107" s="30"/>
      <c r="AF107" s="26"/>
      <c r="AG107" s="26"/>
      <c r="AH107" s="32"/>
      <c r="AJ107" s="8"/>
      <c r="AK107" s="2"/>
      <c r="AL107" s="26"/>
      <c r="AM107" s="26"/>
      <c r="AN107" s="26"/>
      <c r="AO107" s="27"/>
      <c r="AP107" s="30"/>
      <c r="AQ107" s="26"/>
      <c r="AR107" s="26"/>
      <c r="AS107" s="32"/>
      <c r="AT107" s="34"/>
    </row>
    <row r="108" spans="2:46" x14ac:dyDescent="0.3">
      <c r="B108" s="8"/>
      <c r="C108" s="2" t="s">
        <v>752</v>
      </c>
      <c r="D108" s="26">
        <v>0</v>
      </c>
      <c r="E108" s="26">
        <v>0</v>
      </c>
      <c r="F108" s="27">
        <v>0</v>
      </c>
      <c r="G108" s="26">
        <v>0</v>
      </c>
      <c r="H108" s="26">
        <v>0</v>
      </c>
      <c r="I108" s="27">
        <v>0</v>
      </c>
      <c r="J108" s="26">
        <v>0</v>
      </c>
      <c r="K108" s="26">
        <v>0</v>
      </c>
      <c r="L108" s="67">
        <v>1</v>
      </c>
      <c r="N108" s="8"/>
      <c r="O108" s="2" t="s">
        <v>688</v>
      </c>
      <c r="P108" s="26">
        <v>0</v>
      </c>
      <c r="Q108" s="27">
        <v>0</v>
      </c>
      <c r="R108" s="30">
        <v>0</v>
      </c>
      <c r="S108" s="27">
        <v>0</v>
      </c>
      <c r="T108" s="30">
        <v>0</v>
      </c>
      <c r="U108" s="34">
        <v>1</v>
      </c>
      <c r="V108" s="34">
        <v>1</v>
      </c>
      <c r="X108" s="8"/>
      <c r="Y108" s="2"/>
      <c r="Z108" s="26"/>
      <c r="AA108" s="26"/>
      <c r="AB108" s="26"/>
      <c r="AC108" s="26"/>
      <c r="AD108" s="27"/>
      <c r="AE108" s="30"/>
      <c r="AF108" s="26"/>
      <c r="AG108" s="26"/>
      <c r="AH108" s="32"/>
      <c r="AJ108" s="8"/>
      <c r="AK108" s="2"/>
      <c r="AL108" s="26"/>
      <c r="AM108" s="26"/>
      <c r="AN108" s="26"/>
      <c r="AO108" s="27"/>
      <c r="AP108" s="30"/>
      <c r="AQ108" s="26"/>
      <c r="AR108" s="26"/>
      <c r="AS108" s="32"/>
      <c r="AT108" s="34"/>
    </row>
    <row r="109" spans="2:46" x14ac:dyDescent="0.3">
      <c r="B109" s="8"/>
      <c r="C109" s="2"/>
      <c r="D109" s="26"/>
      <c r="E109" s="26"/>
      <c r="F109" s="27"/>
      <c r="G109" s="26"/>
      <c r="H109" s="26"/>
      <c r="I109" s="27"/>
      <c r="J109" s="26"/>
      <c r="K109" s="26"/>
      <c r="L109" s="67"/>
      <c r="N109" s="8"/>
      <c r="O109" s="2"/>
      <c r="P109" s="26"/>
      <c r="Q109" s="27"/>
      <c r="R109" s="30"/>
      <c r="S109" s="27"/>
      <c r="T109" s="30"/>
      <c r="U109" s="34"/>
      <c r="V109" s="34"/>
      <c r="X109" s="8"/>
      <c r="Y109" s="2"/>
      <c r="Z109" s="26"/>
      <c r="AA109" s="26"/>
      <c r="AB109" s="26"/>
      <c r="AC109" s="26"/>
      <c r="AD109" s="27"/>
      <c r="AE109" s="30"/>
      <c r="AF109" s="26"/>
      <c r="AG109" s="26"/>
      <c r="AH109" s="32"/>
      <c r="AJ109" s="8"/>
      <c r="AK109" s="2"/>
      <c r="AL109" s="26"/>
      <c r="AM109" s="26"/>
      <c r="AN109" s="26"/>
      <c r="AO109" s="27"/>
      <c r="AP109" s="30"/>
      <c r="AQ109" s="26"/>
      <c r="AR109" s="26"/>
      <c r="AS109" s="32"/>
      <c r="AT109" s="34"/>
    </row>
    <row r="110" spans="2:46" x14ac:dyDescent="0.3">
      <c r="B110" s="8"/>
      <c r="C110" s="2"/>
      <c r="D110" s="26"/>
      <c r="E110" s="26"/>
      <c r="F110" s="27"/>
      <c r="G110" s="26"/>
      <c r="H110" s="26"/>
      <c r="I110" s="27"/>
      <c r="J110" s="26"/>
      <c r="K110" s="26"/>
      <c r="L110" s="67"/>
      <c r="N110" s="8"/>
      <c r="O110" s="2"/>
      <c r="P110" s="26"/>
      <c r="Q110" s="27"/>
      <c r="R110" s="30"/>
      <c r="S110" s="27"/>
      <c r="T110" s="30"/>
      <c r="U110" s="34"/>
      <c r="V110" s="34"/>
      <c r="X110" s="8"/>
      <c r="Y110" s="2"/>
      <c r="Z110" s="26"/>
      <c r="AA110" s="26"/>
      <c r="AB110" s="26"/>
      <c r="AC110" s="26"/>
      <c r="AD110" s="27"/>
      <c r="AE110" s="30"/>
      <c r="AF110" s="26"/>
      <c r="AG110" s="26"/>
      <c r="AH110" s="32"/>
      <c r="AJ110" s="8"/>
      <c r="AK110" s="2"/>
      <c r="AL110" s="26"/>
      <c r="AM110" s="26"/>
      <c r="AN110" s="26"/>
      <c r="AO110" s="27"/>
      <c r="AP110" s="30"/>
      <c r="AQ110" s="26"/>
      <c r="AR110" s="26"/>
      <c r="AS110" s="32"/>
      <c r="AT110" s="34"/>
    </row>
    <row r="111" spans="2:46" x14ac:dyDescent="0.3">
      <c r="B111" s="8"/>
      <c r="C111" s="2"/>
      <c r="D111" s="26"/>
      <c r="E111" s="26"/>
      <c r="F111" s="27"/>
      <c r="G111" s="26"/>
      <c r="H111" s="26"/>
      <c r="I111" s="27"/>
      <c r="J111" s="26"/>
      <c r="K111" s="26"/>
      <c r="L111" s="67"/>
      <c r="N111" s="8"/>
      <c r="O111" s="2"/>
      <c r="P111" s="26"/>
      <c r="Q111" s="27"/>
      <c r="R111" s="30"/>
      <c r="S111" s="27"/>
      <c r="T111" s="30"/>
      <c r="U111" s="34"/>
      <c r="V111" s="34"/>
      <c r="X111" s="8"/>
      <c r="Y111" s="2"/>
      <c r="Z111" s="26"/>
      <c r="AA111" s="26"/>
      <c r="AB111" s="26"/>
      <c r="AC111" s="26"/>
      <c r="AD111" s="27"/>
      <c r="AE111" s="30"/>
      <c r="AF111" s="26"/>
      <c r="AG111" s="26"/>
      <c r="AH111" s="32"/>
      <c r="AJ111" s="8"/>
      <c r="AK111" s="2"/>
      <c r="AL111" s="26"/>
      <c r="AM111" s="26"/>
      <c r="AN111" s="26"/>
      <c r="AO111" s="27"/>
      <c r="AP111" s="30"/>
      <c r="AQ111" s="26"/>
      <c r="AR111" s="26"/>
      <c r="AS111" s="32"/>
      <c r="AT111" s="34"/>
    </row>
    <row r="112" spans="2:46" x14ac:dyDescent="0.3">
      <c r="B112" s="8"/>
      <c r="C112" s="2"/>
      <c r="D112" s="26"/>
      <c r="E112" s="26"/>
      <c r="F112" s="27"/>
      <c r="G112" s="26"/>
      <c r="H112" s="26"/>
      <c r="I112" s="27"/>
      <c r="J112" s="26"/>
      <c r="K112" s="26"/>
      <c r="L112" s="67"/>
      <c r="N112" s="8"/>
      <c r="O112" s="2"/>
      <c r="P112" s="26"/>
      <c r="Q112" s="27"/>
      <c r="R112" s="30"/>
      <c r="S112" s="27"/>
      <c r="T112" s="30"/>
      <c r="U112" s="34"/>
      <c r="V112" s="34"/>
      <c r="X112" s="8"/>
      <c r="Y112" s="2"/>
      <c r="Z112" s="26"/>
      <c r="AA112" s="26"/>
      <c r="AB112" s="26"/>
      <c r="AC112" s="26"/>
      <c r="AD112" s="27"/>
      <c r="AE112" s="30"/>
      <c r="AF112" s="26"/>
      <c r="AG112" s="26"/>
      <c r="AH112" s="32"/>
      <c r="AJ112" s="8"/>
      <c r="AK112" s="2"/>
      <c r="AL112" s="26"/>
      <c r="AM112" s="26"/>
      <c r="AN112" s="26"/>
      <c r="AO112" s="27"/>
      <c r="AP112" s="30"/>
      <c r="AQ112" s="26"/>
      <c r="AR112" s="26"/>
      <c r="AS112" s="32"/>
      <c r="AT112" s="34"/>
    </row>
    <row r="113" spans="2:46" x14ac:dyDescent="0.3">
      <c r="B113" s="8"/>
      <c r="C113" s="2"/>
      <c r="D113" s="26"/>
      <c r="E113" s="26"/>
      <c r="F113" s="27"/>
      <c r="G113" s="26"/>
      <c r="H113" s="26"/>
      <c r="I113" s="27"/>
      <c r="J113" s="26"/>
      <c r="K113" s="26"/>
      <c r="L113" s="67"/>
      <c r="N113" s="8"/>
      <c r="O113" s="2"/>
      <c r="P113" s="26"/>
      <c r="Q113" s="27"/>
      <c r="R113" s="30"/>
      <c r="S113" s="27"/>
      <c r="T113" s="30"/>
      <c r="U113" s="34"/>
      <c r="V113" s="34"/>
      <c r="X113" s="8"/>
      <c r="Y113" s="2"/>
      <c r="Z113" s="26"/>
      <c r="AA113" s="26"/>
      <c r="AB113" s="26"/>
      <c r="AC113" s="26"/>
      <c r="AD113" s="27"/>
      <c r="AE113" s="30"/>
      <c r="AF113" s="26"/>
      <c r="AG113" s="26"/>
      <c r="AH113" s="32"/>
      <c r="AJ113" s="8"/>
      <c r="AK113" s="2"/>
      <c r="AL113" s="26"/>
      <c r="AM113" s="26"/>
      <c r="AN113" s="26"/>
      <c r="AO113" s="27"/>
      <c r="AP113" s="30"/>
      <c r="AQ113" s="26"/>
      <c r="AR113" s="26"/>
      <c r="AS113" s="32"/>
      <c r="AT113" s="34"/>
    </row>
    <row r="114" spans="2:46" x14ac:dyDescent="0.3">
      <c r="B114" s="8"/>
      <c r="C114" s="2"/>
      <c r="D114" s="26"/>
      <c r="E114" s="26"/>
      <c r="F114" s="27"/>
      <c r="G114" s="26"/>
      <c r="H114" s="26"/>
      <c r="I114" s="27"/>
      <c r="J114" s="26"/>
      <c r="K114" s="26"/>
      <c r="L114" s="67"/>
      <c r="N114" s="8"/>
      <c r="O114" s="2"/>
      <c r="P114" s="26"/>
      <c r="Q114" s="27"/>
      <c r="R114" s="30"/>
      <c r="S114" s="27"/>
      <c r="T114" s="30"/>
      <c r="U114" s="34"/>
      <c r="V114" s="34"/>
      <c r="X114" s="8"/>
      <c r="Y114" s="2"/>
      <c r="Z114" s="26"/>
      <c r="AA114" s="26"/>
      <c r="AB114" s="26"/>
      <c r="AC114" s="26"/>
      <c r="AD114" s="27"/>
      <c r="AE114" s="30"/>
      <c r="AF114" s="26"/>
      <c r="AG114" s="26"/>
      <c r="AH114" s="32"/>
      <c r="AJ114" s="8"/>
      <c r="AK114" s="2"/>
      <c r="AL114" s="26"/>
      <c r="AM114" s="26"/>
      <c r="AN114" s="26"/>
      <c r="AO114" s="27"/>
      <c r="AP114" s="30"/>
      <c r="AQ114" s="26"/>
      <c r="AR114" s="26"/>
      <c r="AS114" s="32"/>
      <c r="AT114" s="34"/>
    </row>
    <row r="115" spans="2:46" x14ac:dyDescent="0.3">
      <c r="B115" s="8"/>
      <c r="C115" s="2"/>
      <c r="D115" s="26"/>
      <c r="E115" s="26"/>
      <c r="F115" s="27"/>
      <c r="G115" s="26"/>
      <c r="H115" s="26"/>
      <c r="I115" s="27"/>
      <c r="J115" s="26"/>
      <c r="K115" s="26"/>
      <c r="L115" s="67"/>
      <c r="N115" s="8"/>
      <c r="O115" s="2"/>
      <c r="P115" s="26"/>
      <c r="Q115" s="27"/>
      <c r="R115" s="30"/>
      <c r="S115" s="27"/>
      <c r="T115" s="30"/>
      <c r="U115" s="34"/>
      <c r="V115" s="34"/>
      <c r="X115" s="8"/>
      <c r="Y115" s="2"/>
      <c r="Z115" s="26"/>
      <c r="AA115" s="26"/>
      <c r="AB115" s="26"/>
      <c r="AC115" s="26"/>
      <c r="AD115" s="27"/>
      <c r="AE115" s="30"/>
      <c r="AF115" s="26"/>
      <c r="AG115" s="26"/>
      <c r="AH115" s="32"/>
      <c r="AJ115" s="8"/>
      <c r="AK115" s="2"/>
      <c r="AL115" s="26"/>
      <c r="AM115" s="26"/>
      <c r="AN115" s="26"/>
      <c r="AO115" s="27"/>
      <c r="AP115" s="30"/>
      <c r="AQ115" s="26"/>
      <c r="AR115" s="26"/>
      <c r="AS115" s="32"/>
      <c r="AT115" s="34"/>
    </row>
    <row r="116" spans="2:46" x14ac:dyDescent="0.3">
      <c r="B116" s="8"/>
      <c r="C116" s="2"/>
      <c r="D116" s="26"/>
      <c r="E116" s="26"/>
      <c r="F116" s="27"/>
      <c r="G116" s="26"/>
      <c r="H116" s="26"/>
      <c r="I116" s="27"/>
      <c r="J116" s="26"/>
      <c r="K116" s="26"/>
      <c r="L116" s="67"/>
      <c r="N116" s="8"/>
      <c r="O116" s="2"/>
      <c r="P116" s="26"/>
      <c r="Q116" s="27"/>
      <c r="R116" s="30"/>
      <c r="S116" s="27"/>
      <c r="T116" s="30"/>
      <c r="U116" s="34"/>
      <c r="V116" s="34"/>
      <c r="X116" s="8"/>
      <c r="Y116" s="2"/>
      <c r="Z116" s="26"/>
      <c r="AA116" s="26"/>
      <c r="AB116" s="26"/>
      <c r="AC116" s="26"/>
      <c r="AD116" s="27"/>
      <c r="AE116" s="30"/>
      <c r="AF116" s="26"/>
      <c r="AG116" s="26"/>
      <c r="AH116" s="32"/>
      <c r="AJ116" s="8"/>
      <c r="AK116" s="2"/>
      <c r="AL116" s="26"/>
      <c r="AM116" s="26"/>
      <c r="AN116" s="26"/>
      <c r="AO116" s="27"/>
      <c r="AP116" s="30"/>
      <c r="AQ116" s="26"/>
      <c r="AR116" s="26"/>
      <c r="AS116" s="32"/>
      <c r="AT116" s="34"/>
    </row>
    <row r="117" spans="2:46" x14ac:dyDescent="0.3">
      <c r="B117" s="8"/>
      <c r="C117" s="2"/>
      <c r="D117" s="26"/>
      <c r="E117" s="26"/>
      <c r="F117" s="27"/>
      <c r="G117" s="26"/>
      <c r="H117" s="26"/>
      <c r="I117" s="27"/>
      <c r="J117" s="26"/>
      <c r="K117" s="26"/>
      <c r="L117" s="67"/>
      <c r="N117" s="8"/>
      <c r="O117" s="2"/>
      <c r="P117" s="26"/>
      <c r="Q117" s="27"/>
      <c r="R117" s="30"/>
      <c r="S117" s="27"/>
      <c r="T117" s="30"/>
      <c r="U117" s="34"/>
      <c r="V117" s="34"/>
      <c r="X117" s="8"/>
      <c r="Y117" s="2"/>
      <c r="Z117" s="26"/>
      <c r="AA117" s="26"/>
      <c r="AB117" s="26"/>
      <c r="AC117" s="26"/>
      <c r="AD117" s="27"/>
      <c r="AE117" s="30"/>
      <c r="AF117" s="26"/>
      <c r="AG117" s="26"/>
      <c r="AH117" s="32"/>
      <c r="AJ117" s="8"/>
      <c r="AK117" s="2"/>
      <c r="AL117" s="26"/>
      <c r="AM117" s="26"/>
      <c r="AN117" s="26"/>
      <c r="AO117" s="27"/>
      <c r="AP117" s="30"/>
      <c r="AQ117" s="26"/>
      <c r="AR117" s="26"/>
      <c r="AS117" s="32"/>
      <c r="AT117" s="34"/>
    </row>
    <row r="118" spans="2:46" x14ac:dyDescent="0.3">
      <c r="B118" s="8"/>
      <c r="C118" s="2"/>
      <c r="D118" s="26"/>
      <c r="E118" s="26"/>
      <c r="F118" s="27"/>
      <c r="G118" s="26"/>
      <c r="H118" s="26"/>
      <c r="I118" s="27"/>
      <c r="J118" s="26"/>
      <c r="K118" s="26"/>
      <c r="L118" s="67"/>
      <c r="N118" s="8"/>
      <c r="O118" s="2"/>
      <c r="P118" s="26"/>
      <c r="Q118" s="27"/>
      <c r="R118" s="30"/>
      <c r="S118" s="27"/>
      <c r="T118" s="30"/>
      <c r="U118" s="34"/>
      <c r="V118" s="34"/>
      <c r="X118" s="8"/>
      <c r="Y118" s="2"/>
      <c r="Z118" s="26"/>
      <c r="AA118" s="26"/>
      <c r="AB118" s="26"/>
      <c r="AC118" s="26"/>
      <c r="AD118" s="27"/>
      <c r="AE118" s="30"/>
      <c r="AF118" s="26"/>
      <c r="AG118" s="26"/>
      <c r="AH118" s="32"/>
      <c r="AJ118" s="8"/>
      <c r="AK118" s="2"/>
      <c r="AL118" s="26"/>
      <c r="AM118" s="26"/>
      <c r="AN118" s="26"/>
      <c r="AO118" s="27"/>
      <c r="AP118" s="30"/>
      <c r="AQ118" s="26"/>
      <c r="AR118" s="26"/>
      <c r="AS118" s="32"/>
      <c r="AT118" s="34"/>
    </row>
    <row r="119" spans="2:46" x14ac:dyDescent="0.3">
      <c r="B119" s="8"/>
      <c r="C119" s="2"/>
      <c r="D119" s="26"/>
      <c r="E119" s="26"/>
      <c r="F119" s="27"/>
      <c r="G119" s="26"/>
      <c r="H119" s="26"/>
      <c r="I119" s="27"/>
      <c r="J119" s="26"/>
      <c r="K119" s="26"/>
      <c r="L119" s="67"/>
      <c r="N119" s="8"/>
      <c r="O119" s="2"/>
      <c r="P119" s="26"/>
      <c r="Q119" s="27"/>
      <c r="R119" s="30"/>
      <c r="S119" s="27"/>
      <c r="T119" s="30"/>
      <c r="U119" s="34"/>
      <c r="V119" s="34"/>
      <c r="X119" s="8"/>
      <c r="Y119" s="2"/>
      <c r="Z119" s="26"/>
      <c r="AA119" s="26"/>
      <c r="AB119" s="26"/>
      <c r="AC119" s="26"/>
      <c r="AD119" s="27"/>
      <c r="AE119" s="30"/>
      <c r="AF119" s="26"/>
      <c r="AG119" s="26"/>
      <c r="AH119" s="32"/>
      <c r="AJ119" s="8"/>
      <c r="AK119" s="2"/>
      <c r="AL119" s="26"/>
      <c r="AM119" s="26"/>
      <c r="AN119" s="26"/>
      <c r="AO119" s="27"/>
      <c r="AP119" s="30"/>
      <c r="AQ119" s="26"/>
      <c r="AR119" s="26"/>
      <c r="AS119" s="32"/>
      <c r="AT119" s="34"/>
    </row>
    <row r="120" spans="2:46" x14ac:dyDescent="0.3">
      <c r="B120" s="8"/>
      <c r="C120" s="2"/>
      <c r="D120" s="26"/>
      <c r="E120" s="26"/>
      <c r="F120" s="27"/>
      <c r="G120" s="26"/>
      <c r="H120" s="26"/>
      <c r="I120" s="27"/>
      <c r="J120" s="26"/>
      <c r="K120" s="26"/>
      <c r="L120" s="67"/>
      <c r="N120" s="8"/>
      <c r="O120" s="2"/>
      <c r="P120" s="26"/>
      <c r="Q120" s="27"/>
      <c r="R120" s="30"/>
      <c r="S120" s="27"/>
      <c r="T120" s="30"/>
      <c r="U120" s="34"/>
      <c r="V120" s="34"/>
      <c r="X120" s="8"/>
      <c r="Y120" s="2"/>
      <c r="Z120" s="26"/>
      <c r="AA120" s="26"/>
      <c r="AB120" s="26"/>
      <c r="AC120" s="26"/>
      <c r="AD120" s="27"/>
      <c r="AE120" s="30"/>
      <c r="AF120" s="26"/>
      <c r="AG120" s="26"/>
      <c r="AH120" s="32"/>
      <c r="AJ120" s="8"/>
      <c r="AK120" s="2"/>
      <c r="AL120" s="26"/>
      <c r="AM120" s="26"/>
      <c r="AN120" s="26"/>
      <c r="AO120" s="27"/>
      <c r="AP120" s="30"/>
      <c r="AQ120" s="26"/>
      <c r="AR120" s="26"/>
      <c r="AS120" s="32"/>
      <c r="AT120" s="34"/>
    </row>
    <row r="121" spans="2:46" x14ac:dyDescent="0.3">
      <c r="B121" s="8"/>
      <c r="C121" s="2"/>
      <c r="D121" s="26"/>
      <c r="E121" s="26"/>
      <c r="F121" s="27"/>
      <c r="G121" s="26"/>
      <c r="H121" s="26"/>
      <c r="I121" s="27"/>
      <c r="J121" s="26"/>
      <c r="K121" s="26"/>
      <c r="L121" s="67"/>
      <c r="N121" s="8"/>
      <c r="O121" s="2"/>
      <c r="P121" s="26"/>
      <c r="Q121" s="27"/>
      <c r="R121" s="30"/>
      <c r="S121" s="27"/>
      <c r="T121" s="30"/>
      <c r="U121" s="34"/>
      <c r="V121" s="34"/>
      <c r="X121" s="8"/>
      <c r="Y121" s="2"/>
      <c r="Z121" s="26"/>
      <c r="AA121" s="26"/>
      <c r="AB121" s="26"/>
      <c r="AC121" s="26"/>
      <c r="AD121" s="27"/>
      <c r="AE121" s="30"/>
      <c r="AF121" s="26"/>
      <c r="AG121" s="26"/>
      <c r="AH121" s="32"/>
      <c r="AJ121" s="8"/>
      <c r="AK121" s="2"/>
      <c r="AL121" s="26"/>
      <c r="AM121" s="26"/>
      <c r="AN121" s="26"/>
      <c r="AO121" s="27"/>
      <c r="AP121" s="30"/>
      <c r="AQ121" s="26"/>
      <c r="AR121" s="26"/>
      <c r="AS121" s="32"/>
      <c r="AT121" s="34"/>
    </row>
    <row r="122" spans="2:46" x14ac:dyDescent="0.3">
      <c r="B122" s="8"/>
      <c r="C122" s="2"/>
      <c r="D122" s="26"/>
      <c r="E122" s="26"/>
      <c r="F122" s="27"/>
      <c r="G122" s="26"/>
      <c r="H122" s="26"/>
      <c r="I122" s="27"/>
      <c r="J122" s="26"/>
      <c r="K122" s="26"/>
      <c r="L122" s="67"/>
      <c r="N122" s="8"/>
      <c r="O122" s="2"/>
      <c r="P122" s="26"/>
      <c r="Q122" s="27"/>
      <c r="R122" s="30"/>
      <c r="S122" s="27"/>
      <c r="T122" s="30"/>
      <c r="U122" s="34"/>
      <c r="V122" s="34"/>
      <c r="X122" s="8"/>
      <c r="Y122" s="2"/>
      <c r="Z122" s="26"/>
      <c r="AA122" s="26"/>
      <c r="AB122" s="26"/>
      <c r="AC122" s="26"/>
      <c r="AD122" s="27"/>
      <c r="AE122" s="30"/>
      <c r="AF122" s="26"/>
      <c r="AG122" s="26"/>
      <c r="AH122" s="32"/>
      <c r="AJ122" s="8"/>
      <c r="AK122" s="2"/>
      <c r="AL122" s="26"/>
      <c r="AM122" s="26"/>
      <c r="AN122" s="26"/>
      <c r="AO122" s="27"/>
      <c r="AP122" s="30"/>
      <c r="AQ122" s="26"/>
      <c r="AR122" s="26"/>
      <c r="AS122" s="32"/>
      <c r="AT122" s="34"/>
    </row>
    <row r="123" spans="2:46" x14ac:dyDescent="0.3">
      <c r="B123" s="8"/>
      <c r="C123" s="2"/>
      <c r="D123" s="26"/>
      <c r="E123" s="26"/>
      <c r="F123" s="27"/>
      <c r="G123" s="26"/>
      <c r="H123" s="26"/>
      <c r="I123" s="27"/>
      <c r="J123" s="26"/>
      <c r="K123" s="26"/>
      <c r="L123" s="67"/>
      <c r="N123" s="8"/>
      <c r="O123" s="2"/>
      <c r="P123" s="26"/>
      <c r="Q123" s="27"/>
      <c r="R123" s="30"/>
      <c r="S123" s="27"/>
      <c r="T123" s="30"/>
      <c r="U123" s="34"/>
      <c r="V123" s="34"/>
      <c r="X123" s="8"/>
      <c r="Y123" s="2"/>
      <c r="Z123" s="26"/>
      <c r="AA123" s="26"/>
      <c r="AB123" s="26"/>
      <c r="AC123" s="26"/>
      <c r="AD123" s="27"/>
      <c r="AE123" s="30"/>
      <c r="AF123" s="26"/>
      <c r="AG123" s="26"/>
      <c r="AH123" s="32"/>
      <c r="AJ123" s="8"/>
      <c r="AK123" s="2"/>
      <c r="AL123" s="26"/>
      <c r="AM123" s="26"/>
      <c r="AN123" s="26"/>
      <c r="AO123" s="27"/>
      <c r="AP123" s="30"/>
      <c r="AQ123" s="26"/>
      <c r="AR123" s="26"/>
      <c r="AS123" s="32"/>
      <c r="AT123" s="34"/>
    </row>
    <row r="124" spans="2:46" x14ac:dyDescent="0.3">
      <c r="B124" s="8"/>
      <c r="C124" s="2"/>
      <c r="D124" s="26"/>
      <c r="E124" s="26"/>
      <c r="F124" s="27"/>
      <c r="G124" s="26"/>
      <c r="H124" s="26"/>
      <c r="I124" s="27"/>
      <c r="J124" s="26"/>
      <c r="K124" s="26"/>
      <c r="L124" s="67"/>
      <c r="N124" s="8"/>
      <c r="O124" s="2"/>
      <c r="P124" s="26"/>
      <c r="Q124" s="27"/>
      <c r="R124" s="30"/>
      <c r="S124" s="27"/>
      <c r="T124" s="30"/>
      <c r="U124" s="34"/>
      <c r="V124" s="34"/>
      <c r="X124" s="8"/>
      <c r="Y124" s="2"/>
      <c r="Z124" s="26"/>
      <c r="AA124" s="26"/>
      <c r="AB124" s="26"/>
      <c r="AC124" s="26"/>
      <c r="AD124" s="27"/>
      <c r="AE124" s="30"/>
      <c r="AF124" s="26"/>
      <c r="AG124" s="26"/>
      <c r="AH124" s="32"/>
      <c r="AJ124" s="8"/>
      <c r="AK124" s="2"/>
      <c r="AL124" s="26"/>
      <c r="AM124" s="26"/>
      <c r="AN124" s="26"/>
      <c r="AO124" s="27"/>
      <c r="AP124" s="30"/>
      <c r="AQ124" s="26"/>
      <c r="AR124" s="26"/>
      <c r="AS124" s="32"/>
      <c r="AT124" s="34"/>
    </row>
    <row r="125" spans="2:46" x14ac:dyDescent="0.3">
      <c r="B125" s="8"/>
      <c r="C125" s="2"/>
      <c r="D125" s="26"/>
      <c r="E125" s="26"/>
      <c r="F125" s="27"/>
      <c r="G125" s="26"/>
      <c r="H125" s="26"/>
      <c r="I125" s="27"/>
      <c r="J125" s="26"/>
      <c r="K125" s="26"/>
      <c r="L125" s="67"/>
      <c r="N125" s="8"/>
      <c r="O125" s="2"/>
      <c r="P125" s="26"/>
      <c r="Q125" s="27"/>
      <c r="R125" s="30"/>
      <c r="S125" s="27"/>
      <c r="T125" s="30"/>
      <c r="U125" s="34"/>
      <c r="V125" s="34"/>
      <c r="X125" s="8"/>
      <c r="Y125" s="2"/>
      <c r="Z125" s="26"/>
      <c r="AA125" s="26"/>
      <c r="AB125" s="26"/>
      <c r="AC125" s="26"/>
      <c r="AD125" s="27"/>
      <c r="AE125" s="30"/>
      <c r="AF125" s="26"/>
      <c r="AG125" s="26"/>
      <c r="AH125" s="32"/>
      <c r="AJ125" s="8"/>
      <c r="AK125" s="2"/>
      <c r="AL125" s="26"/>
      <c r="AM125" s="26"/>
      <c r="AN125" s="26"/>
      <c r="AO125" s="27"/>
      <c r="AP125" s="30"/>
      <c r="AQ125" s="26"/>
      <c r="AR125" s="26"/>
      <c r="AS125" s="32"/>
      <c r="AT125" s="34"/>
    </row>
    <row r="126" spans="2:46" x14ac:dyDescent="0.3">
      <c r="B126" s="8"/>
      <c r="C126" s="2"/>
      <c r="D126" s="26"/>
      <c r="E126" s="26"/>
      <c r="F126" s="27"/>
      <c r="G126" s="26"/>
      <c r="H126" s="26"/>
      <c r="I126" s="27"/>
      <c r="J126" s="26"/>
      <c r="K126" s="26"/>
      <c r="L126" s="67"/>
      <c r="N126" s="8"/>
      <c r="O126" s="2"/>
      <c r="P126" s="26"/>
      <c r="Q126" s="27"/>
      <c r="R126" s="30"/>
      <c r="S126" s="27"/>
      <c r="T126" s="30"/>
      <c r="U126" s="34"/>
      <c r="V126" s="34"/>
      <c r="X126" s="8"/>
      <c r="Y126" s="2"/>
      <c r="Z126" s="26"/>
      <c r="AA126" s="26"/>
      <c r="AB126" s="26"/>
      <c r="AC126" s="26"/>
      <c r="AD126" s="27"/>
      <c r="AE126" s="30"/>
      <c r="AF126" s="26"/>
      <c r="AG126" s="26"/>
      <c r="AH126" s="32"/>
      <c r="AJ126" s="8"/>
      <c r="AK126" s="2"/>
      <c r="AL126" s="26"/>
      <c r="AM126" s="26"/>
      <c r="AN126" s="26"/>
      <c r="AO126" s="27"/>
      <c r="AP126" s="30"/>
      <c r="AQ126" s="26"/>
      <c r="AR126" s="26"/>
      <c r="AS126" s="32"/>
      <c r="AT126" s="34"/>
    </row>
    <row r="127" spans="2:46" x14ac:dyDescent="0.3">
      <c r="B127" s="8"/>
      <c r="C127" s="2"/>
      <c r="D127" s="26"/>
      <c r="E127" s="26"/>
      <c r="F127" s="27"/>
      <c r="G127" s="26"/>
      <c r="H127" s="26"/>
      <c r="I127" s="27"/>
      <c r="J127" s="26"/>
      <c r="K127" s="26"/>
      <c r="L127" s="67"/>
      <c r="N127" s="8"/>
      <c r="O127" s="2"/>
      <c r="P127" s="26"/>
      <c r="Q127" s="27"/>
      <c r="R127" s="30"/>
      <c r="S127" s="27"/>
      <c r="T127" s="30"/>
      <c r="U127" s="34"/>
      <c r="V127" s="34"/>
      <c r="X127" s="8"/>
      <c r="Y127" s="2"/>
      <c r="Z127" s="26"/>
      <c r="AA127" s="26"/>
      <c r="AB127" s="26"/>
      <c r="AC127" s="26"/>
      <c r="AD127" s="27"/>
      <c r="AE127" s="30"/>
      <c r="AF127" s="26"/>
      <c r="AG127" s="26"/>
      <c r="AH127" s="32"/>
      <c r="AJ127" s="8"/>
      <c r="AK127" s="2"/>
      <c r="AL127" s="26"/>
      <c r="AM127" s="26"/>
      <c r="AN127" s="26"/>
      <c r="AO127" s="27"/>
      <c r="AP127" s="30"/>
      <c r="AQ127" s="26"/>
      <c r="AR127" s="26"/>
      <c r="AS127" s="32"/>
      <c r="AT127" s="34"/>
    </row>
    <row r="128" spans="2:46" x14ac:dyDescent="0.3">
      <c r="B128" s="8"/>
      <c r="C128" s="2"/>
      <c r="D128" s="26"/>
      <c r="E128" s="26"/>
      <c r="F128" s="27"/>
      <c r="G128" s="26"/>
      <c r="H128" s="26"/>
      <c r="I128" s="27"/>
      <c r="J128" s="26"/>
      <c r="K128" s="26"/>
      <c r="L128" s="67"/>
      <c r="N128" s="8"/>
      <c r="O128" s="2"/>
      <c r="P128" s="26"/>
      <c r="Q128" s="27"/>
      <c r="R128" s="30"/>
      <c r="S128" s="27"/>
      <c r="T128" s="30"/>
      <c r="U128" s="34"/>
      <c r="V128" s="34"/>
      <c r="X128" s="8"/>
      <c r="Y128" s="2"/>
      <c r="Z128" s="26"/>
      <c r="AA128" s="26"/>
      <c r="AB128" s="26"/>
      <c r="AC128" s="26"/>
      <c r="AD128" s="27"/>
      <c r="AE128" s="30"/>
      <c r="AF128" s="26"/>
      <c r="AG128" s="26"/>
      <c r="AH128" s="32"/>
      <c r="AJ128" s="8"/>
      <c r="AK128" s="2"/>
      <c r="AL128" s="26"/>
      <c r="AM128" s="26"/>
      <c r="AN128" s="26"/>
      <c r="AO128" s="27"/>
      <c r="AP128" s="30"/>
      <c r="AQ128" s="26"/>
      <c r="AR128" s="26"/>
      <c r="AS128" s="32"/>
      <c r="AT128" s="34"/>
    </row>
    <row r="129" spans="2:46" x14ac:dyDescent="0.3">
      <c r="B129" s="8"/>
      <c r="C129" s="2"/>
      <c r="D129" s="26"/>
      <c r="E129" s="26"/>
      <c r="F129" s="27"/>
      <c r="G129" s="26"/>
      <c r="H129" s="26"/>
      <c r="I129" s="27"/>
      <c r="J129" s="26"/>
      <c r="K129" s="26"/>
      <c r="L129" s="67"/>
      <c r="N129" s="8"/>
      <c r="O129" s="2"/>
      <c r="P129" s="26"/>
      <c r="Q129" s="27"/>
      <c r="R129" s="30"/>
      <c r="S129" s="27"/>
      <c r="T129" s="30"/>
      <c r="U129" s="34"/>
      <c r="V129" s="34"/>
      <c r="X129" s="8"/>
      <c r="Y129" s="2"/>
      <c r="Z129" s="26"/>
      <c r="AA129" s="26"/>
      <c r="AB129" s="26"/>
      <c r="AC129" s="26"/>
      <c r="AD129" s="27"/>
      <c r="AE129" s="30"/>
      <c r="AF129" s="26"/>
      <c r="AG129" s="26"/>
      <c r="AH129" s="32"/>
      <c r="AJ129" s="8"/>
      <c r="AK129" s="2"/>
      <c r="AL129" s="26"/>
      <c r="AM129" s="26"/>
      <c r="AN129" s="26"/>
      <c r="AO129" s="27"/>
      <c r="AP129" s="30"/>
      <c r="AQ129" s="26"/>
      <c r="AR129" s="26"/>
      <c r="AS129" s="32"/>
      <c r="AT129" s="34"/>
    </row>
    <row r="130" spans="2:46" x14ac:dyDescent="0.3">
      <c r="B130" s="8"/>
      <c r="C130" s="2"/>
      <c r="D130" s="26"/>
      <c r="E130" s="26"/>
      <c r="F130" s="27"/>
      <c r="G130" s="26"/>
      <c r="H130" s="26"/>
      <c r="I130" s="27"/>
      <c r="J130" s="26"/>
      <c r="K130" s="26"/>
      <c r="L130" s="67"/>
      <c r="N130" s="8"/>
      <c r="O130" s="2"/>
      <c r="P130" s="26"/>
      <c r="Q130" s="27"/>
      <c r="R130" s="30"/>
      <c r="S130" s="27"/>
      <c r="T130" s="30"/>
      <c r="U130" s="34"/>
      <c r="V130" s="34"/>
      <c r="X130" s="8"/>
      <c r="Y130" s="2"/>
      <c r="Z130" s="26"/>
      <c r="AA130" s="26"/>
      <c r="AB130" s="26"/>
      <c r="AC130" s="26"/>
      <c r="AD130" s="27"/>
      <c r="AE130" s="30"/>
      <c r="AF130" s="26"/>
      <c r="AG130" s="26"/>
      <c r="AH130" s="32"/>
      <c r="AJ130" s="8"/>
      <c r="AK130" s="2"/>
      <c r="AL130" s="26"/>
      <c r="AM130" s="26"/>
      <c r="AN130" s="26"/>
      <c r="AO130" s="27"/>
      <c r="AP130" s="30"/>
      <c r="AQ130" s="26"/>
      <c r="AR130" s="26"/>
      <c r="AS130" s="32"/>
      <c r="AT130" s="34"/>
    </row>
    <row r="131" spans="2:46" x14ac:dyDescent="0.3">
      <c r="B131" s="8"/>
      <c r="C131" s="2"/>
      <c r="D131" s="26"/>
      <c r="E131" s="26"/>
      <c r="F131" s="27"/>
      <c r="G131" s="26"/>
      <c r="H131" s="26"/>
      <c r="I131" s="27"/>
      <c r="J131" s="26"/>
      <c r="K131" s="26"/>
      <c r="L131" s="67"/>
      <c r="N131" s="8"/>
      <c r="O131" s="2"/>
      <c r="P131" s="26"/>
      <c r="Q131" s="27"/>
      <c r="R131" s="30"/>
      <c r="S131" s="27"/>
      <c r="T131" s="30"/>
      <c r="U131" s="34"/>
      <c r="V131" s="34"/>
      <c r="X131" s="8"/>
      <c r="Y131" s="2"/>
      <c r="Z131" s="26"/>
      <c r="AA131" s="26"/>
      <c r="AB131" s="26"/>
      <c r="AC131" s="26"/>
      <c r="AD131" s="27"/>
      <c r="AE131" s="30"/>
      <c r="AF131" s="26"/>
      <c r="AG131" s="26"/>
      <c r="AH131" s="32"/>
      <c r="AJ131" s="8"/>
      <c r="AK131" s="2"/>
      <c r="AL131" s="26"/>
      <c r="AM131" s="26"/>
      <c r="AN131" s="26"/>
      <c r="AO131" s="27"/>
      <c r="AP131" s="30"/>
      <c r="AQ131" s="26"/>
      <c r="AR131" s="26"/>
      <c r="AS131" s="32"/>
      <c r="AT131" s="34"/>
    </row>
    <row r="132" spans="2:46" x14ac:dyDescent="0.3">
      <c r="B132" s="8"/>
      <c r="C132" s="2"/>
      <c r="D132" s="26"/>
      <c r="E132" s="26"/>
      <c r="F132" s="27"/>
      <c r="G132" s="26"/>
      <c r="H132" s="26"/>
      <c r="I132" s="27"/>
      <c r="J132" s="26"/>
      <c r="K132" s="26"/>
      <c r="L132" s="67"/>
      <c r="N132" s="8"/>
      <c r="O132" s="2"/>
      <c r="P132" s="26"/>
      <c r="Q132" s="27"/>
      <c r="R132" s="30"/>
      <c r="S132" s="27"/>
      <c r="T132" s="30"/>
      <c r="U132" s="34"/>
      <c r="V132" s="34"/>
      <c r="X132" s="8"/>
      <c r="Y132" s="2"/>
      <c r="Z132" s="26"/>
      <c r="AA132" s="26"/>
      <c r="AB132" s="26"/>
      <c r="AC132" s="26"/>
      <c r="AD132" s="27"/>
      <c r="AE132" s="30"/>
      <c r="AF132" s="26"/>
      <c r="AG132" s="26"/>
      <c r="AH132" s="32"/>
      <c r="AJ132" s="8"/>
      <c r="AK132" s="2"/>
      <c r="AL132" s="26"/>
      <c r="AM132" s="26"/>
      <c r="AN132" s="26"/>
      <c r="AO132" s="27"/>
      <c r="AP132" s="30"/>
      <c r="AQ132" s="26"/>
      <c r="AR132" s="26"/>
      <c r="AS132" s="32"/>
      <c r="AT132" s="34"/>
    </row>
    <row r="133" spans="2:46" x14ac:dyDescent="0.3">
      <c r="B133" s="8"/>
      <c r="C133" s="2"/>
      <c r="D133" s="26"/>
      <c r="E133" s="26"/>
      <c r="F133" s="27"/>
      <c r="G133" s="26"/>
      <c r="H133" s="26"/>
      <c r="I133" s="27"/>
      <c r="J133" s="26"/>
      <c r="K133" s="26"/>
      <c r="L133" s="67"/>
      <c r="N133" s="8"/>
      <c r="O133" s="2"/>
      <c r="P133" s="26"/>
      <c r="Q133" s="27"/>
      <c r="R133" s="30"/>
      <c r="S133" s="27"/>
      <c r="T133" s="30"/>
      <c r="U133" s="34"/>
      <c r="V133" s="34"/>
      <c r="X133" s="8"/>
      <c r="Y133" s="2"/>
      <c r="Z133" s="26"/>
      <c r="AA133" s="26"/>
      <c r="AB133" s="26"/>
      <c r="AC133" s="26"/>
      <c r="AD133" s="27"/>
      <c r="AE133" s="30"/>
      <c r="AF133" s="26"/>
      <c r="AG133" s="26"/>
      <c r="AH133" s="32"/>
      <c r="AJ133" s="8"/>
      <c r="AK133" s="2"/>
      <c r="AL133" s="26"/>
      <c r="AM133" s="26"/>
      <c r="AN133" s="26"/>
      <c r="AO133" s="27"/>
      <c r="AP133" s="30"/>
      <c r="AQ133" s="26"/>
      <c r="AR133" s="26"/>
      <c r="AS133" s="32"/>
      <c r="AT133" s="34"/>
    </row>
    <row r="134" spans="2:46" x14ac:dyDescent="0.3">
      <c r="B134" s="8"/>
      <c r="C134" s="2"/>
      <c r="D134" s="26"/>
      <c r="E134" s="26"/>
      <c r="F134" s="27"/>
      <c r="G134" s="26"/>
      <c r="H134" s="26"/>
      <c r="I134" s="27"/>
      <c r="J134" s="26"/>
      <c r="K134" s="26"/>
      <c r="L134" s="67"/>
      <c r="N134" s="8"/>
      <c r="O134" s="2"/>
      <c r="P134" s="26"/>
      <c r="Q134" s="27"/>
      <c r="R134" s="30"/>
      <c r="S134" s="27"/>
      <c r="T134" s="30"/>
      <c r="U134" s="34"/>
      <c r="V134" s="34"/>
      <c r="X134" s="8"/>
      <c r="Y134" s="2"/>
      <c r="Z134" s="26"/>
      <c r="AA134" s="26"/>
      <c r="AB134" s="26"/>
      <c r="AC134" s="26"/>
      <c r="AD134" s="27"/>
      <c r="AE134" s="30"/>
      <c r="AF134" s="26"/>
      <c r="AG134" s="26"/>
      <c r="AH134" s="32"/>
      <c r="AJ134" s="8"/>
      <c r="AK134" s="2"/>
      <c r="AL134" s="26"/>
      <c r="AM134" s="26"/>
      <c r="AN134" s="26"/>
      <c r="AO134" s="27"/>
      <c r="AP134" s="30"/>
      <c r="AQ134" s="26"/>
      <c r="AR134" s="26"/>
      <c r="AS134" s="32"/>
      <c r="AT134" s="34"/>
    </row>
    <row r="135" spans="2:46" x14ac:dyDescent="0.3">
      <c r="B135" s="8"/>
      <c r="C135" s="2"/>
      <c r="D135" s="26"/>
      <c r="E135" s="26"/>
      <c r="F135" s="27"/>
      <c r="G135" s="26"/>
      <c r="H135" s="26"/>
      <c r="I135" s="27"/>
      <c r="J135" s="26"/>
      <c r="K135" s="26"/>
      <c r="L135" s="67"/>
      <c r="N135" s="8"/>
      <c r="O135" s="2"/>
      <c r="P135" s="26"/>
      <c r="Q135" s="27"/>
      <c r="R135" s="30"/>
      <c r="S135" s="27"/>
      <c r="T135" s="30"/>
      <c r="U135" s="34"/>
      <c r="V135" s="34"/>
      <c r="X135" s="8"/>
      <c r="Y135" s="2"/>
      <c r="Z135" s="26"/>
      <c r="AA135" s="26"/>
      <c r="AB135" s="26"/>
      <c r="AC135" s="26"/>
      <c r="AD135" s="27"/>
      <c r="AE135" s="30"/>
      <c r="AF135" s="26"/>
      <c r="AG135" s="26"/>
      <c r="AH135" s="32"/>
      <c r="AJ135" s="8"/>
      <c r="AK135" s="2"/>
      <c r="AL135" s="26"/>
      <c r="AM135" s="26"/>
      <c r="AN135" s="26"/>
      <c r="AO135" s="27"/>
      <c r="AP135" s="30"/>
      <c r="AQ135" s="26"/>
      <c r="AR135" s="26"/>
      <c r="AS135" s="32"/>
      <c r="AT135" s="34"/>
    </row>
    <row r="136" spans="2:46" x14ac:dyDescent="0.3">
      <c r="B136" s="8"/>
      <c r="C136" s="2"/>
      <c r="D136" s="26"/>
      <c r="E136" s="26"/>
      <c r="F136" s="27"/>
      <c r="G136" s="26"/>
      <c r="H136" s="26"/>
      <c r="I136" s="27"/>
      <c r="J136" s="26"/>
      <c r="K136" s="26"/>
      <c r="L136" s="67"/>
      <c r="N136" s="8"/>
      <c r="O136" s="2"/>
      <c r="P136" s="26"/>
      <c r="Q136" s="27"/>
      <c r="R136" s="30"/>
      <c r="S136" s="27"/>
      <c r="T136" s="30"/>
      <c r="U136" s="34"/>
      <c r="V136" s="34"/>
      <c r="X136" s="8"/>
      <c r="Y136" s="2"/>
      <c r="Z136" s="26"/>
      <c r="AA136" s="26"/>
      <c r="AB136" s="26"/>
      <c r="AC136" s="26"/>
      <c r="AD136" s="27"/>
      <c r="AE136" s="30"/>
      <c r="AF136" s="26"/>
      <c r="AG136" s="26"/>
      <c r="AH136" s="32"/>
      <c r="AJ136" s="8"/>
      <c r="AK136" s="2"/>
      <c r="AL136" s="26"/>
      <c r="AM136" s="26"/>
      <c r="AN136" s="26"/>
      <c r="AO136" s="27"/>
      <c r="AP136" s="30"/>
      <c r="AQ136" s="26"/>
      <c r="AR136" s="26"/>
      <c r="AS136" s="32"/>
      <c r="AT136" s="34"/>
    </row>
    <row r="137" spans="2:46" x14ac:dyDescent="0.3">
      <c r="B137" s="8"/>
      <c r="C137" s="2"/>
      <c r="D137" s="26"/>
      <c r="E137" s="26"/>
      <c r="F137" s="27"/>
      <c r="G137" s="26"/>
      <c r="H137" s="26"/>
      <c r="I137" s="27"/>
      <c r="J137" s="26"/>
      <c r="K137" s="26"/>
      <c r="L137" s="67"/>
      <c r="N137" s="8"/>
      <c r="O137" s="2"/>
      <c r="P137" s="26"/>
      <c r="Q137" s="27"/>
      <c r="R137" s="30"/>
      <c r="S137" s="27"/>
      <c r="T137" s="30"/>
      <c r="U137" s="34"/>
      <c r="V137" s="34"/>
      <c r="X137" s="8"/>
      <c r="Y137" s="2"/>
      <c r="Z137" s="26"/>
      <c r="AA137" s="26"/>
      <c r="AB137" s="26"/>
      <c r="AC137" s="26"/>
      <c r="AD137" s="27"/>
      <c r="AE137" s="30"/>
      <c r="AF137" s="26"/>
      <c r="AG137" s="26"/>
      <c r="AH137" s="32"/>
      <c r="AJ137" s="8"/>
      <c r="AK137" s="2"/>
      <c r="AL137" s="26"/>
      <c r="AM137" s="26"/>
      <c r="AN137" s="26"/>
      <c r="AO137" s="27"/>
      <c r="AP137" s="30"/>
      <c r="AQ137" s="26"/>
      <c r="AR137" s="26"/>
      <c r="AS137" s="32"/>
      <c r="AT137" s="34"/>
    </row>
    <row r="138" spans="2:46" x14ac:dyDescent="0.3">
      <c r="B138" s="8"/>
      <c r="C138" s="2"/>
      <c r="D138" s="26"/>
      <c r="E138" s="26"/>
      <c r="F138" s="27"/>
      <c r="G138" s="26"/>
      <c r="H138" s="26"/>
      <c r="I138" s="27"/>
      <c r="J138" s="26"/>
      <c r="K138" s="26"/>
      <c r="L138" s="67"/>
      <c r="N138" s="8"/>
      <c r="O138" s="2"/>
      <c r="P138" s="26"/>
      <c r="Q138" s="27"/>
      <c r="R138" s="30"/>
      <c r="S138" s="27"/>
      <c r="T138" s="30"/>
      <c r="U138" s="34"/>
      <c r="V138" s="34"/>
      <c r="X138" s="8"/>
      <c r="Y138" s="2"/>
      <c r="Z138" s="26"/>
      <c r="AA138" s="26"/>
      <c r="AB138" s="26"/>
      <c r="AC138" s="26"/>
      <c r="AD138" s="27"/>
      <c r="AE138" s="30"/>
      <c r="AF138" s="26"/>
      <c r="AG138" s="26"/>
      <c r="AH138" s="32"/>
      <c r="AJ138" s="8"/>
      <c r="AK138" s="2"/>
      <c r="AL138" s="26"/>
      <c r="AM138" s="26"/>
      <c r="AN138" s="26"/>
      <c r="AO138" s="27"/>
      <c r="AP138" s="30"/>
      <c r="AQ138" s="26"/>
      <c r="AR138" s="26"/>
      <c r="AS138" s="32"/>
      <c r="AT138" s="34"/>
    </row>
    <row r="139" spans="2:46" x14ac:dyDescent="0.3">
      <c r="B139" s="8"/>
      <c r="C139" s="2"/>
      <c r="D139" s="26"/>
      <c r="E139" s="26"/>
      <c r="F139" s="27"/>
      <c r="G139" s="26"/>
      <c r="H139" s="26"/>
      <c r="I139" s="27"/>
      <c r="J139" s="26"/>
      <c r="K139" s="26"/>
      <c r="L139" s="67"/>
      <c r="N139" s="8"/>
      <c r="O139" s="2"/>
      <c r="P139" s="26"/>
      <c r="Q139" s="27"/>
      <c r="R139" s="30"/>
      <c r="S139" s="27"/>
      <c r="T139" s="30"/>
      <c r="U139" s="34"/>
      <c r="V139" s="34"/>
      <c r="X139" s="8"/>
      <c r="Y139" s="2"/>
      <c r="Z139" s="26"/>
      <c r="AA139" s="26"/>
      <c r="AB139" s="26"/>
      <c r="AC139" s="26"/>
      <c r="AD139" s="27"/>
      <c r="AE139" s="30"/>
      <c r="AF139" s="26"/>
      <c r="AG139" s="26"/>
      <c r="AH139" s="32"/>
      <c r="AJ139" s="8"/>
      <c r="AK139" s="2"/>
      <c r="AL139" s="26"/>
      <c r="AM139" s="26"/>
      <c r="AN139" s="26"/>
      <c r="AO139" s="27"/>
      <c r="AP139" s="30"/>
      <c r="AQ139" s="26"/>
      <c r="AR139" s="26"/>
      <c r="AS139" s="32"/>
      <c r="AT139" s="34"/>
    </row>
    <row r="140" spans="2:46" x14ac:dyDescent="0.3">
      <c r="B140" s="8"/>
      <c r="C140" s="2"/>
      <c r="D140" s="26"/>
      <c r="E140" s="26"/>
      <c r="F140" s="27"/>
      <c r="G140" s="26"/>
      <c r="H140" s="26"/>
      <c r="I140" s="27"/>
      <c r="J140" s="26"/>
      <c r="K140" s="26"/>
      <c r="L140" s="67"/>
      <c r="N140" s="8"/>
      <c r="O140" s="2"/>
      <c r="P140" s="26"/>
      <c r="Q140" s="27"/>
      <c r="R140" s="30"/>
      <c r="S140" s="27"/>
      <c r="T140" s="30"/>
      <c r="U140" s="34"/>
      <c r="V140" s="34"/>
      <c r="X140" s="8"/>
      <c r="Y140" s="2"/>
      <c r="Z140" s="26"/>
      <c r="AA140" s="26"/>
      <c r="AB140" s="26"/>
      <c r="AC140" s="26"/>
      <c r="AD140" s="27"/>
      <c r="AE140" s="30"/>
      <c r="AF140" s="26"/>
      <c r="AG140" s="26"/>
      <c r="AH140" s="32"/>
      <c r="AJ140" s="8"/>
      <c r="AK140" s="2"/>
      <c r="AL140" s="26"/>
      <c r="AM140" s="26"/>
      <c r="AN140" s="26"/>
      <c r="AO140" s="27"/>
      <c r="AP140" s="30"/>
      <c r="AQ140" s="26"/>
      <c r="AR140" s="26"/>
      <c r="AS140" s="32"/>
      <c r="AT140" s="34"/>
    </row>
    <row r="141" spans="2:46" x14ac:dyDescent="0.3">
      <c r="B141" s="8"/>
      <c r="C141" s="2"/>
      <c r="D141" s="26"/>
      <c r="E141" s="26"/>
      <c r="F141" s="27"/>
      <c r="G141" s="26"/>
      <c r="H141" s="26"/>
      <c r="I141" s="27"/>
      <c r="J141" s="26"/>
      <c r="K141" s="26"/>
      <c r="L141" s="67"/>
      <c r="N141" s="8"/>
      <c r="O141" s="2"/>
      <c r="P141" s="26"/>
      <c r="Q141" s="27"/>
      <c r="R141" s="30"/>
      <c r="S141" s="27"/>
      <c r="T141" s="30"/>
      <c r="U141" s="34"/>
      <c r="V141" s="34"/>
      <c r="X141" s="8"/>
      <c r="Y141" s="2"/>
      <c r="Z141" s="26"/>
      <c r="AA141" s="26"/>
      <c r="AB141" s="26"/>
      <c r="AC141" s="26"/>
      <c r="AD141" s="27"/>
      <c r="AE141" s="30"/>
      <c r="AF141" s="26"/>
      <c r="AG141" s="26"/>
      <c r="AH141" s="32"/>
      <c r="AJ141" s="8"/>
      <c r="AK141" s="2"/>
      <c r="AL141" s="26"/>
      <c r="AM141" s="26"/>
      <c r="AN141" s="26"/>
      <c r="AO141" s="27"/>
      <c r="AP141" s="30"/>
      <c r="AQ141" s="26"/>
      <c r="AR141" s="26"/>
      <c r="AS141" s="32"/>
      <c r="AT141" s="34"/>
    </row>
    <row r="142" spans="2:46" x14ac:dyDescent="0.3">
      <c r="B142" s="8"/>
      <c r="C142" s="2"/>
      <c r="D142" s="26"/>
      <c r="E142" s="26"/>
      <c r="F142" s="27"/>
      <c r="G142" s="26"/>
      <c r="H142" s="26"/>
      <c r="I142" s="27"/>
      <c r="J142" s="26"/>
      <c r="K142" s="26"/>
      <c r="L142" s="67"/>
      <c r="N142" s="8"/>
      <c r="O142" s="2"/>
      <c r="P142" s="26"/>
      <c r="Q142" s="27"/>
      <c r="R142" s="30"/>
      <c r="S142" s="27"/>
      <c r="T142" s="30"/>
      <c r="U142" s="34"/>
      <c r="V142" s="34"/>
      <c r="X142" s="8"/>
      <c r="Y142" s="2"/>
      <c r="Z142" s="26"/>
      <c r="AA142" s="26"/>
      <c r="AB142" s="26"/>
      <c r="AC142" s="26"/>
      <c r="AD142" s="27"/>
      <c r="AE142" s="30"/>
      <c r="AF142" s="26"/>
      <c r="AG142" s="26"/>
      <c r="AH142" s="32"/>
      <c r="AJ142" s="8"/>
      <c r="AK142" s="2"/>
      <c r="AL142" s="26"/>
      <c r="AM142" s="26"/>
      <c r="AN142" s="26"/>
      <c r="AO142" s="27"/>
      <c r="AP142" s="30"/>
      <c r="AQ142" s="26"/>
      <c r="AR142" s="26"/>
      <c r="AS142" s="32"/>
      <c r="AT142" s="34"/>
    </row>
    <row r="143" spans="2:46" x14ac:dyDescent="0.3">
      <c r="B143" s="8"/>
      <c r="C143" s="2"/>
      <c r="D143" s="26"/>
      <c r="E143" s="26"/>
      <c r="F143" s="27"/>
      <c r="G143" s="26"/>
      <c r="H143" s="26"/>
      <c r="I143" s="27"/>
      <c r="J143" s="26"/>
      <c r="K143" s="26"/>
      <c r="L143" s="67"/>
      <c r="N143" s="8"/>
      <c r="O143" s="2"/>
      <c r="P143" s="26"/>
      <c r="Q143" s="27"/>
      <c r="R143" s="30"/>
      <c r="S143" s="27"/>
      <c r="T143" s="30"/>
      <c r="U143" s="34"/>
      <c r="V143" s="34"/>
      <c r="X143" s="8"/>
      <c r="Y143" s="2"/>
      <c r="Z143" s="26"/>
      <c r="AA143" s="26"/>
      <c r="AB143" s="26"/>
      <c r="AC143" s="26"/>
      <c r="AD143" s="27"/>
      <c r="AE143" s="30"/>
      <c r="AF143" s="26"/>
      <c r="AG143" s="26"/>
      <c r="AH143" s="32"/>
      <c r="AJ143" s="8"/>
      <c r="AK143" s="2"/>
      <c r="AL143" s="26"/>
      <c r="AM143" s="26"/>
      <c r="AN143" s="26"/>
      <c r="AO143" s="27"/>
      <c r="AP143" s="30"/>
      <c r="AQ143" s="26"/>
      <c r="AR143" s="26"/>
      <c r="AS143" s="32"/>
      <c r="AT143" s="34"/>
    </row>
    <row r="144" spans="2:46" x14ac:dyDescent="0.3">
      <c r="B144" s="8"/>
      <c r="C144" s="2"/>
      <c r="D144" s="26"/>
      <c r="E144" s="26"/>
      <c r="F144" s="27"/>
      <c r="G144" s="26"/>
      <c r="H144" s="26"/>
      <c r="I144" s="27"/>
      <c r="J144" s="26"/>
      <c r="K144" s="26"/>
      <c r="L144" s="67"/>
      <c r="N144" s="8"/>
      <c r="O144" s="2"/>
      <c r="P144" s="26"/>
      <c r="Q144" s="27"/>
      <c r="R144" s="30"/>
      <c r="S144" s="27"/>
      <c r="T144" s="30"/>
      <c r="U144" s="34"/>
      <c r="V144" s="34"/>
      <c r="X144" s="8"/>
      <c r="Y144" s="2"/>
      <c r="Z144" s="26"/>
      <c r="AA144" s="26"/>
      <c r="AB144" s="26"/>
      <c r="AC144" s="26"/>
      <c r="AD144" s="27"/>
      <c r="AE144" s="30"/>
      <c r="AF144" s="26"/>
      <c r="AG144" s="26"/>
      <c r="AH144" s="32"/>
      <c r="AJ144" s="8"/>
      <c r="AK144" s="2"/>
      <c r="AL144" s="26"/>
      <c r="AM144" s="26"/>
      <c r="AN144" s="26"/>
      <c r="AO144" s="27"/>
      <c r="AP144" s="30"/>
      <c r="AQ144" s="26"/>
      <c r="AR144" s="26"/>
      <c r="AS144" s="32"/>
      <c r="AT144" s="34"/>
    </row>
    <row r="145" spans="2:46" x14ac:dyDescent="0.3">
      <c r="B145" s="8"/>
      <c r="C145" s="2"/>
      <c r="D145" s="26"/>
      <c r="E145" s="26"/>
      <c r="F145" s="27"/>
      <c r="G145" s="26"/>
      <c r="H145" s="26"/>
      <c r="I145" s="27"/>
      <c r="J145" s="26"/>
      <c r="K145" s="26"/>
      <c r="L145" s="67"/>
      <c r="N145" s="8"/>
      <c r="O145" s="2"/>
      <c r="P145" s="26"/>
      <c r="Q145" s="27"/>
      <c r="R145" s="30"/>
      <c r="S145" s="27"/>
      <c r="T145" s="30"/>
      <c r="U145" s="34"/>
      <c r="V145" s="34"/>
      <c r="X145" s="8"/>
      <c r="Y145" s="2"/>
      <c r="Z145" s="26"/>
      <c r="AA145" s="26"/>
      <c r="AB145" s="26"/>
      <c r="AC145" s="26"/>
      <c r="AD145" s="27"/>
      <c r="AE145" s="30"/>
      <c r="AF145" s="26"/>
      <c r="AG145" s="26"/>
      <c r="AH145" s="32"/>
      <c r="AJ145" s="8"/>
      <c r="AK145" s="2"/>
      <c r="AL145" s="26"/>
      <c r="AM145" s="26"/>
      <c r="AN145" s="26"/>
      <c r="AO145" s="27"/>
      <c r="AP145" s="30"/>
      <c r="AQ145" s="26"/>
      <c r="AR145" s="26"/>
      <c r="AS145" s="32"/>
      <c r="AT145" s="34"/>
    </row>
    <row r="146" spans="2:46" x14ac:dyDescent="0.3">
      <c r="B146" s="8"/>
      <c r="C146" s="2"/>
      <c r="D146" s="26"/>
      <c r="E146" s="26"/>
      <c r="F146" s="27"/>
      <c r="G146" s="26"/>
      <c r="H146" s="26"/>
      <c r="I146" s="27"/>
      <c r="J146" s="26"/>
      <c r="K146" s="26"/>
      <c r="L146" s="67"/>
      <c r="N146" s="8"/>
      <c r="O146" s="2"/>
      <c r="P146" s="26"/>
      <c r="Q146" s="27"/>
      <c r="R146" s="30"/>
      <c r="S146" s="27"/>
      <c r="T146" s="30"/>
      <c r="U146" s="34"/>
      <c r="V146" s="34"/>
      <c r="X146" s="8"/>
      <c r="Y146" s="2"/>
      <c r="Z146" s="26"/>
      <c r="AA146" s="26"/>
      <c r="AB146" s="26"/>
      <c r="AC146" s="26"/>
      <c r="AD146" s="27"/>
      <c r="AE146" s="30"/>
      <c r="AF146" s="26"/>
      <c r="AG146" s="26"/>
      <c r="AH146" s="32"/>
      <c r="AJ146" s="8"/>
      <c r="AK146" s="2"/>
      <c r="AL146" s="26"/>
      <c r="AM146" s="26"/>
      <c r="AN146" s="26"/>
      <c r="AO146" s="27"/>
      <c r="AP146" s="30"/>
      <c r="AQ146" s="26"/>
      <c r="AR146" s="26"/>
      <c r="AS146" s="32"/>
      <c r="AT146" s="34"/>
    </row>
    <row r="147" spans="2:46" x14ac:dyDescent="0.3">
      <c r="B147" s="8"/>
      <c r="C147" s="2"/>
      <c r="D147" s="26"/>
      <c r="E147" s="26"/>
      <c r="F147" s="27"/>
      <c r="G147" s="26"/>
      <c r="H147" s="26"/>
      <c r="I147" s="27"/>
      <c r="J147" s="26"/>
      <c r="K147" s="26"/>
      <c r="L147" s="67"/>
      <c r="N147" s="8"/>
      <c r="O147" s="2"/>
      <c r="P147" s="26"/>
      <c r="Q147" s="27"/>
      <c r="R147" s="30"/>
      <c r="S147" s="27"/>
      <c r="T147" s="30"/>
      <c r="U147" s="34"/>
      <c r="V147" s="34"/>
      <c r="X147" s="8"/>
      <c r="Y147" s="2"/>
      <c r="Z147" s="26"/>
      <c r="AA147" s="26"/>
      <c r="AB147" s="26"/>
      <c r="AC147" s="26"/>
      <c r="AD147" s="27"/>
      <c r="AE147" s="30"/>
      <c r="AF147" s="26"/>
      <c r="AG147" s="26"/>
      <c r="AH147" s="32"/>
      <c r="AJ147" s="8"/>
      <c r="AK147" s="2"/>
      <c r="AL147" s="26"/>
      <c r="AM147" s="26"/>
      <c r="AN147" s="26"/>
      <c r="AO147" s="27"/>
      <c r="AP147" s="30"/>
      <c r="AQ147" s="26"/>
      <c r="AR147" s="26"/>
      <c r="AS147" s="32"/>
      <c r="AT147" s="34"/>
    </row>
    <row r="148" spans="2:46" x14ac:dyDescent="0.3">
      <c r="B148" s="8"/>
      <c r="C148" s="2"/>
      <c r="D148" s="26"/>
      <c r="E148" s="26"/>
      <c r="F148" s="27"/>
      <c r="G148" s="26"/>
      <c r="H148" s="26"/>
      <c r="I148" s="27"/>
      <c r="J148" s="26"/>
      <c r="K148" s="26"/>
      <c r="L148" s="67"/>
      <c r="N148" s="8"/>
      <c r="O148" s="2"/>
      <c r="P148" s="26"/>
      <c r="Q148" s="27"/>
      <c r="R148" s="30"/>
      <c r="S148" s="27"/>
      <c r="T148" s="30"/>
      <c r="U148" s="34"/>
      <c r="V148" s="34"/>
      <c r="X148" s="8"/>
      <c r="Y148" s="2"/>
      <c r="Z148" s="26"/>
      <c r="AA148" s="26"/>
      <c r="AB148" s="26"/>
      <c r="AC148" s="26"/>
      <c r="AD148" s="27"/>
      <c r="AE148" s="30"/>
      <c r="AF148" s="26"/>
      <c r="AG148" s="26"/>
      <c r="AH148" s="32"/>
      <c r="AJ148" s="8"/>
      <c r="AK148" s="2"/>
      <c r="AL148" s="26"/>
      <c r="AM148" s="26"/>
      <c r="AN148" s="26"/>
      <c r="AO148" s="27"/>
      <c r="AP148" s="30"/>
      <c r="AQ148" s="26"/>
      <c r="AR148" s="26"/>
      <c r="AS148" s="32"/>
      <c r="AT148" s="34"/>
    </row>
    <row r="149" spans="2:46" x14ac:dyDescent="0.3">
      <c r="B149" s="8"/>
      <c r="C149" s="2"/>
      <c r="D149" s="26"/>
      <c r="E149" s="26"/>
      <c r="F149" s="27"/>
      <c r="G149" s="26"/>
      <c r="H149" s="26"/>
      <c r="I149" s="27"/>
      <c r="J149" s="26"/>
      <c r="K149" s="26"/>
      <c r="L149" s="67"/>
      <c r="N149" s="8"/>
      <c r="O149" s="2"/>
      <c r="P149" s="26"/>
      <c r="Q149" s="27"/>
      <c r="R149" s="30"/>
      <c r="S149" s="27"/>
      <c r="T149" s="30"/>
      <c r="U149" s="34"/>
      <c r="V149" s="34"/>
      <c r="X149" s="8"/>
      <c r="Y149" s="2"/>
      <c r="Z149" s="26"/>
      <c r="AA149" s="26"/>
      <c r="AB149" s="26"/>
      <c r="AC149" s="26"/>
      <c r="AD149" s="27"/>
      <c r="AE149" s="30"/>
      <c r="AF149" s="26"/>
      <c r="AG149" s="26"/>
      <c r="AH149" s="32"/>
      <c r="AJ149" s="8"/>
      <c r="AK149" s="2"/>
      <c r="AL149" s="26"/>
      <c r="AM149" s="26"/>
      <c r="AN149" s="26"/>
      <c r="AO149" s="27"/>
      <c r="AP149" s="30"/>
      <c r="AQ149" s="26"/>
      <c r="AR149" s="26"/>
      <c r="AS149" s="32"/>
      <c r="AT149" s="34"/>
    </row>
    <row r="150" spans="2:46" x14ac:dyDescent="0.3">
      <c r="B150" s="8"/>
      <c r="C150" s="2"/>
      <c r="D150" s="26"/>
      <c r="E150" s="26"/>
      <c r="F150" s="27"/>
      <c r="G150" s="26"/>
      <c r="H150" s="26"/>
      <c r="I150" s="27"/>
      <c r="J150" s="26"/>
      <c r="K150" s="26"/>
      <c r="L150" s="67"/>
      <c r="N150" s="8"/>
      <c r="O150" s="2"/>
      <c r="P150" s="26"/>
      <c r="Q150" s="27"/>
      <c r="R150" s="30"/>
      <c r="S150" s="27"/>
      <c r="T150" s="30"/>
      <c r="U150" s="34"/>
      <c r="V150" s="34"/>
      <c r="X150" s="8"/>
      <c r="Y150" s="2"/>
      <c r="Z150" s="26"/>
      <c r="AA150" s="26"/>
      <c r="AB150" s="26"/>
      <c r="AC150" s="26"/>
      <c r="AD150" s="27"/>
      <c r="AE150" s="30"/>
      <c r="AF150" s="26"/>
      <c r="AG150" s="26"/>
      <c r="AH150" s="32"/>
      <c r="AJ150" s="8"/>
      <c r="AK150" s="2"/>
      <c r="AL150" s="26"/>
      <c r="AM150" s="26"/>
      <c r="AN150" s="26"/>
      <c r="AO150" s="27"/>
      <c r="AP150" s="30"/>
      <c r="AQ150" s="26"/>
      <c r="AR150" s="26"/>
      <c r="AS150" s="32"/>
      <c r="AT150" s="34"/>
    </row>
    <row r="151" spans="2:46" x14ac:dyDescent="0.3">
      <c r="B151" s="8"/>
      <c r="C151" s="2"/>
      <c r="D151" s="26"/>
      <c r="E151" s="26"/>
      <c r="F151" s="27"/>
      <c r="G151" s="26"/>
      <c r="H151" s="26"/>
      <c r="I151" s="27"/>
      <c r="J151" s="26"/>
      <c r="K151" s="26"/>
      <c r="L151" s="67"/>
      <c r="N151" s="8"/>
      <c r="O151" s="2"/>
      <c r="P151" s="26"/>
      <c r="Q151" s="27"/>
      <c r="R151" s="30"/>
      <c r="S151" s="27"/>
      <c r="T151" s="30"/>
      <c r="U151" s="34"/>
      <c r="V151" s="34"/>
      <c r="X151" s="8"/>
      <c r="Y151" s="2"/>
      <c r="Z151" s="26"/>
      <c r="AA151" s="26"/>
      <c r="AB151" s="26"/>
      <c r="AC151" s="26"/>
      <c r="AD151" s="27"/>
      <c r="AE151" s="30"/>
      <c r="AF151" s="26"/>
      <c r="AG151" s="26"/>
      <c r="AH151" s="32"/>
      <c r="AJ151" s="8"/>
      <c r="AK151" s="2"/>
      <c r="AL151" s="26"/>
      <c r="AM151" s="26"/>
      <c r="AN151" s="26"/>
      <c r="AO151" s="27"/>
      <c r="AP151" s="30"/>
      <c r="AQ151" s="26"/>
      <c r="AR151" s="26"/>
      <c r="AS151" s="32"/>
      <c r="AT151" s="34"/>
    </row>
    <row r="152" spans="2:46" x14ac:dyDescent="0.3">
      <c r="B152" s="8"/>
      <c r="C152" s="2"/>
      <c r="D152" s="26"/>
      <c r="E152" s="26"/>
      <c r="F152" s="27"/>
      <c r="G152" s="26"/>
      <c r="H152" s="26"/>
      <c r="I152" s="27"/>
      <c r="J152" s="26"/>
      <c r="K152" s="26"/>
      <c r="L152" s="67"/>
      <c r="N152" s="8"/>
      <c r="O152" s="2"/>
      <c r="P152" s="26"/>
      <c r="Q152" s="27"/>
      <c r="R152" s="30"/>
      <c r="S152" s="27"/>
      <c r="T152" s="30"/>
      <c r="U152" s="34"/>
      <c r="V152" s="34"/>
      <c r="X152" s="8"/>
      <c r="Y152" s="2"/>
      <c r="Z152" s="26"/>
      <c r="AA152" s="26"/>
      <c r="AB152" s="26"/>
      <c r="AC152" s="26"/>
      <c r="AD152" s="27"/>
      <c r="AE152" s="30"/>
      <c r="AF152" s="26"/>
      <c r="AG152" s="26"/>
      <c r="AH152" s="32"/>
      <c r="AJ152" s="8"/>
      <c r="AK152" s="2"/>
      <c r="AL152" s="26"/>
      <c r="AM152" s="26"/>
      <c r="AN152" s="26"/>
      <c r="AO152" s="27"/>
      <c r="AP152" s="30"/>
      <c r="AQ152" s="26"/>
      <c r="AR152" s="26"/>
      <c r="AS152" s="32"/>
      <c r="AT152" s="34"/>
    </row>
    <row r="153" spans="2:46" x14ac:dyDescent="0.3">
      <c r="B153" s="8"/>
      <c r="C153" s="2"/>
      <c r="D153" s="26"/>
      <c r="E153" s="26"/>
      <c r="F153" s="27"/>
      <c r="G153" s="26"/>
      <c r="H153" s="26"/>
      <c r="I153" s="27"/>
      <c r="J153" s="26"/>
      <c r="K153" s="26"/>
      <c r="L153" s="67"/>
      <c r="N153" s="8"/>
      <c r="O153" s="2"/>
      <c r="P153" s="26"/>
      <c r="Q153" s="27"/>
      <c r="R153" s="30"/>
      <c r="S153" s="27"/>
      <c r="T153" s="30"/>
      <c r="U153" s="34"/>
      <c r="V153" s="34"/>
      <c r="X153" s="8"/>
      <c r="Y153" s="2"/>
      <c r="Z153" s="26"/>
      <c r="AA153" s="26"/>
      <c r="AB153" s="26"/>
      <c r="AC153" s="26"/>
      <c r="AD153" s="27"/>
      <c r="AE153" s="30"/>
      <c r="AF153" s="26"/>
      <c r="AG153" s="26"/>
      <c r="AH153" s="32"/>
      <c r="AJ153" s="8"/>
      <c r="AK153" s="2"/>
      <c r="AL153" s="26"/>
      <c r="AM153" s="26"/>
      <c r="AN153" s="26"/>
      <c r="AO153" s="27"/>
      <c r="AP153" s="30"/>
      <c r="AQ153" s="26"/>
      <c r="AR153" s="26"/>
      <c r="AS153" s="32"/>
      <c r="AT153" s="34"/>
    </row>
    <row r="154" spans="2:46" x14ac:dyDescent="0.3">
      <c r="B154" s="8"/>
      <c r="C154" s="2"/>
      <c r="D154" s="26"/>
      <c r="E154" s="26"/>
      <c r="F154" s="27"/>
      <c r="G154" s="26"/>
      <c r="H154" s="26"/>
      <c r="I154" s="27"/>
      <c r="J154" s="26"/>
      <c r="K154" s="26"/>
      <c r="L154" s="67"/>
      <c r="N154" s="8"/>
      <c r="O154" s="2"/>
      <c r="P154" s="26"/>
      <c r="Q154" s="27"/>
      <c r="R154" s="30"/>
      <c r="S154" s="27"/>
      <c r="T154" s="30"/>
      <c r="U154" s="34"/>
      <c r="V154" s="34"/>
      <c r="X154" s="8"/>
      <c r="Y154" s="2"/>
      <c r="Z154" s="26"/>
      <c r="AA154" s="26"/>
      <c r="AB154" s="26"/>
      <c r="AC154" s="26"/>
      <c r="AD154" s="27"/>
      <c r="AE154" s="30"/>
      <c r="AF154" s="26"/>
      <c r="AG154" s="26"/>
      <c r="AH154" s="32"/>
      <c r="AJ154" s="8"/>
      <c r="AK154" s="2"/>
      <c r="AL154" s="26"/>
      <c r="AM154" s="26"/>
      <c r="AN154" s="26"/>
      <c r="AO154" s="27"/>
      <c r="AP154" s="30"/>
      <c r="AQ154" s="26"/>
      <c r="AR154" s="26"/>
      <c r="AS154" s="32"/>
      <c r="AT154" s="34"/>
    </row>
    <row r="155" spans="2:46" x14ac:dyDescent="0.3">
      <c r="B155" s="8"/>
      <c r="C155" s="2"/>
      <c r="D155" s="26"/>
      <c r="E155" s="26"/>
      <c r="F155" s="27"/>
      <c r="G155" s="26"/>
      <c r="H155" s="26"/>
      <c r="I155" s="27"/>
      <c r="J155" s="26"/>
      <c r="K155" s="26"/>
      <c r="L155" s="67"/>
      <c r="N155" s="8"/>
      <c r="O155" s="2"/>
      <c r="P155" s="26"/>
      <c r="Q155" s="27"/>
      <c r="R155" s="30"/>
      <c r="S155" s="27"/>
      <c r="T155" s="30"/>
      <c r="U155" s="34"/>
      <c r="V155" s="34"/>
      <c r="X155" s="8"/>
      <c r="Y155" s="2"/>
      <c r="Z155" s="26"/>
      <c r="AA155" s="26"/>
      <c r="AB155" s="26"/>
      <c r="AC155" s="26"/>
      <c r="AD155" s="27"/>
      <c r="AE155" s="30"/>
      <c r="AF155" s="26"/>
      <c r="AG155" s="26"/>
      <c r="AH155" s="32"/>
      <c r="AJ155" s="8"/>
      <c r="AK155" s="2"/>
      <c r="AL155" s="26"/>
      <c r="AM155" s="26"/>
      <c r="AN155" s="26"/>
      <c r="AO155" s="27"/>
      <c r="AP155" s="30"/>
      <c r="AQ155" s="26"/>
      <c r="AR155" s="26"/>
      <c r="AS155" s="32"/>
      <c r="AT155" s="34"/>
    </row>
    <row r="156" spans="2:46" x14ac:dyDescent="0.3">
      <c r="B156" s="8"/>
      <c r="C156" s="2"/>
      <c r="D156" s="26"/>
      <c r="E156" s="26"/>
      <c r="F156" s="27"/>
      <c r="G156" s="26"/>
      <c r="H156" s="26"/>
      <c r="I156" s="27"/>
      <c r="J156" s="26"/>
      <c r="K156" s="26"/>
      <c r="L156" s="67"/>
      <c r="N156" s="8"/>
      <c r="O156" s="2"/>
      <c r="P156" s="26"/>
      <c r="Q156" s="27"/>
      <c r="R156" s="30"/>
      <c r="S156" s="27"/>
      <c r="T156" s="30"/>
      <c r="U156" s="34"/>
      <c r="V156" s="34"/>
      <c r="X156" s="8"/>
      <c r="Y156" s="2"/>
      <c r="Z156" s="26"/>
      <c r="AA156" s="26"/>
      <c r="AB156" s="26"/>
      <c r="AC156" s="26"/>
      <c r="AD156" s="27"/>
      <c r="AE156" s="30"/>
      <c r="AF156" s="26"/>
      <c r="AG156" s="26"/>
      <c r="AH156" s="32"/>
      <c r="AJ156" s="8"/>
      <c r="AK156" s="2"/>
      <c r="AL156" s="26"/>
      <c r="AM156" s="26"/>
      <c r="AN156" s="26"/>
      <c r="AO156" s="27"/>
      <c r="AP156" s="30"/>
      <c r="AQ156" s="26"/>
      <c r="AR156" s="26"/>
      <c r="AS156" s="32"/>
      <c r="AT156" s="34"/>
    </row>
    <row r="157" spans="2:46" x14ac:dyDescent="0.3">
      <c r="B157" s="8"/>
      <c r="C157" s="2"/>
      <c r="D157" s="26"/>
      <c r="E157" s="26"/>
      <c r="F157" s="27"/>
      <c r="G157" s="26"/>
      <c r="H157" s="26"/>
      <c r="I157" s="27"/>
      <c r="J157" s="26"/>
      <c r="K157" s="26"/>
      <c r="L157" s="67"/>
      <c r="N157" s="8"/>
      <c r="O157" s="2"/>
      <c r="P157" s="26"/>
      <c r="Q157" s="27"/>
      <c r="R157" s="30"/>
      <c r="S157" s="27"/>
      <c r="T157" s="30"/>
      <c r="U157" s="34"/>
      <c r="V157" s="34"/>
      <c r="X157" s="8"/>
      <c r="Y157" s="2"/>
      <c r="Z157" s="26"/>
      <c r="AA157" s="26"/>
      <c r="AB157" s="26"/>
      <c r="AC157" s="26"/>
      <c r="AD157" s="27"/>
      <c r="AE157" s="30"/>
      <c r="AF157" s="26"/>
      <c r="AG157" s="26"/>
      <c r="AH157" s="32"/>
      <c r="AJ157" s="8"/>
      <c r="AK157" s="2"/>
      <c r="AL157" s="26"/>
      <c r="AM157" s="26"/>
      <c r="AN157" s="26"/>
      <c r="AO157" s="27"/>
      <c r="AP157" s="30"/>
      <c r="AQ157" s="26"/>
      <c r="AR157" s="26"/>
      <c r="AS157" s="32"/>
      <c r="AT157" s="34"/>
    </row>
    <row r="158" spans="2:46" x14ac:dyDescent="0.3">
      <c r="B158" s="8"/>
      <c r="C158" s="2"/>
      <c r="D158" s="26"/>
      <c r="E158" s="26"/>
      <c r="F158" s="27"/>
      <c r="G158" s="26"/>
      <c r="H158" s="26"/>
      <c r="I158" s="27"/>
      <c r="J158" s="26"/>
      <c r="K158" s="26"/>
      <c r="L158" s="67"/>
      <c r="N158" s="8"/>
      <c r="O158" s="2"/>
      <c r="P158" s="26"/>
      <c r="Q158" s="27"/>
      <c r="R158" s="30"/>
      <c r="S158" s="27"/>
      <c r="T158" s="30"/>
      <c r="U158" s="34"/>
      <c r="V158" s="34"/>
      <c r="X158" s="8"/>
      <c r="Y158" s="2"/>
      <c r="Z158" s="26"/>
      <c r="AA158" s="26"/>
      <c r="AB158" s="26"/>
      <c r="AC158" s="26"/>
      <c r="AD158" s="27"/>
      <c r="AE158" s="30"/>
      <c r="AF158" s="26"/>
      <c r="AG158" s="26"/>
      <c r="AH158" s="32"/>
      <c r="AJ158" s="8"/>
      <c r="AK158" s="2"/>
      <c r="AL158" s="26"/>
      <c r="AM158" s="26"/>
      <c r="AN158" s="26"/>
      <c r="AO158" s="27"/>
      <c r="AP158" s="30"/>
      <c r="AQ158" s="26"/>
      <c r="AR158" s="26"/>
      <c r="AS158" s="32"/>
      <c r="AT158" s="34"/>
    </row>
    <row r="159" spans="2:46" x14ac:dyDescent="0.3">
      <c r="B159" s="8"/>
      <c r="C159" s="2"/>
      <c r="D159" s="26"/>
      <c r="E159" s="26"/>
      <c r="F159" s="27"/>
      <c r="G159" s="26"/>
      <c r="H159" s="26"/>
      <c r="I159" s="27"/>
      <c r="J159" s="26"/>
      <c r="K159" s="26"/>
      <c r="L159" s="67"/>
      <c r="N159" s="8"/>
      <c r="O159" s="2"/>
      <c r="P159" s="26"/>
      <c r="Q159" s="27"/>
      <c r="R159" s="30"/>
      <c r="S159" s="27"/>
      <c r="T159" s="30"/>
      <c r="U159" s="34"/>
      <c r="V159" s="34"/>
      <c r="X159" s="8"/>
      <c r="Y159" s="2"/>
      <c r="Z159" s="26"/>
      <c r="AA159" s="26"/>
      <c r="AB159" s="26"/>
      <c r="AC159" s="26"/>
      <c r="AD159" s="27"/>
      <c r="AE159" s="30"/>
      <c r="AF159" s="26"/>
      <c r="AG159" s="26"/>
      <c r="AH159" s="32"/>
      <c r="AJ159" s="8"/>
      <c r="AK159" s="2"/>
      <c r="AL159" s="26"/>
      <c r="AM159" s="26"/>
      <c r="AN159" s="26"/>
      <c r="AO159" s="27"/>
      <c r="AP159" s="30"/>
      <c r="AQ159" s="26"/>
      <c r="AR159" s="26"/>
      <c r="AS159" s="32"/>
      <c r="AT159" s="34"/>
    </row>
    <row r="160" spans="2:46" x14ac:dyDescent="0.3">
      <c r="B160" s="8"/>
      <c r="C160" s="2"/>
      <c r="D160" s="26"/>
      <c r="E160" s="26"/>
      <c r="F160" s="27"/>
      <c r="G160" s="26"/>
      <c r="H160" s="26"/>
      <c r="I160" s="27"/>
      <c r="J160" s="26"/>
      <c r="K160" s="26"/>
      <c r="L160" s="67"/>
      <c r="N160" s="8"/>
      <c r="O160" s="2"/>
      <c r="P160" s="26"/>
      <c r="Q160" s="27"/>
      <c r="R160" s="30"/>
      <c r="S160" s="27"/>
      <c r="T160" s="30"/>
      <c r="U160" s="34"/>
      <c r="V160" s="34"/>
      <c r="X160" s="8"/>
      <c r="Y160" s="2"/>
      <c r="Z160" s="26"/>
      <c r="AA160" s="26"/>
      <c r="AB160" s="26"/>
      <c r="AC160" s="26"/>
      <c r="AD160" s="27"/>
      <c r="AE160" s="30"/>
      <c r="AF160" s="26"/>
      <c r="AG160" s="26"/>
      <c r="AH160" s="32"/>
      <c r="AJ160" s="8"/>
      <c r="AK160" s="2"/>
      <c r="AL160" s="26"/>
      <c r="AM160" s="26"/>
      <c r="AN160" s="26"/>
      <c r="AO160" s="27"/>
      <c r="AP160" s="30"/>
      <c r="AQ160" s="26"/>
      <c r="AR160" s="26"/>
      <c r="AS160" s="32"/>
      <c r="AT160" s="34"/>
    </row>
    <row r="161" spans="2:46" x14ac:dyDescent="0.3">
      <c r="B161" s="8"/>
      <c r="C161" s="2"/>
      <c r="D161" s="26"/>
      <c r="E161" s="26"/>
      <c r="F161" s="27"/>
      <c r="G161" s="26"/>
      <c r="H161" s="26"/>
      <c r="I161" s="27"/>
      <c r="J161" s="26"/>
      <c r="K161" s="26"/>
      <c r="L161" s="67"/>
      <c r="N161" s="8"/>
      <c r="O161" s="2"/>
      <c r="P161" s="26"/>
      <c r="Q161" s="27"/>
      <c r="R161" s="30"/>
      <c r="S161" s="27"/>
      <c r="T161" s="30"/>
      <c r="U161" s="34"/>
      <c r="V161" s="34"/>
      <c r="X161" s="8"/>
      <c r="Y161" s="2"/>
      <c r="Z161" s="26"/>
      <c r="AA161" s="26"/>
      <c r="AB161" s="26"/>
      <c r="AC161" s="26"/>
      <c r="AD161" s="27"/>
      <c r="AE161" s="30"/>
      <c r="AF161" s="26"/>
      <c r="AG161" s="26"/>
      <c r="AH161" s="32"/>
      <c r="AJ161" s="8"/>
      <c r="AK161" s="2"/>
      <c r="AL161" s="26"/>
      <c r="AM161" s="26"/>
      <c r="AN161" s="26"/>
      <c r="AO161" s="27"/>
      <c r="AP161" s="30"/>
      <c r="AQ161" s="26"/>
      <c r="AR161" s="26"/>
      <c r="AS161" s="32"/>
      <c r="AT161" s="34"/>
    </row>
    <row r="162" spans="2:46" x14ac:dyDescent="0.3">
      <c r="B162" s="8"/>
      <c r="C162" s="2"/>
      <c r="D162" s="26"/>
      <c r="E162" s="26"/>
      <c r="F162" s="27"/>
      <c r="G162" s="26"/>
      <c r="H162" s="26"/>
      <c r="I162" s="27"/>
      <c r="J162" s="26"/>
      <c r="K162" s="26"/>
      <c r="L162" s="67"/>
      <c r="N162" s="8"/>
      <c r="O162" s="2"/>
      <c r="P162" s="26"/>
      <c r="Q162" s="27"/>
      <c r="R162" s="30"/>
      <c r="S162" s="27"/>
      <c r="T162" s="30"/>
      <c r="U162" s="34"/>
      <c r="V162" s="34"/>
      <c r="X162" s="8"/>
      <c r="Y162" s="2"/>
      <c r="Z162" s="26"/>
      <c r="AA162" s="26"/>
      <c r="AB162" s="26"/>
      <c r="AC162" s="26"/>
      <c r="AD162" s="27"/>
      <c r="AE162" s="30"/>
      <c r="AF162" s="26"/>
      <c r="AG162" s="26"/>
      <c r="AH162" s="32"/>
      <c r="AJ162" s="8"/>
      <c r="AK162" s="2"/>
      <c r="AL162" s="26"/>
      <c r="AM162" s="26"/>
      <c r="AN162" s="26"/>
      <c r="AO162" s="27"/>
      <c r="AP162" s="30"/>
      <c r="AQ162" s="26"/>
      <c r="AR162" s="26"/>
      <c r="AS162" s="32"/>
      <c r="AT162" s="34"/>
    </row>
    <row r="163" spans="2:46" x14ac:dyDescent="0.3">
      <c r="B163" s="8"/>
      <c r="C163" s="2"/>
      <c r="D163" s="26"/>
      <c r="E163" s="26"/>
      <c r="F163" s="27"/>
      <c r="G163" s="26"/>
      <c r="H163" s="26"/>
      <c r="I163" s="27"/>
      <c r="J163" s="26"/>
      <c r="K163" s="26"/>
      <c r="L163" s="67"/>
      <c r="N163" s="8"/>
      <c r="O163" s="2"/>
      <c r="P163" s="26"/>
      <c r="Q163" s="27"/>
      <c r="R163" s="30"/>
      <c r="S163" s="27"/>
      <c r="T163" s="30"/>
      <c r="U163" s="34"/>
      <c r="V163" s="34"/>
      <c r="X163" s="8"/>
      <c r="Y163" s="2"/>
      <c r="Z163" s="26"/>
      <c r="AA163" s="26"/>
      <c r="AB163" s="26"/>
      <c r="AC163" s="26"/>
      <c r="AD163" s="27"/>
      <c r="AE163" s="30"/>
      <c r="AF163" s="26"/>
      <c r="AG163" s="26"/>
      <c r="AH163" s="32"/>
      <c r="AJ163" s="8"/>
      <c r="AK163" s="2"/>
      <c r="AL163" s="26"/>
      <c r="AM163" s="26"/>
      <c r="AN163" s="26"/>
      <c r="AO163" s="27"/>
      <c r="AP163" s="30"/>
      <c r="AQ163" s="26"/>
      <c r="AR163" s="26"/>
      <c r="AS163" s="32"/>
      <c r="AT163" s="34"/>
    </row>
    <row r="164" spans="2:46" x14ac:dyDescent="0.3">
      <c r="B164" s="8"/>
      <c r="C164" s="2"/>
      <c r="D164" s="26"/>
      <c r="E164" s="26"/>
      <c r="F164" s="27"/>
      <c r="G164" s="26"/>
      <c r="H164" s="26"/>
      <c r="I164" s="27"/>
      <c r="J164" s="26"/>
      <c r="K164" s="26"/>
      <c r="L164" s="67"/>
      <c r="N164" s="8"/>
      <c r="O164" s="2"/>
      <c r="P164" s="26"/>
      <c r="Q164" s="27"/>
      <c r="R164" s="30"/>
      <c r="S164" s="27"/>
      <c r="T164" s="30"/>
      <c r="U164" s="34"/>
      <c r="V164" s="34"/>
      <c r="X164" s="8"/>
      <c r="Y164" s="2"/>
      <c r="Z164" s="26"/>
      <c r="AA164" s="26"/>
      <c r="AB164" s="26"/>
      <c r="AC164" s="26"/>
      <c r="AD164" s="27"/>
      <c r="AE164" s="30"/>
      <c r="AF164" s="26"/>
      <c r="AG164" s="26"/>
      <c r="AH164" s="32"/>
      <c r="AJ164" s="8"/>
      <c r="AK164" s="2"/>
      <c r="AL164" s="26"/>
      <c r="AM164" s="26"/>
      <c r="AN164" s="26"/>
      <c r="AO164" s="27"/>
      <c r="AP164" s="30"/>
      <c r="AQ164" s="26"/>
      <c r="AR164" s="26"/>
      <c r="AS164" s="32"/>
      <c r="AT164" s="34"/>
    </row>
    <row r="165" spans="2:46" x14ac:dyDescent="0.3">
      <c r="B165" s="8"/>
      <c r="C165" s="2"/>
      <c r="D165" s="26"/>
      <c r="E165" s="26"/>
      <c r="F165" s="27"/>
      <c r="G165" s="26"/>
      <c r="H165" s="26"/>
      <c r="I165" s="27"/>
      <c r="J165" s="26"/>
      <c r="K165" s="26"/>
      <c r="L165" s="67"/>
      <c r="N165" s="8"/>
      <c r="O165" s="2"/>
      <c r="P165" s="26"/>
      <c r="Q165" s="27"/>
      <c r="R165" s="30"/>
      <c r="S165" s="27"/>
      <c r="T165" s="30"/>
      <c r="U165" s="34"/>
      <c r="V165" s="34"/>
      <c r="X165" s="8"/>
      <c r="Y165" s="2"/>
      <c r="Z165" s="26"/>
      <c r="AA165" s="26"/>
      <c r="AB165" s="26"/>
      <c r="AC165" s="26"/>
      <c r="AD165" s="27"/>
      <c r="AE165" s="30"/>
      <c r="AF165" s="26"/>
      <c r="AG165" s="26"/>
      <c r="AH165" s="32"/>
      <c r="AJ165" s="8"/>
      <c r="AK165" s="2"/>
      <c r="AL165" s="26"/>
      <c r="AM165" s="26"/>
      <c r="AN165" s="26"/>
      <c r="AO165" s="27"/>
      <c r="AP165" s="30"/>
      <c r="AQ165" s="26"/>
      <c r="AR165" s="26"/>
      <c r="AS165" s="32"/>
      <c r="AT165" s="34"/>
    </row>
    <row r="166" spans="2:46" x14ac:dyDescent="0.3">
      <c r="B166" s="8"/>
      <c r="C166" s="2"/>
      <c r="D166" s="26"/>
      <c r="E166" s="26"/>
      <c r="F166" s="28"/>
      <c r="G166" s="29"/>
      <c r="H166" s="29"/>
      <c r="I166" s="28"/>
      <c r="J166" s="29"/>
      <c r="K166" s="29"/>
      <c r="L166" s="68"/>
      <c r="N166" s="8"/>
      <c r="O166" s="2"/>
      <c r="P166" s="26"/>
      <c r="Q166" s="28"/>
      <c r="R166" s="31"/>
      <c r="S166" s="28"/>
      <c r="T166" s="31"/>
      <c r="U166" s="34"/>
      <c r="V166" s="34"/>
      <c r="X166" s="8"/>
      <c r="Y166" s="2"/>
      <c r="Z166" s="26"/>
      <c r="AA166" s="26"/>
      <c r="AB166" s="26"/>
      <c r="AC166" s="26"/>
      <c r="AD166" s="28"/>
      <c r="AE166" s="31"/>
      <c r="AF166" s="26"/>
      <c r="AG166" s="26"/>
      <c r="AH166" s="33"/>
      <c r="AJ166" s="8"/>
      <c r="AK166" s="2"/>
      <c r="AL166" s="26"/>
      <c r="AM166" s="26"/>
      <c r="AN166" s="26"/>
      <c r="AO166" s="28"/>
      <c r="AP166" s="31"/>
      <c r="AQ166" s="26"/>
      <c r="AR166" s="26"/>
      <c r="AS166" s="32"/>
      <c r="AT166" s="34"/>
    </row>
    <row r="167" spans="2:46" x14ac:dyDescent="0.3">
      <c r="B167" s="22"/>
      <c r="C167" s="22"/>
      <c r="D167" s="22"/>
      <c r="E167" s="22"/>
      <c r="F167" s="22"/>
      <c r="G167" s="22"/>
      <c r="H167" s="22"/>
      <c r="I167" s="22"/>
      <c r="J167" s="22"/>
      <c r="K167" s="22"/>
      <c r="L167" s="22"/>
      <c r="N167" s="22"/>
      <c r="O167" s="22"/>
      <c r="P167" s="22"/>
      <c r="Q167" s="22"/>
      <c r="R167" s="22"/>
      <c r="S167" s="22"/>
      <c r="T167" s="22"/>
      <c r="U167" s="22"/>
      <c r="V167" s="22"/>
      <c r="X167" s="22"/>
      <c r="Y167" s="22"/>
      <c r="Z167" s="22"/>
      <c r="AA167" s="22"/>
      <c r="AB167" s="22"/>
      <c r="AC167" s="22"/>
      <c r="AD167" s="22"/>
      <c r="AE167" s="22"/>
      <c r="AF167" s="22"/>
      <c r="AG167" s="22"/>
      <c r="AH167" s="22"/>
      <c r="AJ167" s="22"/>
      <c r="AK167" s="22"/>
      <c r="AL167" s="22"/>
      <c r="AM167" s="22"/>
      <c r="AN167" s="22"/>
      <c r="AO167" s="22"/>
      <c r="AP167" s="22"/>
      <c r="AQ167" s="22"/>
      <c r="AR167" s="22"/>
      <c r="AS167" s="22"/>
      <c r="AT167" s="22"/>
    </row>
  </sheetData>
  <mergeCells count="11">
    <mergeCell ref="AF4:AG4"/>
    <mergeCell ref="AO4:AP4"/>
    <mergeCell ref="AQ4:AR4"/>
    <mergeCell ref="AS4:AT4"/>
    <mergeCell ref="D4:E4"/>
    <mergeCell ref="F4:H4"/>
    <mergeCell ref="I4:K4"/>
    <mergeCell ref="Q4:R4"/>
    <mergeCell ref="AD4:AE4"/>
    <mergeCell ref="S4:T4"/>
    <mergeCell ref="U4:V4"/>
  </mergeCells>
  <conditionalFormatting sqref="D13:K13 P13:R13 Z13:AG13 AL13:AR13">
    <cfRule type="cellIs" dxfId="131" priority="11" operator="greaterThan">
      <formula>1</formula>
    </cfRule>
  </conditionalFormatting>
  <conditionalFormatting sqref="D17:K166 Z17:AG166 AL17:AR166">
    <cfRule type="cellIs" dxfId="130" priority="12" operator="lessThan">
      <formula>0</formula>
    </cfRule>
    <cfRule type="cellIs" dxfId="129" priority="13" operator="greaterThan">
      <formula>0</formula>
    </cfRule>
  </conditionalFormatting>
  <conditionalFormatting sqref="U17:V166">
    <cfRule type="cellIs" dxfId="128" priority="9" operator="greaterThan">
      <formula>1</formula>
    </cfRule>
  </conditionalFormatting>
  <conditionalFormatting sqref="AH17:AH166">
    <cfRule type="cellIs" dxfId="127" priority="8" operator="greaterThan">
      <formula>1</formula>
    </cfRule>
  </conditionalFormatting>
  <conditionalFormatting sqref="AS17:AT166">
    <cfRule type="cellIs" dxfId="126" priority="6" operator="greaterThan">
      <formula>1</formula>
    </cfRule>
  </conditionalFormatting>
  <conditionalFormatting sqref="BA7:BA24 P17:T166">
    <cfRule type="cellIs" dxfId="123" priority="3" operator="lessThan">
      <formula>0</formula>
    </cfRule>
    <cfRule type="cellIs" dxfId="122" priority="4" operator="greaterThan">
      <formula>0</formula>
    </cfRule>
  </conditionalFormatting>
  <conditionalFormatting sqref="BB7:BB24 L17:L166">
    <cfRule type="cellIs" dxfId="121" priority="5" operator="greaterThan">
      <formula>1</formula>
    </cfRule>
  </conditionalFormatting>
  <dataValidations count="4">
    <dataValidation type="whole" errorStyle="information" allowBlank="1" showInputMessage="1" showErrorMessage="1" errorTitle="Must select 1 or 2" error="1 = Included in closure_x000a_2 = Excluded" sqref="V17:V166 AH17:AH166 L17:L166 AS17:AT166" xr:uid="{BD744188-F0D9-4A19-B7DE-78FC6ACA32C2}">
      <formula1>1</formula1>
      <formula2>2</formula2>
    </dataValidation>
    <dataValidation type="whole" errorStyle="information" allowBlank="1" showInputMessage="1" showErrorMessage="1" errorTitle="Must select 1 or 2" error="1 = Included in shock_x000a_2 = Excluded" sqref="U17:U166" xr:uid="{08E689F9-7CC5-4707-8BF9-011D84C55255}">
      <formula1>1</formula1>
      <formula2>2</formula2>
    </dataValidation>
    <dataValidation type="decimal" errorStyle="information" allowBlank="1" showInputMessage="1" showErrorMessage="1" errorTitle="Must select a number" error="Cannot choose letters or special characters." sqref="D17:K166 BA7:BA24 P17:T166 Z17:AG166 AO17:AR166 AL17:AN37" xr:uid="{49EA3405-D180-40CB-95BD-66EC79DB7057}">
      <formula1>-1000000000</formula1>
      <formula2>1000000000</formula2>
    </dataValidation>
    <dataValidation type="whole" errorStyle="information" allowBlank="1" showInputMessage="1" showErrorMessage="1" errorTitle="Must select 1 or 2" error="1 = Multiplicative_x000a_2 = Additive" sqref="AL13:AR13 Z13:AG13 P13:R13 D13:K13 BB7:BB24" xr:uid="{A60ABFB5-B4D5-4935-9915-15EAF8138E86}">
      <formula1>1</formula1>
      <formula2>2</formula2>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ellIs" priority="15" operator="equal" id="{27AEE27F-A227-4F3C-AEC2-3CAA31DA094F}">
            <xm:f>Notes!$L$4</xm:f>
            <x14:dxf>
              <font>
                <b val="0"/>
                <i val="0"/>
                <strike val="0"/>
                <color theme="0" tint="-0.34998626667073579"/>
              </font>
              <fill>
                <patternFill patternType="none">
                  <bgColor auto="1"/>
                </patternFill>
              </fill>
            </x14:dxf>
          </x14:cfRule>
          <xm:sqref>AY7:AY24 D8:K8 P8:T8 Z8:AG8 AL8:AR8</xm:sqref>
        </x14:conditionalFormatting>
        <x14:conditionalFormatting xmlns:xm="http://schemas.microsoft.com/office/excel/2006/main">
          <x14:cfRule type="cellIs" priority="14" operator="equal" id="{DCB7D60A-4008-4D88-8C72-0E81F9F87E34}">
            <xm:f>Notes!$L$5</xm:f>
            <x14:dxf>
              <font>
                <b val="0"/>
                <i val="0"/>
                <strike val="0"/>
                <color theme="0" tint="-0.34998626667073579"/>
              </font>
              <fill>
                <patternFill patternType="none">
                  <bgColor auto="1"/>
                </patternFill>
              </fill>
            </x14:dxf>
          </x14:cfRule>
          <xm:sqref>AZ7:AZ24 D9:K9 P9:T9 Z9:AG9 AL9:AR9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Out of range" error="Time periods must fall within the range specified on the &quot;Base&quot; worksheet." xr:uid="{0C2D0F7E-9DF3-4FCE-9BAF-57F8E6824E7B}">
          <x14:formula1>
            <xm:f>Main!$H$5:$H$58</xm:f>
          </x14:formula1>
          <xm:sqref>D8:K9 AY7:AZ24 AL8:AR9 P8:T9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71E21-A379-4135-85AB-95BCB93CBD41}">
  <sheetPr>
    <tabColor theme="8" tint="-0.499984740745262"/>
  </sheetPr>
  <dimension ref="A1:BE167"/>
  <sheetViews>
    <sheetView zoomScale="55" zoomScaleNormal="55" workbookViewId="0">
      <pane ySplit="16" topLeftCell="A17" activePane="bottomLeft" state="frozen"/>
      <selection activeCell="V17" sqref="V17"/>
      <selection pane="bottomLeft" activeCell="V17" sqref="V17"/>
    </sheetView>
  </sheetViews>
  <sheetFormatPr defaultColWidth="0" defaultRowHeight="14.4" zeroHeight="1" x14ac:dyDescent="0.3"/>
  <cols>
    <col min="1" max="2" width="2.44140625" customWidth="1"/>
    <col min="3" max="12" width="9.109375" customWidth="1"/>
    <col min="13" max="14" width="2.44140625" customWidth="1"/>
    <col min="15" max="22" width="9.109375" customWidth="1"/>
    <col min="23" max="24" width="2.44140625" customWidth="1"/>
    <col min="25" max="34" width="9.109375" customWidth="1"/>
    <col min="35" max="36" width="2.44140625" customWidth="1"/>
    <col min="37" max="37" width="11.77734375" customWidth="1"/>
    <col min="38" max="46" width="9.109375" customWidth="1"/>
    <col min="47" max="48" width="2.44140625" customWidth="1"/>
    <col min="49" max="49" width="18.88671875" bestFit="1" customWidth="1"/>
    <col min="50" max="54" width="9.109375" customWidth="1"/>
    <col min="55" max="55" width="2.44140625" customWidth="1"/>
    <col min="56" max="57" width="0" hidden="1" customWidth="1"/>
    <col min="58" max="16384" width="9.109375" hidden="1"/>
  </cols>
  <sheetData>
    <row r="1" spans="1:55" ht="18" x14ac:dyDescent="0.35">
      <c r="A1" s="6" t="str">
        <f>"Simulation "&amp;AC1&amp;IF(AD1&lt;&gt;""," : "&amp;AD1,"")</f>
        <v>Simulation sim5</v>
      </c>
      <c r="B1" s="6"/>
      <c r="C1" s="4"/>
      <c r="D1" s="4"/>
      <c r="E1" s="4"/>
      <c r="F1" s="4"/>
      <c r="G1" s="4"/>
      <c r="H1" s="4"/>
      <c r="I1" s="4"/>
      <c r="J1" s="4"/>
      <c r="K1" s="4"/>
      <c r="L1" s="4"/>
      <c r="M1" s="4"/>
      <c r="N1" s="4"/>
      <c r="O1" s="4"/>
      <c r="P1" s="4"/>
      <c r="Q1" s="4"/>
      <c r="R1" s="4"/>
      <c r="S1" s="4"/>
      <c r="T1" s="4"/>
      <c r="U1" s="4"/>
      <c r="V1" s="4"/>
      <c r="W1" s="4"/>
      <c r="X1" s="4"/>
      <c r="Y1" s="4"/>
      <c r="Z1" s="4"/>
      <c r="AA1" s="4"/>
      <c r="AB1" s="4"/>
      <c r="AC1" s="4" t="str">
        <f>Main!C11</f>
        <v>sim5</v>
      </c>
      <c r="AD1" s="4" t="str">
        <f>IF(Main!E11&lt;&gt;"",Main!E11,"")</f>
        <v/>
      </c>
      <c r="AE1" s="4"/>
      <c r="AF1" s="4"/>
      <c r="AG1" s="4"/>
      <c r="AH1" s="4"/>
      <c r="AI1" s="4"/>
      <c r="AJ1" s="4"/>
      <c r="AK1" s="4"/>
      <c r="AL1" s="4"/>
      <c r="AM1" s="4"/>
      <c r="AN1" s="4"/>
      <c r="AO1" s="4"/>
      <c r="AP1" s="4"/>
      <c r="AQ1" s="4"/>
      <c r="AR1" s="4"/>
      <c r="AS1" s="4"/>
      <c r="AT1" s="4"/>
      <c r="AU1" s="4"/>
      <c r="AV1" s="4"/>
      <c r="AW1" s="4"/>
      <c r="AX1" s="4"/>
      <c r="AY1" s="4"/>
      <c r="AZ1" s="4"/>
      <c r="BA1" s="4"/>
      <c r="BB1" s="4"/>
      <c r="BC1" s="4"/>
    </row>
    <row r="2" spans="1:55" x14ac:dyDescent="0.3"/>
    <row r="3" spans="1:55" ht="15.6" x14ac:dyDescent="0.3">
      <c r="B3" s="7"/>
      <c r="C3" s="17" t="s">
        <v>55</v>
      </c>
      <c r="D3" s="36"/>
      <c r="E3" s="36"/>
      <c r="F3" s="36"/>
      <c r="G3" s="36"/>
      <c r="H3" s="36"/>
      <c r="I3" s="36"/>
      <c r="J3" s="36"/>
      <c r="K3" s="36"/>
      <c r="L3" s="36"/>
      <c r="N3" s="7"/>
      <c r="O3" s="17" t="s">
        <v>56</v>
      </c>
      <c r="P3" s="36"/>
      <c r="Q3" s="36"/>
      <c r="R3" s="36"/>
      <c r="S3" s="36"/>
      <c r="T3" s="36"/>
      <c r="U3" s="36"/>
      <c r="V3" s="36"/>
      <c r="X3" s="7"/>
      <c r="Y3" s="17" t="s">
        <v>57</v>
      </c>
      <c r="Z3" s="36"/>
      <c r="AA3" s="36"/>
      <c r="AB3" s="36"/>
      <c r="AC3" s="36"/>
      <c r="AD3" s="36"/>
      <c r="AE3" s="36"/>
      <c r="AF3" s="36"/>
      <c r="AG3" s="36"/>
      <c r="AH3" s="36"/>
      <c r="AJ3" s="7"/>
      <c r="AK3" s="17" t="s">
        <v>283</v>
      </c>
      <c r="AL3" s="36"/>
      <c r="AM3" s="36"/>
      <c r="AN3" s="36"/>
      <c r="AO3" s="36"/>
      <c r="AP3" s="36"/>
      <c r="AQ3" s="36"/>
      <c r="AR3" s="36"/>
      <c r="AS3" s="36"/>
      <c r="AT3" s="36"/>
      <c r="AV3" s="7"/>
      <c r="AW3" s="17" t="s">
        <v>125</v>
      </c>
      <c r="AX3" s="36"/>
      <c r="AY3" s="36"/>
      <c r="AZ3" s="36"/>
      <c r="BA3" s="36"/>
      <c r="BB3" s="36"/>
    </row>
    <row r="4" spans="1:55" x14ac:dyDescent="0.3">
      <c r="B4" s="14"/>
      <c r="C4" s="9"/>
      <c r="D4" s="74" t="s">
        <v>58</v>
      </c>
      <c r="E4" s="74"/>
      <c r="F4" s="75" t="s">
        <v>59</v>
      </c>
      <c r="G4" s="74"/>
      <c r="H4" s="74"/>
      <c r="I4" s="75" t="s">
        <v>7</v>
      </c>
      <c r="J4" s="74"/>
      <c r="K4" s="74"/>
      <c r="L4" s="37" t="s">
        <v>103</v>
      </c>
      <c r="N4" s="14"/>
      <c r="O4" s="9"/>
      <c r="P4" s="38" t="s">
        <v>60</v>
      </c>
      <c r="Q4" s="75" t="s">
        <v>61</v>
      </c>
      <c r="R4" s="76"/>
      <c r="S4" s="75" t="s">
        <v>646</v>
      </c>
      <c r="T4" s="74"/>
      <c r="U4" s="75" t="s">
        <v>103</v>
      </c>
      <c r="V4" s="74"/>
      <c r="X4" s="14"/>
      <c r="Y4" s="9"/>
      <c r="Z4" s="38" t="s">
        <v>63</v>
      </c>
      <c r="AA4" s="38" t="s">
        <v>62</v>
      </c>
      <c r="AB4" s="38" t="s">
        <v>311</v>
      </c>
      <c r="AC4" s="38" t="s">
        <v>62</v>
      </c>
      <c r="AD4" s="75" t="s">
        <v>126</v>
      </c>
      <c r="AE4" s="76"/>
      <c r="AF4" s="74" t="s">
        <v>127</v>
      </c>
      <c r="AG4" s="74"/>
      <c r="AH4" s="37" t="s">
        <v>103</v>
      </c>
      <c r="AJ4" s="14"/>
      <c r="AK4" s="9"/>
      <c r="AL4" s="38" t="s">
        <v>132</v>
      </c>
      <c r="AM4" s="38" t="s">
        <v>99</v>
      </c>
      <c r="AN4" s="38" t="s">
        <v>289</v>
      </c>
      <c r="AO4" s="75" t="s">
        <v>126</v>
      </c>
      <c r="AP4" s="76"/>
      <c r="AQ4" s="74" t="s">
        <v>127</v>
      </c>
      <c r="AR4" s="74"/>
      <c r="AS4" s="75" t="s">
        <v>103</v>
      </c>
      <c r="AT4" s="74"/>
      <c r="AV4" s="8"/>
      <c r="AY4" s="39" t="s">
        <v>335</v>
      </c>
      <c r="AZ4" s="39" t="s">
        <v>336</v>
      </c>
      <c r="BA4" s="39" t="s">
        <v>300</v>
      </c>
      <c r="BB4" s="39" t="s">
        <v>304</v>
      </c>
    </row>
    <row r="5" spans="1:55" x14ac:dyDescent="0.3">
      <c r="B5" s="14"/>
      <c r="C5" s="9"/>
      <c r="D5" s="40" t="s">
        <v>64</v>
      </c>
      <c r="E5" s="40" t="s">
        <v>65</v>
      </c>
      <c r="F5" s="41" t="s">
        <v>64</v>
      </c>
      <c r="G5" s="40" t="s">
        <v>65</v>
      </c>
      <c r="H5" s="40" t="s">
        <v>66</v>
      </c>
      <c r="I5" s="41" t="s">
        <v>64</v>
      </c>
      <c r="J5" s="40" t="s">
        <v>65</v>
      </c>
      <c r="K5" s="40" t="s">
        <v>67</v>
      </c>
      <c r="L5" s="41" t="s">
        <v>100</v>
      </c>
      <c r="N5" s="14"/>
      <c r="O5" s="9"/>
      <c r="P5" s="40"/>
      <c r="Q5" s="41" t="s">
        <v>68</v>
      </c>
      <c r="R5" s="42" t="s">
        <v>124</v>
      </c>
      <c r="S5" s="40" t="s">
        <v>284</v>
      </c>
      <c r="T5" s="40" t="s">
        <v>286</v>
      </c>
      <c r="U5" s="69" t="s">
        <v>313</v>
      </c>
      <c r="V5" s="40" t="s">
        <v>100</v>
      </c>
      <c r="X5" s="14"/>
      <c r="Y5" s="9"/>
      <c r="Z5" s="38" t="s">
        <v>70</v>
      </c>
      <c r="AA5" s="38" t="s">
        <v>71</v>
      </c>
      <c r="AB5" s="38" t="s">
        <v>312</v>
      </c>
      <c r="AC5" s="38" t="s">
        <v>69</v>
      </c>
      <c r="AD5" s="41" t="s">
        <v>86</v>
      </c>
      <c r="AE5" s="42" t="s">
        <v>87</v>
      </c>
      <c r="AF5" s="40" t="s">
        <v>86</v>
      </c>
      <c r="AG5" s="40" t="s">
        <v>87</v>
      </c>
      <c r="AH5" s="41" t="s">
        <v>100</v>
      </c>
      <c r="AJ5" s="14"/>
      <c r="AK5" s="9"/>
      <c r="AL5" s="38" t="s">
        <v>134</v>
      </c>
      <c r="AM5" s="38" t="s">
        <v>70</v>
      </c>
      <c r="AN5" s="38" t="s">
        <v>123</v>
      </c>
      <c r="AO5" s="41" t="s">
        <v>86</v>
      </c>
      <c r="AP5" s="42" t="s">
        <v>87</v>
      </c>
      <c r="AQ5" s="40" t="s">
        <v>86</v>
      </c>
      <c r="AR5" s="40" t="s">
        <v>87</v>
      </c>
      <c r="AS5" s="41" t="s">
        <v>99</v>
      </c>
      <c r="AT5" s="40" t="s">
        <v>100</v>
      </c>
      <c r="AV5" s="8"/>
      <c r="BA5" s="43"/>
      <c r="BB5" s="44" t="s">
        <v>305</v>
      </c>
    </row>
    <row r="6" spans="1:55" x14ac:dyDescent="0.3">
      <c r="B6" s="8"/>
      <c r="F6" s="45"/>
      <c r="I6" s="45"/>
      <c r="L6" s="45"/>
      <c r="N6" s="8"/>
      <c r="Q6" s="45"/>
      <c r="R6" s="46"/>
      <c r="U6" s="70"/>
      <c r="X6" s="8"/>
      <c r="AD6" s="45"/>
      <c r="AE6" s="46"/>
      <c r="AH6" s="45"/>
      <c r="AJ6" s="8"/>
      <c r="AO6" s="45"/>
      <c r="AP6" s="46"/>
      <c r="AS6" s="45"/>
      <c r="AV6" s="8"/>
      <c r="AW6" s="47" t="s">
        <v>303</v>
      </c>
      <c r="AX6" s="48"/>
      <c r="AY6" s="49" t="s">
        <v>337</v>
      </c>
      <c r="AZ6" s="49" t="s">
        <v>338</v>
      </c>
      <c r="BA6" s="49" t="s">
        <v>206</v>
      </c>
      <c r="BB6" s="49" t="s">
        <v>207</v>
      </c>
    </row>
    <row r="7" spans="1:55" x14ac:dyDescent="0.3">
      <c r="B7" s="8"/>
      <c r="D7" s="50" t="s">
        <v>72</v>
      </c>
      <c r="E7" s="50" t="s">
        <v>73</v>
      </c>
      <c r="F7" s="51" t="s">
        <v>74</v>
      </c>
      <c r="G7" s="50" t="s">
        <v>75</v>
      </c>
      <c r="H7" s="50" t="s">
        <v>76</v>
      </c>
      <c r="I7" s="51" t="s">
        <v>77</v>
      </c>
      <c r="J7" s="50" t="s">
        <v>78</v>
      </c>
      <c r="K7" s="50" t="s">
        <v>79</v>
      </c>
      <c r="L7" s="45"/>
      <c r="N7" s="8"/>
      <c r="P7" s="50" t="s">
        <v>81</v>
      </c>
      <c r="Q7" s="51" t="s">
        <v>82</v>
      </c>
      <c r="R7" s="52" t="s">
        <v>621</v>
      </c>
      <c r="S7" s="50" t="s">
        <v>80</v>
      </c>
      <c r="T7" s="50" t="s">
        <v>285</v>
      </c>
      <c r="U7" s="70"/>
      <c r="X7" s="8"/>
      <c r="Z7" s="50" t="s">
        <v>84</v>
      </c>
      <c r="AA7" s="50" t="s">
        <v>85</v>
      </c>
      <c r="AB7" s="50" t="s">
        <v>310</v>
      </c>
      <c r="AC7" s="50" t="s">
        <v>83</v>
      </c>
      <c r="AD7" s="51" t="s">
        <v>130</v>
      </c>
      <c r="AE7" s="52" t="s">
        <v>131</v>
      </c>
      <c r="AF7" s="50" t="s">
        <v>128</v>
      </c>
      <c r="AG7" s="50" t="s">
        <v>129</v>
      </c>
      <c r="AH7" s="45"/>
      <c r="AJ7" s="8"/>
      <c r="AL7" s="50" t="s">
        <v>133</v>
      </c>
      <c r="AM7" s="50" t="s">
        <v>101</v>
      </c>
      <c r="AN7" s="50" t="s">
        <v>622</v>
      </c>
      <c r="AO7" s="51" t="s">
        <v>130</v>
      </c>
      <c r="AP7" s="52" t="s">
        <v>131</v>
      </c>
      <c r="AQ7" s="50" t="s">
        <v>128</v>
      </c>
      <c r="AR7" s="50" t="s">
        <v>129</v>
      </c>
      <c r="AS7" s="45"/>
      <c r="AV7" s="8"/>
      <c r="AW7" s="9" t="s">
        <v>88</v>
      </c>
      <c r="AX7" s="53" t="s">
        <v>89</v>
      </c>
      <c r="AY7" s="63">
        <f>Notes!$L$4</f>
        <v>2024</v>
      </c>
      <c r="AZ7" s="63">
        <f>Notes!$L$5</f>
        <v>2040</v>
      </c>
      <c r="BA7" s="26">
        <v>0</v>
      </c>
      <c r="BB7" s="34">
        <v>1</v>
      </c>
    </row>
    <row r="8" spans="1:55" x14ac:dyDescent="0.3">
      <c r="B8" s="8"/>
      <c r="C8" s="1" t="s">
        <v>339</v>
      </c>
      <c r="D8" s="63">
        <f>Notes!$L4</f>
        <v>2024</v>
      </c>
      <c r="E8" s="63">
        <f>Notes!$L4</f>
        <v>2024</v>
      </c>
      <c r="F8" s="64">
        <f>Notes!$L4</f>
        <v>2024</v>
      </c>
      <c r="G8" s="63">
        <f>Notes!$L4</f>
        <v>2024</v>
      </c>
      <c r="H8" s="63">
        <f>Notes!$L4</f>
        <v>2024</v>
      </c>
      <c r="I8" s="64">
        <f>Notes!$L4</f>
        <v>2024</v>
      </c>
      <c r="J8" s="63">
        <f>Notes!$L4</f>
        <v>2024</v>
      </c>
      <c r="K8" s="63">
        <f>Notes!$L4</f>
        <v>2024</v>
      </c>
      <c r="L8" s="45"/>
      <c r="N8" s="8"/>
      <c r="O8" s="1" t="s">
        <v>339</v>
      </c>
      <c r="P8" s="63">
        <f>Notes!$L4</f>
        <v>2024</v>
      </c>
      <c r="Q8" s="64">
        <f>Notes!$L4</f>
        <v>2024</v>
      </c>
      <c r="R8" s="63">
        <f>Notes!$L4</f>
        <v>2024</v>
      </c>
      <c r="S8" s="64">
        <f>Notes!$L4</f>
        <v>2024</v>
      </c>
      <c r="T8" s="63">
        <f>Notes!$L4</f>
        <v>2024</v>
      </c>
      <c r="U8" s="70"/>
      <c r="X8" s="8"/>
      <c r="Y8" s="1" t="s">
        <v>339</v>
      </c>
      <c r="Z8" s="63">
        <f>Notes!$L4</f>
        <v>2024</v>
      </c>
      <c r="AA8" s="63">
        <f>Notes!$L4</f>
        <v>2024</v>
      </c>
      <c r="AB8" s="63">
        <f>Notes!$L4</f>
        <v>2024</v>
      </c>
      <c r="AC8" s="63">
        <f>Notes!$L4</f>
        <v>2024</v>
      </c>
      <c r="AD8" s="64">
        <f>Notes!$L4</f>
        <v>2024</v>
      </c>
      <c r="AE8" s="63">
        <f>Notes!$L4</f>
        <v>2024</v>
      </c>
      <c r="AF8" s="64">
        <f>Notes!$L4</f>
        <v>2024</v>
      </c>
      <c r="AG8" s="63">
        <f>Notes!$L4</f>
        <v>2024</v>
      </c>
      <c r="AH8" s="45"/>
      <c r="AJ8" s="8"/>
      <c r="AK8" s="1" t="s">
        <v>339</v>
      </c>
      <c r="AL8" s="63">
        <f>Notes!$L4</f>
        <v>2024</v>
      </c>
      <c r="AM8" s="63">
        <f>Notes!$L4</f>
        <v>2024</v>
      </c>
      <c r="AN8" s="63">
        <f>Notes!$L4</f>
        <v>2024</v>
      </c>
      <c r="AO8" s="64">
        <f>Notes!$L4</f>
        <v>2024</v>
      </c>
      <c r="AP8" s="63">
        <f>Notes!$L4</f>
        <v>2024</v>
      </c>
      <c r="AQ8" s="64">
        <f>Notes!$L$4</f>
        <v>2024</v>
      </c>
      <c r="AR8" s="63">
        <f>Notes!$L4</f>
        <v>2024</v>
      </c>
      <c r="AS8" s="45"/>
      <c r="AV8" s="8"/>
      <c r="AW8" s="9" t="s">
        <v>92</v>
      </c>
      <c r="AX8" s="53" t="s">
        <v>93</v>
      </c>
      <c r="AY8" s="63">
        <f>Notes!$L$4</f>
        <v>2024</v>
      </c>
      <c r="AZ8" s="63">
        <f>Notes!$L$5</f>
        <v>2040</v>
      </c>
      <c r="BA8" s="26">
        <v>0</v>
      </c>
      <c r="BB8" s="34">
        <v>1</v>
      </c>
    </row>
    <row r="9" spans="1:55" x14ac:dyDescent="0.3">
      <c r="B9" s="8"/>
      <c r="C9" s="1" t="s">
        <v>340</v>
      </c>
      <c r="D9" s="63">
        <f>Notes!$L5</f>
        <v>2040</v>
      </c>
      <c r="E9" s="63">
        <f>Notes!$L5</f>
        <v>2040</v>
      </c>
      <c r="F9" s="64">
        <f>Notes!$L5</f>
        <v>2040</v>
      </c>
      <c r="G9" s="63">
        <f>Notes!$L5</f>
        <v>2040</v>
      </c>
      <c r="H9" s="63">
        <f>Notes!$L5</f>
        <v>2040</v>
      </c>
      <c r="I9" s="64">
        <f>Notes!$L5</f>
        <v>2040</v>
      </c>
      <c r="J9" s="63">
        <f>Notes!$L5</f>
        <v>2040</v>
      </c>
      <c r="K9" s="63">
        <f>Notes!$L5</f>
        <v>2040</v>
      </c>
      <c r="L9" s="45"/>
      <c r="N9" s="8"/>
      <c r="O9" s="1" t="s">
        <v>340</v>
      </c>
      <c r="P9" s="63">
        <f>Notes!$L5</f>
        <v>2040</v>
      </c>
      <c r="Q9" s="64">
        <f>Notes!$L5</f>
        <v>2040</v>
      </c>
      <c r="R9" s="63">
        <f>Notes!$L5</f>
        <v>2040</v>
      </c>
      <c r="S9" s="64">
        <f>Notes!$L5</f>
        <v>2040</v>
      </c>
      <c r="T9" s="63">
        <f>Notes!$L5</f>
        <v>2040</v>
      </c>
      <c r="U9" s="70"/>
      <c r="X9" s="8"/>
      <c r="Y9" s="1" t="s">
        <v>340</v>
      </c>
      <c r="Z9" s="63">
        <f>Notes!$L5</f>
        <v>2040</v>
      </c>
      <c r="AA9" s="63">
        <f>Notes!$L5</f>
        <v>2040</v>
      </c>
      <c r="AB9" s="63">
        <f>Notes!$L5</f>
        <v>2040</v>
      </c>
      <c r="AC9" s="63">
        <f>Notes!$L5</f>
        <v>2040</v>
      </c>
      <c r="AD9" s="64">
        <f>Notes!$L5</f>
        <v>2040</v>
      </c>
      <c r="AE9" s="63">
        <f>Notes!$L5</f>
        <v>2040</v>
      </c>
      <c r="AF9" s="64">
        <f>Notes!$L5</f>
        <v>2040</v>
      </c>
      <c r="AG9" s="63">
        <f>Notes!$L5</f>
        <v>2040</v>
      </c>
      <c r="AH9" s="45"/>
      <c r="AJ9" s="8"/>
      <c r="AK9" s="1" t="s">
        <v>340</v>
      </c>
      <c r="AL9" s="63">
        <f>Notes!$L5</f>
        <v>2040</v>
      </c>
      <c r="AM9" s="63">
        <f>Notes!$L5</f>
        <v>2040</v>
      </c>
      <c r="AN9" s="63">
        <f>Notes!$L5</f>
        <v>2040</v>
      </c>
      <c r="AO9" s="64">
        <f>Notes!$L5</f>
        <v>2040</v>
      </c>
      <c r="AP9" s="63">
        <f>Notes!$L5</f>
        <v>2040</v>
      </c>
      <c r="AQ9" s="64">
        <f>Notes!$L5</f>
        <v>2040</v>
      </c>
      <c r="AR9" s="63">
        <f>Notes!$L5</f>
        <v>2040</v>
      </c>
      <c r="AS9" s="45"/>
      <c r="AV9" s="8"/>
      <c r="AW9" s="9" t="s">
        <v>90</v>
      </c>
      <c r="AX9" s="53" t="s">
        <v>91</v>
      </c>
      <c r="AY9" s="63">
        <f>Notes!$L$4</f>
        <v>2024</v>
      </c>
      <c r="AZ9" s="63">
        <f>Notes!$L$5</f>
        <v>2040</v>
      </c>
      <c r="BA9" s="26">
        <v>0</v>
      </c>
      <c r="BB9" s="34">
        <v>1</v>
      </c>
    </row>
    <row r="10" spans="1:55" x14ac:dyDescent="0.3">
      <c r="B10" s="8"/>
      <c r="F10" s="45"/>
      <c r="I10" s="45"/>
      <c r="L10" s="45"/>
      <c r="N10" s="8"/>
      <c r="Q10" s="45"/>
      <c r="R10" s="46"/>
      <c r="U10" s="70"/>
      <c r="X10" s="8"/>
      <c r="AD10" s="45"/>
      <c r="AE10" s="46"/>
      <c r="AH10" s="45"/>
      <c r="AJ10" s="8"/>
      <c r="AO10" s="45"/>
      <c r="AP10" s="46"/>
      <c r="AS10" s="45"/>
      <c r="AV10" s="8"/>
      <c r="AW10" s="9" t="s">
        <v>298</v>
      </c>
      <c r="AX10" s="53" t="s">
        <v>299</v>
      </c>
      <c r="AY10" s="63">
        <f>Notes!$L$4</f>
        <v>2024</v>
      </c>
      <c r="AZ10" s="63">
        <f>Notes!$L$5</f>
        <v>2040</v>
      </c>
      <c r="BA10" s="26">
        <v>0</v>
      </c>
      <c r="BB10" s="34">
        <v>1</v>
      </c>
    </row>
    <row r="11" spans="1:55" x14ac:dyDescent="0.3">
      <c r="B11" s="8"/>
      <c r="C11" s="54" t="s">
        <v>302</v>
      </c>
      <c r="D11" s="55"/>
      <c r="E11" s="55"/>
      <c r="F11" s="56"/>
      <c r="G11" s="55"/>
      <c r="H11" s="55"/>
      <c r="I11" s="56"/>
      <c r="J11" s="55"/>
      <c r="K11" s="55"/>
      <c r="L11" s="56"/>
      <c r="N11" s="8"/>
      <c r="O11" s="54" t="s">
        <v>302</v>
      </c>
      <c r="P11" s="53"/>
      <c r="Q11" s="57"/>
      <c r="R11" s="58"/>
      <c r="S11" s="53"/>
      <c r="T11" s="53"/>
      <c r="U11" s="71"/>
      <c r="V11" s="53"/>
      <c r="X11" s="8"/>
      <c r="Y11" s="54" t="s">
        <v>302</v>
      </c>
      <c r="Z11" s="53"/>
      <c r="AA11" s="53"/>
      <c r="AB11" s="53"/>
      <c r="AC11" s="53"/>
      <c r="AD11" s="57"/>
      <c r="AE11" s="58"/>
      <c r="AF11" s="53"/>
      <c r="AG11" s="53"/>
      <c r="AH11" s="56"/>
      <c r="AJ11" s="8"/>
      <c r="AK11" s="54" t="s">
        <v>302</v>
      </c>
      <c r="AL11" s="54"/>
      <c r="AM11" s="59"/>
      <c r="AN11" s="53"/>
      <c r="AO11" s="57"/>
      <c r="AP11" s="58"/>
      <c r="AQ11" s="53"/>
      <c r="AR11" s="53"/>
      <c r="AS11" s="57"/>
      <c r="AT11" s="53"/>
      <c r="AV11" s="8"/>
      <c r="AW11" s="9" t="s">
        <v>98</v>
      </c>
      <c r="AX11" s="53" t="s">
        <v>101</v>
      </c>
      <c r="AY11" s="63">
        <f>Notes!$L$4</f>
        <v>2024</v>
      </c>
      <c r="AZ11" s="63">
        <f>Notes!$L$5</f>
        <v>2040</v>
      </c>
      <c r="BA11" s="26">
        <v>0</v>
      </c>
      <c r="BB11" s="34">
        <v>1</v>
      </c>
    </row>
    <row r="12" spans="1:55" x14ac:dyDescent="0.3">
      <c r="B12" s="8"/>
      <c r="C12" s="54"/>
      <c r="D12" s="50" t="s">
        <v>72</v>
      </c>
      <c r="E12" s="50" t="s">
        <v>73</v>
      </c>
      <c r="F12" s="51" t="s">
        <v>74</v>
      </c>
      <c r="G12" s="50" t="s">
        <v>75</v>
      </c>
      <c r="H12" s="50" t="s">
        <v>76</v>
      </c>
      <c r="I12" s="51" t="s">
        <v>77</v>
      </c>
      <c r="J12" s="50" t="s">
        <v>78</v>
      </c>
      <c r="K12" s="50" t="s">
        <v>79</v>
      </c>
      <c r="L12" s="56"/>
      <c r="N12" s="8"/>
      <c r="O12" s="54"/>
      <c r="P12" s="50" t="s">
        <v>81</v>
      </c>
      <c r="Q12" s="51" t="s">
        <v>82</v>
      </c>
      <c r="R12" s="52" t="s">
        <v>621</v>
      </c>
      <c r="S12" s="53"/>
      <c r="T12" s="53"/>
      <c r="U12" s="71"/>
      <c r="V12" s="53"/>
      <c r="X12" s="8"/>
      <c r="Y12" s="54"/>
      <c r="Z12" s="50" t="s">
        <v>84</v>
      </c>
      <c r="AA12" s="50" t="s">
        <v>85</v>
      </c>
      <c r="AB12" s="50" t="s">
        <v>310</v>
      </c>
      <c r="AC12" s="50" t="s">
        <v>83</v>
      </c>
      <c r="AD12" s="51" t="s">
        <v>130</v>
      </c>
      <c r="AE12" s="52" t="s">
        <v>131</v>
      </c>
      <c r="AF12" s="50" t="s">
        <v>128</v>
      </c>
      <c r="AG12" s="50" t="s">
        <v>129</v>
      </c>
      <c r="AH12" s="56"/>
      <c r="AJ12" s="8"/>
      <c r="AK12" s="54"/>
      <c r="AL12" s="50" t="s">
        <v>133</v>
      </c>
      <c r="AM12" s="50" t="s">
        <v>101</v>
      </c>
      <c r="AN12" s="50" t="s">
        <v>622</v>
      </c>
      <c r="AO12" s="51" t="s">
        <v>130</v>
      </c>
      <c r="AP12" s="52" t="s">
        <v>131</v>
      </c>
      <c r="AQ12" s="50" t="s">
        <v>128</v>
      </c>
      <c r="AR12" s="50" t="s">
        <v>129</v>
      </c>
      <c r="AS12" s="57"/>
      <c r="AT12" s="53"/>
      <c r="AV12" s="8"/>
      <c r="AW12" s="9" t="s">
        <v>94</v>
      </c>
      <c r="AX12" s="53" t="s">
        <v>95</v>
      </c>
      <c r="AY12" s="63">
        <f>Notes!$L$4</f>
        <v>2024</v>
      </c>
      <c r="AZ12" s="63">
        <f>Notes!$L$5</f>
        <v>2040</v>
      </c>
      <c r="BA12" s="26">
        <v>0</v>
      </c>
      <c r="BB12" s="34">
        <v>1</v>
      </c>
    </row>
    <row r="13" spans="1:55" x14ac:dyDescent="0.3">
      <c r="B13" s="8"/>
      <c r="C13" s="55"/>
      <c r="D13" s="34">
        <v>1</v>
      </c>
      <c r="E13" s="34">
        <v>1</v>
      </c>
      <c r="F13" s="32">
        <v>1</v>
      </c>
      <c r="G13" s="34">
        <v>1</v>
      </c>
      <c r="H13" s="34">
        <v>1</v>
      </c>
      <c r="I13" s="32">
        <v>1</v>
      </c>
      <c r="J13" s="34">
        <v>1</v>
      </c>
      <c r="K13" s="34">
        <v>1</v>
      </c>
      <c r="L13" s="56"/>
      <c r="N13" s="8"/>
      <c r="O13" s="55"/>
      <c r="P13" s="34">
        <v>1</v>
      </c>
      <c r="Q13" s="32">
        <v>1</v>
      </c>
      <c r="R13" s="35">
        <v>1</v>
      </c>
      <c r="S13" s="55"/>
      <c r="T13" s="55"/>
      <c r="U13" s="72"/>
      <c r="V13" s="55"/>
      <c r="X13" s="8"/>
      <c r="Y13" s="55"/>
      <c r="Z13" s="34">
        <v>1</v>
      </c>
      <c r="AA13" s="34">
        <v>1</v>
      </c>
      <c r="AB13" s="34">
        <v>1</v>
      </c>
      <c r="AC13" s="34">
        <v>1</v>
      </c>
      <c r="AD13" s="32">
        <v>1</v>
      </c>
      <c r="AE13" s="35">
        <v>1</v>
      </c>
      <c r="AF13" s="34">
        <v>1</v>
      </c>
      <c r="AG13" s="34">
        <v>1</v>
      </c>
      <c r="AH13" s="56"/>
      <c r="AJ13" s="8"/>
      <c r="AK13" s="55"/>
      <c r="AL13" s="34">
        <v>1</v>
      </c>
      <c r="AM13" s="34">
        <v>1</v>
      </c>
      <c r="AN13" s="34">
        <v>1</v>
      </c>
      <c r="AO13" s="32">
        <v>1</v>
      </c>
      <c r="AP13" s="35">
        <v>1</v>
      </c>
      <c r="AQ13" s="34">
        <v>1</v>
      </c>
      <c r="AR13" s="34">
        <v>1</v>
      </c>
      <c r="AS13" s="56"/>
      <c r="AT13" s="55"/>
      <c r="AV13" s="8"/>
      <c r="AW13" s="9" t="s">
        <v>96</v>
      </c>
      <c r="AX13" s="53" t="s">
        <v>97</v>
      </c>
      <c r="AY13" s="63">
        <f>Notes!$L$4</f>
        <v>2024</v>
      </c>
      <c r="AZ13" s="63">
        <f>Notes!$L$5</f>
        <v>2040</v>
      </c>
      <c r="BA13" s="26">
        <v>0</v>
      </c>
      <c r="BB13" s="34">
        <v>1</v>
      </c>
    </row>
    <row r="14" spans="1:55" x14ac:dyDescent="0.3">
      <c r="B14" s="8"/>
      <c r="C14" s="55"/>
      <c r="F14" s="45"/>
      <c r="I14" s="45"/>
      <c r="L14" s="45"/>
      <c r="N14" s="8"/>
      <c r="O14" s="55"/>
      <c r="Q14" s="45"/>
      <c r="R14" s="46"/>
      <c r="U14" s="70"/>
      <c r="X14" s="8"/>
      <c r="Y14" s="55"/>
      <c r="AD14" s="45"/>
      <c r="AE14" s="46"/>
      <c r="AH14" s="45"/>
      <c r="AJ14" s="8"/>
      <c r="AK14" s="55"/>
      <c r="AL14" s="55"/>
      <c r="AO14" s="45"/>
      <c r="AP14" s="46"/>
      <c r="AS14" s="45"/>
      <c r="AV14" s="8"/>
      <c r="AW14" s="9" t="s">
        <v>297</v>
      </c>
      <c r="AX14" s="53" t="s">
        <v>296</v>
      </c>
      <c r="AY14" s="63">
        <f>Notes!$L$4</f>
        <v>2024</v>
      </c>
      <c r="AZ14" s="63">
        <f>Notes!$L$5</f>
        <v>2040</v>
      </c>
      <c r="BA14" s="26">
        <v>0</v>
      </c>
      <c r="BB14" s="34">
        <v>1</v>
      </c>
    </row>
    <row r="15" spans="1:55" x14ac:dyDescent="0.3">
      <c r="B15" s="8"/>
      <c r="C15" s="54" t="s">
        <v>301</v>
      </c>
      <c r="F15" s="45"/>
      <c r="I15" s="45"/>
      <c r="L15" s="45"/>
      <c r="N15" s="8"/>
      <c r="O15" s="54" t="s">
        <v>301</v>
      </c>
      <c r="P15" s="60"/>
      <c r="Q15" s="45"/>
      <c r="R15" s="46"/>
      <c r="U15" s="70"/>
      <c r="X15" s="8"/>
      <c r="Y15" s="54" t="s">
        <v>301</v>
      </c>
      <c r="Z15" s="60"/>
      <c r="AD15" s="45"/>
      <c r="AE15" s="46"/>
      <c r="AH15" s="45"/>
      <c r="AJ15" s="8"/>
      <c r="AK15" s="54" t="s">
        <v>301</v>
      </c>
      <c r="AL15" s="54"/>
      <c r="AO15" s="45"/>
      <c r="AP15" s="46"/>
      <c r="AS15" s="45"/>
      <c r="AV15" s="8"/>
      <c r="AW15" s="9" t="s">
        <v>762</v>
      </c>
      <c r="AX15" s="53" t="s">
        <v>131</v>
      </c>
      <c r="AY15" s="63">
        <f>Notes!$L$4</f>
        <v>2024</v>
      </c>
      <c r="AZ15" s="63">
        <f>Notes!$L$5</f>
        <v>2040</v>
      </c>
      <c r="BA15" s="26">
        <v>0</v>
      </c>
      <c r="BB15" s="34">
        <v>1</v>
      </c>
    </row>
    <row r="16" spans="1:55" x14ac:dyDescent="0.3">
      <c r="B16" s="8"/>
      <c r="D16" s="50" t="s">
        <v>72</v>
      </c>
      <c r="E16" s="50" t="s">
        <v>73</v>
      </c>
      <c r="F16" s="51" t="s">
        <v>74</v>
      </c>
      <c r="G16" s="50" t="s">
        <v>75</v>
      </c>
      <c r="H16" s="50" t="s">
        <v>76</v>
      </c>
      <c r="I16" s="51" t="s">
        <v>77</v>
      </c>
      <c r="J16" s="50" t="s">
        <v>78</v>
      </c>
      <c r="K16" s="50" t="s">
        <v>79</v>
      </c>
      <c r="L16" s="51" t="s">
        <v>123</v>
      </c>
      <c r="N16" s="8"/>
      <c r="P16" s="50" t="s">
        <v>81</v>
      </c>
      <c r="Q16" s="51" t="s">
        <v>82</v>
      </c>
      <c r="R16" s="52" t="s">
        <v>621</v>
      </c>
      <c r="S16" s="50" t="s">
        <v>80</v>
      </c>
      <c r="T16" s="50" t="s">
        <v>285</v>
      </c>
      <c r="U16" s="73" t="s">
        <v>310</v>
      </c>
      <c r="V16" s="50" t="s">
        <v>123</v>
      </c>
      <c r="X16" s="8"/>
      <c r="Z16" s="50" t="s">
        <v>84</v>
      </c>
      <c r="AA16" s="50" t="s">
        <v>85</v>
      </c>
      <c r="AB16" s="50" t="s">
        <v>310</v>
      </c>
      <c r="AC16" s="50" t="s">
        <v>83</v>
      </c>
      <c r="AD16" s="51" t="s">
        <v>130</v>
      </c>
      <c r="AE16" s="52" t="s">
        <v>131</v>
      </c>
      <c r="AF16" s="50" t="s">
        <v>128</v>
      </c>
      <c r="AG16" s="61" t="s">
        <v>129</v>
      </c>
      <c r="AH16" s="51" t="s">
        <v>123</v>
      </c>
      <c r="AJ16" s="8"/>
      <c r="AL16" s="50" t="s">
        <v>133</v>
      </c>
      <c r="AM16" s="50" t="s">
        <v>101</v>
      </c>
      <c r="AN16" s="50" t="s">
        <v>622</v>
      </c>
      <c r="AO16" s="51" t="s">
        <v>130</v>
      </c>
      <c r="AP16" s="62" t="s">
        <v>131</v>
      </c>
      <c r="AQ16" s="50" t="s">
        <v>128</v>
      </c>
      <c r="AR16" s="61" t="s">
        <v>129</v>
      </c>
      <c r="AS16" s="51" t="s">
        <v>288</v>
      </c>
      <c r="AT16" s="50" t="s">
        <v>123</v>
      </c>
      <c r="AV16" s="8"/>
      <c r="AW16" s="9" t="s">
        <v>763</v>
      </c>
      <c r="AX16" s="53" t="s">
        <v>129</v>
      </c>
      <c r="AY16" s="63">
        <f>Notes!$L$4</f>
        <v>2024</v>
      </c>
      <c r="AZ16" s="63">
        <f>Notes!$L$5</f>
        <v>2040</v>
      </c>
      <c r="BA16" s="26">
        <v>0</v>
      </c>
      <c r="BB16" s="34">
        <v>1</v>
      </c>
    </row>
    <row r="17" spans="2:54" x14ac:dyDescent="0.3">
      <c r="B17" s="8"/>
      <c r="C17" s="2" t="s">
        <v>713</v>
      </c>
      <c r="D17" s="26">
        <v>0</v>
      </c>
      <c r="E17" s="26">
        <v>0</v>
      </c>
      <c r="F17" s="27">
        <v>0</v>
      </c>
      <c r="G17" s="26">
        <v>0</v>
      </c>
      <c r="H17" s="26">
        <v>0</v>
      </c>
      <c r="I17" s="27">
        <v>0</v>
      </c>
      <c r="J17" s="26">
        <v>0</v>
      </c>
      <c r="K17" s="26">
        <v>0</v>
      </c>
      <c r="L17" s="67">
        <v>1</v>
      </c>
      <c r="N17" s="8"/>
      <c r="O17" s="2" t="s">
        <v>649</v>
      </c>
      <c r="P17" s="26">
        <v>0</v>
      </c>
      <c r="Q17" s="27">
        <v>0</v>
      </c>
      <c r="R17" s="30">
        <v>0</v>
      </c>
      <c r="S17" s="27">
        <v>0</v>
      </c>
      <c r="T17" s="30">
        <v>0</v>
      </c>
      <c r="U17" s="34">
        <v>1</v>
      </c>
      <c r="V17" s="34">
        <v>1</v>
      </c>
      <c r="X17" s="8"/>
      <c r="Y17" s="2" t="s">
        <v>852</v>
      </c>
      <c r="Z17" s="26">
        <v>0</v>
      </c>
      <c r="AA17" s="26">
        <v>0</v>
      </c>
      <c r="AB17" s="26">
        <v>0</v>
      </c>
      <c r="AC17" s="26">
        <v>0</v>
      </c>
      <c r="AD17" s="27">
        <v>0</v>
      </c>
      <c r="AE17" s="30">
        <v>0</v>
      </c>
      <c r="AF17" s="26">
        <v>0</v>
      </c>
      <c r="AG17" s="26">
        <v>0</v>
      </c>
      <c r="AH17" s="32">
        <v>1</v>
      </c>
      <c r="AJ17" s="8"/>
      <c r="AK17" s="2" t="s">
        <v>8</v>
      </c>
      <c r="AL17" s="26">
        <v>0</v>
      </c>
      <c r="AM17" s="26">
        <v>0</v>
      </c>
      <c r="AN17" s="26">
        <v>0</v>
      </c>
      <c r="AO17" s="27">
        <v>0</v>
      </c>
      <c r="AP17" s="30">
        <v>0</v>
      </c>
      <c r="AQ17" s="26">
        <v>0</v>
      </c>
      <c r="AR17" s="26">
        <v>0</v>
      </c>
      <c r="AS17" s="32">
        <v>1</v>
      </c>
      <c r="AT17" s="34">
        <v>1</v>
      </c>
      <c r="AV17" s="8"/>
      <c r="AW17" s="9" t="s">
        <v>290</v>
      </c>
      <c r="AX17" s="53" t="s">
        <v>74</v>
      </c>
      <c r="AY17" s="63">
        <f>Notes!$L$4</f>
        <v>2024</v>
      </c>
      <c r="AZ17" s="63">
        <f>Notes!$L$5</f>
        <v>2040</v>
      </c>
      <c r="BA17" s="26">
        <v>0</v>
      </c>
      <c r="BB17" s="34">
        <v>1</v>
      </c>
    </row>
    <row r="18" spans="2:54" x14ac:dyDescent="0.3">
      <c r="B18" s="8"/>
      <c r="C18" s="2" t="s">
        <v>766</v>
      </c>
      <c r="D18" s="26">
        <v>0</v>
      </c>
      <c r="E18" s="26">
        <v>0</v>
      </c>
      <c r="F18" s="27">
        <v>0</v>
      </c>
      <c r="G18" s="26">
        <v>0</v>
      </c>
      <c r="H18" s="26">
        <v>0</v>
      </c>
      <c r="I18" s="27">
        <v>0</v>
      </c>
      <c r="J18" s="26">
        <v>0</v>
      </c>
      <c r="K18" s="26">
        <v>0</v>
      </c>
      <c r="L18" s="67">
        <v>1</v>
      </c>
      <c r="N18" s="8"/>
      <c r="O18" s="2" t="s">
        <v>809</v>
      </c>
      <c r="P18" s="26">
        <v>0</v>
      </c>
      <c r="Q18" s="27">
        <v>0</v>
      </c>
      <c r="R18" s="30">
        <v>0</v>
      </c>
      <c r="S18" s="27">
        <v>0</v>
      </c>
      <c r="T18" s="30">
        <v>0</v>
      </c>
      <c r="U18" s="34">
        <v>1</v>
      </c>
      <c r="V18" s="34">
        <v>1</v>
      </c>
      <c r="X18" s="8"/>
      <c r="Y18" s="2" t="s">
        <v>853</v>
      </c>
      <c r="Z18" s="26">
        <v>0</v>
      </c>
      <c r="AA18" s="26">
        <v>0</v>
      </c>
      <c r="AB18" s="26">
        <v>0</v>
      </c>
      <c r="AC18" s="26">
        <v>0</v>
      </c>
      <c r="AD18" s="27">
        <v>0</v>
      </c>
      <c r="AE18" s="30">
        <v>0</v>
      </c>
      <c r="AF18" s="26">
        <v>0</v>
      </c>
      <c r="AG18" s="26">
        <v>0</v>
      </c>
      <c r="AH18" s="32">
        <v>1</v>
      </c>
      <c r="AJ18" s="8"/>
      <c r="AK18" s="2" t="s">
        <v>985</v>
      </c>
      <c r="AL18" s="26">
        <v>0</v>
      </c>
      <c r="AM18" s="26">
        <v>0</v>
      </c>
      <c r="AN18" s="26">
        <v>0</v>
      </c>
      <c r="AO18" s="27">
        <v>0</v>
      </c>
      <c r="AP18" s="30">
        <v>0</v>
      </c>
      <c r="AQ18" s="26">
        <v>0</v>
      </c>
      <c r="AR18" s="26">
        <v>0</v>
      </c>
      <c r="AS18" s="32">
        <v>1</v>
      </c>
      <c r="AT18" s="34">
        <v>1</v>
      </c>
      <c r="AV18" s="8"/>
      <c r="AW18" s="9" t="s">
        <v>291</v>
      </c>
      <c r="AX18" s="53" t="s">
        <v>75</v>
      </c>
      <c r="AY18" s="63">
        <f>Notes!$L$4</f>
        <v>2024</v>
      </c>
      <c r="AZ18" s="63">
        <f>Notes!$L$5</f>
        <v>2040</v>
      </c>
      <c r="BA18" s="26">
        <v>0</v>
      </c>
      <c r="BB18" s="34">
        <v>1</v>
      </c>
    </row>
    <row r="19" spans="2:54" x14ac:dyDescent="0.3">
      <c r="B19" s="8"/>
      <c r="C19" s="2" t="s">
        <v>976</v>
      </c>
      <c r="D19" s="26">
        <v>0</v>
      </c>
      <c r="E19" s="26">
        <v>0</v>
      </c>
      <c r="F19" s="27">
        <v>0</v>
      </c>
      <c r="G19" s="26">
        <v>0</v>
      </c>
      <c r="H19" s="26">
        <v>0</v>
      </c>
      <c r="I19" s="27">
        <v>0</v>
      </c>
      <c r="J19" s="26">
        <v>0</v>
      </c>
      <c r="K19" s="26">
        <v>0</v>
      </c>
      <c r="L19" s="67">
        <v>1</v>
      </c>
      <c r="N19" s="8"/>
      <c r="O19" s="2" t="s">
        <v>946</v>
      </c>
      <c r="P19" s="26">
        <v>0</v>
      </c>
      <c r="Q19" s="27">
        <v>0</v>
      </c>
      <c r="R19" s="30">
        <v>0</v>
      </c>
      <c r="S19" s="27">
        <v>0</v>
      </c>
      <c r="T19" s="30">
        <v>0</v>
      </c>
      <c r="U19" s="34">
        <v>1</v>
      </c>
      <c r="V19" s="34">
        <v>1</v>
      </c>
      <c r="X19" s="8"/>
      <c r="Y19" s="2" t="s">
        <v>854</v>
      </c>
      <c r="Z19" s="26">
        <v>0</v>
      </c>
      <c r="AA19" s="26">
        <v>0</v>
      </c>
      <c r="AB19" s="26">
        <v>0</v>
      </c>
      <c r="AC19" s="26">
        <v>0</v>
      </c>
      <c r="AD19" s="27">
        <v>0</v>
      </c>
      <c r="AE19" s="30">
        <v>0</v>
      </c>
      <c r="AF19" s="26">
        <v>0</v>
      </c>
      <c r="AG19" s="26">
        <v>0</v>
      </c>
      <c r="AH19" s="32">
        <v>1</v>
      </c>
      <c r="AJ19" s="8"/>
      <c r="AK19" s="2" t="s">
        <v>986</v>
      </c>
      <c r="AL19" s="26">
        <v>0</v>
      </c>
      <c r="AM19" s="26">
        <v>0</v>
      </c>
      <c r="AN19" s="26">
        <v>0</v>
      </c>
      <c r="AO19" s="27">
        <v>0</v>
      </c>
      <c r="AP19" s="30">
        <v>0</v>
      </c>
      <c r="AQ19" s="26">
        <v>0</v>
      </c>
      <c r="AR19" s="26">
        <v>0</v>
      </c>
      <c r="AS19" s="32">
        <v>1</v>
      </c>
      <c r="AT19" s="34">
        <v>1</v>
      </c>
      <c r="AV19" s="8"/>
      <c r="AW19" s="9" t="s">
        <v>292</v>
      </c>
      <c r="AX19" s="53" t="s">
        <v>76</v>
      </c>
      <c r="AY19" s="63">
        <f>Notes!$L$4</f>
        <v>2024</v>
      </c>
      <c r="AZ19" s="63">
        <f>Notes!$L$5</f>
        <v>2040</v>
      </c>
      <c r="BA19" s="26">
        <v>0</v>
      </c>
      <c r="BB19" s="34">
        <v>1</v>
      </c>
    </row>
    <row r="20" spans="2:54" x14ac:dyDescent="0.3">
      <c r="B20" s="8"/>
      <c r="C20" s="2" t="s">
        <v>977</v>
      </c>
      <c r="D20" s="26">
        <v>0</v>
      </c>
      <c r="E20" s="26">
        <v>0</v>
      </c>
      <c r="F20" s="27">
        <v>0</v>
      </c>
      <c r="G20" s="26">
        <v>0</v>
      </c>
      <c r="H20" s="26">
        <v>0</v>
      </c>
      <c r="I20" s="27">
        <v>0</v>
      </c>
      <c r="J20" s="26">
        <v>0</v>
      </c>
      <c r="K20" s="26">
        <v>0</v>
      </c>
      <c r="L20" s="67">
        <v>1</v>
      </c>
      <c r="N20" s="8"/>
      <c r="O20" s="2" t="s">
        <v>947</v>
      </c>
      <c r="P20" s="26">
        <v>0</v>
      </c>
      <c r="Q20" s="27">
        <v>0</v>
      </c>
      <c r="R20" s="30">
        <v>0</v>
      </c>
      <c r="S20" s="27">
        <v>0</v>
      </c>
      <c r="T20" s="30">
        <v>0</v>
      </c>
      <c r="U20" s="34">
        <v>1</v>
      </c>
      <c r="V20" s="34">
        <v>1</v>
      </c>
      <c r="X20" s="8"/>
      <c r="Y20" s="2" t="s">
        <v>855</v>
      </c>
      <c r="Z20" s="26">
        <v>0</v>
      </c>
      <c r="AA20" s="26">
        <v>0</v>
      </c>
      <c r="AB20" s="26">
        <v>0</v>
      </c>
      <c r="AC20" s="26">
        <v>0</v>
      </c>
      <c r="AD20" s="27">
        <v>0</v>
      </c>
      <c r="AE20" s="30">
        <v>0</v>
      </c>
      <c r="AF20" s="26">
        <v>0</v>
      </c>
      <c r="AG20" s="26">
        <v>0</v>
      </c>
      <c r="AH20" s="32">
        <v>1</v>
      </c>
      <c r="AJ20" s="8"/>
      <c r="AK20" s="2" t="s">
        <v>987</v>
      </c>
      <c r="AL20" s="26">
        <v>0</v>
      </c>
      <c r="AM20" s="26">
        <v>0</v>
      </c>
      <c r="AN20" s="26">
        <v>0</v>
      </c>
      <c r="AO20" s="27">
        <v>0</v>
      </c>
      <c r="AP20" s="30">
        <v>0</v>
      </c>
      <c r="AQ20" s="26">
        <v>0</v>
      </c>
      <c r="AR20" s="26">
        <v>0</v>
      </c>
      <c r="AS20" s="32">
        <v>1</v>
      </c>
      <c r="AT20" s="34">
        <v>1</v>
      </c>
      <c r="AV20" s="8"/>
      <c r="AW20" s="9" t="s">
        <v>61</v>
      </c>
      <c r="AX20" s="53" t="s">
        <v>82</v>
      </c>
      <c r="AY20" s="63">
        <f>Notes!$L$4</f>
        <v>2024</v>
      </c>
      <c r="AZ20" s="63">
        <f>Notes!$L$5</f>
        <v>2040</v>
      </c>
      <c r="BA20" s="26">
        <v>0</v>
      </c>
      <c r="BB20" s="34">
        <v>1</v>
      </c>
    </row>
    <row r="21" spans="2:54" x14ac:dyDescent="0.3">
      <c r="B21" s="8"/>
      <c r="C21" s="2" t="s">
        <v>767</v>
      </c>
      <c r="D21" s="26">
        <v>0</v>
      </c>
      <c r="E21" s="26">
        <v>0</v>
      </c>
      <c r="F21" s="27">
        <v>0</v>
      </c>
      <c r="G21" s="26">
        <v>0</v>
      </c>
      <c r="H21" s="26">
        <v>0</v>
      </c>
      <c r="I21" s="27">
        <v>0</v>
      </c>
      <c r="J21" s="26">
        <v>0</v>
      </c>
      <c r="K21" s="26">
        <v>0</v>
      </c>
      <c r="L21" s="67">
        <v>1</v>
      </c>
      <c r="N21" s="8"/>
      <c r="O21" s="2" t="s">
        <v>810</v>
      </c>
      <c r="P21" s="26">
        <v>0</v>
      </c>
      <c r="Q21" s="27">
        <v>0</v>
      </c>
      <c r="R21" s="30">
        <v>0</v>
      </c>
      <c r="S21" s="27">
        <v>0</v>
      </c>
      <c r="T21" s="30">
        <v>0</v>
      </c>
      <c r="U21" s="34">
        <v>1</v>
      </c>
      <c r="V21" s="34">
        <v>1</v>
      </c>
      <c r="X21" s="8"/>
      <c r="Y21" s="2" t="s">
        <v>856</v>
      </c>
      <c r="Z21" s="26">
        <v>0</v>
      </c>
      <c r="AA21" s="26">
        <v>0</v>
      </c>
      <c r="AB21" s="26">
        <v>0</v>
      </c>
      <c r="AC21" s="26">
        <v>0</v>
      </c>
      <c r="AD21" s="27">
        <v>0</v>
      </c>
      <c r="AE21" s="30">
        <v>0</v>
      </c>
      <c r="AF21" s="26">
        <v>0</v>
      </c>
      <c r="AG21" s="26">
        <v>0</v>
      </c>
      <c r="AH21" s="32">
        <v>1</v>
      </c>
      <c r="AJ21" s="8"/>
      <c r="AK21" s="2" t="s">
        <v>988</v>
      </c>
      <c r="AL21" s="26">
        <v>0</v>
      </c>
      <c r="AM21" s="26">
        <v>0</v>
      </c>
      <c r="AN21" s="26">
        <v>0</v>
      </c>
      <c r="AO21" s="27">
        <v>0</v>
      </c>
      <c r="AP21" s="30">
        <v>0</v>
      </c>
      <c r="AQ21" s="26">
        <v>0</v>
      </c>
      <c r="AR21" s="26">
        <v>0</v>
      </c>
      <c r="AS21" s="32">
        <v>1</v>
      </c>
      <c r="AT21" s="34">
        <v>1</v>
      </c>
      <c r="AV21" s="8"/>
      <c r="AW21" s="9" t="s">
        <v>293</v>
      </c>
      <c r="AX21" s="53" t="s">
        <v>621</v>
      </c>
      <c r="AY21" s="63">
        <f>Notes!$L$4</f>
        <v>2024</v>
      </c>
      <c r="AZ21" s="63">
        <f>Notes!$L$5</f>
        <v>2040</v>
      </c>
      <c r="BA21" s="26">
        <v>0</v>
      </c>
      <c r="BB21" s="34">
        <v>1</v>
      </c>
    </row>
    <row r="22" spans="2:54" x14ac:dyDescent="0.3">
      <c r="B22" s="8"/>
      <c r="C22" s="2" t="s">
        <v>714</v>
      </c>
      <c r="D22" s="26">
        <v>0</v>
      </c>
      <c r="E22" s="26">
        <v>0</v>
      </c>
      <c r="F22" s="27">
        <v>0</v>
      </c>
      <c r="G22" s="26">
        <v>0</v>
      </c>
      <c r="H22" s="26">
        <v>0</v>
      </c>
      <c r="I22" s="27">
        <v>0</v>
      </c>
      <c r="J22" s="26">
        <v>0</v>
      </c>
      <c r="K22" s="26">
        <v>0</v>
      </c>
      <c r="L22" s="67">
        <v>1</v>
      </c>
      <c r="N22" s="8"/>
      <c r="O22" s="2" t="s">
        <v>650</v>
      </c>
      <c r="P22" s="26">
        <v>0</v>
      </c>
      <c r="Q22" s="27">
        <v>0</v>
      </c>
      <c r="R22" s="30">
        <v>0</v>
      </c>
      <c r="S22" s="27">
        <v>0</v>
      </c>
      <c r="T22" s="30">
        <v>0</v>
      </c>
      <c r="U22" s="34">
        <v>1</v>
      </c>
      <c r="V22" s="34">
        <v>1</v>
      </c>
      <c r="X22" s="8"/>
      <c r="Y22" s="2" t="s">
        <v>857</v>
      </c>
      <c r="Z22" s="26">
        <v>0</v>
      </c>
      <c r="AA22" s="26">
        <v>0</v>
      </c>
      <c r="AB22" s="26">
        <v>0</v>
      </c>
      <c r="AC22" s="26">
        <v>0</v>
      </c>
      <c r="AD22" s="27">
        <v>0</v>
      </c>
      <c r="AE22" s="30">
        <v>0</v>
      </c>
      <c r="AF22" s="26">
        <v>0</v>
      </c>
      <c r="AG22" s="26">
        <v>0</v>
      </c>
      <c r="AH22" s="32">
        <v>1</v>
      </c>
      <c r="AJ22" s="8"/>
      <c r="AK22" s="2" t="s">
        <v>989</v>
      </c>
      <c r="AL22" s="26">
        <v>0</v>
      </c>
      <c r="AM22" s="26">
        <v>0</v>
      </c>
      <c r="AN22" s="26">
        <v>0</v>
      </c>
      <c r="AO22" s="27">
        <v>0</v>
      </c>
      <c r="AP22" s="30">
        <v>0</v>
      </c>
      <c r="AQ22" s="26">
        <v>0</v>
      </c>
      <c r="AR22" s="26">
        <v>0</v>
      </c>
      <c r="AS22" s="32">
        <v>1</v>
      </c>
      <c r="AT22" s="34">
        <v>1</v>
      </c>
      <c r="AV22" s="8"/>
      <c r="AW22" s="9" t="s">
        <v>294</v>
      </c>
      <c r="AX22" s="53" t="s">
        <v>83</v>
      </c>
      <c r="AY22" s="63">
        <f>Notes!$L$4</f>
        <v>2024</v>
      </c>
      <c r="AZ22" s="63">
        <f>Notes!$L$5</f>
        <v>2040</v>
      </c>
      <c r="BA22" s="26">
        <v>0</v>
      </c>
      <c r="BB22" s="34">
        <v>1</v>
      </c>
    </row>
    <row r="23" spans="2:54" x14ac:dyDescent="0.3">
      <c r="B23" s="8"/>
      <c r="C23" s="2" t="s">
        <v>715</v>
      </c>
      <c r="D23" s="26">
        <v>0</v>
      </c>
      <c r="E23" s="26">
        <v>0</v>
      </c>
      <c r="F23" s="27">
        <v>0</v>
      </c>
      <c r="G23" s="26">
        <v>0</v>
      </c>
      <c r="H23" s="26">
        <v>0</v>
      </c>
      <c r="I23" s="27">
        <v>0</v>
      </c>
      <c r="J23" s="26">
        <v>0</v>
      </c>
      <c r="K23" s="26">
        <v>0</v>
      </c>
      <c r="L23" s="67">
        <v>1</v>
      </c>
      <c r="N23" s="8"/>
      <c r="O23" s="2" t="s">
        <v>651</v>
      </c>
      <c r="P23" s="26">
        <v>0</v>
      </c>
      <c r="Q23" s="27">
        <v>0</v>
      </c>
      <c r="R23" s="30">
        <v>0</v>
      </c>
      <c r="S23" s="27">
        <v>0</v>
      </c>
      <c r="T23" s="30">
        <v>0</v>
      </c>
      <c r="U23" s="34">
        <v>1</v>
      </c>
      <c r="V23" s="34">
        <v>1</v>
      </c>
      <c r="X23" s="8"/>
      <c r="Y23" s="2" t="s">
        <v>858</v>
      </c>
      <c r="Z23" s="26">
        <v>0</v>
      </c>
      <c r="AA23" s="26">
        <v>0</v>
      </c>
      <c r="AB23" s="26">
        <v>0</v>
      </c>
      <c r="AC23" s="26">
        <v>0</v>
      </c>
      <c r="AD23" s="27">
        <v>0</v>
      </c>
      <c r="AE23" s="30">
        <v>0</v>
      </c>
      <c r="AF23" s="26">
        <v>0</v>
      </c>
      <c r="AG23" s="26">
        <v>0</v>
      </c>
      <c r="AH23" s="32">
        <v>1</v>
      </c>
      <c r="AJ23" s="8"/>
      <c r="AK23" s="2" t="s">
        <v>990</v>
      </c>
      <c r="AL23" s="26">
        <v>0</v>
      </c>
      <c r="AM23" s="26">
        <v>0</v>
      </c>
      <c r="AN23" s="26">
        <v>0</v>
      </c>
      <c r="AO23" s="27">
        <v>0</v>
      </c>
      <c r="AP23" s="30">
        <v>0</v>
      </c>
      <c r="AQ23" s="26">
        <v>0</v>
      </c>
      <c r="AR23" s="26">
        <v>0</v>
      </c>
      <c r="AS23" s="32">
        <v>1</v>
      </c>
      <c r="AT23" s="34">
        <v>1</v>
      </c>
      <c r="AV23" s="8"/>
      <c r="AW23" s="9" t="s">
        <v>295</v>
      </c>
      <c r="AX23" s="53" t="s">
        <v>622</v>
      </c>
      <c r="AY23" s="63">
        <f>Notes!$L$4</f>
        <v>2024</v>
      </c>
      <c r="AZ23" s="63">
        <f>Notes!$L$5</f>
        <v>2040</v>
      </c>
      <c r="BA23" s="26">
        <v>0</v>
      </c>
      <c r="BB23" s="34">
        <v>1</v>
      </c>
    </row>
    <row r="24" spans="2:54" x14ac:dyDescent="0.3">
      <c r="B24" s="8"/>
      <c r="C24" s="2" t="s">
        <v>768</v>
      </c>
      <c r="D24" s="26">
        <v>0</v>
      </c>
      <c r="E24" s="26">
        <v>0</v>
      </c>
      <c r="F24" s="27">
        <v>0</v>
      </c>
      <c r="G24" s="26">
        <v>0</v>
      </c>
      <c r="H24" s="26">
        <v>0</v>
      </c>
      <c r="I24" s="27">
        <v>0</v>
      </c>
      <c r="J24" s="26">
        <v>0</v>
      </c>
      <c r="K24" s="26">
        <v>0</v>
      </c>
      <c r="L24" s="67">
        <v>1</v>
      </c>
      <c r="N24" s="8"/>
      <c r="O24" s="2" t="s">
        <v>811</v>
      </c>
      <c r="P24" s="26">
        <v>0</v>
      </c>
      <c r="Q24" s="27">
        <v>0</v>
      </c>
      <c r="R24" s="30">
        <v>0</v>
      </c>
      <c r="S24" s="27">
        <v>0</v>
      </c>
      <c r="T24" s="30">
        <v>0</v>
      </c>
      <c r="U24" s="34">
        <v>1</v>
      </c>
      <c r="V24" s="34">
        <v>1</v>
      </c>
      <c r="X24" s="8"/>
      <c r="Y24" s="2" t="s">
        <v>859</v>
      </c>
      <c r="Z24" s="26">
        <v>0</v>
      </c>
      <c r="AA24" s="26">
        <v>0</v>
      </c>
      <c r="AB24" s="26">
        <v>0</v>
      </c>
      <c r="AC24" s="26">
        <v>0</v>
      </c>
      <c r="AD24" s="27">
        <v>0</v>
      </c>
      <c r="AE24" s="30">
        <v>0</v>
      </c>
      <c r="AF24" s="26">
        <v>0</v>
      </c>
      <c r="AG24" s="26">
        <v>0</v>
      </c>
      <c r="AH24" s="32">
        <v>1</v>
      </c>
      <c r="AJ24" s="8"/>
      <c r="AK24" s="2" t="s">
        <v>991</v>
      </c>
      <c r="AL24" s="26">
        <v>0</v>
      </c>
      <c r="AM24" s="26">
        <v>0</v>
      </c>
      <c r="AN24" s="26">
        <v>0</v>
      </c>
      <c r="AO24" s="27">
        <v>0</v>
      </c>
      <c r="AP24" s="30">
        <v>0</v>
      </c>
      <c r="AQ24" s="26">
        <v>0</v>
      </c>
      <c r="AR24" s="26">
        <v>0</v>
      </c>
      <c r="AS24" s="32">
        <v>1</v>
      </c>
      <c r="AT24" s="34">
        <v>1</v>
      </c>
      <c r="AV24" s="8"/>
      <c r="AW24" s="9" t="s">
        <v>647</v>
      </c>
      <c r="AX24" s="53" t="s">
        <v>648</v>
      </c>
      <c r="AY24" s="63">
        <f>Notes!$L$4</f>
        <v>2024</v>
      </c>
      <c r="AZ24" s="63">
        <f>Notes!$L$5</f>
        <v>2040</v>
      </c>
      <c r="BA24" s="26">
        <v>0</v>
      </c>
      <c r="BB24" s="34">
        <v>1</v>
      </c>
    </row>
    <row r="25" spans="2:54" x14ac:dyDescent="0.3">
      <c r="B25" s="8"/>
      <c r="C25" s="2" t="s">
        <v>716</v>
      </c>
      <c r="D25" s="26">
        <v>0</v>
      </c>
      <c r="E25" s="26">
        <v>0</v>
      </c>
      <c r="F25" s="27">
        <v>0</v>
      </c>
      <c r="G25" s="26">
        <v>0</v>
      </c>
      <c r="H25" s="26">
        <v>0</v>
      </c>
      <c r="I25" s="27">
        <v>0</v>
      </c>
      <c r="J25" s="26">
        <v>0</v>
      </c>
      <c r="K25" s="26">
        <v>0</v>
      </c>
      <c r="L25" s="67">
        <v>1</v>
      </c>
      <c r="N25" s="8"/>
      <c r="O25" s="2" t="s">
        <v>652</v>
      </c>
      <c r="P25" s="26">
        <v>0</v>
      </c>
      <c r="Q25" s="27">
        <v>0</v>
      </c>
      <c r="R25" s="30">
        <v>0</v>
      </c>
      <c r="S25" s="27">
        <v>0</v>
      </c>
      <c r="T25" s="30">
        <v>0</v>
      </c>
      <c r="U25" s="34">
        <v>1</v>
      </c>
      <c r="V25" s="34">
        <v>1</v>
      </c>
      <c r="X25" s="8"/>
      <c r="Y25" s="2" t="s">
        <v>10</v>
      </c>
      <c r="Z25" s="26">
        <v>0</v>
      </c>
      <c r="AA25" s="26">
        <v>0</v>
      </c>
      <c r="AB25" s="26">
        <v>0</v>
      </c>
      <c r="AC25" s="26">
        <v>0</v>
      </c>
      <c r="AD25" s="27">
        <v>0</v>
      </c>
      <c r="AE25" s="30">
        <v>0</v>
      </c>
      <c r="AF25" s="26">
        <v>0</v>
      </c>
      <c r="AG25" s="26">
        <v>0</v>
      </c>
      <c r="AH25" s="32">
        <v>1</v>
      </c>
      <c r="AJ25" s="8"/>
      <c r="AK25" s="2" t="s">
        <v>992</v>
      </c>
      <c r="AL25" s="26">
        <v>0</v>
      </c>
      <c r="AM25" s="26">
        <v>0</v>
      </c>
      <c r="AN25" s="26">
        <v>0</v>
      </c>
      <c r="AO25" s="27">
        <v>0</v>
      </c>
      <c r="AP25" s="30">
        <v>0</v>
      </c>
      <c r="AQ25" s="26">
        <v>0</v>
      </c>
      <c r="AR25" s="26">
        <v>0</v>
      </c>
      <c r="AS25" s="32">
        <v>1</v>
      </c>
      <c r="AT25" s="34">
        <v>1</v>
      </c>
      <c r="AV25" s="8"/>
    </row>
    <row r="26" spans="2:54" x14ac:dyDescent="0.3">
      <c r="B26" s="8"/>
      <c r="C26" s="2" t="s">
        <v>769</v>
      </c>
      <c r="D26" s="26">
        <v>0</v>
      </c>
      <c r="E26" s="26">
        <v>0</v>
      </c>
      <c r="F26" s="27">
        <v>0</v>
      </c>
      <c r="G26" s="26">
        <v>0</v>
      </c>
      <c r="H26" s="26">
        <v>0</v>
      </c>
      <c r="I26" s="27">
        <v>0</v>
      </c>
      <c r="J26" s="26">
        <v>0</v>
      </c>
      <c r="K26" s="26">
        <v>0</v>
      </c>
      <c r="L26" s="67">
        <v>1</v>
      </c>
      <c r="N26" s="8"/>
      <c r="O26" s="2" t="s">
        <v>812</v>
      </c>
      <c r="P26" s="26">
        <v>0</v>
      </c>
      <c r="Q26" s="27">
        <v>0</v>
      </c>
      <c r="R26" s="30">
        <v>0</v>
      </c>
      <c r="S26" s="27">
        <v>0</v>
      </c>
      <c r="T26" s="30">
        <v>0</v>
      </c>
      <c r="U26" s="34">
        <v>1</v>
      </c>
      <c r="V26" s="34">
        <v>1</v>
      </c>
      <c r="X26" s="8"/>
      <c r="Y26" s="2" t="s">
        <v>860</v>
      </c>
      <c r="Z26" s="26">
        <v>0</v>
      </c>
      <c r="AA26" s="26">
        <v>0</v>
      </c>
      <c r="AB26" s="26">
        <v>0</v>
      </c>
      <c r="AC26" s="26">
        <v>0</v>
      </c>
      <c r="AD26" s="27">
        <v>0</v>
      </c>
      <c r="AE26" s="30">
        <v>0</v>
      </c>
      <c r="AF26" s="26">
        <v>0</v>
      </c>
      <c r="AG26" s="26">
        <v>0</v>
      </c>
      <c r="AH26" s="32">
        <v>1</v>
      </c>
      <c r="AJ26" s="8"/>
      <c r="AK26" s="2" t="s">
        <v>993</v>
      </c>
      <c r="AL26" s="26">
        <v>0</v>
      </c>
      <c r="AM26" s="26">
        <v>0</v>
      </c>
      <c r="AN26" s="26">
        <v>0</v>
      </c>
      <c r="AO26" s="27">
        <v>0</v>
      </c>
      <c r="AP26" s="30">
        <v>0</v>
      </c>
      <c r="AQ26" s="26">
        <v>0</v>
      </c>
      <c r="AR26" s="26">
        <v>0</v>
      </c>
      <c r="AS26" s="32">
        <v>1</v>
      </c>
      <c r="AT26" s="34">
        <v>1</v>
      </c>
    </row>
    <row r="27" spans="2:54" x14ac:dyDescent="0.3">
      <c r="B27" s="8"/>
      <c r="C27" s="2" t="s">
        <v>770</v>
      </c>
      <c r="D27" s="26">
        <v>0</v>
      </c>
      <c r="E27" s="26">
        <v>0</v>
      </c>
      <c r="F27" s="27">
        <v>0</v>
      </c>
      <c r="G27" s="26">
        <v>0</v>
      </c>
      <c r="H27" s="26">
        <v>0</v>
      </c>
      <c r="I27" s="27">
        <v>0</v>
      </c>
      <c r="J27" s="26">
        <v>0</v>
      </c>
      <c r="K27" s="26">
        <v>0</v>
      </c>
      <c r="L27" s="67">
        <v>1</v>
      </c>
      <c r="N27" s="8"/>
      <c r="O27" s="2" t="s">
        <v>813</v>
      </c>
      <c r="P27" s="26">
        <v>0</v>
      </c>
      <c r="Q27" s="27">
        <v>0</v>
      </c>
      <c r="R27" s="30">
        <v>0</v>
      </c>
      <c r="S27" s="27">
        <v>0</v>
      </c>
      <c r="T27" s="30">
        <v>0</v>
      </c>
      <c r="U27" s="34">
        <v>1</v>
      </c>
      <c r="V27" s="34">
        <v>1</v>
      </c>
      <c r="X27" s="8"/>
      <c r="Y27" s="2" t="s">
        <v>861</v>
      </c>
      <c r="Z27" s="26">
        <v>0</v>
      </c>
      <c r="AA27" s="26">
        <v>0</v>
      </c>
      <c r="AB27" s="26">
        <v>0</v>
      </c>
      <c r="AC27" s="26">
        <v>0</v>
      </c>
      <c r="AD27" s="27">
        <v>0</v>
      </c>
      <c r="AE27" s="30">
        <v>0</v>
      </c>
      <c r="AF27" s="26">
        <v>0</v>
      </c>
      <c r="AG27" s="26">
        <v>0</v>
      </c>
      <c r="AH27" s="32">
        <v>1</v>
      </c>
      <c r="AJ27" s="8"/>
      <c r="AK27" s="2" t="s">
        <v>994</v>
      </c>
      <c r="AL27" s="26">
        <v>0</v>
      </c>
      <c r="AM27" s="26">
        <v>0</v>
      </c>
      <c r="AN27" s="26">
        <v>0</v>
      </c>
      <c r="AO27" s="27">
        <v>0</v>
      </c>
      <c r="AP27" s="30">
        <v>0</v>
      </c>
      <c r="AQ27" s="26">
        <v>0</v>
      </c>
      <c r="AR27" s="26">
        <v>0</v>
      </c>
      <c r="AS27" s="32">
        <v>1</v>
      </c>
      <c r="AT27" s="34">
        <v>1</v>
      </c>
    </row>
    <row r="28" spans="2:54" x14ac:dyDescent="0.3">
      <c r="B28" s="8"/>
      <c r="C28" s="2" t="s">
        <v>771</v>
      </c>
      <c r="D28" s="26">
        <v>0</v>
      </c>
      <c r="E28" s="26">
        <v>0</v>
      </c>
      <c r="F28" s="27">
        <v>0</v>
      </c>
      <c r="G28" s="26">
        <v>0</v>
      </c>
      <c r="H28" s="26">
        <v>0</v>
      </c>
      <c r="I28" s="27">
        <v>0</v>
      </c>
      <c r="J28" s="26">
        <v>0</v>
      </c>
      <c r="K28" s="26">
        <v>0</v>
      </c>
      <c r="L28" s="67">
        <v>1</v>
      </c>
      <c r="N28" s="8"/>
      <c r="O28" s="2" t="s">
        <v>814</v>
      </c>
      <c r="P28" s="26">
        <v>0</v>
      </c>
      <c r="Q28" s="27">
        <v>0</v>
      </c>
      <c r="R28" s="30">
        <v>0</v>
      </c>
      <c r="S28" s="27">
        <v>0</v>
      </c>
      <c r="T28" s="30">
        <v>0</v>
      </c>
      <c r="U28" s="34">
        <v>1</v>
      </c>
      <c r="V28" s="34">
        <v>1</v>
      </c>
      <c r="X28" s="8"/>
      <c r="Y28" s="2" t="s">
        <v>862</v>
      </c>
      <c r="Z28" s="26">
        <v>0</v>
      </c>
      <c r="AA28" s="26">
        <v>0</v>
      </c>
      <c r="AB28" s="26">
        <v>0</v>
      </c>
      <c r="AC28" s="26">
        <v>0</v>
      </c>
      <c r="AD28" s="27">
        <v>0</v>
      </c>
      <c r="AE28" s="30">
        <v>0</v>
      </c>
      <c r="AF28" s="26">
        <v>0</v>
      </c>
      <c r="AG28" s="26">
        <v>0</v>
      </c>
      <c r="AH28" s="32">
        <v>1</v>
      </c>
      <c r="AJ28" s="8"/>
      <c r="AK28" s="2" t="s">
        <v>995</v>
      </c>
      <c r="AL28" s="26">
        <v>0</v>
      </c>
      <c r="AM28" s="26">
        <v>0</v>
      </c>
      <c r="AN28" s="26">
        <v>0</v>
      </c>
      <c r="AO28" s="27">
        <v>0</v>
      </c>
      <c r="AP28" s="30">
        <v>0</v>
      </c>
      <c r="AQ28" s="26">
        <v>0</v>
      </c>
      <c r="AR28" s="26">
        <v>0</v>
      </c>
      <c r="AS28" s="32">
        <v>1</v>
      </c>
      <c r="AT28" s="34">
        <v>1</v>
      </c>
    </row>
    <row r="29" spans="2:54" x14ac:dyDescent="0.3">
      <c r="B29" s="8"/>
      <c r="C29" s="2" t="s">
        <v>717</v>
      </c>
      <c r="D29" s="26">
        <v>0</v>
      </c>
      <c r="E29" s="26">
        <v>0</v>
      </c>
      <c r="F29" s="27">
        <v>0</v>
      </c>
      <c r="G29" s="26">
        <v>0</v>
      </c>
      <c r="H29" s="26">
        <v>0</v>
      </c>
      <c r="I29" s="27">
        <v>0</v>
      </c>
      <c r="J29" s="26">
        <v>0</v>
      </c>
      <c r="K29" s="26">
        <v>0</v>
      </c>
      <c r="L29" s="67">
        <v>1</v>
      </c>
      <c r="N29" s="8"/>
      <c r="O29" s="2" t="s">
        <v>653</v>
      </c>
      <c r="P29" s="26">
        <v>0</v>
      </c>
      <c r="Q29" s="27">
        <v>0</v>
      </c>
      <c r="R29" s="30">
        <v>0</v>
      </c>
      <c r="S29" s="27">
        <v>0</v>
      </c>
      <c r="T29" s="30">
        <v>0</v>
      </c>
      <c r="U29" s="34">
        <v>1</v>
      </c>
      <c r="V29" s="34">
        <v>1</v>
      </c>
      <c r="X29" s="8"/>
      <c r="Y29" s="2" t="s">
        <v>863</v>
      </c>
      <c r="Z29" s="26">
        <v>0</v>
      </c>
      <c r="AA29" s="26">
        <v>0</v>
      </c>
      <c r="AB29" s="26">
        <v>0</v>
      </c>
      <c r="AC29" s="26">
        <v>0</v>
      </c>
      <c r="AD29" s="27">
        <v>0</v>
      </c>
      <c r="AE29" s="30">
        <v>0</v>
      </c>
      <c r="AF29" s="26">
        <v>0</v>
      </c>
      <c r="AG29" s="26">
        <v>0</v>
      </c>
      <c r="AH29" s="32">
        <v>1</v>
      </c>
      <c r="AJ29" s="8"/>
      <c r="AK29" s="2" t="s">
        <v>996</v>
      </c>
      <c r="AL29" s="26">
        <v>0</v>
      </c>
      <c r="AM29" s="26">
        <v>0</v>
      </c>
      <c r="AN29" s="26">
        <v>0</v>
      </c>
      <c r="AO29" s="27">
        <v>0</v>
      </c>
      <c r="AP29" s="30">
        <v>0</v>
      </c>
      <c r="AQ29" s="26">
        <v>0</v>
      </c>
      <c r="AR29" s="26">
        <v>0</v>
      </c>
      <c r="AS29" s="32">
        <v>1</v>
      </c>
      <c r="AT29" s="34">
        <v>1</v>
      </c>
    </row>
    <row r="30" spans="2:54" x14ac:dyDescent="0.3">
      <c r="B30" s="8"/>
      <c r="C30" s="2" t="s">
        <v>978</v>
      </c>
      <c r="D30" s="26">
        <v>0</v>
      </c>
      <c r="E30" s="26">
        <v>0</v>
      </c>
      <c r="F30" s="27">
        <v>0</v>
      </c>
      <c r="G30" s="26">
        <v>0</v>
      </c>
      <c r="H30" s="26">
        <v>0</v>
      </c>
      <c r="I30" s="27">
        <v>0</v>
      </c>
      <c r="J30" s="26">
        <v>0</v>
      </c>
      <c r="K30" s="26">
        <v>0</v>
      </c>
      <c r="L30" s="67">
        <v>1</v>
      </c>
      <c r="N30" s="8"/>
      <c r="O30" s="2" t="s">
        <v>948</v>
      </c>
      <c r="P30" s="26">
        <v>0</v>
      </c>
      <c r="Q30" s="27">
        <v>0</v>
      </c>
      <c r="R30" s="30">
        <v>0</v>
      </c>
      <c r="S30" s="27">
        <v>0</v>
      </c>
      <c r="T30" s="30">
        <v>0</v>
      </c>
      <c r="U30" s="34">
        <v>1</v>
      </c>
      <c r="V30" s="34">
        <v>1</v>
      </c>
      <c r="X30" s="8"/>
      <c r="Y30" s="2"/>
      <c r="Z30" s="26"/>
      <c r="AA30" s="26"/>
      <c r="AB30" s="26"/>
      <c r="AC30" s="26"/>
      <c r="AD30" s="27"/>
      <c r="AE30" s="30"/>
      <c r="AF30" s="26"/>
      <c r="AG30" s="26"/>
      <c r="AH30" s="32"/>
      <c r="AJ30" s="8"/>
      <c r="AK30" s="2" t="s">
        <v>997</v>
      </c>
      <c r="AL30" s="26">
        <v>0</v>
      </c>
      <c r="AM30" s="26">
        <v>0</v>
      </c>
      <c r="AN30" s="26">
        <v>0</v>
      </c>
      <c r="AO30" s="27">
        <v>0</v>
      </c>
      <c r="AP30" s="30">
        <v>0</v>
      </c>
      <c r="AQ30" s="26">
        <v>0</v>
      </c>
      <c r="AR30" s="26">
        <v>0</v>
      </c>
      <c r="AS30" s="32">
        <v>1</v>
      </c>
      <c r="AT30" s="34">
        <v>1</v>
      </c>
    </row>
    <row r="31" spans="2:54" x14ac:dyDescent="0.3">
      <c r="B31" s="8"/>
      <c r="C31" s="2" t="s">
        <v>718</v>
      </c>
      <c r="D31" s="26">
        <v>0</v>
      </c>
      <c r="E31" s="26">
        <v>0</v>
      </c>
      <c r="F31" s="27">
        <v>0</v>
      </c>
      <c r="G31" s="26">
        <v>0</v>
      </c>
      <c r="H31" s="26">
        <v>0</v>
      </c>
      <c r="I31" s="27">
        <v>0</v>
      </c>
      <c r="J31" s="26">
        <v>0</v>
      </c>
      <c r="K31" s="26">
        <v>0</v>
      </c>
      <c r="L31" s="67">
        <v>1</v>
      </c>
      <c r="N31" s="8"/>
      <c r="O31" s="2" t="s">
        <v>654</v>
      </c>
      <c r="P31" s="26">
        <v>0</v>
      </c>
      <c r="Q31" s="27">
        <v>0</v>
      </c>
      <c r="R31" s="30">
        <v>0</v>
      </c>
      <c r="S31" s="27">
        <v>0</v>
      </c>
      <c r="T31" s="30">
        <v>0</v>
      </c>
      <c r="U31" s="34">
        <v>1</v>
      </c>
      <c r="V31" s="34">
        <v>1</v>
      </c>
      <c r="X31" s="8"/>
      <c r="Y31" s="2"/>
      <c r="Z31" s="26"/>
      <c r="AA31" s="26"/>
      <c r="AB31" s="26"/>
      <c r="AC31" s="26"/>
      <c r="AD31" s="27"/>
      <c r="AE31" s="30"/>
      <c r="AF31" s="26"/>
      <c r="AG31" s="26"/>
      <c r="AH31" s="32"/>
      <c r="AJ31" s="8"/>
      <c r="AK31" s="2" t="s">
        <v>998</v>
      </c>
      <c r="AL31" s="26">
        <v>0</v>
      </c>
      <c r="AM31" s="26">
        <v>0</v>
      </c>
      <c r="AN31" s="26">
        <v>0</v>
      </c>
      <c r="AO31" s="27">
        <v>0</v>
      </c>
      <c r="AP31" s="30">
        <v>0</v>
      </c>
      <c r="AQ31" s="26">
        <v>0</v>
      </c>
      <c r="AR31" s="26">
        <v>0</v>
      </c>
      <c r="AS31" s="32">
        <v>1</v>
      </c>
      <c r="AT31" s="34">
        <v>1</v>
      </c>
    </row>
    <row r="32" spans="2:54" x14ac:dyDescent="0.3">
      <c r="B32" s="8"/>
      <c r="C32" s="2" t="s">
        <v>719</v>
      </c>
      <c r="D32" s="26">
        <v>0</v>
      </c>
      <c r="E32" s="26">
        <v>0</v>
      </c>
      <c r="F32" s="27">
        <v>0</v>
      </c>
      <c r="G32" s="26">
        <v>0</v>
      </c>
      <c r="H32" s="26">
        <v>0</v>
      </c>
      <c r="I32" s="27">
        <v>0</v>
      </c>
      <c r="J32" s="26">
        <v>0</v>
      </c>
      <c r="K32" s="26">
        <v>0</v>
      </c>
      <c r="L32" s="67">
        <v>1</v>
      </c>
      <c r="N32" s="8"/>
      <c r="O32" s="2" t="s">
        <v>655</v>
      </c>
      <c r="P32" s="26">
        <v>0</v>
      </c>
      <c r="Q32" s="27">
        <v>0</v>
      </c>
      <c r="R32" s="30">
        <v>0</v>
      </c>
      <c r="S32" s="27">
        <v>0</v>
      </c>
      <c r="T32" s="30">
        <v>0</v>
      </c>
      <c r="U32" s="34">
        <v>1</v>
      </c>
      <c r="V32" s="34">
        <v>1</v>
      </c>
      <c r="X32" s="8"/>
      <c r="Y32" s="2"/>
      <c r="Z32" s="26"/>
      <c r="AA32" s="26"/>
      <c r="AB32" s="26"/>
      <c r="AC32" s="26"/>
      <c r="AD32" s="27"/>
      <c r="AE32" s="30"/>
      <c r="AF32" s="26"/>
      <c r="AG32" s="26"/>
      <c r="AH32" s="32"/>
      <c r="AJ32" s="8"/>
      <c r="AK32" s="2" t="s">
        <v>999</v>
      </c>
      <c r="AL32" s="26">
        <v>0</v>
      </c>
      <c r="AM32" s="26">
        <v>0</v>
      </c>
      <c r="AN32" s="26">
        <v>0</v>
      </c>
      <c r="AO32" s="27">
        <v>0</v>
      </c>
      <c r="AP32" s="30">
        <v>0</v>
      </c>
      <c r="AQ32" s="26">
        <v>0</v>
      </c>
      <c r="AR32" s="26">
        <v>0</v>
      </c>
      <c r="AS32" s="32">
        <v>1</v>
      </c>
      <c r="AT32" s="34">
        <v>1</v>
      </c>
    </row>
    <row r="33" spans="2:46" x14ac:dyDescent="0.3">
      <c r="B33" s="8"/>
      <c r="C33" s="2" t="s">
        <v>720</v>
      </c>
      <c r="D33" s="26">
        <v>0</v>
      </c>
      <c r="E33" s="26">
        <v>0</v>
      </c>
      <c r="F33" s="27">
        <v>0</v>
      </c>
      <c r="G33" s="26">
        <v>0</v>
      </c>
      <c r="H33" s="26">
        <v>0</v>
      </c>
      <c r="I33" s="27">
        <v>0</v>
      </c>
      <c r="J33" s="26">
        <v>0</v>
      </c>
      <c r="K33" s="26">
        <v>0</v>
      </c>
      <c r="L33" s="67">
        <v>1</v>
      </c>
      <c r="N33" s="8"/>
      <c r="O33" s="2" t="s">
        <v>656</v>
      </c>
      <c r="P33" s="26">
        <v>0</v>
      </c>
      <c r="Q33" s="27">
        <v>0</v>
      </c>
      <c r="R33" s="30">
        <v>0</v>
      </c>
      <c r="S33" s="27">
        <v>0</v>
      </c>
      <c r="T33" s="30">
        <v>0</v>
      </c>
      <c r="U33" s="34">
        <v>1</v>
      </c>
      <c r="V33" s="34">
        <v>1</v>
      </c>
      <c r="X33" s="8"/>
      <c r="Y33" s="2"/>
      <c r="Z33" s="26"/>
      <c r="AA33" s="26"/>
      <c r="AB33" s="26"/>
      <c r="AC33" s="26"/>
      <c r="AD33" s="27"/>
      <c r="AE33" s="30"/>
      <c r="AF33" s="26"/>
      <c r="AG33" s="26"/>
      <c r="AH33" s="32"/>
      <c r="AJ33" s="8"/>
      <c r="AK33" s="2" t="s">
        <v>1000</v>
      </c>
      <c r="AL33" s="26">
        <v>0</v>
      </c>
      <c r="AM33" s="26">
        <v>0</v>
      </c>
      <c r="AN33" s="26">
        <v>0</v>
      </c>
      <c r="AO33" s="27">
        <v>0</v>
      </c>
      <c r="AP33" s="30">
        <v>0</v>
      </c>
      <c r="AQ33" s="26">
        <v>0</v>
      </c>
      <c r="AR33" s="26">
        <v>0</v>
      </c>
      <c r="AS33" s="32">
        <v>1</v>
      </c>
      <c r="AT33" s="34">
        <v>1</v>
      </c>
    </row>
    <row r="34" spans="2:46" x14ac:dyDescent="0.3">
      <c r="B34" s="8"/>
      <c r="C34" s="2" t="s">
        <v>721</v>
      </c>
      <c r="D34" s="26">
        <v>0</v>
      </c>
      <c r="E34" s="26">
        <v>0</v>
      </c>
      <c r="F34" s="27">
        <v>0</v>
      </c>
      <c r="G34" s="26">
        <v>0</v>
      </c>
      <c r="H34" s="26">
        <v>0</v>
      </c>
      <c r="I34" s="27">
        <v>0</v>
      </c>
      <c r="J34" s="26">
        <v>0</v>
      </c>
      <c r="K34" s="26">
        <v>0</v>
      </c>
      <c r="L34" s="67">
        <v>1</v>
      </c>
      <c r="N34" s="8"/>
      <c r="O34" s="2" t="s">
        <v>657</v>
      </c>
      <c r="P34" s="26">
        <v>0</v>
      </c>
      <c r="Q34" s="27">
        <v>0</v>
      </c>
      <c r="R34" s="30">
        <v>0</v>
      </c>
      <c r="S34" s="27">
        <v>0</v>
      </c>
      <c r="T34" s="30">
        <v>0</v>
      </c>
      <c r="U34" s="34">
        <v>1</v>
      </c>
      <c r="V34" s="34">
        <v>1</v>
      </c>
      <c r="X34" s="8"/>
      <c r="Y34" s="2"/>
      <c r="Z34" s="26"/>
      <c r="AA34" s="26"/>
      <c r="AB34" s="26"/>
      <c r="AC34" s="26"/>
      <c r="AD34" s="27"/>
      <c r="AE34" s="30"/>
      <c r="AF34" s="26"/>
      <c r="AG34" s="26"/>
      <c r="AH34" s="32"/>
      <c r="AJ34" s="8"/>
      <c r="AK34" s="2" t="s">
        <v>1001</v>
      </c>
      <c r="AL34" s="26">
        <v>0</v>
      </c>
      <c r="AM34" s="26">
        <v>0</v>
      </c>
      <c r="AN34" s="26">
        <v>0</v>
      </c>
      <c r="AO34" s="27">
        <v>0</v>
      </c>
      <c r="AP34" s="30">
        <v>0</v>
      </c>
      <c r="AQ34" s="26">
        <v>0</v>
      </c>
      <c r="AR34" s="26">
        <v>0</v>
      </c>
      <c r="AS34" s="32">
        <v>1</v>
      </c>
      <c r="AT34" s="34">
        <v>1</v>
      </c>
    </row>
    <row r="35" spans="2:46" x14ac:dyDescent="0.3">
      <c r="B35" s="8"/>
      <c r="C35" s="2" t="s">
        <v>979</v>
      </c>
      <c r="D35" s="26">
        <v>0</v>
      </c>
      <c r="E35" s="26">
        <v>0</v>
      </c>
      <c r="F35" s="27">
        <v>0</v>
      </c>
      <c r="G35" s="26">
        <v>0</v>
      </c>
      <c r="H35" s="26">
        <v>0</v>
      </c>
      <c r="I35" s="27">
        <v>0</v>
      </c>
      <c r="J35" s="26">
        <v>0</v>
      </c>
      <c r="K35" s="26">
        <v>0</v>
      </c>
      <c r="L35" s="67">
        <v>1</v>
      </c>
      <c r="N35" s="8"/>
      <c r="O35" s="2" t="s">
        <v>949</v>
      </c>
      <c r="P35" s="26">
        <v>0</v>
      </c>
      <c r="Q35" s="27">
        <v>0</v>
      </c>
      <c r="R35" s="30">
        <v>0</v>
      </c>
      <c r="S35" s="27">
        <v>0</v>
      </c>
      <c r="T35" s="30">
        <v>0</v>
      </c>
      <c r="U35" s="34">
        <v>1</v>
      </c>
      <c r="V35" s="34">
        <v>1</v>
      </c>
      <c r="X35" s="8"/>
      <c r="Y35" s="2"/>
      <c r="Z35" s="26"/>
      <c r="AA35" s="26"/>
      <c r="AB35" s="26"/>
      <c r="AC35" s="26"/>
      <c r="AD35" s="27"/>
      <c r="AE35" s="30"/>
      <c r="AF35" s="26"/>
      <c r="AG35" s="26"/>
      <c r="AH35" s="32"/>
      <c r="AJ35" s="8"/>
      <c r="AK35" s="2" t="s">
        <v>1002</v>
      </c>
      <c r="AL35" s="26">
        <v>0</v>
      </c>
      <c r="AM35" s="26">
        <v>0</v>
      </c>
      <c r="AN35" s="26">
        <v>0</v>
      </c>
      <c r="AO35" s="27">
        <v>0</v>
      </c>
      <c r="AP35" s="30">
        <v>0</v>
      </c>
      <c r="AQ35" s="26">
        <v>0</v>
      </c>
      <c r="AR35" s="26">
        <v>0</v>
      </c>
      <c r="AS35" s="32">
        <v>1</v>
      </c>
      <c r="AT35" s="34">
        <v>1</v>
      </c>
    </row>
    <row r="36" spans="2:46" x14ac:dyDescent="0.3">
      <c r="B36" s="8"/>
      <c r="C36" s="2" t="s">
        <v>772</v>
      </c>
      <c r="D36" s="26">
        <v>0</v>
      </c>
      <c r="E36" s="26">
        <v>0</v>
      </c>
      <c r="F36" s="27">
        <v>0</v>
      </c>
      <c r="G36" s="26">
        <v>0</v>
      </c>
      <c r="H36" s="26">
        <v>0</v>
      </c>
      <c r="I36" s="27">
        <v>0</v>
      </c>
      <c r="J36" s="26">
        <v>0</v>
      </c>
      <c r="K36" s="26">
        <v>0</v>
      </c>
      <c r="L36" s="67">
        <v>1</v>
      </c>
      <c r="N36" s="8"/>
      <c r="O36" s="2" t="s">
        <v>815</v>
      </c>
      <c r="P36" s="26">
        <v>0</v>
      </c>
      <c r="Q36" s="27">
        <v>0</v>
      </c>
      <c r="R36" s="30">
        <v>0</v>
      </c>
      <c r="S36" s="27">
        <v>0</v>
      </c>
      <c r="T36" s="30">
        <v>0</v>
      </c>
      <c r="U36" s="34">
        <v>1</v>
      </c>
      <c r="V36" s="34">
        <v>1</v>
      </c>
      <c r="X36" s="8"/>
      <c r="Y36" s="2"/>
      <c r="Z36" s="26"/>
      <c r="AA36" s="26"/>
      <c r="AB36" s="26"/>
      <c r="AC36" s="26"/>
      <c r="AD36" s="27"/>
      <c r="AE36" s="30"/>
      <c r="AF36" s="26"/>
      <c r="AG36" s="26"/>
      <c r="AH36" s="32"/>
      <c r="AJ36" s="8"/>
      <c r="AK36" s="2" t="s">
        <v>1003</v>
      </c>
      <c r="AL36" s="26">
        <v>0</v>
      </c>
      <c r="AM36" s="26">
        <v>0</v>
      </c>
      <c r="AN36" s="26">
        <v>0</v>
      </c>
      <c r="AO36" s="27">
        <v>0</v>
      </c>
      <c r="AP36" s="30">
        <v>0</v>
      </c>
      <c r="AQ36" s="26">
        <v>0</v>
      </c>
      <c r="AR36" s="26">
        <v>0</v>
      </c>
      <c r="AS36" s="32">
        <v>1</v>
      </c>
      <c r="AT36" s="34">
        <v>1</v>
      </c>
    </row>
    <row r="37" spans="2:46" x14ac:dyDescent="0.3">
      <c r="B37" s="8"/>
      <c r="C37" s="2" t="s">
        <v>773</v>
      </c>
      <c r="D37" s="26">
        <v>0</v>
      </c>
      <c r="E37" s="26">
        <v>0</v>
      </c>
      <c r="F37" s="27">
        <v>0</v>
      </c>
      <c r="G37" s="26">
        <v>0</v>
      </c>
      <c r="H37" s="26">
        <v>0</v>
      </c>
      <c r="I37" s="27">
        <v>0</v>
      </c>
      <c r="J37" s="26">
        <v>0</v>
      </c>
      <c r="K37" s="26">
        <v>0</v>
      </c>
      <c r="L37" s="67">
        <v>1</v>
      </c>
      <c r="N37" s="8"/>
      <c r="O37" s="2" t="s">
        <v>816</v>
      </c>
      <c r="P37" s="26">
        <v>0</v>
      </c>
      <c r="Q37" s="27">
        <v>0</v>
      </c>
      <c r="R37" s="30">
        <v>0</v>
      </c>
      <c r="S37" s="27">
        <v>0</v>
      </c>
      <c r="T37" s="30">
        <v>0</v>
      </c>
      <c r="U37" s="34">
        <v>1</v>
      </c>
      <c r="V37" s="34">
        <v>1</v>
      </c>
      <c r="X37" s="8"/>
      <c r="Y37" s="2"/>
      <c r="Z37" s="26"/>
      <c r="AA37" s="26"/>
      <c r="AB37" s="26"/>
      <c r="AC37" s="26"/>
      <c r="AD37" s="27"/>
      <c r="AE37" s="30"/>
      <c r="AF37" s="26"/>
      <c r="AG37" s="26"/>
      <c r="AH37" s="32"/>
      <c r="AJ37" s="8"/>
      <c r="AK37" s="2" t="s">
        <v>1004</v>
      </c>
      <c r="AL37" s="26">
        <v>0</v>
      </c>
      <c r="AM37" s="26">
        <v>0</v>
      </c>
      <c r="AN37" s="26">
        <v>0</v>
      </c>
      <c r="AO37" s="27">
        <v>0</v>
      </c>
      <c r="AP37" s="30">
        <v>0</v>
      </c>
      <c r="AQ37" s="26">
        <v>0</v>
      </c>
      <c r="AR37" s="26">
        <v>0</v>
      </c>
      <c r="AS37" s="32">
        <v>1</v>
      </c>
      <c r="AT37" s="34">
        <v>1</v>
      </c>
    </row>
    <row r="38" spans="2:46" x14ac:dyDescent="0.3">
      <c r="B38" s="8"/>
      <c r="C38" s="2" t="s">
        <v>722</v>
      </c>
      <c r="D38" s="26">
        <v>0</v>
      </c>
      <c r="E38" s="26">
        <v>0</v>
      </c>
      <c r="F38" s="27">
        <v>0</v>
      </c>
      <c r="G38" s="26">
        <v>0</v>
      </c>
      <c r="H38" s="26">
        <v>0</v>
      </c>
      <c r="I38" s="27">
        <v>0</v>
      </c>
      <c r="J38" s="26">
        <v>0</v>
      </c>
      <c r="K38" s="26">
        <v>0</v>
      </c>
      <c r="L38" s="67">
        <v>1</v>
      </c>
      <c r="N38" s="8"/>
      <c r="O38" s="2" t="s">
        <v>658</v>
      </c>
      <c r="P38" s="26">
        <v>0</v>
      </c>
      <c r="Q38" s="27">
        <v>0</v>
      </c>
      <c r="R38" s="30">
        <v>0</v>
      </c>
      <c r="S38" s="27">
        <v>0</v>
      </c>
      <c r="T38" s="30">
        <v>0</v>
      </c>
      <c r="U38" s="34">
        <v>1</v>
      </c>
      <c r="V38" s="34">
        <v>1</v>
      </c>
      <c r="X38" s="8"/>
      <c r="Y38" s="2"/>
      <c r="Z38" s="26"/>
      <c r="AA38" s="26"/>
      <c r="AB38" s="26"/>
      <c r="AC38" s="26"/>
      <c r="AD38" s="27"/>
      <c r="AE38" s="30"/>
      <c r="AF38" s="26"/>
      <c r="AG38" s="26"/>
      <c r="AH38" s="32"/>
      <c r="AJ38" s="8"/>
      <c r="AK38" s="2"/>
      <c r="AL38" s="26"/>
      <c r="AM38" s="26"/>
      <c r="AN38" s="26"/>
      <c r="AO38" s="27"/>
      <c r="AP38" s="30"/>
      <c r="AQ38" s="26"/>
      <c r="AR38" s="26"/>
      <c r="AS38" s="32"/>
      <c r="AT38" s="34"/>
    </row>
    <row r="39" spans="2:46" x14ac:dyDescent="0.3">
      <c r="B39" s="8"/>
      <c r="C39" s="2" t="s">
        <v>774</v>
      </c>
      <c r="D39" s="26">
        <v>0</v>
      </c>
      <c r="E39" s="26">
        <v>0</v>
      </c>
      <c r="F39" s="27">
        <v>0</v>
      </c>
      <c r="G39" s="26">
        <v>0</v>
      </c>
      <c r="H39" s="26">
        <v>0</v>
      </c>
      <c r="I39" s="27">
        <v>0</v>
      </c>
      <c r="J39" s="26">
        <v>0</v>
      </c>
      <c r="K39" s="26">
        <v>0</v>
      </c>
      <c r="L39" s="67">
        <v>1</v>
      </c>
      <c r="N39" s="8"/>
      <c r="O39" s="2" t="s">
        <v>817</v>
      </c>
      <c r="P39" s="26">
        <v>0</v>
      </c>
      <c r="Q39" s="27">
        <v>0</v>
      </c>
      <c r="R39" s="30">
        <v>0</v>
      </c>
      <c r="S39" s="27">
        <v>0</v>
      </c>
      <c r="T39" s="30">
        <v>0</v>
      </c>
      <c r="U39" s="34">
        <v>1</v>
      </c>
      <c r="V39" s="34">
        <v>1</v>
      </c>
      <c r="X39" s="8"/>
      <c r="Y39" s="2"/>
      <c r="Z39" s="26"/>
      <c r="AA39" s="26"/>
      <c r="AB39" s="26"/>
      <c r="AC39" s="26"/>
      <c r="AD39" s="27"/>
      <c r="AE39" s="30"/>
      <c r="AF39" s="26"/>
      <c r="AG39" s="26"/>
      <c r="AH39" s="32"/>
      <c r="AJ39" s="8"/>
      <c r="AK39" s="2"/>
      <c r="AL39" s="26"/>
      <c r="AM39" s="26"/>
      <c r="AN39" s="26"/>
      <c r="AO39" s="27"/>
      <c r="AP39" s="30"/>
      <c r="AQ39" s="26"/>
      <c r="AR39" s="26"/>
      <c r="AS39" s="32"/>
      <c r="AT39" s="34"/>
    </row>
    <row r="40" spans="2:46" x14ac:dyDescent="0.3">
      <c r="B40" s="8"/>
      <c r="C40" s="2" t="s">
        <v>723</v>
      </c>
      <c r="D40" s="26">
        <v>0</v>
      </c>
      <c r="E40" s="26">
        <v>0</v>
      </c>
      <c r="F40" s="27">
        <v>0</v>
      </c>
      <c r="G40" s="26">
        <v>0</v>
      </c>
      <c r="H40" s="26">
        <v>0</v>
      </c>
      <c r="I40" s="27">
        <v>0</v>
      </c>
      <c r="J40" s="26">
        <v>0</v>
      </c>
      <c r="K40" s="26">
        <v>0</v>
      </c>
      <c r="L40" s="67">
        <v>1</v>
      </c>
      <c r="N40" s="8"/>
      <c r="O40" s="2" t="s">
        <v>659</v>
      </c>
      <c r="P40" s="26">
        <v>0</v>
      </c>
      <c r="Q40" s="27">
        <v>0</v>
      </c>
      <c r="R40" s="30">
        <v>0</v>
      </c>
      <c r="S40" s="27">
        <v>0</v>
      </c>
      <c r="T40" s="30">
        <v>0</v>
      </c>
      <c r="U40" s="34">
        <v>1</v>
      </c>
      <c r="V40" s="34">
        <v>1</v>
      </c>
      <c r="X40" s="8"/>
      <c r="Y40" s="2"/>
      <c r="Z40" s="26"/>
      <c r="AA40" s="26"/>
      <c r="AB40" s="26"/>
      <c r="AC40" s="26"/>
      <c r="AD40" s="27"/>
      <c r="AE40" s="30"/>
      <c r="AF40" s="26"/>
      <c r="AG40" s="26"/>
      <c r="AH40" s="32"/>
      <c r="AJ40" s="8"/>
      <c r="AK40" s="2"/>
      <c r="AL40" s="26"/>
      <c r="AM40" s="26"/>
      <c r="AN40" s="26"/>
      <c r="AO40" s="27"/>
      <c r="AP40" s="30"/>
      <c r="AQ40" s="26"/>
      <c r="AR40" s="26"/>
      <c r="AS40" s="32"/>
      <c r="AT40" s="34"/>
    </row>
    <row r="41" spans="2:46" x14ac:dyDescent="0.3">
      <c r="B41" s="8"/>
      <c r="C41" s="2" t="s">
        <v>775</v>
      </c>
      <c r="D41" s="26">
        <v>0</v>
      </c>
      <c r="E41" s="26">
        <v>0</v>
      </c>
      <c r="F41" s="27">
        <v>0</v>
      </c>
      <c r="G41" s="26">
        <v>0</v>
      </c>
      <c r="H41" s="26">
        <v>0</v>
      </c>
      <c r="I41" s="27">
        <v>0</v>
      </c>
      <c r="J41" s="26">
        <v>0</v>
      </c>
      <c r="K41" s="26">
        <v>0</v>
      </c>
      <c r="L41" s="67">
        <v>1</v>
      </c>
      <c r="N41" s="8"/>
      <c r="O41" s="2" t="s">
        <v>818</v>
      </c>
      <c r="P41" s="26">
        <v>0</v>
      </c>
      <c r="Q41" s="27">
        <v>0</v>
      </c>
      <c r="R41" s="30">
        <v>0</v>
      </c>
      <c r="S41" s="27">
        <v>0</v>
      </c>
      <c r="T41" s="30">
        <v>0</v>
      </c>
      <c r="U41" s="34">
        <v>1</v>
      </c>
      <c r="V41" s="34">
        <v>1</v>
      </c>
      <c r="X41" s="8"/>
      <c r="Y41" s="2"/>
      <c r="Z41" s="26"/>
      <c r="AA41" s="26"/>
      <c r="AB41" s="26"/>
      <c r="AC41" s="26"/>
      <c r="AD41" s="27"/>
      <c r="AE41" s="30"/>
      <c r="AF41" s="26"/>
      <c r="AG41" s="26"/>
      <c r="AH41" s="32"/>
      <c r="AJ41" s="8"/>
      <c r="AK41" s="2"/>
      <c r="AL41" s="26"/>
      <c r="AM41" s="26"/>
      <c r="AN41" s="26"/>
      <c r="AO41" s="27"/>
      <c r="AP41" s="30"/>
      <c r="AQ41" s="26"/>
      <c r="AR41" s="26"/>
      <c r="AS41" s="32"/>
      <c r="AT41" s="34"/>
    </row>
    <row r="42" spans="2:46" x14ac:dyDescent="0.3">
      <c r="B42" s="8"/>
      <c r="C42" s="2" t="s">
        <v>776</v>
      </c>
      <c r="D42" s="26">
        <v>0</v>
      </c>
      <c r="E42" s="26">
        <v>0</v>
      </c>
      <c r="F42" s="27">
        <v>0</v>
      </c>
      <c r="G42" s="26">
        <v>0</v>
      </c>
      <c r="H42" s="26">
        <v>0</v>
      </c>
      <c r="I42" s="27">
        <v>0</v>
      </c>
      <c r="J42" s="26">
        <v>0</v>
      </c>
      <c r="K42" s="26">
        <v>0</v>
      </c>
      <c r="L42" s="67">
        <v>1</v>
      </c>
      <c r="N42" s="8"/>
      <c r="O42" s="2" t="s">
        <v>819</v>
      </c>
      <c r="P42" s="26">
        <v>0</v>
      </c>
      <c r="Q42" s="27">
        <v>0</v>
      </c>
      <c r="R42" s="30">
        <v>0</v>
      </c>
      <c r="S42" s="27">
        <v>0</v>
      </c>
      <c r="T42" s="30">
        <v>0</v>
      </c>
      <c r="U42" s="34">
        <v>1</v>
      </c>
      <c r="V42" s="34">
        <v>1</v>
      </c>
      <c r="X42" s="8"/>
      <c r="Y42" s="2"/>
      <c r="Z42" s="26"/>
      <c r="AA42" s="26"/>
      <c r="AB42" s="26"/>
      <c r="AC42" s="26"/>
      <c r="AD42" s="27"/>
      <c r="AE42" s="30"/>
      <c r="AF42" s="26"/>
      <c r="AG42" s="26"/>
      <c r="AH42" s="32"/>
      <c r="AJ42" s="8"/>
      <c r="AK42" s="2"/>
      <c r="AL42" s="26"/>
      <c r="AM42" s="26"/>
      <c r="AN42" s="26"/>
      <c r="AO42" s="27"/>
      <c r="AP42" s="30"/>
      <c r="AQ42" s="26"/>
      <c r="AR42" s="26"/>
      <c r="AS42" s="32"/>
      <c r="AT42" s="34"/>
    </row>
    <row r="43" spans="2:46" x14ac:dyDescent="0.3">
      <c r="B43" s="8"/>
      <c r="C43" s="2" t="s">
        <v>777</v>
      </c>
      <c r="D43" s="26">
        <v>0</v>
      </c>
      <c r="E43" s="26">
        <v>0</v>
      </c>
      <c r="F43" s="27">
        <v>0</v>
      </c>
      <c r="G43" s="26">
        <v>0</v>
      </c>
      <c r="H43" s="26">
        <v>0</v>
      </c>
      <c r="I43" s="27">
        <v>0</v>
      </c>
      <c r="J43" s="26">
        <v>0</v>
      </c>
      <c r="K43" s="26">
        <v>0</v>
      </c>
      <c r="L43" s="67">
        <v>1</v>
      </c>
      <c r="N43" s="8"/>
      <c r="O43" s="2" t="s">
        <v>820</v>
      </c>
      <c r="P43" s="26">
        <v>0</v>
      </c>
      <c r="Q43" s="27">
        <v>0</v>
      </c>
      <c r="R43" s="30">
        <v>0</v>
      </c>
      <c r="S43" s="27">
        <v>0</v>
      </c>
      <c r="T43" s="30">
        <v>0</v>
      </c>
      <c r="U43" s="34">
        <v>1</v>
      </c>
      <c r="V43" s="34">
        <v>1</v>
      </c>
      <c r="X43" s="8"/>
      <c r="Y43" s="2"/>
      <c r="Z43" s="26"/>
      <c r="AA43" s="26"/>
      <c r="AB43" s="26"/>
      <c r="AC43" s="26"/>
      <c r="AD43" s="27"/>
      <c r="AE43" s="30"/>
      <c r="AF43" s="26"/>
      <c r="AG43" s="26"/>
      <c r="AH43" s="32"/>
      <c r="AJ43" s="8"/>
      <c r="AK43" s="2"/>
      <c r="AL43" s="26"/>
      <c r="AM43" s="26"/>
      <c r="AN43" s="26"/>
      <c r="AO43" s="27"/>
      <c r="AP43" s="30"/>
      <c r="AQ43" s="26"/>
      <c r="AR43" s="26"/>
      <c r="AS43" s="32"/>
      <c r="AT43" s="34"/>
    </row>
    <row r="44" spans="2:46" x14ac:dyDescent="0.3">
      <c r="B44" s="8"/>
      <c r="C44" s="2" t="s">
        <v>724</v>
      </c>
      <c r="D44" s="26">
        <v>0</v>
      </c>
      <c r="E44" s="26">
        <v>0</v>
      </c>
      <c r="F44" s="27">
        <v>0</v>
      </c>
      <c r="G44" s="26">
        <v>0</v>
      </c>
      <c r="H44" s="26">
        <v>0</v>
      </c>
      <c r="I44" s="27">
        <v>0</v>
      </c>
      <c r="J44" s="26">
        <v>0</v>
      </c>
      <c r="K44" s="26">
        <v>0</v>
      </c>
      <c r="L44" s="67">
        <v>1</v>
      </c>
      <c r="N44" s="8"/>
      <c r="O44" s="2" t="s">
        <v>660</v>
      </c>
      <c r="P44" s="26">
        <v>0</v>
      </c>
      <c r="Q44" s="27">
        <v>0</v>
      </c>
      <c r="R44" s="30">
        <v>0</v>
      </c>
      <c r="S44" s="27">
        <v>0</v>
      </c>
      <c r="T44" s="30">
        <v>0</v>
      </c>
      <c r="U44" s="34">
        <v>1</v>
      </c>
      <c r="V44" s="34">
        <v>1</v>
      </c>
      <c r="X44" s="8"/>
      <c r="Y44" s="2"/>
      <c r="Z44" s="26"/>
      <c r="AA44" s="26"/>
      <c r="AB44" s="26"/>
      <c r="AC44" s="26"/>
      <c r="AD44" s="27"/>
      <c r="AE44" s="30"/>
      <c r="AF44" s="26"/>
      <c r="AG44" s="26"/>
      <c r="AH44" s="32"/>
      <c r="AJ44" s="8"/>
      <c r="AK44" s="2"/>
      <c r="AL44" s="26"/>
      <c r="AM44" s="26"/>
      <c r="AN44" s="26"/>
      <c r="AO44" s="27"/>
      <c r="AP44" s="30"/>
      <c r="AQ44" s="26"/>
      <c r="AR44" s="26"/>
      <c r="AS44" s="32"/>
      <c r="AT44" s="34"/>
    </row>
    <row r="45" spans="2:46" x14ac:dyDescent="0.3">
      <c r="B45" s="8"/>
      <c r="C45" s="2" t="s">
        <v>725</v>
      </c>
      <c r="D45" s="26">
        <v>0</v>
      </c>
      <c r="E45" s="26">
        <v>0</v>
      </c>
      <c r="F45" s="27">
        <v>0</v>
      </c>
      <c r="G45" s="26">
        <v>0</v>
      </c>
      <c r="H45" s="26">
        <v>0</v>
      </c>
      <c r="I45" s="27">
        <v>0</v>
      </c>
      <c r="J45" s="26">
        <v>0</v>
      </c>
      <c r="K45" s="26">
        <v>0</v>
      </c>
      <c r="L45" s="67">
        <v>1</v>
      </c>
      <c r="N45" s="8"/>
      <c r="O45" s="2" t="s">
        <v>661</v>
      </c>
      <c r="P45" s="26">
        <v>0</v>
      </c>
      <c r="Q45" s="27">
        <v>0</v>
      </c>
      <c r="R45" s="30">
        <v>0</v>
      </c>
      <c r="S45" s="27">
        <v>0</v>
      </c>
      <c r="T45" s="30">
        <v>0</v>
      </c>
      <c r="U45" s="34">
        <v>1</v>
      </c>
      <c r="V45" s="34">
        <v>1</v>
      </c>
      <c r="X45" s="8"/>
      <c r="Y45" s="2"/>
      <c r="Z45" s="26"/>
      <c r="AA45" s="26"/>
      <c r="AB45" s="26"/>
      <c r="AC45" s="26"/>
      <c r="AD45" s="27"/>
      <c r="AE45" s="30"/>
      <c r="AF45" s="26"/>
      <c r="AG45" s="26"/>
      <c r="AH45" s="32"/>
      <c r="AJ45" s="8"/>
      <c r="AK45" s="2"/>
      <c r="AL45" s="26"/>
      <c r="AM45" s="26"/>
      <c r="AN45" s="26"/>
      <c r="AO45" s="27"/>
      <c r="AP45" s="30"/>
      <c r="AQ45" s="26"/>
      <c r="AR45" s="26"/>
      <c r="AS45" s="32"/>
      <c r="AT45" s="34"/>
    </row>
    <row r="46" spans="2:46" x14ac:dyDescent="0.3">
      <c r="B46" s="8"/>
      <c r="C46" s="2" t="s">
        <v>778</v>
      </c>
      <c r="D46" s="26">
        <v>0</v>
      </c>
      <c r="E46" s="26">
        <v>0</v>
      </c>
      <c r="F46" s="27">
        <v>0</v>
      </c>
      <c r="G46" s="26">
        <v>0</v>
      </c>
      <c r="H46" s="26">
        <v>0</v>
      </c>
      <c r="I46" s="27">
        <v>0</v>
      </c>
      <c r="J46" s="26">
        <v>0</v>
      </c>
      <c r="K46" s="26">
        <v>0</v>
      </c>
      <c r="L46" s="67">
        <v>1</v>
      </c>
      <c r="N46" s="8"/>
      <c r="O46" s="2" t="s">
        <v>821</v>
      </c>
      <c r="P46" s="26">
        <v>0</v>
      </c>
      <c r="Q46" s="27">
        <v>0</v>
      </c>
      <c r="R46" s="30">
        <v>0</v>
      </c>
      <c r="S46" s="27">
        <v>0</v>
      </c>
      <c r="T46" s="30">
        <v>0</v>
      </c>
      <c r="U46" s="34">
        <v>1</v>
      </c>
      <c r="V46" s="34">
        <v>1</v>
      </c>
      <c r="X46" s="8"/>
      <c r="Y46" s="2"/>
      <c r="Z46" s="26"/>
      <c r="AA46" s="26"/>
      <c r="AB46" s="26"/>
      <c r="AC46" s="26"/>
      <c r="AD46" s="27"/>
      <c r="AE46" s="30"/>
      <c r="AF46" s="26"/>
      <c r="AG46" s="26"/>
      <c r="AH46" s="32"/>
      <c r="AJ46" s="8"/>
      <c r="AK46" s="2"/>
      <c r="AL46" s="26"/>
      <c r="AM46" s="26"/>
      <c r="AN46" s="26"/>
      <c r="AO46" s="27"/>
      <c r="AP46" s="30"/>
      <c r="AQ46" s="26"/>
      <c r="AR46" s="26"/>
      <c r="AS46" s="32"/>
      <c r="AT46" s="34"/>
    </row>
    <row r="47" spans="2:46" x14ac:dyDescent="0.3">
      <c r="B47" s="8"/>
      <c r="C47" s="2" t="s">
        <v>726</v>
      </c>
      <c r="D47" s="26">
        <v>0</v>
      </c>
      <c r="E47" s="26">
        <v>0</v>
      </c>
      <c r="F47" s="27">
        <v>0</v>
      </c>
      <c r="G47" s="26">
        <v>0</v>
      </c>
      <c r="H47" s="26">
        <v>0</v>
      </c>
      <c r="I47" s="27">
        <v>0</v>
      </c>
      <c r="J47" s="26">
        <v>0</v>
      </c>
      <c r="K47" s="26">
        <v>0</v>
      </c>
      <c r="L47" s="67">
        <v>1</v>
      </c>
      <c r="N47" s="8"/>
      <c r="O47" s="2" t="s">
        <v>662</v>
      </c>
      <c r="P47" s="26">
        <v>0</v>
      </c>
      <c r="Q47" s="27">
        <v>0</v>
      </c>
      <c r="R47" s="30">
        <v>0</v>
      </c>
      <c r="S47" s="27">
        <v>0</v>
      </c>
      <c r="T47" s="30">
        <v>0</v>
      </c>
      <c r="U47" s="34">
        <v>1</v>
      </c>
      <c r="V47" s="34">
        <v>1</v>
      </c>
      <c r="X47" s="8"/>
      <c r="Y47" s="2"/>
      <c r="Z47" s="26"/>
      <c r="AA47" s="26"/>
      <c r="AB47" s="26"/>
      <c r="AC47" s="26"/>
      <c r="AD47" s="27"/>
      <c r="AE47" s="30"/>
      <c r="AF47" s="26"/>
      <c r="AG47" s="26"/>
      <c r="AH47" s="32"/>
      <c r="AJ47" s="8"/>
      <c r="AK47" s="2"/>
      <c r="AL47" s="26"/>
      <c r="AM47" s="26"/>
      <c r="AN47" s="26"/>
      <c r="AO47" s="27"/>
      <c r="AP47" s="30"/>
      <c r="AQ47" s="26"/>
      <c r="AR47" s="26"/>
      <c r="AS47" s="32"/>
      <c r="AT47" s="34"/>
    </row>
    <row r="48" spans="2:46" x14ac:dyDescent="0.3">
      <c r="B48" s="8"/>
      <c r="C48" s="2" t="s">
        <v>779</v>
      </c>
      <c r="D48" s="26">
        <v>0</v>
      </c>
      <c r="E48" s="26">
        <v>0</v>
      </c>
      <c r="F48" s="27">
        <v>0</v>
      </c>
      <c r="G48" s="26">
        <v>0</v>
      </c>
      <c r="H48" s="26">
        <v>0</v>
      </c>
      <c r="I48" s="27">
        <v>0</v>
      </c>
      <c r="J48" s="26">
        <v>0</v>
      </c>
      <c r="K48" s="26">
        <v>0</v>
      </c>
      <c r="L48" s="67">
        <v>1</v>
      </c>
      <c r="N48" s="8"/>
      <c r="O48" s="2" t="s">
        <v>822</v>
      </c>
      <c r="P48" s="26">
        <v>0</v>
      </c>
      <c r="Q48" s="27">
        <v>0</v>
      </c>
      <c r="R48" s="30">
        <v>0</v>
      </c>
      <c r="S48" s="27">
        <v>0</v>
      </c>
      <c r="T48" s="30">
        <v>0</v>
      </c>
      <c r="U48" s="34">
        <v>1</v>
      </c>
      <c r="V48" s="34">
        <v>1</v>
      </c>
      <c r="X48" s="8"/>
      <c r="Y48" s="2"/>
      <c r="Z48" s="26"/>
      <c r="AA48" s="26"/>
      <c r="AB48" s="26"/>
      <c r="AC48" s="26"/>
      <c r="AD48" s="27"/>
      <c r="AE48" s="30"/>
      <c r="AF48" s="26"/>
      <c r="AG48" s="26"/>
      <c r="AH48" s="32"/>
      <c r="AJ48" s="8"/>
      <c r="AK48" s="2"/>
      <c r="AL48" s="26"/>
      <c r="AM48" s="26"/>
      <c r="AN48" s="26"/>
      <c r="AO48" s="27"/>
      <c r="AP48" s="30"/>
      <c r="AQ48" s="26"/>
      <c r="AR48" s="26"/>
      <c r="AS48" s="32"/>
      <c r="AT48" s="34"/>
    </row>
    <row r="49" spans="2:46" x14ac:dyDescent="0.3">
      <c r="B49" s="8"/>
      <c r="C49" s="2" t="s">
        <v>780</v>
      </c>
      <c r="D49" s="26">
        <v>0</v>
      </c>
      <c r="E49" s="26">
        <v>0</v>
      </c>
      <c r="F49" s="27">
        <v>0</v>
      </c>
      <c r="G49" s="26">
        <v>0</v>
      </c>
      <c r="H49" s="26">
        <v>0</v>
      </c>
      <c r="I49" s="27">
        <v>0</v>
      </c>
      <c r="J49" s="26">
        <v>0</v>
      </c>
      <c r="K49" s="26">
        <v>0</v>
      </c>
      <c r="L49" s="67">
        <v>1</v>
      </c>
      <c r="N49" s="8"/>
      <c r="O49" s="2" t="s">
        <v>823</v>
      </c>
      <c r="P49" s="26">
        <v>0</v>
      </c>
      <c r="Q49" s="27">
        <v>0</v>
      </c>
      <c r="R49" s="30">
        <v>0</v>
      </c>
      <c r="S49" s="27">
        <v>0</v>
      </c>
      <c r="T49" s="30">
        <v>0</v>
      </c>
      <c r="U49" s="34">
        <v>1</v>
      </c>
      <c r="V49" s="34">
        <v>1</v>
      </c>
      <c r="X49" s="8"/>
      <c r="Y49" s="2"/>
      <c r="Z49" s="26"/>
      <c r="AA49" s="26"/>
      <c r="AB49" s="26"/>
      <c r="AC49" s="26"/>
      <c r="AD49" s="27"/>
      <c r="AE49" s="30"/>
      <c r="AF49" s="26"/>
      <c r="AG49" s="26"/>
      <c r="AH49" s="32"/>
      <c r="AJ49" s="8"/>
      <c r="AK49" s="2"/>
      <c r="AL49" s="26"/>
      <c r="AM49" s="26"/>
      <c r="AN49" s="26"/>
      <c r="AO49" s="27"/>
      <c r="AP49" s="30"/>
      <c r="AQ49" s="26"/>
      <c r="AR49" s="26"/>
      <c r="AS49" s="32"/>
      <c r="AT49" s="34"/>
    </row>
    <row r="50" spans="2:46" x14ac:dyDescent="0.3">
      <c r="B50" s="8"/>
      <c r="C50" s="2" t="s">
        <v>727</v>
      </c>
      <c r="D50" s="26">
        <v>0</v>
      </c>
      <c r="E50" s="26">
        <v>0</v>
      </c>
      <c r="F50" s="27">
        <v>0</v>
      </c>
      <c r="G50" s="26">
        <v>0</v>
      </c>
      <c r="H50" s="26">
        <v>0</v>
      </c>
      <c r="I50" s="27">
        <v>0</v>
      </c>
      <c r="J50" s="26">
        <v>0</v>
      </c>
      <c r="K50" s="26">
        <v>0</v>
      </c>
      <c r="L50" s="67">
        <v>1</v>
      </c>
      <c r="N50" s="8"/>
      <c r="O50" s="2" t="s">
        <v>663</v>
      </c>
      <c r="P50" s="26">
        <v>0</v>
      </c>
      <c r="Q50" s="27">
        <v>0</v>
      </c>
      <c r="R50" s="30">
        <v>0</v>
      </c>
      <c r="S50" s="27">
        <v>0</v>
      </c>
      <c r="T50" s="30">
        <v>0</v>
      </c>
      <c r="U50" s="34">
        <v>1</v>
      </c>
      <c r="V50" s="34">
        <v>1</v>
      </c>
      <c r="X50" s="8"/>
      <c r="Y50" s="2"/>
      <c r="Z50" s="26"/>
      <c r="AA50" s="26"/>
      <c r="AB50" s="26"/>
      <c r="AC50" s="26"/>
      <c r="AD50" s="27"/>
      <c r="AE50" s="30"/>
      <c r="AF50" s="26"/>
      <c r="AG50" s="26"/>
      <c r="AH50" s="32"/>
      <c r="AJ50" s="8"/>
      <c r="AK50" s="2"/>
      <c r="AL50" s="26"/>
      <c r="AM50" s="26"/>
      <c r="AN50" s="26"/>
      <c r="AO50" s="27"/>
      <c r="AP50" s="30"/>
      <c r="AQ50" s="26"/>
      <c r="AR50" s="26"/>
      <c r="AS50" s="32"/>
      <c r="AT50" s="34"/>
    </row>
    <row r="51" spans="2:46" x14ac:dyDescent="0.3">
      <c r="B51" s="8"/>
      <c r="C51" s="2" t="s">
        <v>728</v>
      </c>
      <c r="D51" s="26">
        <v>0</v>
      </c>
      <c r="E51" s="26">
        <v>0</v>
      </c>
      <c r="F51" s="27">
        <v>0</v>
      </c>
      <c r="G51" s="26">
        <v>0</v>
      </c>
      <c r="H51" s="26">
        <v>0</v>
      </c>
      <c r="I51" s="27">
        <v>0</v>
      </c>
      <c r="J51" s="26">
        <v>0</v>
      </c>
      <c r="K51" s="26">
        <v>0</v>
      </c>
      <c r="L51" s="67">
        <v>1</v>
      </c>
      <c r="N51" s="8"/>
      <c r="O51" s="2" t="s">
        <v>664</v>
      </c>
      <c r="P51" s="26">
        <v>0</v>
      </c>
      <c r="Q51" s="27">
        <v>0</v>
      </c>
      <c r="R51" s="30">
        <v>0</v>
      </c>
      <c r="S51" s="27">
        <v>0</v>
      </c>
      <c r="T51" s="30">
        <v>0</v>
      </c>
      <c r="U51" s="34">
        <v>1</v>
      </c>
      <c r="V51" s="34">
        <v>1</v>
      </c>
      <c r="X51" s="8"/>
      <c r="Y51" s="2"/>
      <c r="Z51" s="26"/>
      <c r="AA51" s="26"/>
      <c r="AB51" s="26"/>
      <c r="AC51" s="26"/>
      <c r="AD51" s="27"/>
      <c r="AE51" s="30"/>
      <c r="AF51" s="26"/>
      <c r="AG51" s="26"/>
      <c r="AH51" s="32"/>
      <c r="AJ51" s="8"/>
      <c r="AK51" s="2"/>
      <c r="AL51" s="26"/>
      <c r="AM51" s="26"/>
      <c r="AN51" s="26"/>
      <c r="AO51" s="27"/>
      <c r="AP51" s="30"/>
      <c r="AQ51" s="26"/>
      <c r="AR51" s="26"/>
      <c r="AS51" s="32"/>
      <c r="AT51" s="34"/>
    </row>
    <row r="52" spans="2:46" x14ac:dyDescent="0.3">
      <c r="B52" s="8"/>
      <c r="C52" s="2" t="s">
        <v>781</v>
      </c>
      <c r="D52" s="26">
        <v>0</v>
      </c>
      <c r="E52" s="26">
        <v>0</v>
      </c>
      <c r="F52" s="27">
        <v>0</v>
      </c>
      <c r="G52" s="26">
        <v>0</v>
      </c>
      <c r="H52" s="26">
        <v>0</v>
      </c>
      <c r="I52" s="27">
        <v>0</v>
      </c>
      <c r="J52" s="26">
        <v>0</v>
      </c>
      <c r="K52" s="26">
        <v>0</v>
      </c>
      <c r="L52" s="67">
        <v>1</v>
      </c>
      <c r="N52" s="8"/>
      <c r="O52" s="2" t="s">
        <v>824</v>
      </c>
      <c r="P52" s="26">
        <v>0</v>
      </c>
      <c r="Q52" s="27">
        <v>0</v>
      </c>
      <c r="R52" s="30">
        <v>0</v>
      </c>
      <c r="S52" s="27">
        <v>0</v>
      </c>
      <c r="T52" s="30">
        <v>0</v>
      </c>
      <c r="U52" s="34">
        <v>1</v>
      </c>
      <c r="V52" s="34">
        <v>1</v>
      </c>
      <c r="X52" s="8"/>
      <c r="Y52" s="2"/>
      <c r="Z52" s="26"/>
      <c r="AA52" s="26"/>
      <c r="AB52" s="26"/>
      <c r="AC52" s="26"/>
      <c r="AD52" s="27"/>
      <c r="AE52" s="30"/>
      <c r="AF52" s="26"/>
      <c r="AG52" s="26"/>
      <c r="AH52" s="32"/>
      <c r="AJ52" s="8"/>
      <c r="AK52" s="2"/>
      <c r="AL52" s="26"/>
      <c r="AM52" s="26"/>
      <c r="AN52" s="26"/>
      <c r="AO52" s="27"/>
      <c r="AP52" s="30"/>
      <c r="AQ52" s="26"/>
      <c r="AR52" s="26"/>
      <c r="AS52" s="32"/>
      <c r="AT52" s="34"/>
    </row>
    <row r="53" spans="2:46" x14ac:dyDescent="0.3">
      <c r="B53" s="8"/>
      <c r="C53" s="2" t="s">
        <v>729</v>
      </c>
      <c r="D53" s="26">
        <v>0</v>
      </c>
      <c r="E53" s="26">
        <v>0</v>
      </c>
      <c r="F53" s="27">
        <v>0</v>
      </c>
      <c r="G53" s="26">
        <v>0</v>
      </c>
      <c r="H53" s="26">
        <v>0</v>
      </c>
      <c r="I53" s="27">
        <v>0</v>
      </c>
      <c r="J53" s="26">
        <v>0</v>
      </c>
      <c r="K53" s="26">
        <v>0</v>
      </c>
      <c r="L53" s="67">
        <v>1</v>
      </c>
      <c r="N53" s="8"/>
      <c r="O53" s="2" t="s">
        <v>665</v>
      </c>
      <c r="P53" s="26">
        <v>0</v>
      </c>
      <c r="Q53" s="27">
        <v>0</v>
      </c>
      <c r="R53" s="30">
        <v>0</v>
      </c>
      <c r="S53" s="27">
        <v>0</v>
      </c>
      <c r="T53" s="30">
        <v>0</v>
      </c>
      <c r="U53" s="34">
        <v>1</v>
      </c>
      <c r="V53" s="34">
        <v>1</v>
      </c>
      <c r="X53" s="8"/>
      <c r="Y53" s="2"/>
      <c r="Z53" s="26"/>
      <c r="AA53" s="26"/>
      <c r="AB53" s="26"/>
      <c r="AC53" s="26"/>
      <c r="AD53" s="27"/>
      <c r="AE53" s="30"/>
      <c r="AF53" s="26"/>
      <c r="AG53" s="26"/>
      <c r="AH53" s="32"/>
      <c r="AJ53" s="8"/>
      <c r="AK53" s="2"/>
      <c r="AL53" s="26"/>
      <c r="AM53" s="26"/>
      <c r="AN53" s="26"/>
      <c r="AO53" s="27"/>
      <c r="AP53" s="30"/>
      <c r="AQ53" s="26"/>
      <c r="AR53" s="26"/>
      <c r="AS53" s="32"/>
      <c r="AT53" s="34"/>
    </row>
    <row r="54" spans="2:46" x14ac:dyDescent="0.3">
      <c r="B54" s="8"/>
      <c r="C54" s="2" t="s">
        <v>782</v>
      </c>
      <c r="D54" s="26">
        <v>0</v>
      </c>
      <c r="E54" s="26">
        <v>0</v>
      </c>
      <c r="F54" s="27">
        <v>0</v>
      </c>
      <c r="G54" s="26">
        <v>0</v>
      </c>
      <c r="H54" s="26">
        <v>0</v>
      </c>
      <c r="I54" s="27">
        <v>0</v>
      </c>
      <c r="J54" s="26">
        <v>0</v>
      </c>
      <c r="K54" s="26">
        <v>0</v>
      </c>
      <c r="L54" s="67">
        <v>1</v>
      </c>
      <c r="N54" s="8"/>
      <c r="O54" s="2" t="s">
        <v>825</v>
      </c>
      <c r="P54" s="26">
        <v>0</v>
      </c>
      <c r="Q54" s="27">
        <v>0</v>
      </c>
      <c r="R54" s="30">
        <v>0</v>
      </c>
      <c r="S54" s="27">
        <v>0</v>
      </c>
      <c r="T54" s="30">
        <v>0</v>
      </c>
      <c r="U54" s="34">
        <v>1</v>
      </c>
      <c r="V54" s="34">
        <v>1</v>
      </c>
      <c r="X54" s="8"/>
      <c r="Y54" s="2"/>
      <c r="Z54" s="26"/>
      <c r="AA54" s="26"/>
      <c r="AB54" s="26"/>
      <c r="AC54" s="26"/>
      <c r="AD54" s="27"/>
      <c r="AE54" s="30"/>
      <c r="AF54" s="26"/>
      <c r="AG54" s="26"/>
      <c r="AH54" s="32"/>
      <c r="AJ54" s="8"/>
      <c r="AK54" s="2"/>
      <c r="AL54" s="26"/>
      <c r="AM54" s="26"/>
      <c r="AN54" s="26"/>
      <c r="AO54" s="27"/>
      <c r="AP54" s="30"/>
      <c r="AQ54" s="26"/>
      <c r="AR54" s="26"/>
      <c r="AS54" s="32"/>
      <c r="AT54" s="34"/>
    </row>
    <row r="55" spans="2:46" x14ac:dyDescent="0.3">
      <c r="B55" s="8"/>
      <c r="C55" s="2" t="s">
        <v>783</v>
      </c>
      <c r="D55" s="26">
        <v>0</v>
      </c>
      <c r="E55" s="26">
        <v>0</v>
      </c>
      <c r="F55" s="27">
        <v>0</v>
      </c>
      <c r="G55" s="26">
        <v>0</v>
      </c>
      <c r="H55" s="26">
        <v>0</v>
      </c>
      <c r="I55" s="27">
        <v>0</v>
      </c>
      <c r="J55" s="26">
        <v>0</v>
      </c>
      <c r="K55" s="26">
        <v>0</v>
      </c>
      <c r="L55" s="67">
        <v>1</v>
      </c>
      <c r="N55" s="8"/>
      <c r="O55" s="2" t="s">
        <v>826</v>
      </c>
      <c r="P55" s="26">
        <v>0</v>
      </c>
      <c r="Q55" s="27">
        <v>0</v>
      </c>
      <c r="R55" s="30">
        <v>0</v>
      </c>
      <c r="S55" s="27">
        <v>0</v>
      </c>
      <c r="T55" s="30">
        <v>0</v>
      </c>
      <c r="U55" s="34">
        <v>1</v>
      </c>
      <c r="V55" s="34">
        <v>1</v>
      </c>
      <c r="X55" s="8"/>
      <c r="Y55" s="2"/>
      <c r="Z55" s="26"/>
      <c r="AA55" s="26"/>
      <c r="AB55" s="26"/>
      <c r="AC55" s="26"/>
      <c r="AD55" s="27"/>
      <c r="AE55" s="30"/>
      <c r="AF55" s="26"/>
      <c r="AG55" s="26"/>
      <c r="AH55" s="32"/>
      <c r="AJ55" s="8"/>
      <c r="AK55" s="2"/>
      <c r="AL55" s="26"/>
      <c r="AM55" s="26"/>
      <c r="AN55" s="26"/>
      <c r="AO55" s="27"/>
      <c r="AP55" s="30"/>
      <c r="AQ55" s="26"/>
      <c r="AR55" s="26"/>
      <c r="AS55" s="32"/>
      <c r="AT55" s="34"/>
    </row>
    <row r="56" spans="2:46" x14ac:dyDescent="0.3">
      <c r="B56" s="8"/>
      <c r="C56" s="2" t="s">
        <v>784</v>
      </c>
      <c r="D56" s="26">
        <v>0</v>
      </c>
      <c r="E56" s="26">
        <v>0</v>
      </c>
      <c r="F56" s="27">
        <v>0</v>
      </c>
      <c r="G56" s="26">
        <v>0</v>
      </c>
      <c r="H56" s="26">
        <v>0</v>
      </c>
      <c r="I56" s="27">
        <v>0</v>
      </c>
      <c r="J56" s="26">
        <v>0</v>
      </c>
      <c r="K56" s="26">
        <v>0</v>
      </c>
      <c r="L56" s="67">
        <v>1</v>
      </c>
      <c r="N56" s="8"/>
      <c r="O56" s="2" t="s">
        <v>827</v>
      </c>
      <c r="P56" s="26">
        <v>0</v>
      </c>
      <c r="Q56" s="27">
        <v>0</v>
      </c>
      <c r="R56" s="30">
        <v>0</v>
      </c>
      <c r="S56" s="27">
        <v>0</v>
      </c>
      <c r="T56" s="30">
        <v>0</v>
      </c>
      <c r="U56" s="34">
        <v>1</v>
      </c>
      <c r="V56" s="34">
        <v>1</v>
      </c>
      <c r="X56" s="8"/>
      <c r="Y56" s="2"/>
      <c r="Z56" s="26"/>
      <c r="AA56" s="26"/>
      <c r="AB56" s="26"/>
      <c r="AC56" s="26"/>
      <c r="AD56" s="27"/>
      <c r="AE56" s="30"/>
      <c r="AF56" s="26"/>
      <c r="AG56" s="26"/>
      <c r="AH56" s="32"/>
      <c r="AJ56" s="8"/>
      <c r="AK56" s="2"/>
      <c r="AL56" s="26"/>
      <c r="AM56" s="26"/>
      <c r="AN56" s="26"/>
      <c r="AO56" s="27"/>
      <c r="AP56" s="30"/>
      <c r="AQ56" s="26"/>
      <c r="AR56" s="26"/>
      <c r="AS56" s="32"/>
      <c r="AT56" s="34"/>
    </row>
    <row r="57" spans="2:46" x14ac:dyDescent="0.3">
      <c r="B57" s="8"/>
      <c r="C57" s="2" t="s">
        <v>785</v>
      </c>
      <c r="D57" s="26">
        <v>0</v>
      </c>
      <c r="E57" s="26">
        <v>0</v>
      </c>
      <c r="F57" s="27">
        <v>0</v>
      </c>
      <c r="G57" s="26">
        <v>0</v>
      </c>
      <c r="H57" s="26">
        <v>0</v>
      </c>
      <c r="I57" s="27">
        <v>0</v>
      </c>
      <c r="J57" s="26">
        <v>0</v>
      </c>
      <c r="K57" s="26">
        <v>0</v>
      </c>
      <c r="L57" s="67">
        <v>1</v>
      </c>
      <c r="N57" s="8"/>
      <c r="O57" s="2" t="s">
        <v>828</v>
      </c>
      <c r="P57" s="26">
        <v>0</v>
      </c>
      <c r="Q57" s="27">
        <v>0</v>
      </c>
      <c r="R57" s="30">
        <v>0</v>
      </c>
      <c r="S57" s="27">
        <v>0</v>
      </c>
      <c r="T57" s="30">
        <v>0</v>
      </c>
      <c r="U57" s="34">
        <v>1</v>
      </c>
      <c r="V57" s="34">
        <v>1</v>
      </c>
      <c r="X57" s="8"/>
      <c r="Y57" s="2"/>
      <c r="Z57" s="26"/>
      <c r="AA57" s="26"/>
      <c r="AB57" s="26"/>
      <c r="AC57" s="26"/>
      <c r="AD57" s="27"/>
      <c r="AE57" s="30"/>
      <c r="AF57" s="26"/>
      <c r="AG57" s="26"/>
      <c r="AH57" s="32"/>
      <c r="AJ57" s="8"/>
      <c r="AK57" s="2"/>
      <c r="AL57" s="26"/>
      <c r="AM57" s="26"/>
      <c r="AN57" s="26"/>
      <c r="AO57" s="27"/>
      <c r="AP57" s="30"/>
      <c r="AQ57" s="26"/>
      <c r="AR57" s="26"/>
      <c r="AS57" s="32"/>
      <c r="AT57" s="34"/>
    </row>
    <row r="58" spans="2:46" x14ac:dyDescent="0.3">
      <c r="B58" s="8"/>
      <c r="C58" s="2" t="s">
        <v>786</v>
      </c>
      <c r="D58" s="26">
        <v>0</v>
      </c>
      <c r="E58" s="26">
        <v>0</v>
      </c>
      <c r="F58" s="27">
        <v>0</v>
      </c>
      <c r="G58" s="26">
        <v>0</v>
      </c>
      <c r="H58" s="26">
        <v>0</v>
      </c>
      <c r="I58" s="27">
        <v>0</v>
      </c>
      <c r="J58" s="26">
        <v>0</v>
      </c>
      <c r="K58" s="26">
        <v>0</v>
      </c>
      <c r="L58" s="67">
        <v>1</v>
      </c>
      <c r="N58" s="8"/>
      <c r="O58" s="2" t="s">
        <v>829</v>
      </c>
      <c r="P58" s="26">
        <v>0</v>
      </c>
      <c r="Q58" s="27">
        <v>0</v>
      </c>
      <c r="R58" s="30">
        <v>0</v>
      </c>
      <c r="S58" s="27">
        <v>0</v>
      </c>
      <c r="T58" s="30">
        <v>0</v>
      </c>
      <c r="U58" s="34">
        <v>1</v>
      </c>
      <c r="V58" s="34">
        <v>1</v>
      </c>
      <c r="X58" s="8"/>
      <c r="Y58" s="2"/>
      <c r="Z58" s="26"/>
      <c r="AA58" s="26"/>
      <c r="AB58" s="26"/>
      <c r="AC58" s="26"/>
      <c r="AD58" s="27"/>
      <c r="AE58" s="30"/>
      <c r="AF58" s="26"/>
      <c r="AG58" s="26"/>
      <c r="AH58" s="32"/>
      <c r="AJ58" s="8"/>
      <c r="AK58" s="2"/>
      <c r="AL58" s="26"/>
      <c r="AM58" s="26"/>
      <c r="AN58" s="26"/>
      <c r="AO58" s="27"/>
      <c r="AP58" s="30"/>
      <c r="AQ58" s="26"/>
      <c r="AR58" s="26"/>
      <c r="AS58" s="32"/>
      <c r="AT58" s="34"/>
    </row>
    <row r="59" spans="2:46" x14ac:dyDescent="0.3">
      <c r="B59" s="8"/>
      <c r="C59" s="2" t="s">
        <v>787</v>
      </c>
      <c r="D59" s="26">
        <v>0</v>
      </c>
      <c r="E59" s="26">
        <v>0</v>
      </c>
      <c r="F59" s="27">
        <v>0</v>
      </c>
      <c r="G59" s="26">
        <v>0</v>
      </c>
      <c r="H59" s="26">
        <v>0</v>
      </c>
      <c r="I59" s="27">
        <v>0</v>
      </c>
      <c r="J59" s="26">
        <v>0</v>
      </c>
      <c r="K59" s="26">
        <v>0</v>
      </c>
      <c r="L59" s="67">
        <v>1</v>
      </c>
      <c r="N59" s="8"/>
      <c r="O59" s="2" t="s">
        <v>830</v>
      </c>
      <c r="P59" s="26">
        <v>0</v>
      </c>
      <c r="Q59" s="27">
        <v>0</v>
      </c>
      <c r="R59" s="30">
        <v>0</v>
      </c>
      <c r="S59" s="27">
        <v>0</v>
      </c>
      <c r="T59" s="30">
        <v>0</v>
      </c>
      <c r="U59" s="34">
        <v>1</v>
      </c>
      <c r="V59" s="34">
        <v>1</v>
      </c>
      <c r="X59" s="8"/>
      <c r="Y59" s="2"/>
      <c r="Z59" s="26"/>
      <c r="AA59" s="26"/>
      <c r="AB59" s="26"/>
      <c r="AC59" s="26"/>
      <c r="AD59" s="27"/>
      <c r="AE59" s="30"/>
      <c r="AF59" s="26"/>
      <c r="AG59" s="26"/>
      <c r="AH59" s="32"/>
      <c r="AJ59" s="8"/>
      <c r="AK59" s="2"/>
      <c r="AL59" s="26"/>
      <c r="AM59" s="26"/>
      <c r="AN59" s="26"/>
      <c r="AO59" s="27"/>
      <c r="AP59" s="30"/>
      <c r="AQ59" s="26"/>
      <c r="AR59" s="26"/>
      <c r="AS59" s="32"/>
      <c r="AT59" s="34"/>
    </row>
    <row r="60" spans="2:46" x14ac:dyDescent="0.3">
      <c r="B60" s="8"/>
      <c r="C60" s="2" t="s">
        <v>788</v>
      </c>
      <c r="D60" s="26">
        <v>0</v>
      </c>
      <c r="E60" s="26">
        <v>0</v>
      </c>
      <c r="F60" s="27">
        <v>0</v>
      </c>
      <c r="G60" s="26">
        <v>0</v>
      </c>
      <c r="H60" s="26">
        <v>0</v>
      </c>
      <c r="I60" s="27">
        <v>0</v>
      </c>
      <c r="J60" s="26">
        <v>0</v>
      </c>
      <c r="K60" s="26">
        <v>0</v>
      </c>
      <c r="L60" s="67">
        <v>1</v>
      </c>
      <c r="N60" s="8"/>
      <c r="O60" s="2" t="s">
        <v>831</v>
      </c>
      <c r="P60" s="26">
        <v>0</v>
      </c>
      <c r="Q60" s="27">
        <v>0</v>
      </c>
      <c r="R60" s="30">
        <v>0</v>
      </c>
      <c r="S60" s="27">
        <v>0</v>
      </c>
      <c r="T60" s="30">
        <v>0</v>
      </c>
      <c r="U60" s="34">
        <v>1</v>
      </c>
      <c r="V60" s="34">
        <v>1</v>
      </c>
      <c r="X60" s="8"/>
      <c r="Y60" s="2"/>
      <c r="Z60" s="26"/>
      <c r="AA60" s="26"/>
      <c r="AB60" s="26"/>
      <c r="AC60" s="26"/>
      <c r="AD60" s="27"/>
      <c r="AE60" s="30"/>
      <c r="AF60" s="26"/>
      <c r="AG60" s="26"/>
      <c r="AH60" s="32"/>
      <c r="AJ60" s="8"/>
      <c r="AK60" s="2"/>
      <c r="AL60" s="26"/>
      <c r="AM60" s="26"/>
      <c r="AN60" s="26"/>
      <c r="AO60" s="27"/>
      <c r="AP60" s="30"/>
      <c r="AQ60" s="26"/>
      <c r="AR60" s="26"/>
      <c r="AS60" s="32"/>
      <c r="AT60" s="34"/>
    </row>
    <row r="61" spans="2:46" x14ac:dyDescent="0.3">
      <c r="B61" s="8"/>
      <c r="C61" s="2" t="s">
        <v>789</v>
      </c>
      <c r="D61" s="26">
        <v>0</v>
      </c>
      <c r="E61" s="26">
        <v>0</v>
      </c>
      <c r="F61" s="27">
        <v>0</v>
      </c>
      <c r="G61" s="26">
        <v>0</v>
      </c>
      <c r="H61" s="26">
        <v>0</v>
      </c>
      <c r="I61" s="27">
        <v>0</v>
      </c>
      <c r="J61" s="26">
        <v>0</v>
      </c>
      <c r="K61" s="26">
        <v>0</v>
      </c>
      <c r="L61" s="67">
        <v>1</v>
      </c>
      <c r="N61" s="8"/>
      <c r="O61" s="2" t="s">
        <v>832</v>
      </c>
      <c r="P61" s="26">
        <v>0</v>
      </c>
      <c r="Q61" s="27">
        <v>0</v>
      </c>
      <c r="R61" s="30">
        <v>0</v>
      </c>
      <c r="S61" s="27">
        <v>0</v>
      </c>
      <c r="T61" s="30">
        <v>0</v>
      </c>
      <c r="U61" s="34">
        <v>1</v>
      </c>
      <c r="V61" s="34">
        <v>1</v>
      </c>
      <c r="X61" s="8"/>
      <c r="Y61" s="2"/>
      <c r="Z61" s="26"/>
      <c r="AA61" s="26"/>
      <c r="AB61" s="26"/>
      <c r="AC61" s="26"/>
      <c r="AD61" s="27"/>
      <c r="AE61" s="30"/>
      <c r="AF61" s="26"/>
      <c r="AG61" s="26"/>
      <c r="AH61" s="32"/>
      <c r="AJ61" s="8"/>
      <c r="AK61" s="2"/>
      <c r="AL61" s="26"/>
      <c r="AM61" s="26"/>
      <c r="AN61" s="26"/>
      <c r="AO61" s="27"/>
      <c r="AP61" s="30"/>
      <c r="AQ61" s="26"/>
      <c r="AR61" s="26"/>
      <c r="AS61" s="32"/>
      <c r="AT61" s="34"/>
    </row>
    <row r="62" spans="2:46" x14ac:dyDescent="0.3">
      <c r="B62" s="8"/>
      <c r="C62" s="2" t="s">
        <v>790</v>
      </c>
      <c r="D62" s="26">
        <v>0</v>
      </c>
      <c r="E62" s="26">
        <v>0</v>
      </c>
      <c r="F62" s="27">
        <v>0</v>
      </c>
      <c r="G62" s="26">
        <v>0</v>
      </c>
      <c r="H62" s="26">
        <v>0</v>
      </c>
      <c r="I62" s="27">
        <v>0</v>
      </c>
      <c r="J62" s="26">
        <v>0</v>
      </c>
      <c r="K62" s="26">
        <v>0</v>
      </c>
      <c r="L62" s="67">
        <v>1</v>
      </c>
      <c r="N62" s="8"/>
      <c r="O62" s="2" t="s">
        <v>833</v>
      </c>
      <c r="P62" s="26">
        <v>0</v>
      </c>
      <c r="Q62" s="27">
        <v>0</v>
      </c>
      <c r="R62" s="30">
        <v>0</v>
      </c>
      <c r="S62" s="27">
        <v>0</v>
      </c>
      <c r="T62" s="30">
        <v>0</v>
      </c>
      <c r="U62" s="34">
        <v>1</v>
      </c>
      <c r="V62" s="34">
        <v>1</v>
      </c>
      <c r="X62" s="8"/>
      <c r="Y62" s="2"/>
      <c r="Z62" s="26"/>
      <c r="AA62" s="26"/>
      <c r="AB62" s="26"/>
      <c r="AC62" s="26"/>
      <c r="AD62" s="27"/>
      <c r="AE62" s="30"/>
      <c r="AF62" s="26"/>
      <c r="AG62" s="26"/>
      <c r="AH62" s="32"/>
      <c r="AJ62" s="8"/>
      <c r="AK62" s="2"/>
      <c r="AL62" s="26"/>
      <c r="AM62" s="26"/>
      <c r="AN62" s="26"/>
      <c r="AO62" s="27"/>
      <c r="AP62" s="30"/>
      <c r="AQ62" s="26"/>
      <c r="AR62" s="26"/>
      <c r="AS62" s="32"/>
      <c r="AT62" s="34"/>
    </row>
    <row r="63" spans="2:46" x14ac:dyDescent="0.3">
      <c r="B63" s="8"/>
      <c r="C63" s="2" t="s">
        <v>791</v>
      </c>
      <c r="D63" s="26">
        <v>0</v>
      </c>
      <c r="E63" s="26">
        <v>0</v>
      </c>
      <c r="F63" s="27">
        <v>0</v>
      </c>
      <c r="G63" s="26">
        <v>0</v>
      </c>
      <c r="H63" s="26">
        <v>0</v>
      </c>
      <c r="I63" s="27">
        <v>0</v>
      </c>
      <c r="J63" s="26">
        <v>0</v>
      </c>
      <c r="K63" s="26">
        <v>0</v>
      </c>
      <c r="L63" s="67">
        <v>1</v>
      </c>
      <c r="N63" s="8"/>
      <c r="O63" s="2" t="s">
        <v>834</v>
      </c>
      <c r="P63" s="26">
        <v>0</v>
      </c>
      <c r="Q63" s="27">
        <v>0</v>
      </c>
      <c r="R63" s="30">
        <v>0</v>
      </c>
      <c r="S63" s="27">
        <v>0</v>
      </c>
      <c r="T63" s="30">
        <v>0</v>
      </c>
      <c r="U63" s="34">
        <v>1</v>
      </c>
      <c r="V63" s="34">
        <v>1</v>
      </c>
      <c r="X63" s="8"/>
      <c r="Y63" s="2"/>
      <c r="Z63" s="26"/>
      <c r="AA63" s="26"/>
      <c r="AB63" s="26"/>
      <c r="AC63" s="26"/>
      <c r="AD63" s="27"/>
      <c r="AE63" s="30"/>
      <c r="AF63" s="26"/>
      <c r="AG63" s="26"/>
      <c r="AH63" s="32"/>
      <c r="AJ63" s="8"/>
      <c r="AK63" s="2"/>
      <c r="AL63" s="26"/>
      <c r="AM63" s="26"/>
      <c r="AN63" s="26"/>
      <c r="AO63" s="27"/>
      <c r="AP63" s="30"/>
      <c r="AQ63" s="26"/>
      <c r="AR63" s="26"/>
      <c r="AS63" s="32"/>
      <c r="AT63" s="34"/>
    </row>
    <row r="64" spans="2:46" x14ac:dyDescent="0.3">
      <c r="B64" s="8"/>
      <c r="C64" s="2" t="s">
        <v>792</v>
      </c>
      <c r="D64" s="26">
        <v>0</v>
      </c>
      <c r="E64" s="26">
        <v>0</v>
      </c>
      <c r="F64" s="27">
        <v>0</v>
      </c>
      <c r="G64" s="26">
        <v>0</v>
      </c>
      <c r="H64" s="26">
        <v>0</v>
      </c>
      <c r="I64" s="27">
        <v>0</v>
      </c>
      <c r="J64" s="26">
        <v>0</v>
      </c>
      <c r="K64" s="26">
        <v>0</v>
      </c>
      <c r="L64" s="67">
        <v>1</v>
      </c>
      <c r="N64" s="8"/>
      <c r="O64" s="2" t="s">
        <v>835</v>
      </c>
      <c r="P64" s="26">
        <v>0</v>
      </c>
      <c r="Q64" s="27">
        <v>0</v>
      </c>
      <c r="R64" s="30">
        <v>0</v>
      </c>
      <c r="S64" s="27">
        <v>0</v>
      </c>
      <c r="T64" s="30">
        <v>0</v>
      </c>
      <c r="U64" s="34">
        <v>1</v>
      </c>
      <c r="V64" s="34">
        <v>1</v>
      </c>
      <c r="X64" s="8"/>
      <c r="Y64" s="2"/>
      <c r="Z64" s="26"/>
      <c r="AA64" s="26"/>
      <c r="AB64" s="26"/>
      <c r="AC64" s="26"/>
      <c r="AD64" s="27"/>
      <c r="AE64" s="30"/>
      <c r="AF64" s="26"/>
      <c r="AG64" s="26"/>
      <c r="AH64" s="32"/>
      <c r="AJ64" s="8"/>
      <c r="AK64" s="2"/>
      <c r="AL64" s="26"/>
      <c r="AM64" s="26"/>
      <c r="AN64" s="26"/>
      <c r="AO64" s="27"/>
      <c r="AP64" s="30"/>
      <c r="AQ64" s="26"/>
      <c r="AR64" s="26"/>
      <c r="AS64" s="32"/>
      <c r="AT64" s="34"/>
    </row>
    <row r="65" spans="2:46" x14ac:dyDescent="0.3">
      <c r="B65" s="8"/>
      <c r="C65" s="2" t="s">
        <v>793</v>
      </c>
      <c r="D65" s="26">
        <v>0</v>
      </c>
      <c r="E65" s="26">
        <v>0</v>
      </c>
      <c r="F65" s="27">
        <v>0</v>
      </c>
      <c r="G65" s="26">
        <v>0</v>
      </c>
      <c r="H65" s="26">
        <v>0</v>
      </c>
      <c r="I65" s="27">
        <v>0</v>
      </c>
      <c r="J65" s="26">
        <v>0</v>
      </c>
      <c r="K65" s="26">
        <v>0</v>
      </c>
      <c r="L65" s="67">
        <v>1</v>
      </c>
      <c r="N65" s="8"/>
      <c r="O65" s="2" t="s">
        <v>836</v>
      </c>
      <c r="P65" s="26">
        <v>0</v>
      </c>
      <c r="Q65" s="27">
        <v>0</v>
      </c>
      <c r="R65" s="30">
        <v>0</v>
      </c>
      <c r="S65" s="27">
        <v>0</v>
      </c>
      <c r="T65" s="30">
        <v>0</v>
      </c>
      <c r="U65" s="34">
        <v>1</v>
      </c>
      <c r="V65" s="34">
        <v>1</v>
      </c>
      <c r="X65" s="8"/>
      <c r="Y65" s="2"/>
      <c r="Z65" s="26"/>
      <c r="AA65" s="26"/>
      <c r="AB65" s="26"/>
      <c r="AC65" s="26"/>
      <c r="AD65" s="27"/>
      <c r="AE65" s="30"/>
      <c r="AF65" s="26"/>
      <c r="AG65" s="26"/>
      <c r="AH65" s="32"/>
      <c r="AJ65" s="8"/>
      <c r="AK65" s="2"/>
      <c r="AL65" s="26"/>
      <c r="AM65" s="26"/>
      <c r="AN65" s="26"/>
      <c r="AO65" s="27"/>
      <c r="AP65" s="30"/>
      <c r="AQ65" s="26"/>
      <c r="AR65" s="26"/>
      <c r="AS65" s="32"/>
      <c r="AT65" s="34"/>
    </row>
    <row r="66" spans="2:46" x14ac:dyDescent="0.3">
      <c r="B66" s="8"/>
      <c r="C66" s="2" t="s">
        <v>980</v>
      </c>
      <c r="D66" s="26">
        <v>0</v>
      </c>
      <c r="E66" s="26">
        <v>0</v>
      </c>
      <c r="F66" s="27">
        <v>0</v>
      </c>
      <c r="G66" s="26">
        <v>0</v>
      </c>
      <c r="H66" s="26">
        <v>0</v>
      </c>
      <c r="I66" s="27">
        <v>0</v>
      </c>
      <c r="J66" s="26">
        <v>0</v>
      </c>
      <c r="K66" s="26">
        <v>0</v>
      </c>
      <c r="L66" s="67">
        <v>1</v>
      </c>
      <c r="N66" s="8"/>
      <c r="O66" s="2" t="s">
        <v>950</v>
      </c>
      <c r="P66" s="26">
        <v>0</v>
      </c>
      <c r="Q66" s="27">
        <v>0</v>
      </c>
      <c r="R66" s="30">
        <v>0</v>
      </c>
      <c r="S66" s="27">
        <v>0</v>
      </c>
      <c r="T66" s="30">
        <v>0</v>
      </c>
      <c r="U66" s="34">
        <v>1</v>
      </c>
      <c r="V66" s="34">
        <v>1</v>
      </c>
      <c r="X66" s="8"/>
      <c r="Y66" s="2"/>
      <c r="Z66" s="26"/>
      <c r="AA66" s="26"/>
      <c r="AB66" s="26"/>
      <c r="AC66" s="26"/>
      <c r="AD66" s="27"/>
      <c r="AE66" s="30"/>
      <c r="AF66" s="26"/>
      <c r="AG66" s="26"/>
      <c r="AH66" s="32"/>
      <c r="AJ66" s="8"/>
      <c r="AK66" s="2"/>
      <c r="AL66" s="26"/>
      <c r="AM66" s="26"/>
      <c r="AN66" s="26"/>
      <c r="AO66" s="27"/>
      <c r="AP66" s="30"/>
      <c r="AQ66" s="26"/>
      <c r="AR66" s="26"/>
      <c r="AS66" s="32"/>
      <c r="AT66" s="34"/>
    </row>
    <row r="67" spans="2:46" x14ac:dyDescent="0.3">
      <c r="B67" s="8"/>
      <c r="C67" s="2" t="s">
        <v>981</v>
      </c>
      <c r="D67" s="26">
        <v>0</v>
      </c>
      <c r="E67" s="26">
        <v>0</v>
      </c>
      <c r="F67" s="27">
        <v>0</v>
      </c>
      <c r="G67" s="26">
        <v>0</v>
      </c>
      <c r="H67" s="26">
        <v>0</v>
      </c>
      <c r="I67" s="27">
        <v>0</v>
      </c>
      <c r="J67" s="26">
        <v>0</v>
      </c>
      <c r="K67" s="26">
        <v>0</v>
      </c>
      <c r="L67" s="67">
        <v>1</v>
      </c>
      <c r="N67" s="8"/>
      <c r="O67" s="2" t="s">
        <v>951</v>
      </c>
      <c r="P67" s="26">
        <v>0</v>
      </c>
      <c r="Q67" s="27">
        <v>0</v>
      </c>
      <c r="R67" s="30">
        <v>0</v>
      </c>
      <c r="S67" s="27">
        <v>0</v>
      </c>
      <c r="T67" s="30">
        <v>0</v>
      </c>
      <c r="U67" s="34">
        <v>1</v>
      </c>
      <c r="V67" s="34">
        <v>1</v>
      </c>
      <c r="X67" s="8"/>
      <c r="Y67" s="2"/>
      <c r="Z67" s="26"/>
      <c r="AA67" s="26"/>
      <c r="AB67" s="26"/>
      <c r="AC67" s="26"/>
      <c r="AD67" s="27"/>
      <c r="AE67" s="30"/>
      <c r="AF67" s="26"/>
      <c r="AG67" s="26"/>
      <c r="AH67" s="32"/>
      <c r="AJ67" s="8"/>
      <c r="AK67" s="2"/>
      <c r="AL67" s="26"/>
      <c r="AM67" s="26"/>
      <c r="AN67" s="26"/>
      <c r="AO67" s="27"/>
      <c r="AP67" s="30"/>
      <c r="AQ67" s="26"/>
      <c r="AR67" s="26"/>
      <c r="AS67" s="32"/>
      <c r="AT67" s="34"/>
    </row>
    <row r="68" spans="2:46" x14ac:dyDescent="0.3">
      <c r="B68" s="8"/>
      <c r="C68" s="2" t="s">
        <v>794</v>
      </c>
      <c r="D68" s="26">
        <v>0</v>
      </c>
      <c r="E68" s="26">
        <v>0</v>
      </c>
      <c r="F68" s="27">
        <v>0</v>
      </c>
      <c r="G68" s="26">
        <v>0</v>
      </c>
      <c r="H68" s="26">
        <v>0</v>
      </c>
      <c r="I68" s="27">
        <v>0</v>
      </c>
      <c r="J68" s="26">
        <v>0</v>
      </c>
      <c r="K68" s="26">
        <v>0</v>
      </c>
      <c r="L68" s="67">
        <v>1</v>
      </c>
      <c r="N68" s="8"/>
      <c r="O68" s="2" t="s">
        <v>837</v>
      </c>
      <c r="P68" s="26">
        <v>0</v>
      </c>
      <c r="Q68" s="27">
        <v>0</v>
      </c>
      <c r="R68" s="30">
        <v>0</v>
      </c>
      <c r="S68" s="27">
        <v>0</v>
      </c>
      <c r="T68" s="30">
        <v>0</v>
      </c>
      <c r="U68" s="34">
        <v>1</v>
      </c>
      <c r="V68" s="34">
        <v>1</v>
      </c>
      <c r="X68" s="8"/>
      <c r="Y68" s="2"/>
      <c r="Z68" s="26"/>
      <c r="AA68" s="26"/>
      <c r="AB68" s="26"/>
      <c r="AC68" s="26"/>
      <c r="AD68" s="27"/>
      <c r="AE68" s="30"/>
      <c r="AF68" s="26"/>
      <c r="AG68" s="26"/>
      <c r="AH68" s="32"/>
      <c r="AJ68" s="8"/>
      <c r="AK68" s="2"/>
      <c r="AL68" s="26"/>
      <c r="AM68" s="26"/>
      <c r="AN68" s="26"/>
      <c r="AO68" s="27"/>
      <c r="AP68" s="30"/>
      <c r="AQ68" s="26"/>
      <c r="AR68" s="26"/>
      <c r="AS68" s="32"/>
      <c r="AT68" s="34"/>
    </row>
    <row r="69" spans="2:46" x14ac:dyDescent="0.3">
      <c r="B69" s="8"/>
      <c r="C69" s="2" t="s">
        <v>795</v>
      </c>
      <c r="D69" s="26">
        <v>0</v>
      </c>
      <c r="E69" s="26">
        <v>0</v>
      </c>
      <c r="F69" s="27">
        <v>0</v>
      </c>
      <c r="G69" s="26">
        <v>0</v>
      </c>
      <c r="H69" s="26">
        <v>0</v>
      </c>
      <c r="I69" s="27">
        <v>0</v>
      </c>
      <c r="J69" s="26">
        <v>0</v>
      </c>
      <c r="K69" s="26">
        <v>0</v>
      </c>
      <c r="L69" s="67">
        <v>1</v>
      </c>
      <c r="N69" s="8"/>
      <c r="O69" s="2" t="s">
        <v>838</v>
      </c>
      <c r="P69" s="26">
        <v>0</v>
      </c>
      <c r="Q69" s="27">
        <v>0</v>
      </c>
      <c r="R69" s="30">
        <v>0</v>
      </c>
      <c r="S69" s="27">
        <v>0</v>
      </c>
      <c r="T69" s="30">
        <v>0</v>
      </c>
      <c r="U69" s="34">
        <v>1</v>
      </c>
      <c r="V69" s="34">
        <v>1</v>
      </c>
      <c r="X69" s="8"/>
      <c r="Y69" s="2"/>
      <c r="Z69" s="26"/>
      <c r="AA69" s="26"/>
      <c r="AB69" s="26"/>
      <c r="AC69" s="26"/>
      <c r="AD69" s="27"/>
      <c r="AE69" s="30"/>
      <c r="AF69" s="26"/>
      <c r="AG69" s="26"/>
      <c r="AH69" s="32"/>
      <c r="AJ69" s="8"/>
      <c r="AK69" s="2"/>
      <c r="AL69" s="26"/>
      <c r="AM69" s="26"/>
      <c r="AN69" s="26"/>
      <c r="AO69" s="27"/>
      <c r="AP69" s="30"/>
      <c r="AQ69" s="26"/>
      <c r="AR69" s="26"/>
      <c r="AS69" s="32"/>
      <c r="AT69" s="34"/>
    </row>
    <row r="70" spans="2:46" x14ac:dyDescent="0.3">
      <c r="B70" s="8"/>
      <c r="C70" s="2" t="s">
        <v>796</v>
      </c>
      <c r="D70" s="26">
        <v>0</v>
      </c>
      <c r="E70" s="26">
        <v>0</v>
      </c>
      <c r="F70" s="27">
        <v>0</v>
      </c>
      <c r="G70" s="26">
        <v>0</v>
      </c>
      <c r="H70" s="26">
        <v>0</v>
      </c>
      <c r="I70" s="27">
        <v>0</v>
      </c>
      <c r="J70" s="26">
        <v>0</v>
      </c>
      <c r="K70" s="26">
        <v>0</v>
      </c>
      <c r="L70" s="67">
        <v>1</v>
      </c>
      <c r="N70" s="8"/>
      <c r="O70" s="2" t="s">
        <v>839</v>
      </c>
      <c r="P70" s="26">
        <v>0</v>
      </c>
      <c r="Q70" s="27">
        <v>0</v>
      </c>
      <c r="R70" s="30">
        <v>0</v>
      </c>
      <c r="S70" s="27">
        <v>0</v>
      </c>
      <c r="T70" s="30">
        <v>0</v>
      </c>
      <c r="U70" s="34">
        <v>1</v>
      </c>
      <c r="V70" s="34">
        <v>1</v>
      </c>
      <c r="X70" s="8"/>
      <c r="Y70" s="2"/>
      <c r="Z70" s="26"/>
      <c r="AA70" s="26"/>
      <c r="AB70" s="26"/>
      <c r="AC70" s="26"/>
      <c r="AD70" s="27"/>
      <c r="AE70" s="30"/>
      <c r="AF70" s="26"/>
      <c r="AG70" s="26"/>
      <c r="AH70" s="32"/>
      <c r="AJ70" s="8"/>
      <c r="AK70" s="2"/>
      <c r="AL70" s="26"/>
      <c r="AM70" s="26"/>
      <c r="AN70" s="26"/>
      <c r="AO70" s="27"/>
      <c r="AP70" s="30"/>
      <c r="AQ70" s="26"/>
      <c r="AR70" s="26"/>
      <c r="AS70" s="32"/>
      <c r="AT70" s="34"/>
    </row>
    <row r="71" spans="2:46" x14ac:dyDescent="0.3">
      <c r="B71" s="8"/>
      <c r="C71" s="2" t="s">
        <v>797</v>
      </c>
      <c r="D71" s="26">
        <v>0</v>
      </c>
      <c r="E71" s="26">
        <v>0</v>
      </c>
      <c r="F71" s="27">
        <v>0</v>
      </c>
      <c r="G71" s="26">
        <v>0</v>
      </c>
      <c r="H71" s="26">
        <v>0</v>
      </c>
      <c r="I71" s="27">
        <v>0</v>
      </c>
      <c r="J71" s="26">
        <v>0</v>
      </c>
      <c r="K71" s="26">
        <v>0</v>
      </c>
      <c r="L71" s="67">
        <v>1</v>
      </c>
      <c r="N71" s="8"/>
      <c r="O71" s="2" t="s">
        <v>840</v>
      </c>
      <c r="P71" s="26">
        <v>0</v>
      </c>
      <c r="Q71" s="27">
        <v>0</v>
      </c>
      <c r="R71" s="30">
        <v>0</v>
      </c>
      <c r="S71" s="27">
        <v>0</v>
      </c>
      <c r="T71" s="30">
        <v>0</v>
      </c>
      <c r="U71" s="34">
        <v>1</v>
      </c>
      <c r="V71" s="34">
        <v>1</v>
      </c>
      <c r="X71" s="8"/>
      <c r="Y71" s="2"/>
      <c r="Z71" s="26"/>
      <c r="AA71" s="26"/>
      <c r="AB71" s="26"/>
      <c r="AC71" s="26"/>
      <c r="AD71" s="27"/>
      <c r="AE71" s="30"/>
      <c r="AF71" s="26"/>
      <c r="AG71" s="26"/>
      <c r="AH71" s="32"/>
      <c r="AJ71" s="8"/>
      <c r="AK71" s="2"/>
      <c r="AL71" s="26"/>
      <c r="AM71" s="26"/>
      <c r="AN71" s="26"/>
      <c r="AO71" s="27"/>
      <c r="AP71" s="30"/>
      <c r="AQ71" s="26"/>
      <c r="AR71" s="26"/>
      <c r="AS71" s="32"/>
      <c r="AT71" s="34"/>
    </row>
    <row r="72" spans="2:46" x14ac:dyDescent="0.3">
      <c r="B72" s="8"/>
      <c r="C72" s="2" t="s">
        <v>798</v>
      </c>
      <c r="D72" s="26">
        <v>0</v>
      </c>
      <c r="E72" s="26">
        <v>0</v>
      </c>
      <c r="F72" s="27">
        <v>0</v>
      </c>
      <c r="G72" s="26">
        <v>0</v>
      </c>
      <c r="H72" s="26">
        <v>0</v>
      </c>
      <c r="I72" s="27">
        <v>0</v>
      </c>
      <c r="J72" s="26">
        <v>0</v>
      </c>
      <c r="K72" s="26">
        <v>0</v>
      </c>
      <c r="L72" s="67">
        <v>1</v>
      </c>
      <c r="N72" s="8"/>
      <c r="O72" s="2" t="s">
        <v>841</v>
      </c>
      <c r="P72" s="26">
        <v>0</v>
      </c>
      <c r="Q72" s="27">
        <v>0</v>
      </c>
      <c r="R72" s="30">
        <v>0</v>
      </c>
      <c r="S72" s="27">
        <v>0</v>
      </c>
      <c r="T72" s="30">
        <v>0</v>
      </c>
      <c r="U72" s="34">
        <v>1</v>
      </c>
      <c r="V72" s="34">
        <v>1</v>
      </c>
      <c r="X72" s="8"/>
      <c r="Y72" s="2"/>
      <c r="Z72" s="26"/>
      <c r="AA72" s="26"/>
      <c r="AB72" s="26"/>
      <c r="AC72" s="26"/>
      <c r="AD72" s="27"/>
      <c r="AE72" s="30"/>
      <c r="AF72" s="26"/>
      <c r="AG72" s="26"/>
      <c r="AH72" s="32"/>
      <c r="AJ72" s="8"/>
      <c r="AK72" s="2"/>
      <c r="AL72" s="26"/>
      <c r="AM72" s="26"/>
      <c r="AN72" s="26"/>
      <c r="AO72" s="27"/>
      <c r="AP72" s="30"/>
      <c r="AQ72" s="26"/>
      <c r="AR72" s="26"/>
      <c r="AS72" s="32"/>
      <c r="AT72" s="34"/>
    </row>
    <row r="73" spans="2:46" x14ac:dyDescent="0.3">
      <c r="B73" s="8"/>
      <c r="C73" s="2" t="s">
        <v>730</v>
      </c>
      <c r="D73" s="26">
        <v>0</v>
      </c>
      <c r="E73" s="26">
        <v>0</v>
      </c>
      <c r="F73" s="27">
        <v>0</v>
      </c>
      <c r="G73" s="26">
        <v>0</v>
      </c>
      <c r="H73" s="26">
        <v>0</v>
      </c>
      <c r="I73" s="27">
        <v>0</v>
      </c>
      <c r="J73" s="26">
        <v>0</v>
      </c>
      <c r="K73" s="26">
        <v>0</v>
      </c>
      <c r="L73" s="67">
        <v>1</v>
      </c>
      <c r="N73" s="8"/>
      <c r="O73" s="2" t="s">
        <v>666</v>
      </c>
      <c r="P73" s="26">
        <v>0</v>
      </c>
      <c r="Q73" s="27">
        <v>0</v>
      </c>
      <c r="R73" s="30">
        <v>0</v>
      </c>
      <c r="S73" s="27">
        <v>0</v>
      </c>
      <c r="T73" s="30">
        <v>0</v>
      </c>
      <c r="U73" s="34">
        <v>1</v>
      </c>
      <c r="V73" s="34">
        <v>1</v>
      </c>
      <c r="X73" s="8"/>
      <c r="Y73" s="2"/>
      <c r="Z73" s="26"/>
      <c r="AA73" s="26"/>
      <c r="AB73" s="26"/>
      <c r="AC73" s="26"/>
      <c r="AD73" s="27"/>
      <c r="AE73" s="30"/>
      <c r="AF73" s="26"/>
      <c r="AG73" s="26"/>
      <c r="AH73" s="32"/>
      <c r="AJ73" s="8"/>
      <c r="AK73" s="2"/>
      <c r="AL73" s="26"/>
      <c r="AM73" s="26"/>
      <c r="AN73" s="26"/>
      <c r="AO73" s="27"/>
      <c r="AP73" s="30"/>
      <c r="AQ73" s="26"/>
      <c r="AR73" s="26"/>
      <c r="AS73" s="32"/>
      <c r="AT73" s="34"/>
    </row>
    <row r="74" spans="2:46" x14ac:dyDescent="0.3">
      <c r="B74" s="8"/>
      <c r="C74" s="2" t="s">
        <v>799</v>
      </c>
      <c r="D74" s="26">
        <v>0</v>
      </c>
      <c r="E74" s="26">
        <v>0</v>
      </c>
      <c r="F74" s="27">
        <v>0</v>
      </c>
      <c r="G74" s="26">
        <v>0</v>
      </c>
      <c r="H74" s="26">
        <v>0</v>
      </c>
      <c r="I74" s="27">
        <v>0</v>
      </c>
      <c r="J74" s="26">
        <v>0</v>
      </c>
      <c r="K74" s="26">
        <v>0</v>
      </c>
      <c r="L74" s="67">
        <v>1</v>
      </c>
      <c r="N74" s="8"/>
      <c r="O74" s="2" t="s">
        <v>842</v>
      </c>
      <c r="P74" s="26">
        <v>0</v>
      </c>
      <c r="Q74" s="27">
        <v>0</v>
      </c>
      <c r="R74" s="30">
        <v>0</v>
      </c>
      <c r="S74" s="27">
        <v>0</v>
      </c>
      <c r="T74" s="30">
        <v>0</v>
      </c>
      <c r="U74" s="34">
        <v>1</v>
      </c>
      <c r="V74" s="34">
        <v>1</v>
      </c>
      <c r="X74" s="8"/>
      <c r="Y74" s="2"/>
      <c r="Z74" s="26"/>
      <c r="AA74" s="26"/>
      <c r="AB74" s="26"/>
      <c r="AC74" s="26"/>
      <c r="AD74" s="27"/>
      <c r="AE74" s="30"/>
      <c r="AF74" s="26"/>
      <c r="AG74" s="26"/>
      <c r="AH74" s="32"/>
      <c r="AJ74" s="8"/>
      <c r="AK74" s="2"/>
      <c r="AL74" s="26"/>
      <c r="AM74" s="26"/>
      <c r="AN74" s="26"/>
      <c r="AO74" s="27"/>
      <c r="AP74" s="30"/>
      <c r="AQ74" s="26"/>
      <c r="AR74" s="26"/>
      <c r="AS74" s="32"/>
      <c r="AT74" s="34"/>
    </row>
    <row r="75" spans="2:46" x14ac:dyDescent="0.3">
      <c r="B75" s="8"/>
      <c r="C75" s="2" t="s">
        <v>731</v>
      </c>
      <c r="D75" s="26">
        <v>0</v>
      </c>
      <c r="E75" s="26">
        <v>0</v>
      </c>
      <c r="F75" s="27">
        <v>0</v>
      </c>
      <c r="G75" s="26">
        <v>0</v>
      </c>
      <c r="H75" s="26">
        <v>0</v>
      </c>
      <c r="I75" s="27">
        <v>0</v>
      </c>
      <c r="J75" s="26">
        <v>0</v>
      </c>
      <c r="K75" s="26">
        <v>0</v>
      </c>
      <c r="L75" s="67">
        <v>1</v>
      </c>
      <c r="N75" s="8"/>
      <c r="O75" s="2" t="s">
        <v>667</v>
      </c>
      <c r="P75" s="26">
        <v>0</v>
      </c>
      <c r="Q75" s="27">
        <v>0</v>
      </c>
      <c r="R75" s="30">
        <v>0</v>
      </c>
      <c r="S75" s="27">
        <v>0</v>
      </c>
      <c r="T75" s="30">
        <v>0</v>
      </c>
      <c r="U75" s="34">
        <v>1</v>
      </c>
      <c r="V75" s="34">
        <v>1</v>
      </c>
      <c r="X75" s="8"/>
      <c r="Y75" s="2"/>
      <c r="Z75" s="26"/>
      <c r="AA75" s="26"/>
      <c r="AB75" s="26"/>
      <c r="AC75" s="26"/>
      <c r="AD75" s="27"/>
      <c r="AE75" s="30"/>
      <c r="AF75" s="26"/>
      <c r="AG75" s="26"/>
      <c r="AH75" s="32"/>
      <c r="AJ75" s="8"/>
      <c r="AK75" s="2"/>
      <c r="AL75" s="26"/>
      <c r="AM75" s="26"/>
      <c r="AN75" s="26"/>
      <c r="AO75" s="27"/>
      <c r="AP75" s="30"/>
      <c r="AQ75" s="26"/>
      <c r="AR75" s="26"/>
      <c r="AS75" s="32"/>
      <c r="AT75" s="34"/>
    </row>
    <row r="76" spans="2:46" x14ac:dyDescent="0.3">
      <c r="B76" s="8"/>
      <c r="C76" s="2" t="s">
        <v>800</v>
      </c>
      <c r="D76" s="26">
        <v>0</v>
      </c>
      <c r="E76" s="26">
        <v>0</v>
      </c>
      <c r="F76" s="27">
        <v>0</v>
      </c>
      <c r="G76" s="26">
        <v>0</v>
      </c>
      <c r="H76" s="26">
        <v>0</v>
      </c>
      <c r="I76" s="27">
        <v>0</v>
      </c>
      <c r="J76" s="26">
        <v>0</v>
      </c>
      <c r="K76" s="26">
        <v>0</v>
      </c>
      <c r="L76" s="67">
        <v>1</v>
      </c>
      <c r="N76" s="8"/>
      <c r="O76" s="2" t="s">
        <v>843</v>
      </c>
      <c r="P76" s="26">
        <v>0</v>
      </c>
      <c r="Q76" s="27">
        <v>0</v>
      </c>
      <c r="R76" s="30">
        <v>0</v>
      </c>
      <c r="S76" s="27">
        <v>0</v>
      </c>
      <c r="T76" s="30">
        <v>0</v>
      </c>
      <c r="U76" s="34">
        <v>1</v>
      </c>
      <c r="V76" s="34">
        <v>1</v>
      </c>
      <c r="X76" s="8"/>
      <c r="Y76" s="2"/>
      <c r="Z76" s="26"/>
      <c r="AA76" s="26"/>
      <c r="AB76" s="26"/>
      <c r="AC76" s="26"/>
      <c r="AD76" s="27"/>
      <c r="AE76" s="30"/>
      <c r="AF76" s="26"/>
      <c r="AG76" s="26"/>
      <c r="AH76" s="32"/>
      <c r="AJ76" s="8"/>
      <c r="AK76" s="2"/>
      <c r="AL76" s="26"/>
      <c r="AM76" s="26"/>
      <c r="AN76" s="26"/>
      <c r="AO76" s="27"/>
      <c r="AP76" s="30"/>
      <c r="AQ76" s="26"/>
      <c r="AR76" s="26"/>
      <c r="AS76" s="32"/>
      <c r="AT76" s="34"/>
    </row>
    <row r="77" spans="2:46" x14ac:dyDescent="0.3">
      <c r="B77" s="8"/>
      <c r="C77" s="2" t="s">
        <v>982</v>
      </c>
      <c r="D77" s="26">
        <v>0</v>
      </c>
      <c r="E77" s="26">
        <v>0</v>
      </c>
      <c r="F77" s="27">
        <v>0</v>
      </c>
      <c r="G77" s="26">
        <v>0</v>
      </c>
      <c r="H77" s="26">
        <v>0</v>
      </c>
      <c r="I77" s="27">
        <v>0</v>
      </c>
      <c r="J77" s="26">
        <v>0</v>
      </c>
      <c r="K77" s="26">
        <v>0</v>
      </c>
      <c r="L77" s="67">
        <v>1</v>
      </c>
      <c r="N77" s="8"/>
      <c r="O77" s="2" t="s">
        <v>952</v>
      </c>
      <c r="P77" s="26">
        <v>0</v>
      </c>
      <c r="Q77" s="27">
        <v>0</v>
      </c>
      <c r="R77" s="30">
        <v>0</v>
      </c>
      <c r="S77" s="27">
        <v>0</v>
      </c>
      <c r="T77" s="30">
        <v>0</v>
      </c>
      <c r="U77" s="34">
        <v>1</v>
      </c>
      <c r="V77" s="34">
        <v>1</v>
      </c>
      <c r="X77" s="8"/>
      <c r="Y77" s="2"/>
      <c r="Z77" s="26"/>
      <c r="AA77" s="26"/>
      <c r="AB77" s="26"/>
      <c r="AC77" s="26"/>
      <c r="AD77" s="27"/>
      <c r="AE77" s="30"/>
      <c r="AF77" s="26"/>
      <c r="AG77" s="26"/>
      <c r="AH77" s="32"/>
      <c r="AJ77" s="8"/>
      <c r="AK77" s="2"/>
      <c r="AL77" s="26"/>
      <c r="AM77" s="26"/>
      <c r="AN77" s="26"/>
      <c r="AO77" s="27"/>
      <c r="AP77" s="30"/>
      <c r="AQ77" s="26"/>
      <c r="AR77" s="26"/>
      <c r="AS77" s="32"/>
      <c r="AT77" s="34"/>
    </row>
    <row r="78" spans="2:46" x14ac:dyDescent="0.3">
      <c r="B78" s="8"/>
      <c r="C78" s="2" t="s">
        <v>983</v>
      </c>
      <c r="D78" s="26">
        <v>0</v>
      </c>
      <c r="E78" s="26">
        <v>0</v>
      </c>
      <c r="F78" s="27">
        <v>0</v>
      </c>
      <c r="G78" s="26">
        <v>0</v>
      </c>
      <c r="H78" s="26">
        <v>0</v>
      </c>
      <c r="I78" s="27">
        <v>0</v>
      </c>
      <c r="J78" s="26">
        <v>0</v>
      </c>
      <c r="K78" s="26">
        <v>0</v>
      </c>
      <c r="L78" s="67">
        <v>1</v>
      </c>
      <c r="N78" s="8"/>
      <c r="O78" s="2" t="s">
        <v>953</v>
      </c>
      <c r="P78" s="26">
        <v>0</v>
      </c>
      <c r="Q78" s="27">
        <v>0</v>
      </c>
      <c r="R78" s="30">
        <v>0</v>
      </c>
      <c r="S78" s="27">
        <v>0</v>
      </c>
      <c r="T78" s="30">
        <v>0</v>
      </c>
      <c r="U78" s="34">
        <v>1</v>
      </c>
      <c r="V78" s="34">
        <v>1</v>
      </c>
      <c r="X78" s="8"/>
      <c r="Y78" s="2"/>
      <c r="Z78" s="26"/>
      <c r="AA78" s="26"/>
      <c r="AB78" s="26"/>
      <c r="AC78" s="26"/>
      <c r="AD78" s="27"/>
      <c r="AE78" s="30"/>
      <c r="AF78" s="26"/>
      <c r="AG78" s="26"/>
      <c r="AH78" s="32"/>
      <c r="AJ78" s="8"/>
      <c r="AK78" s="2"/>
      <c r="AL78" s="26"/>
      <c r="AM78" s="26"/>
      <c r="AN78" s="26"/>
      <c r="AO78" s="27"/>
      <c r="AP78" s="30"/>
      <c r="AQ78" s="26"/>
      <c r="AR78" s="26"/>
      <c r="AS78" s="32"/>
      <c r="AT78" s="34"/>
    </row>
    <row r="79" spans="2:46" x14ac:dyDescent="0.3">
      <c r="B79" s="8"/>
      <c r="C79" s="2" t="s">
        <v>984</v>
      </c>
      <c r="D79" s="26">
        <v>0</v>
      </c>
      <c r="E79" s="26">
        <v>0</v>
      </c>
      <c r="F79" s="27">
        <v>0</v>
      </c>
      <c r="G79" s="26">
        <v>0</v>
      </c>
      <c r="H79" s="26">
        <v>0</v>
      </c>
      <c r="I79" s="27">
        <v>0</v>
      </c>
      <c r="J79" s="26">
        <v>0</v>
      </c>
      <c r="K79" s="26">
        <v>0</v>
      </c>
      <c r="L79" s="67">
        <v>1</v>
      </c>
      <c r="N79" s="8"/>
      <c r="O79" s="2" t="s">
        <v>954</v>
      </c>
      <c r="P79" s="26">
        <v>0</v>
      </c>
      <c r="Q79" s="27">
        <v>0</v>
      </c>
      <c r="R79" s="30">
        <v>0</v>
      </c>
      <c r="S79" s="27">
        <v>0</v>
      </c>
      <c r="T79" s="30">
        <v>0</v>
      </c>
      <c r="U79" s="34">
        <v>1</v>
      </c>
      <c r="V79" s="34">
        <v>1</v>
      </c>
      <c r="X79" s="8"/>
      <c r="Y79" s="2"/>
      <c r="Z79" s="26"/>
      <c r="AA79" s="26"/>
      <c r="AB79" s="26"/>
      <c r="AC79" s="26"/>
      <c r="AD79" s="27"/>
      <c r="AE79" s="30"/>
      <c r="AF79" s="26"/>
      <c r="AG79" s="26"/>
      <c r="AH79" s="32"/>
      <c r="AJ79" s="8"/>
      <c r="AK79" s="2"/>
      <c r="AL79" s="26"/>
      <c r="AM79" s="26"/>
      <c r="AN79" s="26"/>
      <c r="AO79" s="27"/>
      <c r="AP79" s="30"/>
      <c r="AQ79" s="26"/>
      <c r="AR79" s="26"/>
      <c r="AS79" s="32"/>
      <c r="AT79" s="34"/>
    </row>
    <row r="80" spans="2:46" x14ac:dyDescent="0.3">
      <c r="B80" s="8"/>
      <c r="C80" s="2" t="s">
        <v>732</v>
      </c>
      <c r="D80" s="26">
        <v>0</v>
      </c>
      <c r="E80" s="26">
        <v>0</v>
      </c>
      <c r="F80" s="27">
        <v>0</v>
      </c>
      <c r="G80" s="26">
        <v>0</v>
      </c>
      <c r="H80" s="26">
        <v>0</v>
      </c>
      <c r="I80" s="27">
        <v>0</v>
      </c>
      <c r="J80" s="26">
        <v>0</v>
      </c>
      <c r="K80" s="26">
        <v>0</v>
      </c>
      <c r="L80" s="67">
        <v>1</v>
      </c>
      <c r="N80" s="8"/>
      <c r="O80" s="2" t="s">
        <v>668</v>
      </c>
      <c r="P80" s="26">
        <v>0</v>
      </c>
      <c r="Q80" s="27">
        <v>0</v>
      </c>
      <c r="R80" s="30">
        <v>0</v>
      </c>
      <c r="S80" s="27">
        <v>0</v>
      </c>
      <c r="T80" s="30">
        <v>0</v>
      </c>
      <c r="U80" s="34">
        <v>1</v>
      </c>
      <c r="V80" s="34">
        <v>1</v>
      </c>
      <c r="X80" s="8"/>
      <c r="Y80" s="2"/>
      <c r="Z80" s="26"/>
      <c r="AA80" s="26"/>
      <c r="AB80" s="26"/>
      <c r="AC80" s="26"/>
      <c r="AD80" s="27"/>
      <c r="AE80" s="30"/>
      <c r="AF80" s="26"/>
      <c r="AG80" s="26"/>
      <c r="AH80" s="32"/>
      <c r="AJ80" s="8"/>
      <c r="AK80" s="2"/>
      <c r="AL80" s="26"/>
      <c r="AM80" s="26"/>
      <c r="AN80" s="26"/>
      <c r="AO80" s="27"/>
      <c r="AP80" s="30"/>
      <c r="AQ80" s="26"/>
      <c r="AR80" s="26"/>
      <c r="AS80" s="32"/>
      <c r="AT80" s="34"/>
    </row>
    <row r="81" spans="2:46" x14ac:dyDescent="0.3">
      <c r="B81" s="8"/>
      <c r="C81" s="2" t="s">
        <v>801</v>
      </c>
      <c r="D81" s="26">
        <v>0</v>
      </c>
      <c r="E81" s="26">
        <v>0</v>
      </c>
      <c r="F81" s="27">
        <v>0</v>
      </c>
      <c r="G81" s="26">
        <v>0</v>
      </c>
      <c r="H81" s="26">
        <v>0</v>
      </c>
      <c r="I81" s="27">
        <v>0</v>
      </c>
      <c r="J81" s="26">
        <v>0</v>
      </c>
      <c r="K81" s="26">
        <v>0</v>
      </c>
      <c r="L81" s="67">
        <v>1</v>
      </c>
      <c r="N81" s="8"/>
      <c r="O81" s="2" t="s">
        <v>844</v>
      </c>
      <c r="P81" s="26">
        <v>0</v>
      </c>
      <c r="Q81" s="27">
        <v>0</v>
      </c>
      <c r="R81" s="30">
        <v>0</v>
      </c>
      <c r="S81" s="27">
        <v>0</v>
      </c>
      <c r="T81" s="30">
        <v>0</v>
      </c>
      <c r="U81" s="34">
        <v>1</v>
      </c>
      <c r="V81" s="34">
        <v>1</v>
      </c>
      <c r="X81" s="8"/>
      <c r="Y81" s="2"/>
      <c r="Z81" s="26"/>
      <c r="AA81" s="26"/>
      <c r="AB81" s="26"/>
      <c r="AC81" s="26"/>
      <c r="AD81" s="27"/>
      <c r="AE81" s="30"/>
      <c r="AF81" s="26"/>
      <c r="AG81" s="26"/>
      <c r="AH81" s="32"/>
      <c r="AJ81" s="8"/>
      <c r="AK81" s="2"/>
      <c r="AL81" s="26"/>
      <c r="AM81" s="26"/>
      <c r="AN81" s="26"/>
      <c r="AO81" s="27"/>
      <c r="AP81" s="30"/>
      <c r="AQ81" s="26"/>
      <c r="AR81" s="26"/>
      <c r="AS81" s="32"/>
      <c r="AT81" s="34"/>
    </row>
    <row r="82" spans="2:46" x14ac:dyDescent="0.3">
      <c r="B82" s="8"/>
      <c r="C82" s="2" t="s">
        <v>802</v>
      </c>
      <c r="D82" s="26">
        <v>0</v>
      </c>
      <c r="E82" s="26">
        <v>0</v>
      </c>
      <c r="F82" s="27">
        <v>0</v>
      </c>
      <c r="G82" s="26">
        <v>0</v>
      </c>
      <c r="H82" s="26">
        <v>0</v>
      </c>
      <c r="I82" s="27">
        <v>0</v>
      </c>
      <c r="J82" s="26">
        <v>0</v>
      </c>
      <c r="K82" s="26">
        <v>0</v>
      </c>
      <c r="L82" s="67">
        <v>1</v>
      </c>
      <c r="N82" s="8"/>
      <c r="O82" s="2" t="s">
        <v>845</v>
      </c>
      <c r="P82" s="26">
        <v>0</v>
      </c>
      <c r="Q82" s="27">
        <v>0</v>
      </c>
      <c r="R82" s="30">
        <v>0</v>
      </c>
      <c r="S82" s="27">
        <v>0</v>
      </c>
      <c r="T82" s="30">
        <v>0</v>
      </c>
      <c r="U82" s="34">
        <v>1</v>
      </c>
      <c r="V82" s="34">
        <v>1</v>
      </c>
      <c r="X82" s="8"/>
      <c r="Y82" s="2"/>
      <c r="Z82" s="26"/>
      <c r="AA82" s="26"/>
      <c r="AB82" s="26"/>
      <c r="AC82" s="26"/>
      <c r="AD82" s="27"/>
      <c r="AE82" s="30"/>
      <c r="AF82" s="26"/>
      <c r="AG82" s="26"/>
      <c r="AH82" s="32"/>
      <c r="AJ82" s="8"/>
      <c r="AK82" s="2"/>
      <c r="AL82" s="26"/>
      <c r="AM82" s="26"/>
      <c r="AN82" s="26"/>
      <c r="AO82" s="27"/>
      <c r="AP82" s="30"/>
      <c r="AQ82" s="26"/>
      <c r="AR82" s="26"/>
      <c r="AS82" s="32"/>
      <c r="AT82" s="34"/>
    </row>
    <row r="83" spans="2:46" x14ac:dyDescent="0.3">
      <c r="B83" s="8"/>
      <c r="C83" s="2" t="s">
        <v>733</v>
      </c>
      <c r="D83" s="26">
        <v>0</v>
      </c>
      <c r="E83" s="26">
        <v>0</v>
      </c>
      <c r="F83" s="27">
        <v>0</v>
      </c>
      <c r="G83" s="26">
        <v>0</v>
      </c>
      <c r="H83" s="26">
        <v>0</v>
      </c>
      <c r="I83" s="27">
        <v>0</v>
      </c>
      <c r="J83" s="26">
        <v>0</v>
      </c>
      <c r="K83" s="26">
        <v>0</v>
      </c>
      <c r="L83" s="67">
        <v>1</v>
      </c>
      <c r="N83" s="8"/>
      <c r="O83" s="2" t="s">
        <v>669</v>
      </c>
      <c r="P83" s="26">
        <v>0</v>
      </c>
      <c r="Q83" s="27">
        <v>0</v>
      </c>
      <c r="R83" s="30">
        <v>0</v>
      </c>
      <c r="S83" s="27">
        <v>0</v>
      </c>
      <c r="T83" s="30">
        <v>0</v>
      </c>
      <c r="U83" s="34">
        <v>1</v>
      </c>
      <c r="V83" s="34">
        <v>1</v>
      </c>
      <c r="X83" s="8"/>
      <c r="Y83" s="2"/>
      <c r="Z83" s="26"/>
      <c r="AA83" s="26"/>
      <c r="AB83" s="26"/>
      <c r="AC83" s="26"/>
      <c r="AD83" s="27"/>
      <c r="AE83" s="30"/>
      <c r="AF83" s="26"/>
      <c r="AG83" s="26"/>
      <c r="AH83" s="32"/>
      <c r="AJ83" s="8"/>
      <c r="AK83" s="2"/>
      <c r="AL83" s="26"/>
      <c r="AM83" s="26"/>
      <c r="AN83" s="26"/>
      <c r="AO83" s="27"/>
      <c r="AP83" s="30"/>
      <c r="AQ83" s="26"/>
      <c r="AR83" s="26"/>
      <c r="AS83" s="32"/>
      <c r="AT83" s="34"/>
    </row>
    <row r="84" spans="2:46" x14ac:dyDescent="0.3">
      <c r="B84" s="8"/>
      <c r="C84" s="2" t="s">
        <v>803</v>
      </c>
      <c r="D84" s="26">
        <v>0</v>
      </c>
      <c r="E84" s="26">
        <v>0</v>
      </c>
      <c r="F84" s="27">
        <v>0</v>
      </c>
      <c r="G84" s="26">
        <v>0</v>
      </c>
      <c r="H84" s="26">
        <v>0</v>
      </c>
      <c r="I84" s="27">
        <v>0</v>
      </c>
      <c r="J84" s="26">
        <v>0</v>
      </c>
      <c r="K84" s="26">
        <v>0</v>
      </c>
      <c r="L84" s="67">
        <v>1</v>
      </c>
      <c r="N84" s="8"/>
      <c r="O84" s="2" t="s">
        <v>846</v>
      </c>
      <c r="P84" s="26">
        <v>0</v>
      </c>
      <c r="Q84" s="27">
        <v>0</v>
      </c>
      <c r="R84" s="30">
        <v>0</v>
      </c>
      <c r="S84" s="27">
        <v>0</v>
      </c>
      <c r="T84" s="30">
        <v>0</v>
      </c>
      <c r="U84" s="34">
        <v>1</v>
      </c>
      <c r="V84" s="34">
        <v>1</v>
      </c>
      <c r="X84" s="8"/>
      <c r="Y84" s="2"/>
      <c r="Z84" s="26"/>
      <c r="AA84" s="26"/>
      <c r="AB84" s="26"/>
      <c r="AC84" s="26"/>
      <c r="AD84" s="27"/>
      <c r="AE84" s="30"/>
      <c r="AF84" s="26"/>
      <c r="AG84" s="26"/>
      <c r="AH84" s="32"/>
      <c r="AJ84" s="8"/>
      <c r="AK84" s="2"/>
      <c r="AL84" s="26"/>
      <c r="AM84" s="26"/>
      <c r="AN84" s="26"/>
      <c r="AO84" s="27"/>
      <c r="AP84" s="30"/>
      <c r="AQ84" s="26"/>
      <c r="AR84" s="26"/>
      <c r="AS84" s="32"/>
      <c r="AT84" s="34"/>
    </row>
    <row r="85" spans="2:46" x14ac:dyDescent="0.3">
      <c r="B85" s="8"/>
      <c r="C85" s="2" t="s">
        <v>804</v>
      </c>
      <c r="D85" s="26">
        <v>0</v>
      </c>
      <c r="E85" s="26">
        <v>0</v>
      </c>
      <c r="F85" s="27">
        <v>0</v>
      </c>
      <c r="G85" s="26">
        <v>0</v>
      </c>
      <c r="H85" s="26">
        <v>0</v>
      </c>
      <c r="I85" s="27">
        <v>0</v>
      </c>
      <c r="J85" s="26">
        <v>0</v>
      </c>
      <c r="K85" s="26">
        <v>0</v>
      </c>
      <c r="L85" s="67">
        <v>1</v>
      </c>
      <c r="N85" s="8"/>
      <c r="O85" s="2" t="s">
        <v>847</v>
      </c>
      <c r="P85" s="26">
        <v>0</v>
      </c>
      <c r="Q85" s="27">
        <v>0</v>
      </c>
      <c r="R85" s="30">
        <v>0</v>
      </c>
      <c r="S85" s="27">
        <v>0</v>
      </c>
      <c r="T85" s="30">
        <v>0</v>
      </c>
      <c r="U85" s="34">
        <v>1</v>
      </c>
      <c r="V85" s="34">
        <v>1</v>
      </c>
      <c r="X85" s="8"/>
      <c r="Y85" s="2"/>
      <c r="Z85" s="26"/>
      <c r="AA85" s="26"/>
      <c r="AB85" s="26"/>
      <c r="AC85" s="26"/>
      <c r="AD85" s="27"/>
      <c r="AE85" s="30"/>
      <c r="AF85" s="26"/>
      <c r="AG85" s="26"/>
      <c r="AH85" s="32"/>
      <c r="AJ85" s="8"/>
      <c r="AK85" s="2"/>
      <c r="AL85" s="26"/>
      <c r="AM85" s="26"/>
      <c r="AN85" s="26"/>
      <c r="AO85" s="27"/>
      <c r="AP85" s="30"/>
      <c r="AQ85" s="26"/>
      <c r="AR85" s="26"/>
      <c r="AS85" s="32"/>
      <c r="AT85" s="34"/>
    </row>
    <row r="86" spans="2:46" x14ac:dyDescent="0.3">
      <c r="B86" s="8"/>
      <c r="C86" s="2" t="s">
        <v>805</v>
      </c>
      <c r="D86" s="26">
        <v>0</v>
      </c>
      <c r="E86" s="26">
        <v>0</v>
      </c>
      <c r="F86" s="27">
        <v>0</v>
      </c>
      <c r="G86" s="26">
        <v>0</v>
      </c>
      <c r="H86" s="26">
        <v>0</v>
      </c>
      <c r="I86" s="27">
        <v>0</v>
      </c>
      <c r="J86" s="26">
        <v>0</v>
      </c>
      <c r="K86" s="26">
        <v>0</v>
      </c>
      <c r="L86" s="67">
        <v>1</v>
      </c>
      <c r="N86" s="8"/>
      <c r="O86" s="2" t="s">
        <v>848</v>
      </c>
      <c r="P86" s="26">
        <v>0</v>
      </c>
      <c r="Q86" s="27">
        <v>0</v>
      </c>
      <c r="R86" s="30">
        <v>0</v>
      </c>
      <c r="S86" s="27">
        <v>0</v>
      </c>
      <c r="T86" s="30">
        <v>0</v>
      </c>
      <c r="U86" s="34">
        <v>1</v>
      </c>
      <c r="V86" s="34">
        <v>1</v>
      </c>
      <c r="X86" s="8"/>
      <c r="Y86" s="2"/>
      <c r="Z86" s="26"/>
      <c r="AA86" s="26"/>
      <c r="AB86" s="26"/>
      <c r="AC86" s="26"/>
      <c r="AD86" s="27"/>
      <c r="AE86" s="30"/>
      <c r="AF86" s="26"/>
      <c r="AG86" s="26"/>
      <c r="AH86" s="32"/>
      <c r="AJ86" s="8"/>
      <c r="AK86" s="2"/>
      <c r="AL86" s="26"/>
      <c r="AM86" s="26"/>
      <c r="AN86" s="26"/>
      <c r="AO86" s="27"/>
      <c r="AP86" s="30"/>
      <c r="AQ86" s="26"/>
      <c r="AR86" s="26"/>
      <c r="AS86" s="32"/>
      <c r="AT86" s="34"/>
    </row>
    <row r="87" spans="2:46" x14ac:dyDescent="0.3">
      <c r="B87" s="8"/>
      <c r="C87" s="2" t="s">
        <v>734</v>
      </c>
      <c r="D87" s="26">
        <v>0</v>
      </c>
      <c r="E87" s="26">
        <v>0</v>
      </c>
      <c r="F87" s="27">
        <v>0</v>
      </c>
      <c r="G87" s="26">
        <v>0</v>
      </c>
      <c r="H87" s="26">
        <v>0</v>
      </c>
      <c r="I87" s="27">
        <v>0</v>
      </c>
      <c r="J87" s="26">
        <v>0</v>
      </c>
      <c r="K87" s="26">
        <v>0</v>
      </c>
      <c r="L87" s="67">
        <v>1</v>
      </c>
      <c r="N87" s="8"/>
      <c r="O87" s="2" t="s">
        <v>670</v>
      </c>
      <c r="P87" s="26">
        <v>0</v>
      </c>
      <c r="Q87" s="27">
        <v>0</v>
      </c>
      <c r="R87" s="30">
        <v>0</v>
      </c>
      <c r="S87" s="27">
        <v>0</v>
      </c>
      <c r="T87" s="30">
        <v>0</v>
      </c>
      <c r="U87" s="34">
        <v>1</v>
      </c>
      <c r="V87" s="34">
        <v>1</v>
      </c>
      <c r="X87" s="8"/>
      <c r="Y87" s="2"/>
      <c r="Z87" s="26"/>
      <c r="AA87" s="26"/>
      <c r="AB87" s="26"/>
      <c r="AC87" s="26"/>
      <c r="AD87" s="27"/>
      <c r="AE87" s="30"/>
      <c r="AF87" s="26"/>
      <c r="AG87" s="26"/>
      <c r="AH87" s="32"/>
      <c r="AJ87" s="8"/>
      <c r="AK87" s="2"/>
      <c r="AL87" s="26"/>
      <c r="AM87" s="26"/>
      <c r="AN87" s="26"/>
      <c r="AO87" s="27"/>
      <c r="AP87" s="30"/>
      <c r="AQ87" s="26"/>
      <c r="AR87" s="26"/>
      <c r="AS87" s="32"/>
      <c r="AT87" s="34"/>
    </row>
    <row r="88" spans="2:46" x14ac:dyDescent="0.3">
      <c r="B88" s="8"/>
      <c r="C88" s="2" t="s">
        <v>735</v>
      </c>
      <c r="D88" s="26">
        <v>0</v>
      </c>
      <c r="E88" s="26">
        <v>0</v>
      </c>
      <c r="F88" s="27">
        <v>0</v>
      </c>
      <c r="G88" s="26">
        <v>0</v>
      </c>
      <c r="H88" s="26">
        <v>0</v>
      </c>
      <c r="I88" s="27">
        <v>0</v>
      </c>
      <c r="J88" s="26">
        <v>0</v>
      </c>
      <c r="K88" s="26">
        <v>0</v>
      </c>
      <c r="L88" s="67">
        <v>1</v>
      </c>
      <c r="N88" s="8"/>
      <c r="O88" s="2" t="s">
        <v>671</v>
      </c>
      <c r="P88" s="26">
        <v>0</v>
      </c>
      <c r="Q88" s="27">
        <v>0</v>
      </c>
      <c r="R88" s="30">
        <v>0</v>
      </c>
      <c r="S88" s="27">
        <v>0</v>
      </c>
      <c r="T88" s="30">
        <v>0</v>
      </c>
      <c r="U88" s="34">
        <v>1</v>
      </c>
      <c r="V88" s="34">
        <v>1</v>
      </c>
      <c r="X88" s="8"/>
      <c r="Y88" s="2"/>
      <c r="Z88" s="26"/>
      <c r="AA88" s="26"/>
      <c r="AB88" s="26"/>
      <c r="AC88" s="26"/>
      <c r="AD88" s="27"/>
      <c r="AE88" s="30"/>
      <c r="AF88" s="26"/>
      <c r="AG88" s="26"/>
      <c r="AH88" s="32"/>
      <c r="AJ88" s="8"/>
      <c r="AK88" s="2"/>
      <c r="AL88" s="26"/>
      <c r="AM88" s="26"/>
      <c r="AN88" s="26"/>
      <c r="AO88" s="27"/>
      <c r="AP88" s="30"/>
      <c r="AQ88" s="26"/>
      <c r="AR88" s="26"/>
      <c r="AS88" s="32"/>
      <c r="AT88" s="34"/>
    </row>
    <row r="89" spans="2:46" x14ac:dyDescent="0.3">
      <c r="B89" s="8"/>
      <c r="C89" s="2" t="s">
        <v>736</v>
      </c>
      <c r="D89" s="26">
        <v>0</v>
      </c>
      <c r="E89" s="26">
        <v>0</v>
      </c>
      <c r="F89" s="27">
        <v>0</v>
      </c>
      <c r="G89" s="26">
        <v>0</v>
      </c>
      <c r="H89" s="26">
        <v>0</v>
      </c>
      <c r="I89" s="27">
        <v>0</v>
      </c>
      <c r="J89" s="26">
        <v>0</v>
      </c>
      <c r="K89" s="26">
        <v>0</v>
      </c>
      <c r="L89" s="67">
        <v>1</v>
      </c>
      <c r="N89" s="8"/>
      <c r="O89" s="2" t="s">
        <v>672</v>
      </c>
      <c r="P89" s="26">
        <v>0</v>
      </c>
      <c r="Q89" s="27">
        <v>0</v>
      </c>
      <c r="R89" s="30">
        <v>0</v>
      </c>
      <c r="S89" s="27">
        <v>0</v>
      </c>
      <c r="T89" s="30">
        <v>0</v>
      </c>
      <c r="U89" s="34">
        <v>1</v>
      </c>
      <c r="V89" s="34">
        <v>1</v>
      </c>
      <c r="X89" s="8"/>
      <c r="Y89" s="2"/>
      <c r="Z89" s="26"/>
      <c r="AA89" s="26"/>
      <c r="AB89" s="26"/>
      <c r="AC89" s="26"/>
      <c r="AD89" s="27"/>
      <c r="AE89" s="30"/>
      <c r="AF89" s="26"/>
      <c r="AG89" s="26"/>
      <c r="AH89" s="32"/>
      <c r="AJ89" s="8"/>
      <c r="AK89" s="2"/>
      <c r="AL89" s="26"/>
      <c r="AM89" s="26"/>
      <c r="AN89" s="26"/>
      <c r="AO89" s="27"/>
      <c r="AP89" s="30"/>
      <c r="AQ89" s="26"/>
      <c r="AR89" s="26"/>
      <c r="AS89" s="32"/>
      <c r="AT89" s="34"/>
    </row>
    <row r="90" spans="2:46" x14ac:dyDescent="0.3">
      <c r="B90" s="8"/>
      <c r="C90" s="2" t="s">
        <v>737</v>
      </c>
      <c r="D90" s="26">
        <v>0</v>
      </c>
      <c r="E90" s="26">
        <v>0</v>
      </c>
      <c r="F90" s="27">
        <v>0</v>
      </c>
      <c r="G90" s="26">
        <v>0</v>
      </c>
      <c r="H90" s="26">
        <v>0</v>
      </c>
      <c r="I90" s="27">
        <v>0</v>
      </c>
      <c r="J90" s="26">
        <v>0</v>
      </c>
      <c r="K90" s="26">
        <v>0</v>
      </c>
      <c r="L90" s="67">
        <v>1</v>
      </c>
      <c r="N90" s="8"/>
      <c r="O90" s="2" t="s">
        <v>673</v>
      </c>
      <c r="P90" s="26">
        <v>0</v>
      </c>
      <c r="Q90" s="27">
        <v>0</v>
      </c>
      <c r="R90" s="30">
        <v>0</v>
      </c>
      <c r="S90" s="27">
        <v>0</v>
      </c>
      <c r="T90" s="30">
        <v>0</v>
      </c>
      <c r="U90" s="34">
        <v>1</v>
      </c>
      <c r="V90" s="34">
        <v>1</v>
      </c>
      <c r="X90" s="8"/>
      <c r="Y90" s="2"/>
      <c r="Z90" s="26"/>
      <c r="AA90" s="26"/>
      <c r="AB90" s="26"/>
      <c r="AC90" s="26"/>
      <c r="AD90" s="27"/>
      <c r="AE90" s="30"/>
      <c r="AF90" s="26"/>
      <c r="AG90" s="26"/>
      <c r="AH90" s="32"/>
      <c r="AJ90" s="8"/>
      <c r="AK90" s="2"/>
      <c r="AL90" s="26"/>
      <c r="AM90" s="26"/>
      <c r="AN90" s="26"/>
      <c r="AO90" s="27"/>
      <c r="AP90" s="30"/>
      <c r="AQ90" s="26"/>
      <c r="AR90" s="26"/>
      <c r="AS90" s="32"/>
      <c r="AT90" s="34"/>
    </row>
    <row r="91" spans="2:46" x14ac:dyDescent="0.3">
      <c r="B91" s="8"/>
      <c r="C91" s="2" t="s">
        <v>806</v>
      </c>
      <c r="D91" s="26">
        <v>0</v>
      </c>
      <c r="E91" s="26">
        <v>0</v>
      </c>
      <c r="F91" s="27">
        <v>0</v>
      </c>
      <c r="G91" s="26">
        <v>0</v>
      </c>
      <c r="H91" s="26">
        <v>0</v>
      </c>
      <c r="I91" s="27">
        <v>0</v>
      </c>
      <c r="J91" s="26">
        <v>0</v>
      </c>
      <c r="K91" s="26">
        <v>0</v>
      </c>
      <c r="L91" s="67">
        <v>1</v>
      </c>
      <c r="N91" s="8"/>
      <c r="O91" s="2" t="s">
        <v>849</v>
      </c>
      <c r="P91" s="26">
        <v>0</v>
      </c>
      <c r="Q91" s="27">
        <v>0</v>
      </c>
      <c r="R91" s="30">
        <v>0</v>
      </c>
      <c r="S91" s="27">
        <v>0</v>
      </c>
      <c r="T91" s="30">
        <v>0</v>
      </c>
      <c r="U91" s="34">
        <v>1</v>
      </c>
      <c r="V91" s="34">
        <v>1</v>
      </c>
      <c r="X91" s="8"/>
      <c r="Y91" s="2"/>
      <c r="Z91" s="26"/>
      <c r="AA91" s="26"/>
      <c r="AB91" s="26"/>
      <c r="AC91" s="26"/>
      <c r="AD91" s="27"/>
      <c r="AE91" s="30"/>
      <c r="AF91" s="26"/>
      <c r="AG91" s="26"/>
      <c r="AH91" s="32"/>
      <c r="AJ91" s="8"/>
      <c r="AK91" s="2"/>
      <c r="AL91" s="26"/>
      <c r="AM91" s="26"/>
      <c r="AN91" s="26"/>
      <c r="AO91" s="27"/>
      <c r="AP91" s="30"/>
      <c r="AQ91" s="26"/>
      <c r="AR91" s="26"/>
      <c r="AS91" s="32"/>
      <c r="AT91" s="34"/>
    </row>
    <row r="92" spans="2:46" x14ac:dyDescent="0.3">
      <c r="B92" s="8"/>
      <c r="C92" s="2" t="s">
        <v>807</v>
      </c>
      <c r="D92" s="26">
        <v>0</v>
      </c>
      <c r="E92" s="26">
        <v>0</v>
      </c>
      <c r="F92" s="27">
        <v>0</v>
      </c>
      <c r="G92" s="26">
        <v>0</v>
      </c>
      <c r="H92" s="26">
        <v>0</v>
      </c>
      <c r="I92" s="27">
        <v>0</v>
      </c>
      <c r="J92" s="26">
        <v>0</v>
      </c>
      <c r="K92" s="26">
        <v>0</v>
      </c>
      <c r="L92" s="67">
        <v>1</v>
      </c>
      <c r="N92" s="8"/>
      <c r="O92" s="2" t="s">
        <v>850</v>
      </c>
      <c r="P92" s="26">
        <v>0</v>
      </c>
      <c r="Q92" s="27">
        <v>0</v>
      </c>
      <c r="R92" s="30">
        <v>0</v>
      </c>
      <c r="S92" s="27">
        <v>0</v>
      </c>
      <c r="T92" s="30">
        <v>0</v>
      </c>
      <c r="U92" s="34">
        <v>1</v>
      </c>
      <c r="V92" s="34">
        <v>1</v>
      </c>
      <c r="X92" s="8"/>
      <c r="Y92" s="2"/>
      <c r="Z92" s="26"/>
      <c r="AA92" s="26"/>
      <c r="AB92" s="26"/>
      <c r="AC92" s="26"/>
      <c r="AD92" s="27"/>
      <c r="AE92" s="30"/>
      <c r="AF92" s="26"/>
      <c r="AG92" s="26"/>
      <c r="AH92" s="32"/>
      <c r="AJ92" s="8"/>
      <c r="AK92" s="2"/>
      <c r="AL92" s="26"/>
      <c r="AM92" s="26"/>
      <c r="AN92" s="26"/>
      <c r="AO92" s="27"/>
      <c r="AP92" s="30"/>
      <c r="AQ92" s="26"/>
      <c r="AR92" s="26"/>
      <c r="AS92" s="32"/>
      <c r="AT92" s="34"/>
    </row>
    <row r="93" spans="2:46" x14ac:dyDescent="0.3">
      <c r="B93" s="8"/>
      <c r="C93" s="2" t="s">
        <v>738</v>
      </c>
      <c r="D93" s="26">
        <v>0</v>
      </c>
      <c r="E93" s="26">
        <v>0</v>
      </c>
      <c r="F93" s="27">
        <v>0</v>
      </c>
      <c r="G93" s="26">
        <v>0</v>
      </c>
      <c r="H93" s="26">
        <v>0</v>
      </c>
      <c r="I93" s="27">
        <v>0</v>
      </c>
      <c r="J93" s="26">
        <v>0</v>
      </c>
      <c r="K93" s="26">
        <v>0</v>
      </c>
      <c r="L93" s="67">
        <v>1</v>
      </c>
      <c r="N93" s="8"/>
      <c r="O93" s="2" t="s">
        <v>674</v>
      </c>
      <c r="P93" s="26">
        <v>0</v>
      </c>
      <c r="Q93" s="27">
        <v>0</v>
      </c>
      <c r="R93" s="30">
        <v>0</v>
      </c>
      <c r="S93" s="27">
        <v>0</v>
      </c>
      <c r="T93" s="30">
        <v>0</v>
      </c>
      <c r="U93" s="34">
        <v>1</v>
      </c>
      <c r="V93" s="34">
        <v>1</v>
      </c>
      <c r="X93" s="8"/>
      <c r="Y93" s="2"/>
      <c r="Z93" s="26"/>
      <c r="AA93" s="26"/>
      <c r="AB93" s="26"/>
      <c r="AC93" s="26"/>
      <c r="AD93" s="27"/>
      <c r="AE93" s="30"/>
      <c r="AF93" s="26"/>
      <c r="AG93" s="26"/>
      <c r="AH93" s="32"/>
      <c r="AJ93" s="8"/>
      <c r="AK93" s="2"/>
      <c r="AL93" s="26"/>
      <c r="AM93" s="26"/>
      <c r="AN93" s="26"/>
      <c r="AO93" s="27"/>
      <c r="AP93" s="30"/>
      <c r="AQ93" s="26"/>
      <c r="AR93" s="26"/>
      <c r="AS93" s="32"/>
      <c r="AT93" s="34"/>
    </row>
    <row r="94" spans="2:46" x14ac:dyDescent="0.3">
      <c r="B94" s="8"/>
      <c r="C94" s="2" t="s">
        <v>739</v>
      </c>
      <c r="D94" s="26">
        <v>0</v>
      </c>
      <c r="E94" s="26">
        <v>0</v>
      </c>
      <c r="F94" s="27">
        <v>0</v>
      </c>
      <c r="G94" s="26">
        <v>0</v>
      </c>
      <c r="H94" s="26">
        <v>0</v>
      </c>
      <c r="I94" s="27">
        <v>0</v>
      </c>
      <c r="J94" s="26">
        <v>0</v>
      </c>
      <c r="K94" s="26">
        <v>0</v>
      </c>
      <c r="L94" s="67">
        <v>1</v>
      </c>
      <c r="N94" s="8"/>
      <c r="O94" s="2" t="s">
        <v>675</v>
      </c>
      <c r="P94" s="26">
        <v>0</v>
      </c>
      <c r="Q94" s="27">
        <v>0</v>
      </c>
      <c r="R94" s="30">
        <v>0</v>
      </c>
      <c r="S94" s="27">
        <v>0</v>
      </c>
      <c r="T94" s="30">
        <v>0</v>
      </c>
      <c r="U94" s="34">
        <v>1</v>
      </c>
      <c r="V94" s="34">
        <v>1</v>
      </c>
      <c r="X94" s="8"/>
      <c r="Y94" s="2"/>
      <c r="Z94" s="26"/>
      <c r="AA94" s="26"/>
      <c r="AB94" s="26"/>
      <c r="AC94" s="26"/>
      <c r="AD94" s="27"/>
      <c r="AE94" s="30"/>
      <c r="AF94" s="26"/>
      <c r="AG94" s="26"/>
      <c r="AH94" s="32"/>
      <c r="AJ94" s="8"/>
      <c r="AK94" s="2"/>
      <c r="AL94" s="26"/>
      <c r="AM94" s="26"/>
      <c r="AN94" s="26"/>
      <c r="AO94" s="27"/>
      <c r="AP94" s="30"/>
      <c r="AQ94" s="26"/>
      <c r="AR94" s="26"/>
      <c r="AS94" s="32"/>
      <c r="AT94" s="34"/>
    </row>
    <row r="95" spans="2:46" x14ac:dyDescent="0.3">
      <c r="B95" s="8"/>
      <c r="C95" s="2" t="s">
        <v>740</v>
      </c>
      <c r="D95" s="26">
        <v>0</v>
      </c>
      <c r="E95" s="26">
        <v>0</v>
      </c>
      <c r="F95" s="27">
        <v>0</v>
      </c>
      <c r="G95" s="26">
        <v>0</v>
      </c>
      <c r="H95" s="26">
        <v>0</v>
      </c>
      <c r="I95" s="27">
        <v>0</v>
      </c>
      <c r="J95" s="26">
        <v>0</v>
      </c>
      <c r="K95" s="26">
        <v>0</v>
      </c>
      <c r="L95" s="67">
        <v>1</v>
      </c>
      <c r="N95" s="8"/>
      <c r="O95" s="2" t="s">
        <v>676</v>
      </c>
      <c r="P95" s="26">
        <v>0</v>
      </c>
      <c r="Q95" s="27">
        <v>0</v>
      </c>
      <c r="R95" s="30">
        <v>0</v>
      </c>
      <c r="S95" s="27">
        <v>0</v>
      </c>
      <c r="T95" s="30">
        <v>0</v>
      </c>
      <c r="U95" s="34">
        <v>1</v>
      </c>
      <c r="V95" s="34">
        <v>1</v>
      </c>
      <c r="X95" s="8"/>
      <c r="Y95" s="2"/>
      <c r="Z95" s="26"/>
      <c r="AA95" s="26"/>
      <c r="AB95" s="26"/>
      <c r="AC95" s="26"/>
      <c r="AD95" s="27"/>
      <c r="AE95" s="30"/>
      <c r="AF95" s="26"/>
      <c r="AG95" s="26"/>
      <c r="AH95" s="32"/>
      <c r="AJ95" s="8"/>
      <c r="AK95" s="2"/>
      <c r="AL95" s="26"/>
      <c r="AM95" s="26"/>
      <c r="AN95" s="26"/>
      <c r="AO95" s="27"/>
      <c r="AP95" s="30"/>
      <c r="AQ95" s="26"/>
      <c r="AR95" s="26"/>
      <c r="AS95" s="32"/>
      <c r="AT95" s="34"/>
    </row>
    <row r="96" spans="2:46" x14ac:dyDescent="0.3">
      <c r="B96" s="8"/>
      <c r="C96" s="2" t="s">
        <v>741</v>
      </c>
      <c r="D96" s="26">
        <v>0</v>
      </c>
      <c r="E96" s="26">
        <v>0</v>
      </c>
      <c r="F96" s="27">
        <v>0</v>
      </c>
      <c r="G96" s="26">
        <v>0</v>
      </c>
      <c r="H96" s="26">
        <v>0</v>
      </c>
      <c r="I96" s="27">
        <v>0</v>
      </c>
      <c r="J96" s="26">
        <v>0</v>
      </c>
      <c r="K96" s="26">
        <v>0</v>
      </c>
      <c r="L96" s="67">
        <v>1</v>
      </c>
      <c r="N96" s="8"/>
      <c r="O96" s="2" t="s">
        <v>677</v>
      </c>
      <c r="P96" s="26">
        <v>0</v>
      </c>
      <c r="Q96" s="27">
        <v>0</v>
      </c>
      <c r="R96" s="30">
        <v>0</v>
      </c>
      <c r="S96" s="27">
        <v>0</v>
      </c>
      <c r="T96" s="30">
        <v>0</v>
      </c>
      <c r="U96" s="34">
        <v>1</v>
      </c>
      <c r="V96" s="34">
        <v>1</v>
      </c>
      <c r="X96" s="8"/>
      <c r="Y96" s="2"/>
      <c r="Z96" s="26"/>
      <c r="AA96" s="26"/>
      <c r="AB96" s="26"/>
      <c r="AC96" s="26"/>
      <c r="AD96" s="27"/>
      <c r="AE96" s="30"/>
      <c r="AF96" s="26"/>
      <c r="AG96" s="26"/>
      <c r="AH96" s="32"/>
      <c r="AJ96" s="8"/>
      <c r="AK96" s="2"/>
      <c r="AL96" s="26"/>
      <c r="AM96" s="26"/>
      <c r="AN96" s="26"/>
      <c r="AO96" s="27"/>
      <c r="AP96" s="30"/>
      <c r="AQ96" s="26"/>
      <c r="AR96" s="26"/>
      <c r="AS96" s="32"/>
      <c r="AT96" s="34"/>
    </row>
    <row r="97" spans="2:46" x14ac:dyDescent="0.3">
      <c r="B97" s="8"/>
      <c r="C97" s="2" t="s">
        <v>742</v>
      </c>
      <c r="D97" s="26">
        <v>0</v>
      </c>
      <c r="E97" s="26">
        <v>0</v>
      </c>
      <c r="F97" s="27">
        <v>0</v>
      </c>
      <c r="G97" s="26">
        <v>0</v>
      </c>
      <c r="H97" s="26">
        <v>0</v>
      </c>
      <c r="I97" s="27">
        <v>0</v>
      </c>
      <c r="J97" s="26">
        <v>0</v>
      </c>
      <c r="K97" s="26">
        <v>0</v>
      </c>
      <c r="L97" s="67">
        <v>1</v>
      </c>
      <c r="N97" s="8"/>
      <c r="O97" s="2" t="s">
        <v>678</v>
      </c>
      <c r="P97" s="26">
        <v>0</v>
      </c>
      <c r="Q97" s="27">
        <v>0</v>
      </c>
      <c r="R97" s="30">
        <v>0</v>
      </c>
      <c r="S97" s="27">
        <v>0</v>
      </c>
      <c r="T97" s="30">
        <v>0</v>
      </c>
      <c r="U97" s="34">
        <v>1</v>
      </c>
      <c r="V97" s="34">
        <v>1</v>
      </c>
      <c r="X97" s="8"/>
      <c r="Y97" s="2"/>
      <c r="Z97" s="26"/>
      <c r="AA97" s="26"/>
      <c r="AB97" s="26"/>
      <c r="AC97" s="26"/>
      <c r="AD97" s="27"/>
      <c r="AE97" s="30"/>
      <c r="AF97" s="26"/>
      <c r="AG97" s="26"/>
      <c r="AH97" s="32"/>
      <c r="AJ97" s="8"/>
      <c r="AK97" s="2"/>
      <c r="AL97" s="26"/>
      <c r="AM97" s="26"/>
      <c r="AN97" s="26"/>
      <c r="AO97" s="27"/>
      <c r="AP97" s="30"/>
      <c r="AQ97" s="26"/>
      <c r="AR97" s="26"/>
      <c r="AS97" s="32"/>
      <c r="AT97" s="34"/>
    </row>
    <row r="98" spans="2:46" x14ac:dyDescent="0.3">
      <c r="B98" s="8"/>
      <c r="C98" s="2" t="s">
        <v>743</v>
      </c>
      <c r="D98" s="26">
        <v>0</v>
      </c>
      <c r="E98" s="26">
        <v>0</v>
      </c>
      <c r="F98" s="27">
        <v>0</v>
      </c>
      <c r="G98" s="26">
        <v>0</v>
      </c>
      <c r="H98" s="26">
        <v>0</v>
      </c>
      <c r="I98" s="27">
        <v>0</v>
      </c>
      <c r="J98" s="26">
        <v>0</v>
      </c>
      <c r="K98" s="26">
        <v>0</v>
      </c>
      <c r="L98" s="67">
        <v>1</v>
      </c>
      <c r="N98" s="8"/>
      <c r="O98" s="2" t="s">
        <v>679</v>
      </c>
      <c r="P98" s="26">
        <v>0</v>
      </c>
      <c r="Q98" s="27">
        <v>0</v>
      </c>
      <c r="R98" s="30">
        <v>0</v>
      </c>
      <c r="S98" s="27">
        <v>0</v>
      </c>
      <c r="T98" s="30">
        <v>0</v>
      </c>
      <c r="U98" s="34">
        <v>1</v>
      </c>
      <c r="V98" s="34">
        <v>1</v>
      </c>
      <c r="X98" s="8"/>
      <c r="Y98" s="2"/>
      <c r="Z98" s="26"/>
      <c r="AA98" s="26"/>
      <c r="AB98" s="26"/>
      <c r="AC98" s="26"/>
      <c r="AD98" s="27"/>
      <c r="AE98" s="30"/>
      <c r="AF98" s="26"/>
      <c r="AG98" s="26"/>
      <c r="AH98" s="32"/>
      <c r="AJ98" s="8"/>
      <c r="AK98" s="2"/>
      <c r="AL98" s="26"/>
      <c r="AM98" s="26"/>
      <c r="AN98" s="26"/>
      <c r="AO98" s="27"/>
      <c r="AP98" s="30"/>
      <c r="AQ98" s="26"/>
      <c r="AR98" s="26"/>
      <c r="AS98" s="32"/>
      <c r="AT98" s="34"/>
    </row>
    <row r="99" spans="2:46" x14ac:dyDescent="0.3">
      <c r="B99" s="8"/>
      <c r="C99" s="2" t="s">
        <v>744</v>
      </c>
      <c r="D99" s="26">
        <v>0</v>
      </c>
      <c r="E99" s="26">
        <v>0</v>
      </c>
      <c r="F99" s="27">
        <v>0</v>
      </c>
      <c r="G99" s="26">
        <v>0</v>
      </c>
      <c r="H99" s="26">
        <v>0</v>
      </c>
      <c r="I99" s="27">
        <v>0</v>
      </c>
      <c r="J99" s="26">
        <v>0</v>
      </c>
      <c r="K99" s="26">
        <v>0</v>
      </c>
      <c r="L99" s="67">
        <v>1</v>
      </c>
      <c r="N99" s="8"/>
      <c r="O99" s="2" t="s">
        <v>680</v>
      </c>
      <c r="P99" s="26">
        <v>0</v>
      </c>
      <c r="Q99" s="27">
        <v>0</v>
      </c>
      <c r="R99" s="30">
        <v>0</v>
      </c>
      <c r="S99" s="27">
        <v>0</v>
      </c>
      <c r="T99" s="30">
        <v>0</v>
      </c>
      <c r="U99" s="34">
        <v>1</v>
      </c>
      <c r="V99" s="34">
        <v>1</v>
      </c>
      <c r="X99" s="8"/>
      <c r="Y99" s="2"/>
      <c r="Z99" s="26"/>
      <c r="AA99" s="26"/>
      <c r="AB99" s="26"/>
      <c r="AC99" s="26"/>
      <c r="AD99" s="27"/>
      <c r="AE99" s="30"/>
      <c r="AF99" s="26"/>
      <c r="AG99" s="26"/>
      <c r="AH99" s="32"/>
      <c r="AJ99" s="8"/>
      <c r="AK99" s="2"/>
      <c r="AL99" s="26"/>
      <c r="AM99" s="26"/>
      <c r="AN99" s="26"/>
      <c r="AO99" s="27"/>
      <c r="AP99" s="30"/>
      <c r="AQ99" s="26"/>
      <c r="AR99" s="26"/>
      <c r="AS99" s="32"/>
      <c r="AT99" s="34"/>
    </row>
    <row r="100" spans="2:46" x14ac:dyDescent="0.3">
      <c r="B100" s="8"/>
      <c r="C100" s="2" t="s">
        <v>808</v>
      </c>
      <c r="D100" s="26">
        <v>0</v>
      </c>
      <c r="E100" s="26">
        <v>0</v>
      </c>
      <c r="F100" s="27">
        <v>0</v>
      </c>
      <c r="G100" s="26">
        <v>0</v>
      </c>
      <c r="H100" s="26">
        <v>0</v>
      </c>
      <c r="I100" s="27">
        <v>0</v>
      </c>
      <c r="J100" s="26">
        <v>0</v>
      </c>
      <c r="K100" s="26">
        <v>0</v>
      </c>
      <c r="L100" s="67">
        <v>1</v>
      </c>
      <c r="N100" s="8"/>
      <c r="O100" s="2" t="s">
        <v>851</v>
      </c>
      <c r="P100" s="26">
        <v>0</v>
      </c>
      <c r="Q100" s="27">
        <v>0</v>
      </c>
      <c r="R100" s="30">
        <v>0</v>
      </c>
      <c r="S100" s="27">
        <v>0</v>
      </c>
      <c r="T100" s="30">
        <v>0</v>
      </c>
      <c r="U100" s="34">
        <v>1</v>
      </c>
      <c r="V100" s="34">
        <v>1</v>
      </c>
      <c r="X100" s="8"/>
      <c r="Y100" s="2"/>
      <c r="Z100" s="26"/>
      <c r="AA100" s="26"/>
      <c r="AB100" s="26"/>
      <c r="AC100" s="26"/>
      <c r="AD100" s="27"/>
      <c r="AE100" s="30"/>
      <c r="AF100" s="26"/>
      <c r="AG100" s="26"/>
      <c r="AH100" s="32"/>
      <c r="AJ100" s="8"/>
      <c r="AK100" s="2"/>
      <c r="AL100" s="26"/>
      <c r="AM100" s="26"/>
      <c r="AN100" s="26"/>
      <c r="AO100" s="27"/>
      <c r="AP100" s="30"/>
      <c r="AQ100" s="26"/>
      <c r="AR100" s="26"/>
      <c r="AS100" s="32"/>
      <c r="AT100" s="34"/>
    </row>
    <row r="101" spans="2:46" x14ac:dyDescent="0.3">
      <c r="B101" s="8"/>
      <c r="C101" s="2" t="s">
        <v>745</v>
      </c>
      <c r="D101" s="26">
        <v>0</v>
      </c>
      <c r="E101" s="26">
        <v>0</v>
      </c>
      <c r="F101" s="27">
        <v>0</v>
      </c>
      <c r="G101" s="26">
        <v>0</v>
      </c>
      <c r="H101" s="26">
        <v>0</v>
      </c>
      <c r="I101" s="27">
        <v>0</v>
      </c>
      <c r="J101" s="26">
        <v>0</v>
      </c>
      <c r="K101" s="26">
        <v>0</v>
      </c>
      <c r="L101" s="67">
        <v>1</v>
      </c>
      <c r="N101" s="8"/>
      <c r="O101" s="2" t="s">
        <v>681</v>
      </c>
      <c r="P101" s="26">
        <v>0</v>
      </c>
      <c r="Q101" s="27">
        <v>0</v>
      </c>
      <c r="R101" s="30">
        <v>0</v>
      </c>
      <c r="S101" s="27">
        <v>0</v>
      </c>
      <c r="T101" s="30">
        <v>0</v>
      </c>
      <c r="U101" s="34">
        <v>1</v>
      </c>
      <c r="V101" s="34">
        <v>1</v>
      </c>
      <c r="X101" s="8"/>
      <c r="Y101" s="2"/>
      <c r="Z101" s="26"/>
      <c r="AA101" s="26"/>
      <c r="AB101" s="26"/>
      <c r="AC101" s="26"/>
      <c r="AD101" s="27"/>
      <c r="AE101" s="30"/>
      <c r="AF101" s="26"/>
      <c r="AG101" s="26"/>
      <c r="AH101" s="32"/>
      <c r="AJ101" s="8"/>
      <c r="AK101" s="2"/>
      <c r="AL101" s="26"/>
      <c r="AM101" s="26"/>
      <c r="AN101" s="26"/>
      <c r="AO101" s="27"/>
      <c r="AP101" s="30"/>
      <c r="AQ101" s="26"/>
      <c r="AR101" s="26"/>
      <c r="AS101" s="32"/>
      <c r="AT101" s="34"/>
    </row>
    <row r="102" spans="2:46" x14ac:dyDescent="0.3">
      <c r="B102" s="8"/>
      <c r="C102" s="2" t="s">
        <v>746</v>
      </c>
      <c r="D102" s="26">
        <v>0</v>
      </c>
      <c r="E102" s="26">
        <v>0</v>
      </c>
      <c r="F102" s="27">
        <v>0</v>
      </c>
      <c r="G102" s="26">
        <v>0</v>
      </c>
      <c r="H102" s="26">
        <v>0</v>
      </c>
      <c r="I102" s="27">
        <v>0</v>
      </c>
      <c r="J102" s="26">
        <v>0</v>
      </c>
      <c r="K102" s="26">
        <v>0</v>
      </c>
      <c r="L102" s="67">
        <v>1</v>
      </c>
      <c r="N102" s="8"/>
      <c r="O102" s="2" t="s">
        <v>682</v>
      </c>
      <c r="P102" s="26">
        <v>0</v>
      </c>
      <c r="Q102" s="27">
        <v>0</v>
      </c>
      <c r="R102" s="30">
        <v>0</v>
      </c>
      <c r="S102" s="27">
        <v>0</v>
      </c>
      <c r="T102" s="30">
        <v>0</v>
      </c>
      <c r="U102" s="34">
        <v>1</v>
      </c>
      <c r="V102" s="34">
        <v>1</v>
      </c>
      <c r="X102" s="8"/>
      <c r="Y102" s="2"/>
      <c r="Z102" s="26"/>
      <c r="AA102" s="26"/>
      <c r="AB102" s="26"/>
      <c r="AC102" s="26"/>
      <c r="AD102" s="27"/>
      <c r="AE102" s="30"/>
      <c r="AF102" s="26"/>
      <c r="AG102" s="26"/>
      <c r="AH102" s="32"/>
      <c r="AJ102" s="8"/>
      <c r="AK102" s="2"/>
      <c r="AL102" s="26"/>
      <c r="AM102" s="26"/>
      <c r="AN102" s="26"/>
      <c r="AO102" s="27"/>
      <c r="AP102" s="30"/>
      <c r="AQ102" s="26"/>
      <c r="AR102" s="26"/>
      <c r="AS102" s="32"/>
      <c r="AT102" s="34"/>
    </row>
    <row r="103" spans="2:46" x14ac:dyDescent="0.3">
      <c r="B103" s="8"/>
      <c r="C103" s="2" t="s">
        <v>747</v>
      </c>
      <c r="D103" s="26">
        <v>0</v>
      </c>
      <c r="E103" s="26">
        <v>0</v>
      </c>
      <c r="F103" s="27">
        <v>0</v>
      </c>
      <c r="G103" s="26">
        <v>0</v>
      </c>
      <c r="H103" s="26">
        <v>0</v>
      </c>
      <c r="I103" s="27">
        <v>0</v>
      </c>
      <c r="J103" s="26">
        <v>0</v>
      </c>
      <c r="K103" s="26">
        <v>0</v>
      </c>
      <c r="L103" s="67">
        <v>1</v>
      </c>
      <c r="N103" s="8"/>
      <c r="O103" s="2" t="s">
        <v>683</v>
      </c>
      <c r="P103" s="26">
        <v>0</v>
      </c>
      <c r="Q103" s="27">
        <v>0</v>
      </c>
      <c r="R103" s="30">
        <v>0</v>
      </c>
      <c r="S103" s="27">
        <v>0</v>
      </c>
      <c r="T103" s="30">
        <v>0</v>
      </c>
      <c r="U103" s="34">
        <v>1</v>
      </c>
      <c r="V103" s="34">
        <v>1</v>
      </c>
      <c r="X103" s="8"/>
      <c r="Y103" s="2"/>
      <c r="Z103" s="26"/>
      <c r="AA103" s="26"/>
      <c r="AB103" s="26"/>
      <c r="AC103" s="26"/>
      <c r="AD103" s="27"/>
      <c r="AE103" s="30"/>
      <c r="AF103" s="26"/>
      <c r="AG103" s="26"/>
      <c r="AH103" s="32"/>
      <c r="AJ103" s="8"/>
      <c r="AK103" s="2"/>
      <c r="AL103" s="26"/>
      <c r="AM103" s="26"/>
      <c r="AN103" s="26"/>
      <c r="AO103" s="27"/>
      <c r="AP103" s="30"/>
      <c r="AQ103" s="26"/>
      <c r="AR103" s="26"/>
      <c r="AS103" s="32"/>
      <c r="AT103" s="34"/>
    </row>
    <row r="104" spans="2:46" x14ac:dyDescent="0.3">
      <c r="B104" s="8"/>
      <c r="C104" s="2" t="s">
        <v>748</v>
      </c>
      <c r="D104" s="26">
        <v>0</v>
      </c>
      <c r="E104" s="26">
        <v>0</v>
      </c>
      <c r="F104" s="27">
        <v>0</v>
      </c>
      <c r="G104" s="26">
        <v>0</v>
      </c>
      <c r="H104" s="26">
        <v>0</v>
      </c>
      <c r="I104" s="27">
        <v>0</v>
      </c>
      <c r="J104" s="26">
        <v>0</v>
      </c>
      <c r="K104" s="26">
        <v>0</v>
      </c>
      <c r="L104" s="67">
        <v>1</v>
      </c>
      <c r="N104" s="8"/>
      <c r="O104" s="2" t="s">
        <v>684</v>
      </c>
      <c r="P104" s="26">
        <v>0</v>
      </c>
      <c r="Q104" s="27">
        <v>0</v>
      </c>
      <c r="R104" s="30">
        <v>0</v>
      </c>
      <c r="S104" s="27">
        <v>0</v>
      </c>
      <c r="T104" s="30">
        <v>0</v>
      </c>
      <c r="U104" s="34">
        <v>1</v>
      </c>
      <c r="V104" s="34">
        <v>1</v>
      </c>
      <c r="X104" s="8"/>
      <c r="Y104" s="2"/>
      <c r="Z104" s="26"/>
      <c r="AA104" s="26"/>
      <c r="AB104" s="26"/>
      <c r="AC104" s="26"/>
      <c r="AD104" s="27"/>
      <c r="AE104" s="30"/>
      <c r="AF104" s="26"/>
      <c r="AG104" s="26"/>
      <c r="AH104" s="32"/>
      <c r="AJ104" s="8"/>
      <c r="AK104" s="2"/>
      <c r="AL104" s="26"/>
      <c r="AM104" s="26"/>
      <c r="AN104" s="26"/>
      <c r="AO104" s="27"/>
      <c r="AP104" s="30"/>
      <c r="AQ104" s="26"/>
      <c r="AR104" s="26"/>
      <c r="AS104" s="32"/>
      <c r="AT104" s="34"/>
    </row>
    <row r="105" spans="2:46" x14ac:dyDescent="0.3">
      <c r="B105" s="8"/>
      <c r="C105" s="2" t="s">
        <v>749</v>
      </c>
      <c r="D105" s="26">
        <v>0</v>
      </c>
      <c r="E105" s="26">
        <v>0</v>
      </c>
      <c r="F105" s="27">
        <v>0</v>
      </c>
      <c r="G105" s="26">
        <v>0</v>
      </c>
      <c r="H105" s="26">
        <v>0</v>
      </c>
      <c r="I105" s="27">
        <v>0</v>
      </c>
      <c r="J105" s="26">
        <v>0</v>
      </c>
      <c r="K105" s="26">
        <v>0</v>
      </c>
      <c r="L105" s="67">
        <v>1</v>
      </c>
      <c r="N105" s="8"/>
      <c r="O105" s="2" t="s">
        <v>685</v>
      </c>
      <c r="P105" s="26">
        <v>0</v>
      </c>
      <c r="Q105" s="27">
        <v>0</v>
      </c>
      <c r="R105" s="30">
        <v>0</v>
      </c>
      <c r="S105" s="27">
        <v>0</v>
      </c>
      <c r="T105" s="30">
        <v>0</v>
      </c>
      <c r="U105" s="34">
        <v>1</v>
      </c>
      <c r="V105" s="34">
        <v>1</v>
      </c>
      <c r="X105" s="8"/>
      <c r="Y105" s="2"/>
      <c r="Z105" s="26"/>
      <c r="AA105" s="26"/>
      <c r="AB105" s="26"/>
      <c r="AC105" s="26"/>
      <c r="AD105" s="27"/>
      <c r="AE105" s="30"/>
      <c r="AF105" s="26"/>
      <c r="AG105" s="26"/>
      <c r="AH105" s="32"/>
      <c r="AJ105" s="8"/>
      <c r="AK105" s="2"/>
      <c r="AL105" s="26"/>
      <c r="AM105" s="26"/>
      <c r="AN105" s="26"/>
      <c r="AO105" s="27"/>
      <c r="AP105" s="30"/>
      <c r="AQ105" s="26"/>
      <c r="AR105" s="26"/>
      <c r="AS105" s="32"/>
      <c r="AT105" s="34"/>
    </row>
    <row r="106" spans="2:46" x14ac:dyDescent="0.3">
      <c r="B106" s="8"/>
      <c r="C106" s="2" t="s">
        <v>750</v>
      </c>
      <c r="D106" s="26">
        <v>0</v>
      </c>
      <c r="E106" s="26">
        <v>0</v>
      </c>
      <c r="F106" s="27">
        <v>0</v>
      </c>
      <c r="G106" s="26">
        <v>0</v>
      </c>
      <c r="H106" s="26">
        <v>0</v>
      </c>
      <c r="I106" s="27">
        <v>0</v>
      </c>
      <c r="J106" s="26">
        <v>0</v>
      </c>
      <c r="K106" s="26">
        <v>0</v>
      </c>
      <c r="L106" s="67">
        <v>1</v>
      </c>
      <c r="N106" s="8"/>
      <c r="O106" s="2" t="s">
        <v>686</v>
      </c>
      <c r="P106" s="26">
        <v>0</v>
      </c>
      <c r="Q106" s="27">
        <v>0</v>
      </c>
      <c r="R106" s="30">
        <v>0</v>
      </c>
      <c r="S106" s="27">
        <v>0</v>
      </c>
      <c r="T106" s="30">
        <v>0</v>
      </c>
      <c r="U106" s="34">
        <v>1</v>
      </c>
      <c r="V106" s="34">
        <v>1</v>
      </c>
      <c r="X106" s="8"/>
      <c r="Y106" s="2"/>
      <c r="Z106" s="26"/>
      <c r="AA106" s="26"/>
      <c r="AB106" s="26"/>
      <c r="AC106" s="26"/>
      <c r="AD106" s="27"/>
      <c r="AE106" s="30"/>
      <c r="AF106" s="26"/>
      <c r="AG106" s="26"/>
      <c r="AH106" s="32"/>
      <c r="AJ106" s="8"/>
      <c r="AK106" s="2"/>
      <c r="AL106" s="26"/>
      <c r="AM106" s="26"/>
      <c r="AN106" s="26"/>
      <c r="AO106" s="27"/>
      <c r="AP106" s="30"/>
      <c r="AQ106" s="26"/>
      <c r="AR106" s="26"/>
      <c r="AS106" s="32"/>
      <c r="AT106" s="34"/>
    </row>
    <row r="107" spans="2:46" x14ac:dyDescent="0.3">
      <c r="B107" s="8"/>
      <c r="C107" s="2" t="s">
        <v>751</v>
      </c>
      <c r="D107" s="26">
        <v>0</v>
      </c>
      <c r="E107" s="26">
        <v>0</v>
      </c>
      <c r="F107" s="27">
        <v>0</v>
      </c>
      <c r="G107" s="26">
        <v>0</v>
      </c>
      <c r="H107" s="26">
        <v>0</v>
      </c>
      <c r="I107" s="27">
        <v>0</v>
      </c>
      <c r="J107" s="26">
        <v>0</v>
      </c>
      <c r="K107" s="26">
        <v>0</v>
      </c>
      <c r="L107" s="67">
        <v>1</v>
      </c>
      <c r="N107" s="8"/>
      <c r="O107" s="2" t="s">
        <v>687</v>
      </c>
      <c r="P107" s="26">
        <v>0</v>
      </c>
      <c r="Q107" s="27">
        <v>0</v>
      </c>
      <c r="R107" s="30">
        <v>0</v>
      </c>
      <c r="S107" s="27">
        <v>0</v>
      </c>
      <c r="T107" s="30">
        <v>0</v>
      </c>
      <c r="U107" s="34">
        <v>1</v>
      </c>
      <c r="V107" s="34">
        <v>1</v>
      </c>
      <c r="X107" s="8"/>
      <c r="Y107" s="2"/>
      <c r="Z107" s="26"/>
      <c r="AA107" s="26"/>
      <c r="AB107" s="26"/>
      <c r="AC107" s="26"/>
      <c r="AD107" s="27"/>
      <c r="AE107" s="30"/>
      <c r="AF107" s="26"/>
      <c r="AG107" s="26"/>
      <c r="AH107" s="32"/>
      <c r="AJ107" s="8"/>
      <c r="AK107" s="2"/>
      <c r="AL107" s="26"/>
      <c r="AM107" s="26"/>
      <c r="AN107" s="26"/>
      <c r="AO107" s="27"/>
      <c r="AP107" s="30"/>
      <c r="AQ107" s="26"/>
      <c r="AR107" s="26"/>
      <c r="AS107" s="32"/>
      <c r="AT107" s="34"/>
    </row>
    <row r="108" spans="2:46" x14ac:dyDescent="0.3">
      <c r="B108" s="8"/>
      <c r="C108" s="2" t="s">
        <v>752</v>
      </c>
      <c r="D108" s="26">
        <v>0</v>
      </c>
      <c r="E108" s="26">
        <v>0</v>
      </c>
      <c r="F108" s="27">
        <v>0</v>
      </c>
      <c r="G108" s="26">
        <v>0</v>
      </c>
      <c r="H108" s="26">
        <v>0</v>
      </c>
      <c r="I108" s="27">
        <v>0</v>
      </c>
      <c r="J108" s="26">
        <v>0</v>
      </c>
      <c r="K108" s="26">
        <v>0</v>
      </c>
      <c r="L108" s="67">
        <v>1</v>
      </c>
      <c r="N108" s="8"/>
      <c r="O108" s="2" t="s">
        <v>688</v>
      </c>
      <c r="P108" s="26">
        <v>0</v>
      </c>
      <c r="Q108" s="27">
        <v>0</v>
      </c>
      <c r="R108" s="30">
        <v>0</v>
      </c>
      <c r="S108" s="27">
        <v>0</v>
      </c>
      <c r="T108" s="30">
        <v>0</v>
      </c>
      <c r="U108" s="34">
        <v>1</v>
      </c>
      <c r="V108" s="34">
        <v>1</v>
      </c>
      <c r="X108" s="8"/>
      <c r="Y108" s="2"/>
      <c r="Z108" s="26"/>
      <c r="AA108" s="26"/>
      <c r="AB108" s="26"/>
      <c r="AC108" s="26"/>
      <c r="AD108" s="27"/>
      <c r="AE108" s="30"/>
      <c r="AF108" s="26"/>
      <c r="AG108" s="26"/>
      <c r="AH108" s="32"/>
      <c r="AJ108" s="8"/>
      <c r="AK108" s="2"/>
      <c r="AL108" s="26"/>
      <c r="AM108" s="26"/>
      <c r="AN108" s="26"/>
      <c r="AO108" s="27"/>
      <c r="AP108" s="30"/>
      <c r="AQ108" s="26"/>
      <c r="AR108" s="26"/>
      <c r="AS108" s="32"/>
      <c r="AT108" s="34"/>
    </row>
    <row r="109" spans="2:46" x14ac:dyDescent="0.3">
      <c r="B109" s="8"/>
      <c r="C109" s="2"/>
      <c r="D109" s="26"/>
      <c r="E109" s="26"/>
      <c r="F109" s="27"/>
      <c r="G109" s="26"/>
      <c r="H109" s="26"/>
      <c r="I109" s="27"/>
      <c r="J109" s="26"/>
      <c r="K109" s="26"/>
      <c r="L109" s="67"/>
      <c r="N109" s="8"/>
      <c r="O109" s="2"/>
      <c r="P109" s="26"/>
      <c r="Q109" s="27"/>
      <c r="R109" s="30"/>
      <c r="S109" s="27"/>
      <c r="T109" s="30"/>
      <c r="U109" s="34"/>
      <c r="V109" s="34"/>
      <c r="X109" s="8"/>
      <c r="Y109" s="2"/>
      <c r="Z109" s="26"/>
      <c r="AA109" s="26"/>
      <c r="AB109" s="26"/>
      <c r="AC109" s="26"/>
      <c r="AD109" s="27"/>
      <c r="AE109" s="30"/>
      <c r="AF109" s="26"/>
      <c r="AG109" s="26"/>
      <c r="AH109" s="32"/>
      <c r="AJ109" s="8"/>
      <c r="AK109" s="2"/>
      <c r="AL109" s="26"/>
      <c r="AM109" s="26"/>
      <c r="AN109" s="26"/>
      <c r="AO109" s="27"/>
      <c r="AP109" s="30"/>
      <c r="AQ109" s="26"/>
      <c r="AR109" s="26"/>
      <c r="AS109" s="32"/>
      <c r="AT109" s="34"/>
    </row>
    <row r="110" spans="2:46" x14ac:dyDescent="0.3">
      <c r="B110" s="8"/>
      <c r="C110" s="2"/>
      <c r="D110" s="26"/>
      <c r="E110" s="26"/>
      <c r="F110" s="27"/>
      <c r="G110" s="26"/>
      <c r="H110" s="26"/>
      <c r="I110" s="27"/>
      <c r="J110" s="26"/>
      <c r="K110" s="26"/>
      <c r="L110" s="67"/>
      <c r="N110" s="8"/>
      <c r="O110" s="2"/>
      <c r="P110" s="26"/>
      <c r="Q110" s="27"/>
      <c r="R110" s="30"/>
      <c r="S110" s="27"/>
      <c r="T110" s="30"/>
      <c r="U110" s="34"/>
      <c r="V110" s="34"/>
      <c r="X110" s="8"/>
      <c r="Y110" s="2"/>
      <c r="Z110" s="26"/>
      <c r="AA110" s="26"/>
      <c r="AB110" s="26"/>
      <c r="AC110" s="26"/>
      <c r="AD110" s="27"/>
      <c r="AE110" s="30"/>
      <c r="AF110" s="26"/>
      <c r="AG110" s="26"/>
      <c r="AH110" s="32"/>
      <c r="AJ110" s="8"/>
      <c r="AK110" s="2"/>
      <c r="AL110" s="26"/>
      <c r="AM110" s="26"/>
      <c r="AN110" s="26"/>
      <c r="AO110" s="27"/>
      <c r="AP110" s="30"/>
      <c r="AQ110" s="26"/>
      <c r="AR110" s="26"/>
      <c r="AS110" s="32"/>
      <c r="AT110" s="34"/>
    </row>
    <row r="111" spans="2:46" x14ac:dyDescent="0.3">
      <c r="B111" s="8"/>
      <c r="C111" s="2"/>
      <c r="D111" s="26"/>
      <c r="E111" s="26"/>
      <c r="F111" s="27"/>
      <c r="G111" s="26"/>
      <c r="H111" s="26"/>
      <c r="I111" s="27"/>
      <c r="J111" s="26"/>
      <c r="K111" s="26"/>
      <c r="L111" s="67"/>
      <c r="N111" s="8"/>
      <c r="O111" s="2"/>
      <c r="P111" s="26"/>
      <c r="Q111" s="27"/>
      <c r="R111" s="30"/>
      <c r="S111" s="27"/>
      <c r="T111" s="30"/>
      <c r="U111" s="34"/>
      <c r="V111" s="34"/>
      <c r="X111" s="8"/>
      <c r="Y111" s="2"/>
      <c r="Z111" s="26"/>
      <c r="AA111" s="26"/>
      <c r="AB111" s="26"/>
      <c r="AC111" s="26"/>
      <c r="AD111" s="27"/>
      <c r="AE111" s="30"/>
      <c r="AF111" s="26"/>
      <c r="AG111" s="26"/>
      <c r="AH111" s="32"/>
      <c r="AJ111" s="8"/>
      <c r="AK111" s="2"/>
      <c r="AL111" s="26"/>
      <c r="AM111" s="26"/>
      <c r="AN111" s="26"/>
      <c r="AO111" s="27"/>
      <c r="AP111" s="30"/>
      <c r="AQ111" s="26"/>
      <c r="AR111" s="26"/>
      <c r="AS111" s="32"/>
      <c r="AT111" s="34"/>
    </row>
    <row r="112" spans="2:46" x14ac:dyDescent="0.3">
      <c r="B112" s="8"/>
      <c r="C112" s="2"/>
      <c r="D112" s="26"/>
      <c r="E112" s="26"/>
      <c r="F112" s="27"/>
      <c r="G112" s="26"/>
      <c r="H112" s="26"/>
      <c r="I112" s="27"/>
      <c r="J112" s="26"/>
      <c r="K112" s="26"/>
      <c r="L112" s="67"/>
      <c r="N112" s="8"/>
      <c r="O112" s="2"/>
      <c r="P112" s="26"/>
      <c r="Q112" s="27"/>
      <c r="R112" s="30"/>
      <c r="S112" s="27"/>
      <c r="T112" s="30"/>
      <c r="U112" s="34"/>
      <c r="V112" s="34"/>
      <c r="X112" s="8"/>
      <c r="Y112" s="2"/>
      <c r="Z112" s="26"/>
      <c r="AA112" s="26"/>
      <c r="AB112" s="26"/>
      <c r="AC112" s="26"/>
      <c r="AD112" s="27"/>
      <c r="AE112" s="30"/>
      <c r="AF112" s="26"/>
      <c r="AG112" s="26"/>
      <c r="AH112" s="32"/>
      <c r="AJ112" s="8"/>
      <c r="AK112" s="2"/>
      <c r="AL112" s="26"/>
      <c r="AM112" s="26"/>
      <c r="AN112" s="26"/>
      <c r="AO112" s="27"/>
      <c r="AP112" s="30"/>
      <c r="AQ112" s="26"/>
      <c r="AR112" s="26"/>
      <c r="AS112" s="32"/>
      <c r="AT112" s="34"/>
    </row>
    <row r="113" spans="2:46" x14ac:dyDescent="0.3">
      <c r="B113" s="8"/>
      <c r="C113" s="2"/>
      <c r="D113" s="26"/>
      <c r="E113" s="26"/>
      <c r="F113" s="27"/>
      <c r="G113" s="26"/>
      <c r="H113" s="26"/>
      <c r="I113" s="27"/>
      <c r="J113" s="26"/>
      <c r="K113" s="26"/>
      <c r="L113" s="67"/>
      <c r="N113" s="8"/>
      <c r="O113" s="2"/>
      <c r="P113" s="26"/>
      <c r="Q113" s="27"/>
      <c r="R113" s="30"/>
      <c r="S113" s="27"/>
      <c r="T113" s="30"/>
      <c r="U113" s="34"/>
      <c r="V113" s="34"/>
      <c r="X113" s="8"/>
      <c r="Y113" s="2"/>
      <c r="Z113" s="26"/>
      <c r="AA113" s="26"/>
      <c r="AB113" s="26"/>
      <c r="AC113" s="26"/>
      <c r="AD113" s="27"/>
      <c r="AE113" s="30"/>
      <c r="AF113" s="26"/>
      <c r="AG113" s="26"/>
      <c r="AH113" s="32"/>
      <c r="AJ113" s="8"/>
      <c r="AK113" s="2"/>
      <c r="AL113" s="26"/>
      <c r="AM113" s="26"/>
      <c r="AN113" s="26"/>
      <c r="AO113" s="27"/>
      <c r="AP113" s="30"/>
      <c r="AQ113" s="26"/>
      <c r="AR113" s="26"/>
      <c r="AS113" s="32"/>
      <c r="AT113" s="34"/>
    </row>
    <row r="114" spans="2:46" x14ac:dyDescent="0.3">
      <c r="B114" s="8"/>
      <c r="C114" s="2"/>
      <c r="D114" s="26"/>
      <c r="E114" s="26"/>
      <c r="F114" s="27"/>
      <c r="G114" s="26"/>
      <c r="H114" s="26"/>
      <c r="I114" s="27"/>
      <c r="J114" s="26"/>
      <c r="K114" s="26"/>
      <c r="L114" s="67"/>
      <c r="N114" s="8"/>
      <c r="O114" s="2"/>
      <c r="P114" s="26"/>
      <c r="Q114" s="27"/>
      <c r="R114" s="30"/>
      <c r="S114" s="27"/>
      <c r="T114" s="30"/>
      <c r="U114" s="34"/>
      <c r="V114" s="34"/>
      <c r="X114" s="8"/>
      <c r="Y114" s="2"/>
      <c r="Z114" s="26"/>
      <c r="AA114" s="26"/>
      <c r="AB114" s="26"/>
      <c r="AC114" s="26"/>
      <c r="AD114" s="27"/>
      <c r="AE114" s="30"/>
      <c r="AF114" s="26"/>
      <c r="AG114" s="26"/>
      <c r="AH114" s="32"/>
      <c r="AJ114" s="8"/>
      <c r="AK114" s="2"/>
      <c r="AL114" s="26"/>
      <c r="AM114" s="26"/>
      <c r="AN114" s="26"/>
      <c r="AO114" s="27"/>
      <c r="AP114" s="30"/>
      <c r="AQ114" s="26"/>
      <c r="AR114" s="26"/>
      <c r="AS114" s="32"/>
      <c r="AT114" s="34"/>
    </row>
    <row r="115" spans="2:46" x14ac:dyDescent="0.3">
      <c r="B115" s="8"/>
      <c r="C115" s="2"/>
      <c r="D115" s="26"/>
      <c r="E115" s="26"/>
      <c r="F115" s="27"/>
      <c r="G115" s="26"/>
      <c r="H115" s="26"/>
      <c r="I115" s="27"/>
      <c r="J115" s="26"/>
      <c r="K115" s="26"/>
      <c r="L115" s="67"/>
      <c r="N115" s="8"/>
      <c r="O115" s="2"/>
      <c r="P115" s="26"/>
      <c r="Q115" s="27"/>
      <c r="R115" s="30"/>
      <c r="S115" s="27"/>
      <c r="T115" s="30"/>
      <c r="U115" s="34"/>
      <c r="V115" s="34"/>
      <c r="X115" s="8"/>
      <c r="Y115" s="2"/>
      <c r="Z115" s="26"/>
      <c r="AA115" s="26"/>
      <c r="AB115" s="26"/>
      <c r="AC115" s="26"/>
      <c r="AD115" s="27"/>
      <c r="AE115" s="30"/>
      <c r="AF115" s="26"/>
      <c r="AG115" s="26"/>
      <c r="AH115" s="32"/>
      <c r="AJ115" s="8"/>
      <c r="AK115" s="2"/>
      <c r="AL115" s="26"/>
      <c r="AM115" s="26"/>
      <c r="AN115" s="26"/>
      <c r="AO115" s="27"/>
      <c r="AP115" s="30"/>
      <c r="AQ115" s="26"/>
      <c r="AR115" s="26"/>
      <c r="AS115" s="32"/>
      <c r="AT115" s="34"/>
    </row>
    <row r="116" spans="2:46" x14ac:dyDescent="0.3">
      <c r="B116" s="8"/>
      <c r="C116" s="2"/>
      <c r="D116" s="26"/>
      <c r="E116" s="26"/>
      <c r="F116" s="27"/>
      <c r="G116" s="26"/>
      <c r="H116" s="26"/>
      <c r="I116" s="27"/>
      <c r="J116" s="26"/>
      <c r="K116" s="26"/>
      <c r="L116" s="67"/>
      <c r="N116" s="8"/>
      <c r="O116" s="2"/>
      <c r="P116" s="26"/>
      <c r="Q116" s="27"/>
      <c r="R116" s="30"/>
      <c r="S116" s="27"/>
      <c r="T116" s="30"/>
      <c r="U116" s="34"/>
      <c r="V116" s="34"/>
      <c r="X116" s="8"/>
      <c r="Y116" s="2"/>
      <c r="Z116" s="26"/>
      <c r="AA116" s="26"/>
      <c r="AB116" s="26"/>
      <c r="AC116" s="26"/>
      <c r="AD116" s="27"/>
      <c r="AE116" s="30"/>
      <c r="AF116" s="26"/>
      <c r="AG116" s="26"/>
      <c r="AH116" s="32"/>
      <c r="AJ116" s="8"/>
      <c r="AK116" s="2"/>
      <c r="AL116" s="26"/>
      <c r="AM116" s="26"/>
      <c r="AN116" s="26"/>
      <c r="AO116" s="27"/>
      <c r="AP116" s="30"/>
      <c r="AQ116" s="26"/>
      <c r="AR116" s="26"/>
      <c r="AS116" s="32"/>
      <c r="AT116" s="34"/>
    </row>
    <row r="117" spans="2:46" x14ac:dyDescent="0.3">
      <c r="B117" s="8"/>
      <c r="C117" s="2"/>
      <c r="D117" s="26"/>
      <c r="E117" s="26"/>
      <c r="F117" s="27"/>
      <c r="G117" s="26"/>
      <c r="H117" s="26"/>
      <c r="I117" s="27"/>
      <c r="J117" s="26"/>
      <c r="K117" s="26"/>
      <c r="L117" s="67"/>
      <c r="N117" s="8"/>
      <c r="O117" s="2"/>
      <c r="P117" s="26"/>
      <c r="Q117" s="27"/>
      <c r="R117" s="30"/>
      <c r="S117" s="27"/>
      <c r="T117" s="30"/>
      <c r="U117" s="34"/>
      <c r="V117" s="34"/>
      <c r="X117" s="8"/>
      <c r="Y117" s="2"/>
      <c r="Z117" s="26"/>
      <c r="AA117" s="26"/>
      <c r="AB117" s="26"/>
      <c r="AC117" s="26"/>
      <c r="AD117" s="27"/>
      <c r="AE117" s="30"/>
      <c r="AF117" s="26"/>
      <c r="AG117" s="26"/>
      <c r="AH117" s="32"/>
      <c r="AJ117" s="8"/>
      <c r="AK117" s="2"/>
      <c r="AL117" s="26"/>
      <c r="AM117" s="26"/>
      <c r="AN117" s="26"/>
      <c r="AO117" s="27"/>
      <c r="AP117" s="30"/>
      <c r="AQ117" s="26"/>
      <c r="AR117" s="26"/>
      <c r="AS117" s="32"/>
      <c r="AT117" s="34"/>
    </row>
    <row r="118" spans="2:46" x14ac:dyDescent="0.3">
      <c r="B118" s="8"/>
      <c r="C118" s="2"/>
      <c r="D118" s="26"/>
      <c r="E118" s="26"/>
      <c r="F118" s="27"/>
      <c r="G118" s="26"/>
      <c r="H118" s="26"/>
      <c r="I118" s="27"/>
      <c r="J118" s="26"/>
      <c r="K118" s="26"/>
      <c r="L118" s="67"/>
      <c r="N118" s="8"/>
      <c r="O118" s="2"/>
      <c r="P118" s="26"/>
      <c r="Q118" s="27"/>
      <c r="R118" s="30"/>
      <c r="S118" s="27"/>
      <c r="T118" s="30"/>
      <c r="U118" s="34"/>
      <c r="V118" s="34"/>
      <c r="X118" s="8"/>
      <c r="Y118" s="2"/>
      <c r="Z118" s="26"/>
      <c r="AA118" s="26"/>
      <c r="AB118" s="26"/>
      <c r="AC118" s="26"/>
      <c r="AD118" s="27"/>
      <c r="AE118" s="30"/>
      <c r="AF118" s="26"/>
      <c r="AG118" s="26"/>
      <c r="AH118" s="32"/>
      <c r="AJ118" s="8"/>
      <c r="AK118" s="2"/>
      <c r="AL118" s="26"/>
      <c r="AM118" s="26"/>
      <c r="AN118" s="26"/>
      <c r="AO118" s="27"/>
      <c r="AP118" s="30"/>
      <c r="AQ118" s="26"/>
      <c r="AR118" s="26"/>
      <c r="AS118" s="32"/>
      <c r="AT118" s="34"/>
    </row>
    <row r="119" spans="2:46" x14ac:dyDescent="0.3">
      <c r="B119" s="8"/>
      <c r="C119" s="2"/>
      <c r="D119" s="26"/>
      <c r="E119" s="26"/>
      <c r="F119" s="27"/>
      <c r="G119" s="26"/>
      <c r="H119" s="26"/>
      <c r="I119" s="27"/>
      <c r="J119" s="26"/>
      <c r="K119" s="26"/>
      <c r="L119" s="67"/>
      <c r="N119" s="8"/>
      <c r="O119" s="2"/>
      <c r="P119" s="26"/>
      <c r="Q119" s="27"/>
      <c r="R119" s="30"/>
      <c r="S119" s="27"/>
      <c r="T119" s="30"/>
      <c r="U119" s="34"/>
      <c r="V119" s="34"/>
      <c r="X119" s="8"/>
      <c r="Y119" s="2"/>
      <c r="Z119" s="26"/>
      <c r="AA119" s="26"/>
      <c r="AB119" s="26"/>
      <c r="AC119" s="26"/>
      <c r="AD119" s="27"/>
      <c r="AE119" s="30"/>
      <c r="AF119" s="26"/>
      <c r="AG119" s="26"/>
      <c r="AH119" s="32"/>
      <c r="AJ119" s="8"/>
      <c r="AK119" s="2"/>
      <c r="AL119" s="26"/>
      <c r="AM119" s="26"/>
      <c r="AN119" s="26"/>
      <c r="AO119" s="27"/>
      <c r="AP119" s="30"/>
      <c r="AQ119" s="26"/>
      <c r="AR119" s="26"/>
      <c r="AS119" s="32"/>
      <c r="AT119" s="34"/>
    </row>
    <row r="120" spans="2:46" x14ac:dyDescent="0.3">
      <c r="B120" s="8"/>
      <c r="C120" s="2"/>
      <c r="D120" s="26"/>
      <c r="E120" s="26"/>
      <c r="F120" s="27"/>
      <c r="G120" s="26"/>
      <c r="H120" s="26"/>
      <c r="I120" s="27"/>
      <c r="J120" s="26"/>
      <c r="K120" s="26"/>
      <c r="L120" s="67"/>
      <c r="N120" s="8"/>
      <c r="O120" s="2"/>
      <c r="P120" s="26"/>
      <c r="Q120" s="27"/>
      <c r="R120" s="30"/>
      <c r="S120" s="27"/>
      <c r="T120" s="30"/>
      <c r="U120" s="34"/>
      <c r="V120" s="34"/>
      <c r="X120" s="8"/>
      <c r="Y120" s="2"/>
      <c r="Z120" s="26"/>
      <c r="AA120" s="26"/>
      <c r="AB120" s="26"/>
      <c r="AC120" s="26"/>
      <c r="AD120" s="27"/>
      <c r="AE120" s="30"/>
      <c r="AF120" s="26"/>
      <c r="AG120" s="26"/>
      <c r="AH120" s="32"/>
      <c r="AJ120" s="8"/>
      <c r="AK120" s="2"/>
      <c r="AL120" s="26"/>
      <c r="AM120" s="26"/>
      <c r="AN120" s="26"/>
      <c r="AO120" s="27"/>
      <c r="AP120" s="30"/>
      <c r="AQ120" s="26"/>
      <c r="AR120" s="26"/>
      <c r="AS120" s="32"/>
      <c r="AT120" s="34"/>
    </row>
    <row r="121" spans="2:46" x14ac:dyDescent="0.3">
      <c r="B121" s="8"/>
      <c r="C121" s="2"/>
      <c r="D121" s="26"/>
      <c r="E121" s="26"/>
      <c r="F121" s="27"/>
      <c r="G121" s="26"/>
      <c r="H121" s="26"/>
      <c r="I121" s="27"/>
      <c r="J121" s="26"/>
      <c r="K121" s="26"/>
      <c r="L121" s="67"/>
      <c r="N121" s="8"/>
      <c r="O121" s="2"/>
      <c r="P121" s="26"/>
      <c r="Q121" s="27"/>
      <c r="R121" s="30"/>
      <c r="S121" s="27"/>
      <c r="T121" s="30"/>
      <c r="U121" s="34"/>
      <c r="V121" s="34"/>
      <c r="X121" s="8"/>
      <c r="Y121" s="2"/>
      <c r="Z121" s="26"/>
      <c r="AA121" s="26"/>
      <c r="AB121" s="26"/>
      <c r="AC121" s="26"/>
      <c r="AD121" s="27"/>
      <c r="AE121" s="30"/>
      <c r="AF121" s="26"/>
      <c r="AG121" s="26"/>
      <c r="AH121" s="32"/>
      <c r="AJ121" s="8"/>
      <c r="AK121" s="2"/>
      <c r="AL121" s="26"/>
      <c r="AM121" s="26"/>
      <c r="AN121" s="26"/>
      <c r="AO121" s="27"/>
      <c r="AP121" s="30"/>
      <c r="AQ121" s="26"/>
      <c r="AR121" s="26"/>
      <c r="AS121" s="32"/>
      <c r="AT121" s="34"/>
    </row>
    <row r="122" spans="2:46" x14ac:dyDescent="0.3">
      <c r="B122" s="8"/>
      <c r="C122" s="2"/>
      <c r="D122" s="26"/>
      <c r="E122" s="26"/>
      <c r="F122" s="27"/>
      <c r="G122" s="26"/>
      <c r="H122" s="26"/>
      <c r="I122" s="27"/>
      <c r="J122" s="26"/>
      <c r="K122" s="26"/>
      <c r="L122" s="67"/>
      <c r="N122" s="8"/>
      <c r="O122" s="2"/>
      <c r="P122" s="26"/>
      <c r="Q122" s="27"/>
      <c r="R122" s="30"/>
      <c r="S122" s="27"/>
      <c r="T122" s="30"/>
      <c r="U122" s="34"/>
      <c r="V122" s="34"/>
      <c r="X122" s="8"/>
      <c r="Y122" s="2"/>
      <c r="Z122" s="26"/>
      <c r="AA122" s="26"/>
      <c r="AB122" s="26"/>
      <c r="AC122" s="26"/>
      <c r="AD122" s="27"/>
      <c r="AE122" s="30"/>
      <c r="AF122" s="26"/>
      <c r="AG122" s="26"/>
      <c r="AH122" s="32"/>
      <c r="AJ122" s="8"/>
      <c r="AK122" s="2"/>
      <c r="AL122" s="26"/>
      <c r="AM122" s="26"/>
      <c r="AN122" s="26"/>
      <c r="AO122" s="27"/>
      <c r="AP122" s="30"/>
      <c r="AQ122" s="26"/>
      <c r="AR122" s="26"/>
      <c r="AS122" s="32"/>
      <c r="AT122" s="34"/>
    </row>
    <row r="123" spans="2:46" x14ac:dyDescent="0.3">
      <c r="B123" s="8"/>
      <c r="C123" s="2"/>
      <c r="D123" s="26"/>
      <c r="E123" s="26"/>
      <c r="F123" s="27"/>
      <c r="G123" s="26"/>
      <c r="H123" s="26"/>
      <c r="I123" s="27"/>
      <c r="J123" s="26"/>
      <c r="K123" s="26"/>
      <c r="L123" s="67"/>
      <c r="N123" s="8"/>
      <c r="O123" s="2"/>
      <c r="P123" s="26"/>
      <c r="Q123" s="27"/>
      <c r="R123" s="30"/>
      <c r="S123" s="27"/>
      <c r="T123" s="30"/>
      <c r="U123" s="34"/>
      <c r="V123" s="34"/>
      <c r="X123" s="8"/>
      <c r="Y123" s="2"/>
      <c r="Z123" s="26"/>
      <c r="AA123" s="26"/>
      <c r="AB123" s="26"/>
      <c r="AC123" s="26"/>
      <c r="AD123" s="27"/>
      <c r="AE123" s="30"/>
      <c r="AF123" s="26"/>
      <c r="AG123" s="26"/>
      <c r="AH123" s="32"/>
      <c r="AJ123" s="8"/>
      <c r="AK123" s="2"/>
      <c r="AL123" s="26"/>
      <c r="AM123" s="26"/>
      <c r="AN123" s="26"/>
      <c r="AO123" s="27"/>
      <c r="AP123" s="30"/>
      <c r="AQ123" s="26"/>
      <c r="AR123" s="26"/>
      <c r="AS123" s="32"/>
      <c r="AT123" s="34"/>
    </row>
    <row r="124" spans="2:46" x14ac:dyDescent="0.3">
      <c r="B124" s="8"/>
      <c r="C124" s="2"/>
      <c r="D124" s="26"/>
      <c r="E124" s="26"/>
      <c r="F124" s="27"/>
      <c r="G124" s="26"/>
      <c r="H124" s="26"/>
      <c r="I124" s="27"/>
      <c r="J124" s="26"/>
      <c r="K124" s="26"/>
      <c r="L124" s="67"/>
      <c r="N124" s="8"/>
      <c r="O124" s="2"/>
      <c r="P124" s="26"/>
      <c r="Q124" s="27"/>
      <c r="R124" s="30"/>
      <c r="S124" s="27"/>
      <c r="T124" s="30"/>
      <c r="U124" s="34"/>
      <c r="V124" s="34"/>
      <c r="X124" s="8"/>
      <c r="Y124" s="2"/>
      <c r="Z124" s="26"/>
      <c r="AA124" s="26"/>
      <c r="AB124" s="26"/>
      <c r="AC124" s="26"/>
      <c r="AD124" s="27"/>
      <c r="AE124" s="30"/>
      <c r="AF124" s="26"/>
      <c r="AG124" s="26"/>
      <c r="AH124" s="32"/>
      <c r="AJ124" s="8"/>
      <c r="AK124" s="2"/>
      <c r="AL124" s="26"/>
      <c r="AM124" s="26"/>
      <c r="AN124" s="26"/>
      <c r="AO124" s="27"/>
      <c r="AP124" s="30"/>
      <c r="AQ124" s="26"/>
      <c r="AR124" s="26"/>
      <c r="AS124" s="32"/>
      <c r="AT124" s="34"/>
    </row>
    <row r="125" spans="2:46" x14ac:dyDescent="0.3">
      <c r="B125" s="8"/>
      <c r="C125" s="2"/>
      <c r="D125" s="26"/>
      <c r="E125" s="26"/>
      <c r="F125" s="27"/>
      <c r="G125" s="26"/>
      <c r="H125" s="26"/>
      <c r="I125" s="27"/>
      <c r="J125" s="26"/>
      <c r="K125" s="26"/>
      <c r="L125" s="67"/>
      <c r="N125" s="8"/>
      <c r="O125" s="2"/>
      <c r="P125" s="26"/>
      <c r="Q125" s="27"/>
      <c r="R125" s="30"/>
      <c r="S125" s="27"/>
      <c r="T125" s="30"/>
      <c r="U125" s="34"/>
      <c r="V125" s="34"/>
      <c r="X125" s="8"/>
      <c r="Y125" s="2"/>
      <c r="Z125" s="26"/>
      <c r="AA125" s="26"/>
      <c r="AB125" s="26"/>
      <c r="AC125" s="26"/>
      <c r="AD125" s="27"/>
      <c r="AE125" s="30"/>
      <c r="AF125" s="26"/>
      <c r="AG125" s="26"/>
      <c r="AH125" s="32"/>
      <c r="AJ125" s="8"/>
      <c r="AK125" s="2"/>
      <c r="AL125" s="26"/>
      <c r="AM125" s="26"/>
      <c r="AN125" s="26"/>
      <c r="AO125" s="27"/>
      <c r="AP125" s="30"/>
      <c r="AQ125" s="26"/>
      <c r="AR125" s="26"/>
      <c r="AS125" s="32"/>
      <c r="AT125" s="34"/>
    </row>
    <row r="126" spans="2:46" x14ac:dyDescent="0.3">
      <c r="B126" s="8"/>
      <c r="C126" s="2"/>
      <c r="D126" s="26"/>
      <c r="E126" s="26"/>
      <c r="F126" s="27"/>
      <c r="G126" s="26"/>
      <c r="H126" s="26"/>
      <c r="I126" s="27"/>
      <c r="J126" s="26"/>
      <c r="K126" s="26"/>
      <c r="L126" s="67"/>
      <c r="N126" s="8"/>
      <c r="O126" s="2"/>
      <c r="P126" s="26"/>
      <c r="Q126" s="27"/>
      <c r="R126" s="30"/>
      <c r="S126" s="27"/>
      <c r="T126" s="30"/>
      <c r="U126" s="34"/>
      <c r="V126" s="34"/>
      <c r="X126" s="8"/>
      <c r="Y126" s="2"/>
      <c r="Z126" s="26"/>
      <c r="AA126" s="26"/>
      <c r="AB126" s="26"/>
      <c r="AC126" s="26"/>
      <c r="AD126" s="27"/>
      <c r="AE126" s="30"/>
      <c r="AF126" s="26"/>
      <c r="AG126" s="26"/>
      <c r="AH126" s="32"/>
      <c r="AJ126" s="8"/>
      <c r="AK126" s="2"/>
      <c r="AL126" s="26"/>
      <c r="AM126" s="26"/>
      <c r="AN126" s="26"/>
      <c r="AO126" s="27"/>
      <c r="AP126" s="30"/>
      <c r="AQ126" s="26"/>
      <c r="AR126" s="26"/>
      <c r="AS126" s="32"/>
      <c r="AT126" s="34"/>
    </row>
    <row r="127" spans="2:46" x14ac:dyDescent="0.3">
      <c r="B127" s="8"/>
      <c r="C127" s="2"/>
      <c r="D127" s="26"/>
      <c r="E127" s="26"/>
      <c r="F127" s="27"/>
      <c r="G127" s="26"/>
      <c r="H127" s="26"/>
      <c r="I127" s="27"/>
      <c r="J127" s="26"/>
      <c r="K127" s="26"/>
      <c r="L127" s="67"/>
      <c r="N127" s="8"/>
      <c r="O127" s="2"/>
      <c r="P127" s="26"/>
      <c r="Q127" s="27"/>
      <c r="R127" s="30"/>
      <c r="S127" s="27"/>
      <c r="T127" s="30"/>
      <c r="U127" s="34"/>
      <c r="V127" s="34"/>
      <c r="X127" s="8"/>
      <c r="Y127" s="2"/>
      <c r="Z127" s="26"/>
      <c r="AA127" s="26"/>
      <c r="AB127" s="26"/>
      <c r="AC127" s="26"/>
      <c r="AD127" s="27"/>
      <c r="AE127" s="30"/>
      <c r="AF127" s="26"/>
      <c r="AG127" s="26"/>
      <c r="AH127" s="32"/>
      <c r="AJ127" s="8"/>
      <c r="AK127" s="2"/>
      <c r="AL127" s="26"/>
      <c r="AM127" s="26"/>
      <c r="AN127" s="26"/>
      <c r="AO127" s="27"/>
      <c r="AP127" s="30"/>
      <c r="AQ127" s="26"/>
      <c r="AR127" s="26"/>
      <c r="AS127" s="32"/>
      <c r="AT127" s="34"/>
    </row>
    <row r="128" spans="2:46" x14ac:dyDescent="0.3">
      <c r="B128" s="8"/>
      <c r="C128" s="2"/>
      <c r="D128" s="26"/>
      <c r="E128" s="26"/>
      <c r="F128" s="27"/>
      <c r="G128" s="26"/>
      <c r="H128" s="26"/>
      <c r="I128" s="27"/>
      <c r="J128" s="26"/>
      <c r="K128" s="26"/>
      <c r="L128" s="67"/>
      <c r="N128" s="8"/>
      <c r="O128" s="2"/>
      <c r="P128" s="26"/>
      <c r="Q128" s="27"/>
      <c r="R128" s="30"/>
      <c r="S128" s="27"/>
      <c r="T128" s="30"/>
      <c r="U128" s="34"/>
      <c r="V128" s="34"/>
      <c r="X128" s="8"/>
      <c r="Y128" s="2"/>
      <c r="Z128" s="26"/>
      <c r="AA128" s="26"/>
      <c r="AB128" s="26"/>
      <c r="AC128" s="26"/>
      <c r="AD128" s="27"/>
      <c r="AE128" s="30"/>
      <c r="AF128" s="26"/>
      <c r="AG128" s="26"/>
      <c r="AH128" s="32"/>
      <c r="AJ128" s="8"/>
      <c r="AK128" s="2"/>
      <c r="AL128" s="26"/>
      <c r="AM128" s="26"/>
      <c r="AN128" s="26"/>
      <c r="AO128" s="27"/>
      <c r="AP128" s="30"/>
      <c r="AQ128" s="26"/>
      <c r="AR128" s="26"/>
      <c r="AS128" s="32"/>
      <c r="AT128" s="34"/>
    </row>
    <row r="129" spans="2:46" x14ac:dyDescent="0.3">
      <c r="B129" s="8"/>
      <c r="C129" s="2"/>
      <c r="D129" s="26"/>
      <c r="E129" s="26"/>
      <c r="F129" s="27"/>
      <c r="G129" s="26"/>
      <c r="H129" s="26"/>
      <c r="I129" s="27"/>
      <c r="J129" s="26"/>
      <c r="K129" s="26"/>
      <c r="L129" s="67"/>
      <c r="N129" s="8"/>
      <c r="O129" s="2"/>
      <c r="P129" s="26"/>
      <c r="Q129" s="27"/>
      <c r="R129" s="30"/>
      <c r="S129" s="27"/>
      <c r="T129" s="30"/>
      <c r="U129" s="34"/>
      <c r="V129" s="34"/>
      <c r="X129" s="8"/>
      <c r="Y129" s="2"/>
      <c r="Z129" s="26"/>
      <c r="AA129" s="26"/>
      <c r="AB129" s="26"/>
      <c r="AC129" s="26"/>
      <c r="AD129" s="27"/>
      <c r="AE129" s="30"/>
      <c r="AF129" s="26"/>
      <c r="AG129" s="26"/>
      <c r="AH129" s="32"/>
      <c r="AJ129" s="8"/>
      <c r="AK129" s="2"/>
      <c r="AL129" s="26"/>
      <c r="AM129" s="26"/>
      <c r="AN129" s="26"/>
      <c r="AO129" s="27"/>
      <c r="AP129" s="30"/>
      <c r="AQ129" s="26"/>
      <c r="AR129" s="26"/>
      <c r="AS129" s="32"/>
      <c r="AT129" s="34"/>
    </row>
    <row r="130" spans="2:46" x14ac:dyDescent="0.3">
      <c r="B130" s="8"/>
      <c r="C130" s="2"/>
      <c r="D130" s="26"/>
      <c r="E130" s="26"/>
      <c r="F130" s="27"/>
      <c r="G130" s="26"/>
      <c r="H130" s="26"/>
      <c r="I130" s="27"/>
      <c r="J130" s="26"/>
      <c r="K130" s="26"/>
      <c r="L130" s="67"/>
      <c r="N130" s="8"/>
      <c r="O130" s="2"/>
      <c r="P130" s="26"/>
      <c r="Q130" s="27"/>
      <c r="R130" s="30"/>
      <c r="S130" s="27"/>
      <c r="T130" s="30"/>
      <c r="U130" s="34"/>
      <c r="V130" s="34"/>
      <c r="X130" s="8"/>
      <c r="Y130" s="2"/>
      <c r="Z130" s="26"/>
      <c r="AA130" s="26"/>
      <c r="AB130" s="26"/>
      <c r="AC130" s="26"/>
      <c r="AD130" s="27"/>
      <c r="AE130" s="30"/>
      <c r="AF130" s="26"/>
      <c r="AG130" s="26"/>
      <c r="AH130" s="32"/>
      <c r="AJ130" s="8"/>
      <c r="AK130" s="2"/>
      <c r="AL130" s="26"/>
      <c r="AM130" s="26"/>
      <c r="AN130" s="26"/>
      <c r="AO130" s="27"/>
      <c r="AP130" s="30"/>
      <c r="AQ130" s="26"/>
      <c r="AR130" s="26"/>
      <c r="AS130" s="32"/>
      <c r="AT130" s="34"/>
    </row>
    <row r="131" spans="2:46" x14ac:dyDescent="0.3">
      <c r="B131" s="8"/>
      <c r="C131" s="2"/>
      <c r="D131" s="26"/>
      <c r="E131" s="26"/>
      <c r="F131" s="27"/>
      <c r="G131" s="26"/>
      <c r="H131" s="26"/>
      <c r="I131" s="27"/>
      <c r="J131" s="26"/>
      <c r="K131" s="26"/>
      <c r="L131" s="67"/>
      <c r="N131" s="8"/>
      <c r="O131" s="2"/>
      <c r="P131" s="26"/>
      <c r="Q131" s="27"/>
      <c r="R131" s="30"/>
      <c r="S131" s="27"/>
      <c r="T131" s="30"/>
      <c r="U131" s="34"/>
      <c r="V131" s="34"/>
      <c r="X131" s="8"/>
      <c r="Y131" s="2"/>
      <c r="Z131" s="26"/>
      <c r="AA131" s="26"/>
      <c r="AB131" s="26"/>
      <c r="AC131" s="26"/>
      <c r="AD131" s="27"/>
      <c r="AE131" s="30"/>
      <c r="AF131" s="26"/>
      <c r="AG131" s="26"/>
      <c r="AH131" s="32"/>
      <c r="AJ131" s="8"/>
      <c r="AK131" s="2"/>
      <c r="AL131" s="26"/>
      <c r="AM131" s="26"/>
      <c r="AN131" s="26"/>
      <c r="AO131" s="27"/>
      <c r="AP131" s="30"/>
      <c r="AQ131" s="26"/>
      <c r="AR131" s="26"/>
      <c r="AS131" s="32"/>
      <c r="AT131" s="34"/>
    </row>
    <row r="132" spans="2:46" x14ac:dyDescent="0.3">
      <c r="B132" s="8"/>
      <c r="C132" s="2"/>
      <c r="D132" s="26"/>
      <c r="E132" s="26"/>
      <c r="F132" s="27"/>
      <c r="G132" s="26"/>
      <c r="H132" s="26"/>
      <c r="I132" s="27"/>
      <c r="J132" s="26"/>
      <c r="K132" s="26"/>
      <c r="L132" s="67"/>
      <c r="N132" s="8"/>
      <c r="O132" s="2"/>
      <c r="P132" s="26"/>
      <c r="Q132" s="27"/>
      <c r="R132" s="30"/>
      <c r="S132" s="27"/>
      <c r="T132" s="30"/>
      <c r="U132" s="34"/>
      <c r="V132" s="34"/>
      <c r="X132" s="8"/>
      <c r="Y132" s="2"/>
      <c r="Z132" s="26"/>
      <c r="AA132" s="26"/>
      <c r="AB132" s="26"/>
      <c r="AC132" s="26"/>
      <c r="AD132" s="27"/>
      <c r="AE132" s="30"/>
      <c r="AF132" s="26"/>
      <c r="AG132" s="26"/>
      <c r="AH132" s="32"/>
      <c r="AJ132" s="8"/>
      <c r="AK132" s="2"/>
      <c r="AL132" s="26"/>
      <c r="AM132" s="26"/>
      <c r="AN132" s="26"/>
      <c r="AO132" s="27"/>
      <c r="AP132" s="30"/>
      <c r="AQ132" s="26"/>
      <c r="AR132" s="26"/>
      <c r="AS132" s="32"/>
      <c r="AT132" s="34"/>
    </row>
    <row r="133" spans="2:46" x14ac:dyDescent="0.3">
      <c r="B133" s="8"/>
      <c r="C133" s="2"/>
      <c r="D133" s="26"/>
      <c r="E133" s="26"/>
      <c r="F133" s="27"/>
      <c r="G133" s="26"/>
      <c r="H133" s="26"/>
      <c r="I133" s="27"/>
      <c r="J133" s="26"/>
      <c r="K133" s="26"/>
      <c r="L133" s="67"/>
      <c r="N133" s="8"/>
      <c r="O133" s="2"/>
      <c r="P133" s="26"/>
      <c r="Q133" s="27"/>
      <c r="R133" s="30"/>
      <c r="S133" s="27"/>
      <c r="T133" s="30"/>
      <c r="U133" s="34"/>
      <c r="V133" s="34"/>
      <c r="X133" s="8"/>
      <c r="Y133" s="2"/>
      <c r="Z133" s="26"/>
      <c r="AA133" s="26"/>
      <c r="AB133" s="26"/>
      <c r="AC133" s="26"/>
      <c r="AD133" s="27"/>
      <c r="AE133" s="30"/>
      <c r="AF133" s="26"/>
      <c r="AG133" s="26"/>
      <c r="AH133" s="32"/>
      <c r="AJ133" s="8"/>
      <c r="AK133" s="2"/>
      <c r="AL133" s="26"/>
      <c r="AM133" s="26"/>
      <c r="AN133" s="26"/>
      <c r="AO133" s="27"/>
      <c r="AP133" s="30"/>
      <c r="AQ133" s="26"/>
      <c r="AR133" s="26"/>
      <c r="AS133" s="32"/>
      <c r="AT133" s="34"/>
    </row>
    <row r="134" spans="2:46" x14ac:dyDescent="0.3">
      <c r="B134" s="8"/>
      <c r="C134" s="2"/>
      <c r="D134" s="26"/>
      <c r="E134" s="26"/>
      <c r="F134" s="27"/>
      <c r="G134" s="26"/>
      <c r="H134" s="26"/>
      <c r="I134" s="27"/>
      <c r="J134" s="26"/>
      <c r="K134" s="26"/>
      <c r="L134" s="67"/>
      <c r="N134" s="8"/>
      <c r="O134" s="2"/>
      <c r="P134" s="26"/>
      <c r="Q134" s="27"/>
      <c r="R134" s="30"/>
      <c r="S134" s="27"/>
      <c r="T134" s="30"/>
      <c r="U134" s="34"/>
      <c r="V134" s="34"/>
      <c r="X134" s="8"/>
      <c r="Y134" s="2"/>
      <c r="Z134" s="26"/>
      <c r="AA134" s="26"/>
      <c r="AB134" s="26"/>
      <c r="AC134" s="26"/>
      <c r="AD134" s="27"/>
      <c r="AE134" s="30"/>
      <c r="AF134" s="26"/>
      <c r="AG134" s="26"/>
      <c r="AH134" s="32"/>
      <c r="AJ134" s="8"/>
      <c r="AK134" s="2"/>
      <c r="AL134" s="26"/>
      <c r="AM134" s="26"/>
      <c r="AN134" s="26"/>
      <c r="AO134" s="27"/>
      <c r="AP134" s="30"/>
      <c r="AQ134" s="26"/>
      <c r="AR134" s="26"/>
      <c r="AS134" s="32"/>
      <c r="AT134" s="34"/>
    </row>
    <row r="135" spans="2:46" x14ac:dyDescent="0.3">
      <c r="B135" s="8"/>
      <c r="C135" s="2"/>
      <c r="D135" s="26"/>
      <c r="E135" s="26"/>
      <c r="F135" s="27"/>
      <c r="G135" s="26"/>
      <c r="H135" s="26"/>
      <c r="I135" s="27"/>
      <c r="J135" s="26"/>
      <c r="K135" s="26"/>
      <c r="L135" s="67"/>
      <c r="N135" s="8"/>
      <c r="O135" s="2"/>
      <c r="P135" s="26"/>
      <c r="Q135" s="27"/>
      <c r="R135" s="30"/>
      <c r="S135" s="27"/>
      <c r="T135" s="30"/>
      <c r="U135" s="34"/>
      <c r="V135" s="34"/>
      <c r="X135" s="8"/>
      <c r="Y135" s="2"/>
      <c r="Z135" s="26"/>
      <c r="AA135" s="26"/>
      <c r="AB135" s="26"/>
      <c r="AC135" s="26"/>
      <c r="AD135" s="27"/>
      <c r="AE135" s="30"/>
      <c r="AF135" s="26"/>
      <c r="AG135" s="26"/>
      <c r="AH135" s="32"/>
      <c r="AJ135" s="8"/>
      <c r="AK135" s="2"/>
      <c r="AL135" s="26"/>
      <c r="AM135" s="26"/>
      <c r="AN135" s="26"/>
      <c r="AO135" s="27"/>
      <c r="AP135" s="30"/>
      <c r="AQ135" s="26"/>
      <c r="AR135" s="26"/>
      <c r="AS135" s="32"/>
      <c r="AT135" s="34"/>
    </row>
    <row r="136" spans="2:46" x14ac:dyDescent="0.3">
      <c r="B136" s="8"/>
      <c r="C136" s="2"/>
      <c r="D136" s="26"/>
      <c r="E136" s="26"/>
      <c r="F136" s="27"/>
      <c r="G136" s="26"/>
      <c r="H136" s="26"/>
      <c r="I136" s="27"/>
      <c r="J136" s="26"/>
      <c r="K136" s="26"/>
      <c r="L136" s="67"/>
      <c r="N136" s="8"/>
      <c r="O136" s="2"/>
      <c r="P136" s="26"/>
      <c r="Q136" s="27"/>
      <c r="R136" s="30"/>
      <c r="S136" s="27"/>
      <c r="T136" s="30"/>
      <c r="U136" s="34"/>
      <c r="V136" s="34"/>
      <c r="X136" s="8"/>
      <c r="Y136" s="2"/>
      <c r="Z136" s="26"/>
      <c r="AA136" s="26"/>
      <c r="AB136" s="26"/>
      <c r="AC136" s="26"/>
      <c r="AD136" s="27"/>
      <c r="AE136" s="30"/>
      <c r="AF136" s="26"/>
      <c r="AG136" s="26"/>
      <c r="AH136" s="32"/>
      <c r="AJ136" s="8"/>
      <c r="AK136" s="2"/>
      <c r="AL136" s="26"/>
      <c r="AM136" s="26"/>
      <c r="AN136" s="26"/>
      <c r="AO136" s="27"/>
      <c r="AP136" s="30"/>
      <c r="AQ136" s="26"/>
      <c r="AR136" s="26"/>
      <c r="AS136" s="32"/>
      <c r="AT136" s="34"/>
    </row>
    <row r="137" spans="2:46" x14ac:dyDescent="0.3">
      <c r="B137" s="8"/>
      <c r="C137" s="2"/>
      <c r="D137" s="26"/>
      <c r="E137" s="26"/>
      <c r="F137" s="27"/>
      <c r="G137" s="26"/>
      <c r="H137" s="26"/>
      <c r="I137" s="27"/>
      <c r="J137" s="26"/>
      <c r="K137" s="26"/>
      <c r="L137" s="67"/>
      <c r="N137" s="8"/>
      <c r="O137" s="2"/>
      <c r="P137" s="26"/>
      <c r="Q137" s="27"/>
      <c r="R137" s="30"/>
      <c r="S137" s="27"/>
      <c r="T137" s="30"/>
      <c r="U137" s="34"/>
      <c r="V137" s="34"/>
      <c r="X137" s="8"/>
      <c r="Y137" s="2"/>
      <c r="Z137" s="26"/>
      <c r="AA137" s="26"/>
      <c r="AB137" s="26"/>
      <c r="AC137" s="26"/>
      <c r="AD137" s="27"/>
      <c r="AE137" s="30"/>
      <c r="AF137" s="26"/>
      <c r="AG137" s="26"/>
      <c r="AH137" s="32"/>
      <c r="AJ137" s="8"/>
      <c r="AK137" s="2"/>
      <c r="AL137" s="26"/>
      <c r="AM137" s="26"/>
      <c r="AN137" s="26"/>
      <c r="AO137" s="27"/>
      <c r="AP137" s="30"/>
      <c r="AQ137" s="26"/>
      <c r="AR137" s="26"/>
      <c r="AS137" s="32"/>
      <c r="AT137" s="34"/>
    </row>
    <row r="138" spans="2:46" x14ac:dyDescent="0.3">
      <c r="B138" s="8"/>
      <c r="C138" s="2"/>
      <c r="D138" s="26"/>
      <c r="E138" s="26"/>
      <c r="F138" s="27"/>
      <c r="G138" s="26"/>
      <c r="H138" s="26"/>
      <c r="I138" s="27"/>
      <c r="J138" s="26"/>
      <c r="K138" s="26"/>
      <c r="L138" s="67"/>
      <c r="N138" s="8"/>
      <c r="O138" s="2"/>
      <c r="P138" s="26"/>
      <c r="Q138" s="27"/>
      <c r="R138" s="30"/>
      <c r="S138" s="27"/>
      <c r="T138" s="30"/>
      <c r="U138" s="34"/>
      <c r="V138" s="34"/>
      <c r="X138" s="8"/>
      <c r="Y138" s="2"/>
      <c r="Z138" s="26"/>
      <c r="AA138" s="26"/>
      <c r="AB138" s="26"/>
      <c r="AC138" s="26"/>
      <c r="AD138" s="27"/>
      <c r="AE138" s="30"/>
      <c r="AF138" s="26"/>
      <c r="AG138" s="26"/>
      <c r="AH138" s="32"/>
      <c r="AJ138" s="8"/>
      <c r="AK138" s="2"/>
      <c r="AL138" s="26"/>
      <c r="AM138" s="26"/>
      <c r="AN138" s="26"/>
      <c r="AO138" s="27"/>
      <c r="AP138" s="30"/>
      <c r="AQ138" s="26"/>
      <c r="AR138" s="26"/>
      <c r="AS138" s="32"/>
      <c r="AT138" s="34"/>
    </row>
    <row r="139" spans="2:46" x14ac:dyDescent="0.3">
      <c r="B139" s="8"/>
      <c r="C139" s="2"/>
      <c r="D139" s="26"/>
      <c r="E139" s="26"/>
      <c r="F139" s="27"/>
      <c r="G139" s="26"/>
      <c r="H139" s="26"/>
      <c r="I139" s="27"/>
      <c r="J139" s="26"/>
      <c r="K139" s="26"/>
      <c r="L139" s="67"/>
      <c r="N139" s="8"/>
      <c r="O139" s="2"/>
      <c r="P139" s="26"/>
      <c r="Q139" s="27"/>
      <c r="R139" s="30"/>
      <c r="S139" s="27"/>
      <c r="T139" s="30"/>
      <c r="U139" s="34"/>
      <c r="V139" s="34"/>
      <c r="X139" s="8"/>
      <c r="Y139" s="2"/>
      <c r="Z139" s="26"/>
      <c r="AA139" s="26"/>
      <c r="AB139" s="26"/>
      <c r="AC139" s="26"/>
      <c r="AD139" s="27"/>
      <c r="AE139" s="30"/>
      <c r="AF139" s="26"/>
      <c r="AG139" s="26"/>
      <c r="AH139" s="32"/>
      <c r="AJ139" s="8"/>
      <c r="AK139" s="2"/>
      <c r="AL139" s="26"/>
      <c r="AM139" s="26"/>
      <c r="AN139" s="26"/>
      <c r="AO139" s="27"/>
      <c r="AP139" s="30"/>
      <c r="AQ139" s="26"/>
      <c r="AR139" s="26"/>
      <c r="AS139" s="32"/>
      <c r="AT139" s="34"/>
    </row>
    <row r="140" spans="2:46" x14ac:dyDescent="0.3">
      <c r="B140" s="8"/>
      <c r="C140" s="2"/>
      <c r="D140" s="26"/>
      <c r="E140" s="26"/>
      <c r="F140" s="27"/>
      <c r="G140" s="26"/>
      <c r="H140" s="26"/>
      <c r="I140" s="27"/>
      <c r="J140" s="26"/>
      <c r="K140" s="26"/>
      <c r="L140" s="67"/>
      <c r="N140" s="8"/>
      <c r="O140" s="2"/>
      <c r="P140" s="26"/>
      <c r="Q140" s="27"/>
      <c r="R140" s="30"/>
      <c r="S140" s="27"/>
      <c r="T140" s="30"/>
      <c r="U140" s="34"/>
      <c r="V140" s="34"/>
      <c r="X140" s="8"/>
      <c r="Y140" s="2"/>
      <c r="Z140" s="26"/>
      <c r="AA140" s="26"/>
      <c r="AB140" s="26"/>
      <c r="AC140" s="26"/>
      <c r="AD140" s="27"/>
      <c r="AE140" s="30"/>
      <c r="AF140" s="26"/>
      <c r="AG140" s="26"/>
      <c r="AH140" s="32"/>
      <c r="AJ140" s="8"/>
      <c r="AK140" s="2"/>
      <c r="AL140" s="26"/>
      <c r="AM140" s="26"/>
      <c r="AN140" s="26"/>
      <c r="AO140" s="27"/>
      <c r="AP140" s="30"/>
      <c r="AQ140" s="26"/>
      <c r="AR140" s="26"/>
      <c r="AS140" s="32"/>
      <c r="AT140" s="34"/>
    </row>
    <row r="141" spans="2:46" x14ac:dyDescent="0.3">
      <c r="B141" s="8"/>
      <c r="C141" s="2"/>
      <c r="D141" s="26"/>
      <c r="E141" s="26"/>
      <c r="F141" s="27"/>
      <c r="G141" s="26"/>
      <c r="H141" s="26"/>
      <c r="I141" s="27"/>
      <c r="J141" s="26"/>
      <c r="K141" s="26"/>
      <c r="L141" s="67"/>
      <c r="N141" s="8"/>
      <c r="O141" s="2"/>
      <c r="P141" s="26"/>
      <c r="Q141" s="27"/>
      <c r="R141" s="30"/>
      <c r="S141" s="27"/>
      <c r="T141" s="30"/>
      <c r="U141" s="34"/>
      <c r="V141" s="34"/>
      <c r="X141" s="8"/>
      <c r="Y141" s="2"/>
      <c r="Z141" s="26"/>
      <c r="AA141" s="26"/>
      <c r="AB141" s="26"/>
      <c r="AC141" s="26"/>
      <c r="AD141" s="27"/>
      <c r="AE141" s="30"/>
      <c r="AF141" s="26"/>
      <c r="AG141" s="26"/>
      <c r="AH141" s="32"/>
      <c r="AJ141" s="8"/>
      <c r="AK141" s="2"/>
      <c r="AL141" s="26"/>
      <c r="AM141" s="26"/>
      <c r="AN141" s="26"/>
      <c r="AO141" s="27"/>
      <c r="AP141" s="30"/>
      <c r="AQ141" s="26"/>
      <c r="AR141" s="26"/>
      <c r="AS141" s="32"/>
      <c r="AT141" s="34"/>
    </row>
    <row r="142" spans="2:46" x14ac:dyDescent="0.3">
      <c r="B142" s="8"/>
      <c r="C142" s="2"/>
      <c r="D142" s="26"/>
      <c r="E142" s="26"/>
      <c r="F142" s="27"/>
      <c r="G142" s="26"/>
      <c r="H142" s="26"/>
      <c r="I142" s="27"/>
      <c r="J142" s="26"/>
      <c r="K142" s="26"/>
      <c r="L142" s="67"/>
      <c r="N142" s="8"/>
      <c r="O142" s="2"/>
      <c r="P142" s="26"/>
      <c r="Q142" s="27"/>
      <c r="R142" s="30"/>
      <c r="S142" s="27"/>
      <c r="T142" s="30"/>
      <c r="U142" s="34"/>
      <c r="V142" s="34"/>
      <c r="X142" s="8"/>
      <c r="Y142" s="2"/>
      <c r="Z142" s="26"/>
      <c r="AA142" s="26"/>
      <c r="AB142" s="26"/>
      <c r="AC142" s="26"/>
      <c r="AD142" s="27"/>
      <c r="AE142" s="30"/>
      <c r="AF142" s="26"/>
      <c r="AG142" s="26"/>
      <c r="AH142" s="32"/>
      <c r="AJ142" s="8"/>
      <c r="AK142" s="2"/>
      <c r="AL142" s="26"/>
      <c r="AM142" s="26"/>
      <c r="AN142" s="26"/>
      <c r="AO142" s="27"/>
      <c r="AP142" s="30"/>
      <c r="AQ142" s="26"/>
      <c r="AR142" s="26"/>
      <c r="AS142" s="32"/>
      <c r="AT142" s="34"/>
    </row>
    <row r="143" spans="2:46" x14ac:dyDescent="0.3">
      <c r="B143" s="8"/>
      <c r="C143" s="2"/>
      <c r="D143" s="26"/>
      <c r="E143" s="26"/>
      <c r="F143" s="27"/>
      <c r="G143" s="26"/>
      <c r="H143" s="26"/>
      <c r="I143" s="27"/>
      <c r="J143" s="26"/>
      <c r="K143" s="26"/>
      <c r="L143" s="67"/>
      <c r="N143" s="8"/>
      <c r="O143" s="2"/>
      <c r="P143" s="26"/>
      <c r="Q143" s="27"/>
      <c r="R143" s="30"/>
      <c r="S143" s="27"/>
      <c r="T143" s="30"/>
      <c r="U143" s="34"/>
      <c r="V143" s="34"/>
      <c r="X143" s="8"/>
      <c r="Y143" s="2"/>
      <c r="Z143" s="26"/>
      <c r="AA143" s="26"/>
      <c r="AB143" s="26"/>
      <c r="AC143" s="26"/>
      <c r="AD143" s="27"/>
      <c r="AE143" s="30"/>
      <c r="AF143" s="26"/>
      <c r="AG143" s="26"/>
      <c r="AH143" s="32"/>
      <c r="AJ143" s="8"/>
      <c r="AK143" s="2"/>
      <c r="AL143" s="26"/>
      <c r="AM143" s="26"/>
      <c r="AN143" s="26"/>
      <c r="AO143" s="27"/>
      <c r="AP143" s="30"/>
      <c r="AQ143" s="26"/>
      <c r="AR143" s="26"/>
      <c r="AS143" s="32"/>
      <c r="AT143" s="34"/>
    </row>
    <row r="144" spans="2:46" x14ac:dyDescent="0.3">
      <c r="B144" s="8"/>
      <c r="C144" s="2"/>
      <c r="D144" s="26"/>
      <c r="E144" s="26"/>
      <c r="F144" s="27"/>
      <c r="G144" s="26"/>
      <c r="H144" s="26"/>
      <c r="I144" s="27"/>
      <c r="J144" s="26"/>
      <c r="K144" s="26"/>
      <c r="L144" s="67"/>
      <c r="N144" s="8"/>
      <c r="O144" s="2"/>
      <c r="P144" s="26"/>
      <c r="Q144" s="27"/>
      <c r="R144" s="30"/>
      <c r="S144" s="27"/>
      <c r="T144" s="30"/>
      <c r="U144" s="34"/>
      <c r="V144" s="34"/>
      <c r="X144" s="8"/>
      <c r="Y144" s="2"/>
      <c r="Z144" s="26"/>
      <c r="AA144" s="26"/>
      <c r="AB144" s="26"/>
      <c r="AC144" s="26"/>
      <c r="AD144" s="27"/>
      <c r="AE144" s="30"/>
      <c r="AF144" s="26"/>
      <c r="AG144" s="26"/>
      <c r="AH144" s="32"/>
      <c r="AJ144" s="8"/>
      <c r="AK144" s="2"/>
      <c r="AL144" s="26"/>
      <c r="AM144" s="26"/>
      <c r="AN144" s="26"/>
      <c r="AO144" s="27"/>
      <c r="AP144" s="30"/>
      <c r="AQ144" s="26"/>
      <c r="AR144" s="26"/>
      <c r="AS144" s="32"/>
      <c r="AT144" s="34"/>
    </row>
    <row r="145" spans="2:46" x14ac:dyDescent="0.3">
      <c r="B145" s="8"/>
      <c r="C145" s="2"/>
      <c r="D145" s="26"/>
      <c r="E145" s="26"/>
      <c r="F145" s="27"/>
      <c r="G145" s="26"/>
      <c r="H145" s="26"/>
      <c r="I145" s="27"/>
      <c r="J145" s="26"/>
      <c r="K145" s="26"/>
      <c r="L145" s="67"/>
      <c r="N145" s="8"/>
      <c r="O145" s="2"/>
      <c r="P145" s="26"/>
      <c r="Q145" s="27"/>
      <c r="R145" s="30"/>
      <c r="S145" s="27"/>
      <c r="T145" s="30"/>
      <c r="U145" s="34"/>
      <c r="V145" s="34"/>
      <c r="X145" s="8"/>
      <c r="Y145" s="2"/>
      <c r="Z145" s="26"/>
      <c r="AA145" s="26"/>
      <c r="AB145" s="26"/>
      <c r="AC145" s="26"/>
      <c r="AD145" s="27"/>
      <c r="AE145" s="30"/>
      <c r="AF145" s="26"/>
      <c r="AG145" s="26"/>
      <c r="AH145" s="32"/>
      <c r="AJ145" s="8"/>
      <c r="AK145" s="2"/>
      <c r="AL145" s="26"/>
      <c r="AM145" s="26"/>
      <c r="AN145" s="26"/>
      <c r="AO145" s="27"/>
      <c r="AP145" s="30"/>
      <c r="AQ145" s="26"/>
      <c r="AR145" s="26"/>
      <c r="AS145" s="32"/>
      <c r="AT145" s="34"/>
    </row>
    <row r="146" spans="2:46" x14ac:dyDescent="0.3">
      <c r="B146" s="8"/>
      <c r="C146" s="2"/>
      <c r="D146" s="26"/>
      <c r="E146" s="26"/>
      <c r="F146" s="27"/>
      <c r="G146" s="26"/>
      <c r="H146" s="26"/>
      <c r="I146" s="27"/>
      <c r="J146" s="26"/>
      <c r="K146" s="26"/>
      <c r="L146" s="67"/>
      <c r="N146" s="8"/>
      <c r="O146" s="2"/>
      <c r="P146" s="26"/>
      <c r="Q146" s="27"/>
      <c r="R146" s="30"/>
      <c r="S146" s="27"/>
      <c r="T146" s="30"/>
      <c r="U146" s="34"/>
      <c r="V146" s="34"/>
      <c r="X146" s="8"/>
      <c r="Y146" s="2"/>
      <c r="Z146" s="26"/>
      <c r="AA146" s="26"/>
      <c r="AB146" s="26"/>
      <c r="AC146" s="26"/>
      <c r="AD146" s="27"/>
      <c r="AE146" s="30"/>
      <c r="AF146" s="26"/>
      <c r="AG146" s="26"/>
      <c r="AH146" s="32"/>
      <c r="AJ146" s="8"/>
      <c r="AK146" s="2"/>
      <c r="AL146" s="26"/>
      <c r="AM146" s="26"/>
      <c r="AN146" s="26"/>
      <c r="AO146" s="27"/>
      <c r="AP146" s="30"/>
      <c r="AQ146" s="26"/>
      <c r="AR146" s="26"/>
      <c r="AS146" s="32"/>
      <c r="AT146" s="34"/>
    </row>
    <row r="147" spans="2:46" x14ac:dyDescent="0.3">
      <c r="B147" s="8"/>
      <c r="C147" s="2"/>
      <c r="D147" s="26"/>
      <c r="E147" s="26"/>
      <c r="F147" s="27"/>
      <c r="G147" s="26"/>
      <c r="H147" s="26"/>
      <c r="I147" s="27"/>
      <c r="J147" s="26"/>
      <c r="K147" s="26"/>
      <c r="L147" s="67"/>
      <c r="N147" s="8"/>
      <c r="O147" s="2"/>
      <c r="P147" s="26"/>
      <c r="Q147" s="27"/>
      <c r="R147" s="30"/>
      <c r="S147" s="27"/>
      <c r="T147" s="30"/>
      <c r="U147" s="34"/>
      <c r="V147" s="34"/>
      <c r="X147" s="8"/>
      <c r="Y147" s="2"/>
      <c r="Z147" s="26"/>
      <c r="AA147" s="26"/>
      <c r="AB147" s="26"/>
      <c r="AC147" s="26"/>
      <c r="AD147" s="27"/>
      <c r="AE147" s="30"/>
      <c r="AF147" s="26"/>
      <c r="AG147" s="26"/>
      <c r="AH147" s="32"/>
      <c r="AJ147" s="8"/>
      <c r="AK147" s="2"/>
      <c r="AL147" s="26"/>
      <c r="AM147" s="26"/>
      <c r="AN147" s="26"/>
      <c r="AO147" s="27"/>
      <c r="AP147" s="30"/>
      <c r="AQ147" s="26"/>
      <c r="AR147" s="26"/>
      <c r="AS147" s="32"/>
      <c r="AT147" s="34"/>
    </row>
    <row r="148" spans="2:46" x14ac:dyDescent="0.3">
      <c r="B148" s="8"/>
      <c r="C148" s="2"/>
      <c r="D148" s="26"/>
      <c r="E148" s="26"/>
      <c r="F148" s="27"/>
      <c r="G148" s="26"/>
      <c r="H148" s="26"/>
      <c r="I148" s="27"/>
      <c r="J148" s="26"/>
      <c r="K148" s="26"/>
      <c r="L148" s="67"/>
      <c r="N148" s="8"/>
      <c r="O148" s="2"/>
      <c r="P148" s="26"/>
      <c r="Q148" s="27"/>
      <c r="R148" s="30"/>
      <c r="S148" s="27"/>
      <c r="T148" s="30"/>
      <c r="U148" s="34"/>
      <c r="V148" s="34"/>
      <c r="X148" s="8"/>
      <c r="Y148" s="2"/>
      <c r="Z148" s="26"/>
      <c r="AA148" s="26"/>
      <c r="AB148" s="26"/>
      <c r="AC148" s="26"/>
      <c r="AD148" s="27"/>
      <c r="AE148" s="30"/>
      <c r="AF148" s="26"/>
      <c r="AG148" s="26"/>
      <c r="AH148" s="32"/>
      <c r="AJ148" s="8"/>
      <c r="AK148" s="2"/>
      <c r="AL148" s="26"/>
      <c r="AM148" s="26"/>
      <c r="AN148" s="26"/>
      <c r="AO148" s="27"/>
      <c r="AP148" s="30"/>
      <c r="AQ148" s="26"/>
      <c r="AR148" s="26"/>
      <c r="AS148" s="32"/>
      <c r="AT148" s="34"/>
    </row>
    <row r="149" spans="2:46" x14ac:dyDescent="0.3">
      <c r="B149" s="8"/>
      <c r="C149" s="2"/>
      <c r="D149" s="26"/>
      <c r="E149" s="26"/>
      <c r="F149" s="27"/>
      <c r="G149" s="26"/>
      <c r="H149" s="26"/>
      <c r="I149" s="27"/>
      <c r="J149" s="26"/>
      <c r="K149" s="26"/>
      <c r="L149" s="67"/>
      <c r="N149" s="8"/>
      <c r="O149" s="2"/>
      <c r="P149" s="26"/>
      <c r="Q149" s="27"/>
      <c r="R149" s="30"/>
      <c r="S149" s="27"/>
      <c r="T149" s="30"/>
      <c r="U149" s="34"/>
      <c r="V149" s="34"/>
      <c r="X149" s="8"/>
      <c r="Y149" s="2"/>
      <c r="Z149" s="26"/>
      <c r="AA149" s="26"/>
      <c r="AB149" s="26"/>
      <c r="AC149" s="26"/>
      <c r="AD149" s="27"/>
      <c r="AE149" s="30"/>
      <c r="AF149" s="26"/>
      <c r="AG149" s="26"/>
      <c r="AH149" s="32"/>
      <c r="AJ149" s="8"/>
      <c r="AK149" s="2"/>
      <c r="AL149" s="26"/>
      <c r="AM149" s="26"/>
      <c r="AN149" s="26"/>
      <c r="AO149" s="27"/>
      <c r="AP149" s="30"/>
      <c r="AQ149" s="26"/>
      <c r="AR149" s="26"/>
      <c r="AS149" s="32"/>
      <c r="AT149" s="34"/>
    </row>
    <row r="150" spans="2:46" x14ac:dyDescent="0.3">
      <c r="B150" s="8"/>
      <c r="C150" s="2"/>
      <c r="D150" s="26"/>
      <c r="E150" s="26"/>
      <c r="F150" s="27"/>
      <c r="G150" s="26"/>
      <c r="H150" s="26"/>
      <c r="I150" s="27"/>
      <c r="J150" s="26"/>
      <c r="K150" s="26"/>
      <c r="L150" s="67"/>
      <c r="N150" s="8"/>
      <c r="O150" s="2"/>
      <c r="P150" s="26"/>
      <c r="Q150" s="27"/>
      <c r="R150" s="30"/>
      <c r="S150" s="27"/>
      <c r="T150" s="30"/>
      <c r="U150" s="34"/>
      <c r="V150" s="34"/>
      <c r="X150" s="8"/>
      <c r="Y150" s="2"/>
      <c r="Z150" s="26"/>
      <c r="AA150" s="26"/>
      <c r="AB150" s="26"/>
      <c r="AC150" s="26"/>
      <c r="AD150" s="27"/>
      <c r="AE150" s="30"/>
      <c r="AF150" s="26"/>
      <c r="AG150" s="26"/>
      <c r="AH150" s="32"/>
      <c r="AJ150" s="8"/>
      <c r="AK150" s="2"/>
      <c r="AL150" s="26"/>
      <c r="AM150" s="26"/>
      <c r="AN150" s="26"/>
      <c r="AO150" s="27"/>
      <c r="AP150" s="30"/>
      <c r="AQ150" s="26"/>
      <c r="AR150" s="26"/>
      <c r="AS150" s="32"/>
      <c r="AT150" s="34"/>
    </row>
    <row r="151" spans="2:46" x14ac:dyDescent="0.3">
      <c r="B151" s="8"/>
      <c r="C151" s="2"/>
      <c r="D151" s="26"/>
      <c r="E151" s="26"/>
      <c r="F151" s="27"/>
      <c r="G151" s="26"/>
      <c r="H151" s="26"/>
      <c r="I151" s="27"/>
      <c r="J151" s="26"/>
      <c r="K151" s="26"/>
      <c r="L151" s="67"/>
      <c r="N151" s="8"/>
      <c r="O151" s="2"/>
      <c r="P151" s="26"/>
      <c r="Q151" s="27"/>
      <c r="R151" s="30"/>
      <c r="S151" s="27"/>
      <c r="T151" s="30"/>
      <c r="U151" s="34"/>
      <c r="V151" s="34"/>
      <c r="X151" s="8"/>
      <c r="Y151" s="2"/>
      <c r="Z151" s="26"/>
      <c r="AA151" s="26"/>
      <c r="AB151" s="26"/>
      <c r="AC151" s="26"/>
      <c r="AD151" s="27"/>
      <c r="AE151" s="30"/>
      <c r="AF151" s="26"/>
      <c r="AG151" s="26"/>
      <c r="AH151" s="32"/>
      <c r="AJ151" s="8"/>
      <c r="AK151" s="2"/>
      <c r="AL151" s="26"/>
      <c r="AM151" s="26"/>
      <c r="AN151" s="26"/>
      <c r="AO151" s="27"/>
      <c r="AP151" s="30"/>
      <c r="AQ151" s="26"/>
      <c r="AR151" s="26"/>
      <c r="AS151" s="32"/>
      <c r="AT151" s="34"/>
    </row>
    <row r="152" spans="2:46" x14ac:dyDescent="0.3">
      <c r="B152" s="8"/>
      <c r="C152" s="2"/>
      <c r="D152" s="26"/>
      <c r="E152" s="26"/>
      <c r="F152" s="27"/>
      <c r="G152" s="26"/>
      <c r="H152" s="26"/>
      <c r="I152" s="27"/>
      <c r="J152" s="26"/>
      <c r="K152" s="26"/>
      <c r="L152" s="67"/>
      <c r="N152" s="8"/>
      <c r="O152" s="2"/>
      <c r="P152" s="26"/>
      <c r="Q152" s="27"/>
      <c r="R152" s="30"/>
      <c r="S152" s="27"/>
      <c r="T152" s="30"/>
      <c r="U152" s="34"/>
      <c r="V152" s="34"/>
      <c r="X152" s="8"/>
      <c r="Y152" s="2"/>
      <c r="Z152" s="26"/>
      <c r="AA152" s="26"/>
      <c r="AB152" s="26"/>
      <c r="AC152" s="26"/>
      <c r="AD152" s="27"/>
      <c r="AE152" s="30"/>
      <c r="AF152" s="26"/>
      <c r="AG152" s="26"/>
      <c r="AH152" s="32"/>
      <c r="AJ152" s="8"/>
      <c r="AK152" s="2"/>
      <c r="AL152" s="26"/>
      <c r="AM152" s="26"/>
      <c r="AN152" s="26"/>
      <c r="AO152" s="27"/>
      <c r="AP152" s="30"/>
      <c r="AQ152" s="26"/>
      <c r="AR152" s="26"/>
      <c r="AS152" s="32"/>
      <c r="AT152" s="34"/>
    </row>
    <row r="153" spans="2:46" x14ac:dyDescent="0.3">
      <c r="B153" s="8"/>
      <c r="C153" s="2"/>
      <c r="D153" s="26"/>
      <c r="E153" s="26"/>
      <c r="F153" s="27"/>
      <c r="G153" s="26"/>
      <c r="H153" s="26"/>
      <c r="I153" s="27"/>
      <c r="J153" s="26"/>
      <c r="K153" s="26"/>
      <c r="L153" s="67"/>
      <c r="N153" s="8"/>
      <c r="O153" s="2"/>
      <c r="P153" s="26"/>
      <c r="Q153" s="27"/>
      <c r="R153" s="30"/>
      <c r="S153" s="27"/>
      <c r="T153" s="30"/>
      <c r="U153" s="34"/>
      <c r="V153" s="34"/>
      <c r="X153" s="8"/>
      <c r="Y153" s="2"/>
      <c r="Z153" s="26"/>
      <c r="AA153" s="26"/>
      <c r="AB153" s="26"/>
      <c r="AC153" s="26"/>
      <c r="AD153" s="27"/>
      <c r="AE153" s="30"/>
      <c r="AF153" s="26"/>
      <c r="AG153" s="26"/>
      <c r="AH153" s="32"/>
      <c r="AJ153" s="8"/>
      <c r="AK153" s="2"/>
      <c r="AL153" s="26"/>
      <c r="AM153" s="26"/>
      <c r="AN153" s="26"/>
      <c r="AO153" s="27"/>
      <c r="AP153" s="30"/>
      <c r="AQ153" s="26"/>
      <c r="AR153" s="26"/>
      <c r="AS153" s="32"/>
      <c r="AT153" s="34"/>
    </row>
    <row r="154" spans="2:46" x14ac:dyDescent="0.3">
      <c r="B154" s="8"/>
      <c r="C154" s="2"/>
      <c r="D154" s="26"/>
      <c r="E154" s="26"/>
      <c r="F154" s="27"/>
      <c r="G154" s="26"/>
      <c r="H154" s="26"/>
      <c r="I154" s="27"/>
      <c r="J154" s="26"/>
      <c r="K154" s="26"/>
      <c r="L154" s="67"/>
      <c r="N154" s="8"/>
      <c r="O154" s="2"/>
      <c r="P154" s="26"/>
      <c r="Q154" s="27"/>
      <c r="R154" s="30"/>
      <c r="S154" s="27"/>
      <c r="T154" s="30"/>
      <c r="U154" s="34"/>
      <c r="V154" s="34"/>
      <c r="X154" s="8"/>
      <c r="Y154" s="2"/>
      <c r="Z154" s="26"/>
      <c r="AA154" s="26"/>
      <c r="AB154" s="26"/>
      <c r="AC154" s="26"/>
      <c r="AD154" s="27"/>
      <c r="AE154" s="30"/>
      <c r="AF154" s="26"/>
      <c r="AG154" s="26"/>
      <c r="AH154" s="32"/>
      <c r="AJ154" s="8"/>
      <c r="AK154" s="2"/>
      <c r="AL154" s="26"/>
      <c r="AM154" s="26"/>
      <c r="AN154" s="26"/>
      <c r="AO154" s="27"/>
      <c r="AP154" s="30"/>
      <c r="AQ154" s="26"/>
      <c r="AR154" s="26"/>
      <c r="AS154" s="32"/>
      <c r="AT154" s="34"/>
    </row>
    <row r="155" spans="2:46" x14ac:dyDescent="0.3">
      <c r="B155" s="8"/>
      <c r="C155" s="2"/>
      <c r="D155" s="26"/>
      <c r="E155" s="26"/>
      <c r="F155" s="27"/>
      <c r="G155" s="26"/>
      <c r="H155" s="26"/>
      <c r="I155" s="27"/>
      <c r="J155" s="26"/>
      <c r="K155" s="26"/>
      <c r="L155" s="67"/>
      <c r="N155" s="8"/>
      <c r="O155" s="2"/>
      <c r="P155" s="26"/>
      <c r="Q155" s="27"/>
      <c r="R155" s="30"/>
      <c r="S155" s="27"/>
      <c r="T155" s="30"/>
      <c r="U155" s="34"/>
      <c r="V155" s="34"/>
      <c r="X155" s="8"/>
      <c r="Y155" s="2"/>
      <c r="Z155" s="26"/>
      <c r="AA155" s="26"/>
      <c r="AB155" s="26"/>
      <c r="AC155" s="26"/>
      <c r="AD155" s="27"/>
      <c r="AE155" s="30"/>
      <c r="AF155" s="26"/>
      <c r="AG155" s="26"/>
      <c r="AH155" s="32"/>
      <c r="AJ155" s="8"/>
      <c r="AK155" s="2"/>
      <c r="AL155" s="26"/>
      <c r="AM155" s="26"/>
      <c r="AN155" s="26"/>
      <c r="AO155" s="27"/>
      <c r="AP155" s="30"/>
      <c r="AQ155" s="26"/>
      <c r="AR155" s="26"/>
      <c r="AS155" s="32"/>
      <c r="AT155" s="34"/>
    </row>
    <row r="156" spans="2:46" x14ac:dyDescent="0.3">
      <c r="B156" s="8"/>
      <c r="C156" s="2"/>
      <c r="D156" s="26"/>
      <c r="E156" s="26"/>
      <c r="F156" s="27"/>
      <c r="G156" s="26"/>
      <c r="H156" s="26"/>
      <c r="I156" s="27"/>
      <c r="J156" s="26"/>
      <c r="K156" s="26"/>
      <c r="L156" s="67"/>
      <c r="N156" s="8"/>
      <c r="O156" s="2"/>
      <c r="P156" s="26"/>
      <c r="Q156" s="27"/>
      <c r="R156" s="30"/>
      <c r="S156" s="27"/>
      <c r="T156" s="30"/>
      <c r="U156" s="34"/>
      <c r="V156" s="34"/>
      <c r="X156" s="8"/>
      <c r="Y156" s="2"/>
      <c r="Z156" s="26"/>
      <c r="AA156" s="26"/>
      <c r="AB156" s="26"/>
      <c r="AC156" s="26"/>
      <c r="AD156" s="27"/>
      <c r="AE156" s="30"/>
      <c r="AF156" s="26"/>
      <c r="AG156" s="26"/>
      <c r="AH156" s="32"/>
      <c r="AJ156" s="8"/>
      <c r="AK156" s="2"/>
      <c r="AL156" s="26"/>
      <c r="AM156" s="26"/>
      <c r="AN156" s="26"/>
      <c r="AO156" s="27"/>
      <c r="AP156" s="30"/>
      <c r="AQ156" s="26"/>
      <c r="AR156" s="26"/>
      <c r="AS156" s="32"/>
      <c r="AT156" s="34"/>
    </row>
    <row r="157" spans="2:46" x14ac:dyDescent="0.3">
      <c r="B157" s="8"/>
      <c r="C157" s="2"/>
      <c r="D157" s="26"/>
      <c r="E157" s="26"/>
      <c r="F157" s="27"/>
      <c r="G157" s="26"/>
      <c r="H157" s="26"/>
      <c r="I157" s="27"/>
      <c r="J157" s="26"/>
      <c r="K157" s="26"/>
      <c r="L157" s="67"/>
      <c r="N157" s="8"/>
      <c r="O157" s="2"/>
      <c r="P157" s="26"/>
      <c r="Q157" s="27"/>
      <c r="R157" s="30"/>
      <c r="S157" s="27"/>
      <c r="T157" s="30"/>
      <c r="U157" s="34"/>
      <c r="V157" s="34"/>
      <c r="X157" s="8"/>
      <c r="Y157" s="2"/>
      <c r="Z157" s="26"/>
      <c r="AA157" s="26"/>
      <c r="AB157" s="26"/>
      <c r="AC157" s="26"/>
      <c r="AD157" s="27"/>
      <c r="AE157" s="30"/>
      <c r="AF157" s="26"/>
      <c r="AG157" s="26"/>
      <c r="AH157" s="32"/>
      <c r="AJ157" s="8"/>
      <c r="AK157" s="2"/>
      <c r="AL157" s="26"/>
      <c r="AM157" s="26"/>
      <c r="AN157" s="26"/>
      <c r="AO157" s="27"/>
      <c r="AP157" s="30"/>
      <c r="AQ157" s="26"/>
      <c r="AR157" s="26"/>
      <c r="AS157" s="32"/>
      <c r="AT157" s="34"/>
    </row>
    <row r="158" spans="2:46" x14ac:dyDescent="0.3">
      <c r="B158" s="8"/>
      <c r="C158" s="2"/>
      <c r="D158" s="26"/>
      <c r="E158" s="26"/>
      <c r="F158" s="27"/>
      <c r="G158" s="26"/>
      <c r="H158" s="26"/>
      <c r="I158" s="27"/>
      <c r="J158" s="26"/>
      <c r="K158" s="26"/>
      <c r="L158" s="67"/>
      <c r="N158" s="8"/>
      <c r="O158" s="2"/>
      <c r="P158" s="26"/>
      <c r="Q158" s="27"/>
      <c r="R158" s="30"/>
      <c r="S158" s="27"/>
      <c r="T158" s="30"/>
      <c r="U158" s="34"/>
      <c r="V158" s="34"/>
      <c r="X158" s="8"/>
      <c r="Y158" s="2"/>
      <c r="Z158" s="26"/>
      <c r="AA158" s="26"/>
      <c r="AB158" s="26"/>
      <c r="AC158" s="26"/>
      <c r="AD158" s="27"/>
      <c r="AE158" s="30"/>
      <c r="AF158" s="26"/>
      <c r="AG158" s="26"/>
      <c r="AH158" s="32"/>
      <c r="AJ158" s="8"/>
      <c r="AK158" s="2"/>
      <c r="AL158" s="26"/>
      <c r="AM158" s="26"/>
      <c r="AN158" s="26"/>
      <c r="AO158" s="27"/>
      <c r="AP158" s="30"/>
      <c r="AQ158" s="26"/>
      <c r="AR158" s="26"/>
      <c r="AS158" s="32"/>
      <c r="AT158" s="34"/>
    </row>
    <row r="159" spans="2:46" x14ac:dyDescent="0.3">
      <c r="B159" s="8"/>
      <c r="C159" s="2"/>
      <c r="D159" s="26"/>
      <c r="E159" s="26"/>
      <c r="F159" s="27"/>
      <c r="G159" s="26"/>
      <c r="H159" s="26"/>
      <c r="I159" s="27"/>
      <c r="J159" s="26"/>
      <c r="K159" s="26"/>
      <c r="L159" s="67"/>
      <c r="N159" s="8"/>
      <c r="O159" s="2"/>
      <c r="P159" s="26"/>
      <c r="Q159" s="27"/>
      <c r="R159" s="30"/>
      <c r="S159" s="27"/>
      <c r="T159" s="30"/>
      <c r="U159" s="34"/>
      <c r="V159" s="34"/>
      <c r="X159" s="8"/>
      <c r="Y159" s="2"/>
      <c r="Z159" s="26"/>
      <c r="AA159" s="26"/>
      <c r="AB159" s="26"/>
      <c r="AC159" s="26"/>
      <c r="AD159" s="27"/>
      <c r="AE159" s="30"/>
      <c r="AF159" s="26"/>
      <c r="AG159" s="26"/>
      <c r="AH159" s="32"/>
      <c r="AJ159" s="8"/>
      <c r="AK159" s="2"/>
      <c r="AL159" s="26"/>
      <c r="AM159" s="26"/>
      <c r="AN159" s="26"/>
      <c r="AO159" s="27"/>
      <c r="AP159" s="30"/>
      <c r="AQ159" s="26"/>
      <c r="AR159" s="26"/>
      <c r="AS159" s="32"/>
      <c r="AT159" s="34"/>
    </row>
    <row r="160" spans="2:46" x14ac:dyDescent="0.3">
      <c r="B160" s="8"/>
      <c r="C160" s="2"/>
      <c r="D160" s="26"/>
      <c r="E160" s="26"/>
      <c r="F160" s="27"/>
      <c r="G160" s="26"/>
      <c r="H160" s="26"/>
      <c r="I160" s="27"/>
      <c r="J160" s="26"/>
      <c r="K160" s="26"/>
      <c r="L160" s="67"/>
      <c r="N160" s="8"/>
      <c r="O160" s="2"/>
      <c r="P160" s="26"/>
      <c r="Q160" s="27"/>
      <c r="R160" s="30"/>
      <c r="S160" s="27"/>
      <c r="T160" s="30"/>
      <c r="U160" s="34"/>
      <c r="V160" s="34"/>
      <c r="X160" s="8"/>
      <c r="Y160" s="2"/>
      <c r="Z160" s="26"/>
      <c r="AA160" s="26"/>
      <c r="AB160" s="26"/>
      <c r="AC160" s="26"/>
      <c r="AD160" s="27"/>
      <c r="AE160" s="30"/>
      <c r="AF160" s="26"/>
      <c r="AG160" s="26"/>
      <c r="AH160" s="32"/>
      <c r="AJ160" s="8"/>
      <c r="AK160" s="2"/>
      <c r="AL160" s="26"/>
      <c r="AM160" s="26"/>
      <c r="AN160" s="26"/>
      <c r="AO160" s="27"/>
      <c r="AP160" s="30"/>
      <c r="AQ160" s="26"/>
      <c r="AR160" s="26"/>
      <c r="AS160" s="32"/>
      <c r="AT160" s="34"/>
    </row>
    <row r="161" spans="2:46" x14ac:dyDescent="0.3">
      <c r="B161" s="8"/>
      <c r="C161" s="2"/>
      <c r="D161" s="26"/>
      <c r="E161" s="26"/>
      <c r="F161" s="27"/>
      <c r="G161" s="26"/>
      <c r="H161" s="26"/>
      <c r="I161" s="27"/>
      <c r="J161" s="26"/>
      <c r="K161" s="26"/>
      <c r="L161" s="67"/>
      <c r="N161" s="8"/>
      <c r="O161" s="2"/>
      <c r="P161" s="26"/>
      <c r="Q161" s="27"/>
      <c r="R161" s="30"/>
      <c r="S161" s="27"/>
      <c r="T161" s="30"/>
      <c r="U161" s="34"/>
      <c r="V161" s="34"/>
      <c r="X161" s="8"/>
      <c r="Y161" s="2"/>
      <c r="Z161" s="26"/>
      <c r="AA161" s="26"/>
      <c r="AB161" s="26"/>
      <c r="AC161" s="26"/>
      <c r="AD161" s="27"/>
      <c r="AE161" s="30"/>
      <c r="AF161" s="26"/>
      <c r="AG161" s="26"/>
      <c r="AH161" s="32"/>
      <c r="AJ161" s="8"/>
      <c r="AK161" s="2"/>
      <c r="AL161" s="26"/>
      <c r="AM161" s="26"/>
      <c r="AN161" s="26"/>
      <c r="AO161" s="27"/>
      <c r="AP161" s="30"/>
      <c r="AQ161" s="26"/>
      <c r="AR161" s="26"/>
      <c r="AS161" s="32"/>
      <c r="AT161" s="34"/>
    </row>
    <row r="162" spans="2:46" x14ac:dyDescent="0.3">
      <c r="B162" s="8"/>
      <c r="C162" s="2"/>
      <c r="D162" s="26"/>
      <c r="E162" s="26"/>
      <c r="F162" s="27"/>
      <c r="G162" s="26"/>
      <c r="H162" s="26"/>
      <c r="I162" s="27"/>
      <c r="J162" s="26"/>
      <c r="K162" s="26"/>
      <c r="L162" s="67"/>
      <c r="N162" s="8"/>
      <c r="O162" s="2"/>
      <c r="P162" s="26"/>
      <c r="Q162" s="27"/>
      <c r="R162" s="30"/>
      <c r="S162" s="27"/>
      <c r="T162" s="30"/>
      <c r="U162" s="34"/>
      <c r="V162" s="34"/>
      <c r="X162" s="8"/>
      <c r="Y162" s="2"/>
      <c r="Z162" s="26"/>
      <c r="AA162" s="26"/>
      <c r="AB162" s="26"/>
      <c r="AC162" s="26"/>
      <c r="AD162" s="27"/>
      <c r="AE162" s="30"/>
      <c r="AF162" s="26"/>
      <c r="AG162" s="26"/>
      <c r="AH162" s="32"/>
      <c r="AJ162" s="8"/>
      <c r="AK162" s="2"/>
      <c r="AL162" s="26"/>
      <c r="AM162" s="26"/>
      <c r="AN162" s="26"/>
      <c r="AO162" s="27"/>
      <c r="AP162" s="30"/>
      <c r="AQ162" s="26"/>
      <c r="AR162" s="26"/>
      <c r="AS162" s="32"/>
      <c r="AT162" s="34"/>
    </row>
    <row r="163" spans="2:46" x14ac:dyDescent="0.3">
      <c r="B163" s="8"/>
      <c r="C163" s="2"/>
      <c r="D163" s="26"/>
      <c r="E163" s="26"/>
      <c r="F163" s="27"/>
      <c r="G163" s="26"/>
      <c r="H163" s="26"/>
      <c r="I163" s="27"/>
      <c r="J163" s="26"/>
      <c r="K163" s="26"/>
      <c r="L163" s="67"/>
      <c r="N163" s="8"/>
      <c r="O163" s="2"/>
      <c r="P163" s="26"/>
      <c r="Q163" s="27"/>
      <c r="R163" s="30"/>
      <c r="S163" s="27"/>
      <c r="T163" s="30"/>
      <c r="U163" s="34"/>
      <c r="V163" s="34"/>
      <c r="X163" s="8"/>
      <c r="Y163" s="2"/>
      <c r="Z163" s="26"/>
      <c r="AA163" s="26"/>
      <c r="AB163" s="26"/>
      <c r="AC163" s="26"/>
      <c r="AD163" s="27"/>
      <c r="AE163" s="30"/>
      <c r="AF163" s="26"/>
      <c r="AG163" s="26"/>
      <c r="AH163" s="32"/>
      <c r="AJ163" s="8"/>
      <c r="AK163" s="2"/>
      <c r="AL163" s="26"/>
      <c r="AM163" s="26"/>
      <c r="AN163" s="26"/>
      <c r="AO163" s="27"/>
      <c r="AP163" s="30"/>
      <c r="AQ163" s="26"/>
      <c r="AR163" s="26"/>
      <c r="AS163" s="32"/>
      <c r="AT163" s="34"/>
    </row>
    <row r="164" spans="2:46" x14ac:dyDescent="0.3">
      <c r="B164" s="8"/>
      <c r="C164" s="2"/>
      <c r="D164" s="26"/>
      <c r="E164" s="26"/>
      <c r="F164" s="27"/>
      <c r="G164" s="26"/>
      <c r="H164" s="26"/>
      <c r="I164" s="27"/>
      <c r="J164" s="26"/>
      <c r="K164" s="26"/>
      <c r="L164" s="67"/>
      <c r="N164" s="8"/>
      <c r="O164" s="2"/>
      <c r="P164" s="26"/>
      <c r="Q164" s="27"/>
      <c r="R164" s="30"/>
      <c r="S164" s="27"/>
      <c r="T164" s="30"/>
      <c r="U164" s="34"/>
      <c r="V164" s="34"/>
      <c r="X164" s="8"/>
      <c r="Y164" s="2"/>
      <c r="Z164" s="26"/>
      <c r="AA164" s="26"/>
      <c r="AB164" s="26"/>
      <c r="AC164" s="26"/>
      <c r="AD164" s="27"/>
      <c r="AE164" s="30"/>
      <c r="AF164" s="26"/>
      <c r="AG164" s="26"/>
      <c r="AH164" s="32"/>
      <c r="AJ164" s="8"/>
      <c r="AK164" s="2"/>
      <c r="AL164" s="26"/>
      <c r="AM164" s="26"/>
      <c r="AN164" s="26"/>
      <c r="AO164" s="27"/>
      <c r="AP164" s="30"/>
      <c r="AQ164" s="26"/>
      <c r="AR164" s="26"/>
      <c r="AS164" s="32"/>
      <c r="AT164" s="34"/>
    </row>
    <row r="165" spans="2:46" x14ac:dyDescent="0.3">
      <c r="B165" s="8"/>
      <c r="C165" s="2"/>
      <c r="D165" s="26"/>
      <c r="E165" s="26"/>
      <c r="F165" s="27"/>
      <c r="G165" s="26"/>
      <c r="H165" s="26"/>
      <c r="I165" s="27"/>
      <c r="J165" s="26"/>
      <c r="K165" s="26"/>
      <c r="L165" s="67"/>
      <c r="N165" s="8"/>
      <c r="O165" s="2"/>
      <c r="P165" s="26"/>
      <c r="Q165" s="27"/>
      <c r="R165" s="30"/>
      <c r="S165" s="27"/>
      <c r="T165" s="30"/>
      <c r="U165" s="34"/>
      <c r="V165" s="34"/>
      <c r="X165" s="8"/>
      <c r="Y165" s="2"/>
      <c r="Z165" s="26"/>
      <c r="AA165" s="26"/>
      <c r="AB165" s="26"/>
      <c r="AC165" s="26"/>
      <c r="AD165" s="27"/>
      <c r="AE165" s="30"/>
      <c r="AF165" s="26"/>
      <c r="AG165" s="26"/>
      <c r="AH165" s="32"/>
      <c r="AJ165" s="8"/>
      <c r="AK165" s="2"/>
      <c r="AL165" s="26"/>
      <c r="AM165" s="26"/>
      <c r="AN165" s="26"/>
      <c r="AO165" s="27"/>
      <c r="AP165" s="30"/>
      <c r="AQ165" s="26"/>
      <c r="AR165" s="26"/>
      <c r="AS165" s="32"/>
      <c r="AT165" s="34"/>
    </row>
    <row r="166" spans="2:46" x14ac:dyDescent="0.3">
      <c r="B166" s="8"/>
      <c r="C166" s="2"/>
      <c r="D166" s="26"/>
      <c r="E166" s="26"/>
      <c r="F166" s="28"/>
      <c r="G166" s="29"/>
      <c r="H166" s="29"/>
      <c r="I166" s="28"/>
      <c r="J166" s="29"/>
      <c r="K166" s="29"/>
      <c r="L166" s="68"/>
      <c r="N166" s="8"/>
      <c r="O166" s="2"/>
      <c r="P166" s="26"/>
      <c r="Q166" s="28"/>
      <c r="R166" s="31"/>
      <c r="S166" s="28"/>
      <c r="T166" s="31"/>
      <c r="U166" s="34"/>
      <c r="V166" s="34"/>
      <c r="X166" s="8"/>
      <c r="Y166" s="2"/>
      <c r="Z166" s="26"/>
      <c r="AA166" s="26"/>
      <c r="AB166" s="26"/>
      <c r="AC166" s="26"/>
      <c r="AD166" s="28"/>
      <c r="AE166" s="31"/>
      <c r="AF166" s="26"/>
      <c r="AG166" s="26"/>
      <c r="AH166" s="33"/>
      <c r="AJ166" s="8"/>
      <c r="AK166" s="2"/>
      <c r="AL166" s="26"/>
      <c r="AM166" s="26"/>
      <c r="AN166" s="26"/>
      <c r="AO166" s="28"/>
      <c r="AP166" s="31"/>
      <c r="AQ166" s="26"/>
      <c r="AR166" s="26"/>
      <c r="AS166" s="32"/>
      <c r="AT166" s="34"/>
    </row>
    <row r="167" spans="2:46" x14ac:dyDescent="0.3">
      <c r="B167" s="22"/>
      <c r="C167" s="22"/>
      <c r="D167" s="22"/>
      <c r="E167" s="22"/>
      <c r="F167" s="22"/>
      <c r="G167" s="22"/>
      <c r="H167" s="22"/>
      <c r="I167" s="22"/>
      <c r="J167" s="22"/>
      <c r="K167" s="22"/>
      <c r="L167" s="22"/>
      <c r="N167" s="22"/>
      <c r="O167" s="22"/>
      <c r="P167" s="22"/>
      <c r="Q167" s="22"/>
      <c r="R167" s="22"/>
      <c r="S167" s="22"/>
      <c r="T167" s="22"/>
      <c r="U167" s="22"/>
      <c r="V167" s="22"/>
      <c r="X167" s="22"/>
      <c r="Y167" s="22"/>
      <c r="Z167" s="22"/>
      <c r="AA167" s="22"/>
      <c r="AB167" s="22"/>
      <c r="AC167" s="22"/>
      <c r="AD167" s="22"/>
      <c r="AE167" s="22"/>
      <c r="AF167" s="22"/>
      <c r="AG167" s="22"/>
      <c r="AH167" s="22"/>
      <c r="AJ167" s="22"/>
      <c r="AK167" s="22"/>
      <c r="AL167" s="22"/>
      <c r="AM167" s="22"/>
      <c r="AN167" s="22"/>
      <c r="AO167" s="22"/>
      <c r="AP167" s="22"/>
      <c r="AQ167" s="22"/>
      <c r="AR167" s="22"/>
      <c r="AS167" s="22"/>
      <c r="AT167" s="22"/>
    </row>
  </sheetData>
  <mergeCells count="11">
    <mergeCell ref="AF4:AG4"/>
    <mergeCell ref="AO4:AP4"/>
    <mergeCell ref="AQ4:AR4"/>
    <mergeCell ref="AS4:AT4"/>
    <mergeCell ref="D4:E4"/>
    <mergeCell ref="F4:H4"/>
    <mergeCell ref="I4:K4"/>
    <mergeCell ref="Q4:R4"/>
    <mergeCell ref="AD4:AE4"/>
    <mergeCell ref="S4:T4"/>
    <mergeCell ref="U4:V4"/>
  </mergeCells>
  <conditionalFormatting sqref="D13:K13 P13:R13 Z13:AG13 AL13:AR13">
    <cfRule type="cellIs" dxfId="120" priority="11" operator="greaterThan">
      <formula>1</formula>
    </cfRule>
  </conditionalFormatting>
  <conditionalFormatting sqref="D17:K166 Z17:AG166 AL17:AR166">
    <cfRule type="cellIs" dxfId="119" priority="12" operator="lessThan">
      <formula>0</formula>
    </cfRule>
    <cfRule type="cellIs" dxfId="118" priority="13" operator="greaterThan">
      <formula>0</formula>
    </cfRule>
  </conditionalFormatting>
  <conditionalFormatting sqref="U17:V166">
    <cfRule type="cellIs" dxfId="117" priority="9" operator="greaterThan">
      <formula>1</formula>
    </cfRule>
  </conditionalFormatting>
  <conditionalFormatting sqref="AH17:AH166">
    <cfRule type="cellIs" dxfId="116" priority="8" operator="greaterThan">
      <formula>1</formula>
    </cfRule>
  </conditionalFormatting>
  <conditionalFormatting sqref="AS17:AT166">
    <cfRule type="cellIs" dxfId="115" priority="6" operator="greaterThan">
      <formula>1</formula>
    </cfRule>
  </conditionalFormatting>
  <conditionalFormatting sqref="BA7:BA24 P17:T166">
    <cfRule type="cellIs" dxfId="112" priority="3" operator="lessThan">
      <formula>0</formula>
    </cfRule>
    <cfRule type="cellIs" dxfId="111" priority="4" operator="greaterThan">
      <formula>0</formula>
    </cfRule>
  </conditionalFormatting>
  <conditionalFormatting sqref="BB7:BB24 L17:L166">
    <cfRule type="cellIs" dxfId="110" priority="5" operator="greaterThan">
      <formula>1</formula>
    </cfRule>
  </conditionalFormatting>
  <dataValidations count="4">
    <dataValidation type="whole" errorStyle="information" allowBlank="1" showInputMessage="1" showErrorMessage="1" errorTitle="Must select 1 or 2" error="1 = Multiplicative_x000a_2 = Additive" sqref="AL13:AR13 Z13:AG13 P13:R13 D13:K13 BB7:BB24" xr:uid="{72046A74-E047-4E39-84C8-74D9E9DE5853}">
      <formula1>1</formula1>
      <formula2>2</formula2>
    </dataValidation>
    <dataValidation type="decimal" errorStyle="information" allowBlank="1" showInputMessage="1" showErrorMessage="1" errorTitle="Must select a number" error="Cannot choose letters or special characters." sqref="D17:K166 BA7:BA24 P17:T166 Z17:AG166 AO17:AR166 AL17:AN37" xr:uid="{34A4E0A5-AFD7-4978-BE7D-ED693B38E5D6}">
      <formula1>-1000000000</formula1>
      <formula2>1000000000</formula2>
    </dataValidation>
    <dataValidation type="whole" errorStyle="information" allowBlank="1" showInputMessage="1" showErrorMessage="1" errorTitle="Must select 1 or 2" error="1 = Included in shock_x000a_2 = Excluded" sqref="U17:U166" xr:uid="{52F7B7CD-0325-4377-9C15-74437E4F3B4F}">
      <formula1>1</formula1>
      <formula2>2</formula2>
    </dataValidation>
    <dataValidation type="whole" errorStyle="information" allowBlank="1" showInputMessage="1" showErrorMessage="1" errorTitle="Must select 1 or 2" error="1 = Included in closure_x000a_2 = Excluded" sqref="V17:V166 AH17:AH166 L17:L166 AS17:AT166" xr:uid="{9B8F2E93-833C-4C65-854D-3DFF5E66DC2C}">
      <formula1>1</formula1>
      <formula2>2</formula2>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ellIs" priority="15" operator="equal" id="{5182B1E0-1F1D-45DC-B9B6-AF063DCA40AE}">
            <xm:f>Notes!$L$4</xm:f>
            <x14:dxf>
              <font>
                <b val="0"/>
                <i val="0"/>
                <strike val="0"/>
                <color theme="0" tint="-0.34998626667073579"/>
              </font>
              <fill>
                <patternFill patternType="none">
                  <bgColor auto="1"/>
                </patternFill>
              </fill>
            </x14:dxf>
          </x14:cfRule>
          <xm:sqref>AY7:AY24 D8:K8 P8:T8 Z8:AG8 AL8:AR8</xm:sqref>
        </x14:conditionalFormatting>
        <x14:conditionalFormatting xmlns:xm="http://schemas.microsoft.com/office/excel/2006/main">
          <x14:cfRule type="cellIs" priority="14" operator="equal" id="{56946D85-9B0F-4684-A5CD-6E11F4AE50C1}">
            <xm:f>Notes!$L$5</xm:f>
            <x14:dxf>
              <font>
                <b val="0"/>
                <i val="0"/>
                <strike val="0"/>
                <color theme="0" tint="-0.34998626667073579"/>
              </font>
              <fill>
                <patternFill patternType="none">
                  <bgColor auto="1"/>
                </patternFill>
              </fill>
            </x14:dxf>
          </x14:cfRule>
          <xm:sqref>AZ7:AZ24 D9:K9 P9:T9 Z9:AG9 AL9:AR9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Out of range" error="Time periods must fall within the range specified on the &quot;Base&quot; worksheet." xr:uid="{B481E29F-10BB-4886-9B4B-B14D4D160B7B}">
          <x14:formula1>
            <xm:f>Main!$H$5:$H$58</xm:f>
          </x14:formula1>
          <xm:sqref>D8:K9 AY7:AZ24 AL8:AR9 P8:T9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CA16-90D5-4889-83E3-B16AFC9365D3}">
  <sheetPr>
    <tabColor theme="8" tint="-0.499984740745262"/>
  </sheetPr>
  <dimension ref="A1:BE167"/>
  <sheetViews>
    <sheetView zoomScale="55" zoomScaleNormal="55" workbookViewId="0">
      <pane ySplit="16" topLeftCell="A17" activePane="bottomLeft" state="frozen"/>
      <selection activeCell="V17" sqref="V17"/>
      <selection pane="bottomLeft" activeCell="V17" sqref="V17"/>
    </sheetView>
  </sheetViews>
  <sheetFormatPr defaultColWidth="0" defaultRowHeight="14.4" zeroHeight="1" x14ac:dyDescent="0.3"/>
  <cols>
    <col min="1" max="2" width="2.44140625" customWidth="1"/>
    <col min="3" max="12" width="9.109375" customWidth="1"/>
    <col min="13" max="14" width="2.44140625" customWidth="1"/>
    <col min="15" max="22" width="9.109375" customWidth="1"/>
    <col min="23" max="24" width="2.44140625" customWidth="1"/>
    <col min="25" max="34" width="9.109375" customWidth="1"/>
    <col min="35" max="36" width="2.44140625" customWidth="1"/>
    <col min="37" max="37" width="11.77734375" customWidth="1"/>
    <col min="38" max="46" width="9.109375" customWidth="1"/>
    <col min="47" max="48" width="2.44140625" customWidth="1"/>
    <col min="49" max="49" width="18.88671875" bestFit="1" customWidth="1"/>
    <col min="50" max="54" width="9.109375" customWidth="1"/>
    <col min="55" max="55" width="2.44140625" customWidth="1"/>
    <col min="56" max="57" width="0" hidden="1" customWidth="1"/>
    <col min="58" max="16384" width="9.109375" hidden="1"/>
  </cols>
  <sheetData>
    <row r="1" spans="1:55" ht="18" x14ac:dyDescent="0.35">
      <c r="A1" s="6" t="str">
        <f>"Simulation "&amp;AC1&amp;IF(AD1&lt;&gt;""," : "&amp;AD1,"")</f>
        <v>Simulation sim6</v>
      </c>
      <c r="B1" s="6"/>
      <c r="C1" s="4"/>
      <c r="D1" s="4"/>
      <c r="E1" s="4"/>
      <c r="F1" s="4"/>
      <c r="G1" s="4"/>
      <c r="H1" s="4"/>
      <c r="I1" s="4"/>
      <c r="J1" s="4"/>
      <c r="K1" s="4"/>
      <c r="L1" s="4"/>
      <c r="M1" s="4"/>
      <c r="N1" s="4"/>
      <c r="O1" s="4"/>
      <c r="P1" s="4"/>
      <c r="Q1" s="4"/>
      <c r="R1" s="4"/>
      <c r="S1" s="4"/>
      <c r="T1" s="4"/>
      <c r="U1" s="4"/>
      <c r="V1" s="4"/>
      <c r="W1" s="4"/>
      <c r="X1" s="4"/>
      <c r="Y1" s="4"/>
      <c r="Z1" s="4"/>
      <c r="AA1" s="4"/>
      <c r="AB1" s="4"/>
      <c r="AC1" s="4" t="str">
        <f>Main!C12</f>
        <v>sim6</v>
      </c>
      <c r="AD1" s="4" t="str">
        <f>IF(Main!E12&lt;&gt;"",Main!E12,"")</f>
        <v/>
      </c>
      <c r="AE1" s="4"/>
      <c r="AF1" s="4"/>
      <c r="AG1" s="4"/>
      <c r="AH1" s="4"/>
      <c r="AI1" s="4"/>
      <c r="AJ1" s="4"/>
      <c r="AK1" s="4"/>
      <c r="AL1" s="4"/>
      <c r="AM1" s="4"/>
      <c r="AN1" s="4"/>
      <c r="AO1" s="4"/>
      <c r="AP1" s="4"/>
      <c r="AQ1" s="4"/>
      <c r="AR1" s="4"/>
      <c r="AS1" s="4"/>
      <c r="AT1" s="4"/>
      <c r="AU1" s="4"/>
      <c r="AV1" s="4"/>
      <c r="AW1" s="4"/>
      <c r="AX1" s="4"/>
      <c r="AY1" s="4"/>
      <c r="AZ1" s="4"/>
      <c r="BA1" s="4"/>
      <c r="BB1" s="4"/>
      <c r="BC1" s="4"/>
    </row>
    <row r="2" spans="1:55" x14ac:dyDescent="0.3"/>
    <row r="3" spans="1:55" ht="15.6" x14ac:dyDescent="0.3">
      <c r="B3" s="7"/>
      <c r="C3" s="17" t="s">
        <v>55</v>
      </c>
      <c r="D3" s="36"/>
      <c r="E3" s="36"/>
      <c r="F3" s="36"/>
      <c r="G3" s="36"/>
      <c r="H3" s="36"/>
      <c r="I3" s="36"/>
      <c r="J3" s="36"/>
      <c r="K3" s="36"/>
      <c r="L3" s="36"/>
      <c r="N3" s="7"/>
      <c r="O3" s="17" t="s">
        <v>56</v>
      </c>
      <c r="P3" s="36"/>
      <c r="Q3" s="36"/>
      <c r="R3" s="36"/>
      <c r="S3" s="36"/>
      <c r="T3" s="36"/>
      <c r="U3" s="36"/>
      <c r="V3" s="36"/>
      <c r="X3" s="7"/>
      <c r="Y3" s="17" t="s">
        <v>57</v>
      </c>
      <c r="Z3" s="36"/>
      <c r="AA3" s="36"/>
      <c r="AB3" s="36"/>
      <c r="AC3" s="36"/>
      <c r="AD3" s="36"/>
      <c r="AE3" s="36"/>
      <c r="AF3" s="36"/>
      <c r="AG3" s="36"/>
      <c r="AH3" s="36"/>
      <c r="AJ3" s="7"/>
      <c r="AK3" s="17" t="s">
        <v>283</v>
      </c>
      <c r="AL3" s="36"/>
      <c r="AM3" s="36"/>
      <c r="AN3" s="36"/>
      <c r="AO3" s="36"/>
      <c r="AP3" s="36"/>
      <c r="AQ3" s="36"/>
      <c r="AR3" s="36"/>
      <c r="AS3" s="36"/>
      <c r="AT3" s="36"/>
      <c r="AV3" s="7"/>
      <c r="AW3" s="17" t="s">
        <v>125</v>
      </c>
      <c r="AX3" s="36"/>
      <c r="AY3" s="36"/>
      <c r="AZ3" s="36"/>
      <c r="BA3" s="36"/>
      <c r="BB3" s="36"/>
    </row>
    <row r="4" spans="1:55" x14ac:dyDescent="0.3">
      <c r="B4" s="14"/>
      <c r="C4" s="9"/>
      <c r="D4" s="74" t="s">
        <v>58</v>
      </c>
      <c r="E4" s="74"/>
      <c r="F4" s="75" t="s">
        <v>59</v>
      </c>
      <c r="G4" s="74"/>
      <c r="H4" s="74"/>
      <c r="I4" s="75" t="s">
        <v>7</v>
      </c>
      <c r="J4" s="74"/>
      <c r="K4" s="74"/>
      <c r="L4" s="37" t="s">
        <v>103</v>
      </c>
      <c r="N4" s="14"/>
      <c r="O4" s="9"/>
      <c r="P4" s="38" t="s">
        <v>60</v>
      </c>
      <c r="Q4" s="75" t="s">
        <v>61</v>
      </c>
      <c r="R4" s="76"/>
      <c r="S4" s="75" t="s">
        <v>646</v>
      </c>
      <c r="T4" s="74"/>
      <c r="U4" s="75" t="s">
        <v>103</v>
      </c>
      <c r="V4" s="74"/>
      <c r="X4" s="14"/>
      <c r="Y4" s="9"/>
      <c r="Z4" s="38" t="s">
        <v>63</v>
      </c>
      <c r="AA4" s="38" t="s">
        <v>62</v>
      </c>
      <c r="AB4" s="38" t="s">
        <v>311</v>
      </c>
      <c r="AC4" s="38" t="s">
        <v>62</v>
      </c>
      <c r="AD4" s="75" t="s">
        <v>126</v>
      </c>
      <c r="AE4" s="76"/>
      <c r="AF4" s="74" t="s">
        <v>127</v>
      </c>
      <c r="AG4" s="74"/>
      <c r="AH4" s="37" t="s">
        <v>103</v>
      </c>
      <c r="AJ4" s="14"/>
      <c r="AK4" s="9"/>
      <c r="AL4" s="38" t="s">
        <v>132</v>
      </c>
      <c r="AM4" s="38" t="s">
        <v>99</v>
      </c>
      <c r="AN4" s="38" t="s">
        <v>289</v>
      </c>
      <c r="AO4" s="75" t="s">
        <v>126</v>
      </c>
      <c r="AP4" s="76"/>
      <c r="AQ4" s="74" t="s">
        <v>127</v>
      </c>
      <c r="AR4" s="74"/>
      <c r="AS4" s="75" t="s">
        <v>103</v>
      </c>
      <c r="AT4" s="74"/>
      <c r="AV4" s="8"/>
      <c r="AY4" s="39" t="s">
        <v>335</v>
      </c>
      <c r="AZ4" s="39" t="s">
        <v>336</v>
      </c>
      <c r="BA4" s="39" t="s">
        <v>300</v>
      </c>
      <c r="BB4" s="39" t="s">
        <v>304</v>
      </c>
    </row>
    <row r="5" spans="1:55" x14ac:dyDescent="0.3">
      <c r="B5" s="14"/>
      <c r="C5" s="9"/>
      <c r="D5" s="40" t="s">
        <v>64</v>
      </c>
      <c r="E5" s="40" t="s">
        <v>65</v>
      </c>
      <c r="F5" s="41" t="s">
        <v>64</v>
      </c>
      <c r="G5" s="40" t="s">
        <v>65</v>
      </c>
      <c r="H5" s="40" t="s">
        <v>66</v>
      </c>
      <c r="I5" s="41" t="s">
        <v>64</v>
      </c>
      <c r="J5" s="40" t="s">
        <v>65</v>
      </c>
      <c r="K5" s="40" t="s">
        <v>67</v>
      </c>
      <c r="L5" s="41" t="s">
        <v>100</v>
      </c>
      <c r="N5" s="14"/>
      <c r="O5" s="9"/>
      <c r="P5" s="40"/>
      <c r="Q5" s="41" t="s">
        <v>68</v>
      </c>
      <c r="R5" s="42" t="s">
        <v>124</v>
      </c>
      <c r="S5" s="40" t="s">
        <v>284</v>
      </c>
      <c r="T5" s="40" t="s">
        <v>286</v>
      </c>
      <c r="U5" s="69" t="s">
        <v>313</v>
      </c>
      <c r="V5" s="40" t="s">
        <v>100</v>
      </c>
      <c r="X5" s="14"/>
      <c r="Y5" s="9"/>
      <c r="Z5" s="38" t="s">
        <v>70</v>
      </c>
      <c r="AA5" s="38" t="s">
        <v>71</v>
      </c>
      <c r="AB5" s="38" t="s">
        <v>312</v>
      </c>
      <c r="AC5" s="38" t="s">
        <v>69</v>
      </c>
      <c r="AD5" s="41" t="s">
        <v>86</v>
      </c>
      <c r="AE5" s="42" t="s">
        <v>87</v>
      </c>
      <c r="AF5" s="40" t="s">
        <v>86</v>
      </c>
      <c r="AG5" s="40" t="s">
        <v>87</v>
      </c>
      <c r="AH5" s="41" t="s">
        <v>100</v>
      </c>
      <c r="AJ5" s="14"/>
      <c r="AK5" s="9"/>
      <c r="AL5" s="38" t="s">
        <v>134</v>
      </c>
      <c r="AM5" s="38" t="s">
        <v>70</v>
      </c>
      <c r="AN5" s="38" t="s">
        <v>123</v>
      </c>
      <c r="AO5" s="41" t="s">
        <v>86</v>
      </c>
      <c r="AP5" s="42" t="s">
        <v>87</v>
      </c>
      <c r="AQ5" s="40" t="s">
        <v>86</v>
      </c>
      <c r="AR5" s="40" t="s">
        <v>87</v>
      </c>
      <c r="AS5" s="41" t="s">
        <v>99</v>
      </c>
      <c r="AT5" s="40" t="s">
        <v>100</v>
      </c>
      <c r="AV5" s="8"/>
      <c r="BA5" s="43"/>
      <c r="BB5" s="44" t="s">
        <v>305</v>
      </c>
    </row>
    <row r="6" spans="1:55" x14ac:dyDescent="0.3">
      <c r="B6" s="8"/>
      <c r="F6" s="45"/>
      <c r="I6" s="45"/>
      <c r="L6" s="45"/>
      <c r="N6" s="8"/>
      <c r="Q6" s="45"/>
      <c r="R6" s="46"/>
      <c r="U6" s="70"/>
      <c r="X6" s="8"/>
      <c r="AD6" s="45"/>
      <c r="AE6" s="46"/>
      <c r="AH6" s="45"/>
      <c r="AJ6" s="8"/>
      <c r="AO6" s="45"/>
      <c r="AP6" s="46"/>
      <c r="AS6" s="45"/>
      <c r="AV6" s="8"/>
      <c r="AW6" s="47" t="s">
        <v>303</v>
      </c>
      <c r="AX6" s="48"/>
      <c r="AY6" s="49" t="s">
        <v>337</v>
      </c>
      <c r="AZ6" s="49" t="s">
        <v>338</v>
      </c>
      <c r="BA6" s="49" t="s">
        <v>206</v>
      </c>
      <c r="BB6" s="49" t="s">
        <v>207</v>
      </c>
    </row>
    <row r="7" spans="1:55" x14ac:dyDescent="0.3">
      <c r="B7" s="8"/>
      <c r="D7" s="50" t="s">
        <v>72</v>
      </c>
      <c r="E7" s="50" t="s">
        <v>73</v>
      </c>
      <c r="F7" s="51" t="s">
        <v>74</v>
      </c>
      <c r="G7" s="50" t="s">
        <v>75</v>
      </c>
      <c r="H7" s="50" t="s">
        <v>76</v>
      </c>
      <c r="I7" s="51" t="s">
        <v>77</v>
      </c>
      <c r="J7" s="50" t="s">
        <v>78</v>
      </c>
      <c r="K7" s="50" t="s">
        <v>79</v>
      </c>
      <c r="L7" s="45"/>
      <c r="N7" s="8"/>
      <c r="P7" s="50" t="s">
        <v>81</v>
      </c>
      <c r="Q7" s="51" t="s">
        <v>82</v>
      </c>
      <c r="R7" s="52" t="s">
        <v>621</v>
      </c>
      <c r="S7" s="50" t="s">
        <v>80</v>
      </c>
      <c r="T7" s="50" t="s">
        <v>285</v>
      </c>
      <c r="U7" s="70"/>
      <c r="X7" s="8"/>
      <c r="Z7" s="50" t="s">
        <v>84</v>
      </c>
      <c r="AA7" s="50" t="s">
        <v>85</v>
      </c>
      <c r="AB7" s="50" t="s">
        <v>310</v>
      </c>
      <c r="AC7" s="50" t="s">
        <v>83</v>
      </c>
      <c r="AD7" s="51" t="s">
        <v>130</v>
      </c>
      <c r="AE7" s="52" t="s">
        <v>131</v>
      </c>
      <c r="AF7" s="50" t="s">
        <v>128</v>
      </c>
      <c r="AG7" s="50" t="s">
        <v>129</v>
      </c>
      <c r="AH7" s="45"/>
      <c r="AJ7" s="8"/>
      <c r="AL7" s="50" t="s">
        <v>133</v>
      </c>
      <c r="AM7" s="50" t="s">
        <v>101</v>
      </c>
      <c r="AN7" s="50" t="s">
        <v>622</v>
      </c>
      <c r="AO7" s="51" t="s">
        <v>130</v>
      </c>
      <c r="AP7" s="52" t="s">
        <v>131</v>
      </c>
      <c r="AQ7" s="50" t="s">
        <v>128</v>
      </c>
      <c r="AR7" s="50" t="s">
        <v>129</v>
      </c>
      <c r="AS7" s="45"/>
      <c r="AV7" s="8"/>
      <c r="AW7" s="9" t="s">
        <v>88</v>
      </c>
      <c r="AX7" s="53" t="s">
        <v>89</v>
      </c>
      <c r="AY7" s="63">
        <f>Notes!$L$4</f>
        <v>2024</v>
      </c>
      <c r="AZ7" s="63">
        <f>Notes!$L$5</f>
        <v>2040</v>
      </c>
      <c r="BA7" s="26">
        <v>0</v>
      </c>
      <c r="BB7" s="34">
        <v>1</v>
      </c>
    </row>
    <row r="8" spans="1:55" x14ac:dyDescent="0.3">
      <c r="B8" s="8"/>
      <c r="C8" s="1" t="s">
        <v>339</v>
      </c>
      <c r="D8" s="63">
        <f>Notes!$L4</f>
        <v>2024</v>
      </c>
      <c r="E8" s="63">
        <f>Notes!$L4</f>
        <v>2024</v>
      </c>
      <c r="F8" s="64">
        <f>Notes!$L4</f>
        <v>2024</v>
      </c>
      <c r="G8" s="63">
        <f>Notes!$L4</f>
        <v>2024</v>
      </c>
      <c r="H8" s="63">
        <f>Notes!$L4</f>
        <v>2024</v>
      </c>
      <c r="I8" s="64">
        <f>Notes!$L4</f>
        <v>2024</v>
      </c>
      <c r="J8" s="63">
        <f>Notes!$L4</f>
        <v>2024</v>
      </c>
      <c r="K8" s="63">
        <f>Notes!$L4</f>
        <v>2024</v>
      </c>
      <c r="L8" s="45"/>
      <c r="N8" s="8"/>
      <c r="O8" s="1" t="s">
        <v>339</v>
      </c>
      <c r="P8" s="63">
        <f>Notes!$L4</f>
        <v>2024</v>
      </c>
      <c r="Q8" s="64">
        <f>Notes!$L4</f>
        <v>2024</v>
      </c>
      <c r="R8" s="63">
        <f>Notes!$L4</f>
        <v>2024</v>
      </c>
      <c r="S8" s="64">
        <f>Notes!$L4</f>
        <v>2024</v>
      </c>
      <c r="T8" s="63">
        <f>Notes!$L4</f>
        <v>2024</v>
      </c>
      <c r="U8" s="70"/>
      <c r="X8" s="8"/>
      <c r="Y8" s="1" t="s">
        <v>339</v>
      </c>
      <c r="Z8" s="63">
        <f>Notes!$L4</f>
        <v>2024</v>
      </c>
      <c r="AA8" s="63">
        <f>Notes!$L4</f>
        <v>2024</v>
      </c>
      <c r="AB8" s="63">
        <f>Notes!$L4</f>
        <v>2024</v>
      </c>
      <c r="AC8" s="63">
        <f>Notes!$L4</f>
        <v>2024</v>
      </c>
      <c r="AD8" s="64">
        <f>Notes!$L4</f>
        <v>2024</v>
      </c>
      <c r="AE8" s="63">
        <f>Notes!$L4</f>
        <v>2024</v>
      </c>
      <c r="AF8" s="64">
        <f>Notes!$L4</f>
        <v>2024</v>
      </c>
      <c r="AG8" s="63">
        <f>Notes!$L4</f>
        <v>2024</v>
      </c>
      <c r="AH8" s="45"/>
      <c r="AJ8" s="8"/>
      <c r="AK8" s="1" t="s">
        <v>339</v>
      </c>
      <c r="AL8" s="63">
        <f>Notes!$L4</f>
        <v>2024</v>
      </c>
      <c r="AM8" s="63">
        <f>Notes!$L4</f>
        <v>2024</v>
      </c>
      <c r="AN8" s="63">
        <f>Notes!$L4</f>
        <v>2024</v>
      </c>
      <c r="AO8" s="64">
        <f>Notes!$L4</f>
        <v>2024</v>
      </c>
      <c r="AP8" s="63">
        <f>Notes!$L4</f>
        <v>2024</v>
      </c>
      <c r="AQ8" s="64">
        <f>Notes!$L$4</f>
        <v>2024</v>
      </c>
      <c r="AR8" s="63">
        <f>Notes!$L4</f>
        <v>2024</v>
      </c>
      <c r="AS8" s="45"/>
      <c r="AV8" s="8"/>
      <c r="AW8" s="9" t="s">
        <v>92</v>
      </c>
      <c r="AX8" s="53" t="s">
        <v>93</v>
      </c>
      <c r="AY8" s="63">
        <f>Notes!$L$4</f>
        <v>2024</v>
      </c>
      <c r="AZ8" s="63">
        <f>Notes!$L$5</f>
        <v>2040</v>
      </c>
      <c r="BA8" s="26">
        <v>0</v>
      </c>
      <c r="BB8" s="34">
        <v>1</v>
      </c>
    </row>
    <row r="9" spans="1:55" x14ac:dyDescent="0.3">
      <c r="B9" s="8"/>
      <c r="C9" s="1" t="s">
        <v>340</v>
      </c>
      <c r="D9" s="63">
        <f>Notes!$L5</f>
        <v>2040</v>
      </c>
      <c r="E9" s="63">
        <f>Notes!$L5</f>
        <v>2040</v>
      </c>
      <c r="F9" s="64">
        <f>Notes!$L5</f>
        <v>2040</v>
      </c>
      <c r="G9" s="63">
        <f>Notes!$L5</f>
        <v>2040</v>
      </c>
      <c r="H9" s="63">
        <f>Notes!$L5</f>
        <v>2040</v>
      </c>
      <c r="I9" s="64">
        <f>Notes!$L5</f>
        <v>2040</v>
      </c>
      <c r="J9" s="63">
        <f>Notes!$L5</f>
        <v>2040</v>
      </c>
      <c r="K9" s="63">
        <f>Notes!$L5</f>
        <v>2040</v>
      </c>
      <c r="L9" s="45"/>
      <c r="N9" s="8"/>
      <c r="O9" s="1" t="s">
        <v>340</v>
      </c>
      <c r="P9" s="63">
        <f>Notes!$L5</f>
        <v>2040</v>
      </c>
      <c r="Q9" s="64">
        <f>Notes!$L5</f>
        <v>2040</v>
      </c>
      <c r="R9" s="63">
        <f>Notes!$L5</f>
        <v>2040</v>
      </c>
      <c r="S9" s="64">
        <f>Notes!$L5</f>
        <v>2040</v>
      </c>
      <c r="T9" s="63">
        <f>Notes!$L5</f>
        <v>2040</v>
      </c>
      <c r="U9" s="70"/>
      <c r="X9" s="8"/>
      <c r="Y9" s="1" t="s">
        <v>340</v>
      </c>
      <c r="Z9" s="63">
        <f>Notes!$L5</f>
        <v>2040</v>
      </c>
      <c r="AA9" s="63">
        <f>Notes!$L5</f>
        <v>2040</v>
      </c>
      <c r="AB9" s="63">
        <f>Notes!$L5</f>
        <v>2040</v>
      </c>
      <c r="AC9" s="63">
        <f>Notes!$L5</f>
        <v>2040</v>
      </c>
      <c r="AD9" s="64">
        <f>Notes!$L5</f>
        <v>2040</v>
      </c>
      <c r="AE9" s="63">
        <f>Notes!$L5</f>
        <v>2040</v>
      </c>
      <c r="AF9" s="64">
        <f>Notes!$L5</f>
        <v>2040</v>
      </c>
      <c r="AG9" s="63">
        <f>Notes!$L5</f>
        <v>2040</v>
      </c>
      <c r="AH9" s="45"/>
      <c r="AJ9" s="8"/>
      <c r="AK9" s="1" t="s">
        <v>340</v>
      </c>
      <c r="AL9" s="63">
        <f>Notes!$L5</f>
        <v>2040</v>
      </c>
      <c r="AM9" s="63">
        <f>Notes!$L5</f>
        <v>2040</v>
      </c>
      <c r="AN9" s="63">
        <f>Notes!$L5</f>
        <v>2040</v>
      </c>
      <c r="AO9" s="64">
        <f>Notes!$L5</f>
        <v>2040</v>
      </c>
      <c r="AP9" s="63">
        <f>Notes!$L5</f>
        <v>2040</v>
      </c>
      <c r="AQ9" s="64">
        <f>Notes!$L5</f>
        <v>2040</v>
      </c>
      <c r="AR9" s="63">
        <f>Notes!$L5</f>
        <v>2040</v>
      </c>
      <c r="AS9" s="45"/>
      <c r="AV9" s="8"/>
      <c r="AW9" s="9" t="s">
        <v>90</v>
      </c>
      <c r="AX9" s="53" t="s">
        <v>91</v>
      </c>
      <c r="AY9" s="63">
        <f>Notes!$L$4</f>
        <v>2024</v>
      </c>
      <c r="AZ9" s="63">
        <f>Notes!$L$5</f>
        <v>2040</v>
      </c>
      <c r="BA9" s="26">
        <v>0</v>
      </c>
      <c r="BB9" s="34">
        <v>1</v>
      </c>
    </row>
    <row r="10" spans="1:55" x14ac:dyDescent="0.3">
      <c r="B10" s="8"/>
      <c r="F10" s="45"/>
      <c r="I10" s="45"/>
      <c r="L10" s="45"/>
      <c r="N10" s="8"/>
      <c r="Q10" s="45"/>
      <c r="R10" s="46"/>
      <c r="U10" s="70"/>
      <c r="X10" s="8"/>
      <c r="AD10" s="45"/>
      <c r="AE10" s="46"/>
      <c r="AH10" s="45"/>
      <c r="AJ10" s="8"/>
      <c r="AO10" s="45"/>
      <c r="AP10" s="46"/>
      <c r="AS10" s="45"/>
      <c r="AV10" s="8"/>
      <c r="AW10" s="9" t="s">
        <v>298</v>
      </c>
      <c r="AX10" s="53" t="s">
        <v>299</v>
      </c>
      <c r="AY10" s="63">
        <f>Notes!$L$4</f>
        <v>2024</v>
      </c>
      <c r="AZ10" s="63">
        <f>Notes!$L$5</f>
        <v>2040</v>
      </c>
      <c r="BA10" s="26">
        <v>0</v>
      </c>
      <c r="BB10" s="34">
        <v>1</v>
      </c>
    </row>
    <row r="11" spans="1:55" x14ac:dyDescent="0.3">
      <c r="B11" s="8"/>
      <c r="C11" s="54" t="s">
        <v>302</v>
      </c>
      <c r="D11" s="55"/>
      <c r="E11" s="55"/>
      <c r="F11" s="56"/>
      <c r="G11" s="55"/>
      <c r="H11" s="55"/>
      <c r="I11" s="56"/>
      <c r="J11" s="55"/>
      <c r="K11" s="55"/>
      <c r="L11" s="56"/>
      <c r="N11" s="8"/>
      <c r="O11" s="54" t="s">
        <v>302</v>
      </c>
      <c r="P11" s="53"/>
      <c r="Q11" s="57"/>
      <c r="R11" s="58"/>
      <c r="S11" s="53"/>
      <c r="T11" s="53"/>
      <c r="U11" s="71"/>
      <c r="V11" s="53"/>
      <c r="X11" s="8"/>
      <c r="Y11" s="54" t="s">
        <v>302</v>
      </c>
      <c r="Z11" s="53"/>
      <c r="AA11" s="53"/>
      <c r="AB11" s="53"/>
      <c r="AC11" s="53"/>
      <c r="AD11" s="57"/>
      <c r="AE11" s="58"/>
      <c r="AF11" s="53"/>
      <c r="AG11" s="53"/>
      <c r="AH11" s="56"/>
      <c r="AJ11" s="8"/>
      <c r="AK11" s="54" t="s">
        <v>302</v>
      </c>
      <c r="AL11" s="54"/>
      <c r="AM11" s="59"/>
      <c r="AN11" s="53"/>
      <c r="AO11" s="57"/>
      <c r="AP11" s="58"/>
      <c r="AQ11" s="53"/>
      <c r="AR11" s="53"/>
      <c r="AS11" s="57"/>
      <c r="AT11" s="53"/>
      <c r="AV11" s="8"/>
      <c r="AW11" s="9" t="s">
        <v>98</v>
      </c>
      <c r="AX11" s="53" t="s">
        <v>101</v>
      </c>
      <c r="AY11" s="63">
        <f>Notes!$L$4</f>
        <v>2024</v>
      </c>
      <c r="AZ11" s="63">
        <f>Notes!$L$5</f>
        <v>2040</v>
      </c>
      <c r="BA11" s="26">
        <v>0</v>
      </c>
      <c r="BB11" s="34">
        <v>1</v>
      </c>
    </row>
    <row r="12" spans="1:55" x14ac:dyDescent="0.3">
      <c r="B12" s="8"/>
      <c r="C12" s="54"/>
      <c r="D12" s="50" t="s">
        <v>72</v>
      </c>
      <c r="E12" s="50" t="s">
        <v>73</v>
      </c>
      <c r="F12" s="51" t="s">
        <v>74</v>
      </c>
      <c r="G12" s="50" t="s">
        <v>75</v>
      </c>
      <c r="H12" s="50" t="s">
        <v>76</v>
      </c>
      <c r="I12" s="51" t="s">
        <v>77</v>
      </c>
      <c r="J12" s="50" t="s">
        <v>78</v>
      </c>
      <c r="K12" s="50" t="s">
        <v>79</v>
      </c>
      <c r="L12" s="56"/>
      <c r="N12" s="8"/>
      <c r="O12" s="54"/>
      <c r="P12" s="50" t="s">
        <v>81</v>
      </c>
      <c r="Q12" s="51" t="s">
        <v>82</v>
      </c>
      <c r="R12" s="52" t="s">
        <v>621</v>
      </c>
      <c r="S12" s="53"/>
      <c r="T12" s="53"/>
      <c r="U12" s="71"/>
      <c r="V12" s="53"/>
      <c r="X12" s="8"/>
      <c r="Y12" s="54"/>
      <c r="Z12" s="50" t="s">
        <v>84</v>
      </c>
      <c r="AA12" s="50" t="s">
        <v>85</v>
      </c>
      <c r="AB12" s="50" t="s">
        <v>310</v>
      </c>
      <c r="AC12" s="50" t="s">
        <v>83</v>
      </c>
      <c r="AD12" s="51" t="s">
        <v>130</v>
      </c>
      <c r="AE12" s="52" t="s">
        <v>131</v>
      </c>
      <c r="AF12" s="50" t="s">
        <v>128</v>
      </c>
      <c r="AG12" s="50" t="s">
        <v>129</v>
      </c>
      <c r="AH12" s="56"/>
      <c r="AJ12" s="8"/>
      <c r="AK12" s="54"/>
      <c r="AL12" s="50" t="s">
        <v>133</v>
      </c>
      <c r="AM12" s="50" t="s">
        <v>101</v>
      </c>
      <c r="AN12" s="50" t="s">
        <v>622</v>
      </c>
      <c r="AO12" s="51" t="s">
        <v>130</v>
      </c>
      <c r="AP12" s="52" t="s">
        <v>131</v>
      </c>
      <c r="AQ12" s="50" t="s">
        <v>128</v>
      </c>
      <c r="AR12" s="50" t="s">
        <v>129</v>
      </c>
      <c r="AS12" s="57"/>
      <c r="AT12" s="53"/>
      <c r="AV12" s="8"/>
      <c r="AW12" s="9" t="s">
        <v>94</v>
      </c>
      <c r="AX12" s="53" t="s">
        <v>95</v>
      </c>
      <c r="AY12" s="63">
        <f>Notes!$L$4</f>
        <v>2024</v>
      </c>
      <c r="AZ12" s="63">
        <f>Notes!$L$5</f>
        <v>2040</v>
      </c>
      <c r="BA12" s="26">
        <v>0</v>
      </c>
      <c r="BB12" s="34">
        <v>1</v>
      </c>
    </row>
    <row r="13" spans="1:55" x14ac:dyDescent="0.3">
      <c r="B13" s="8"/>
      <c r="C13" s="55"/>
      <c r="D13" s="34">
        <v>1</v>
      </c>
      <c r="E13" s="34">
        <v>1</v>
      </c>
      <c r="F13" s="32">
        <v>1</v>
      </c>
      <c r="G13" s="34">
        <v>1</v>
      </c>
      <c r="H13" s="34">
        <v>1</v>
      </c>
      <c r="I13" s="32">
        <v>1</v>
      </c>
      <c r="J13" s="34">
        <v>1</v>
      </c>
      <c r="K13" s="34">
        <v>1</v>
      </c>
      <c r="L13" s="56"/>
      <c r="N13" s="8"/>
      <c r="O13" s="55"/>
      <c r="P13" s="34">
        <v>1</v>
      </c>
      <c r="Q13" s="32">
        <v>1</v>
      </c>
      <c r="R13" s="35">
        <v>1</v>
      </c>
      <c r="S13" s="55"/>
      <c r="T13" s="55"/>
      <c r="U13" s="72"/>
      <c r="V13" s="55"/>
      <c r="X13" s="8"/>
      <c r="Y13" s="55"/>
      <c r="Z13" s="34">
        <v>1</v>
      </c>
      <c r="AA13" s="34">
        <v>1</v>
      </c>
      <c r="AB13" s="34">
        <v>1</v>
      </c>
      <c r="AC13" s="34">
        <v>1</v>
      </c>
      <c r="AD13" s="32">
        <v>1</v>
      </c>
      <c r="AE13" s="35">
        <v>1</v>
      </c>
      <c r="AF13" s="34">
        <v>1</v>
      </c>
      <c r="AG13" s="34">
        <v>1</v>
      </c>
      <c r="AH13" s="56"/>
      <c r="AJ13" s="8"/>
      <c r="AK13" s="55"/>
      <c r="AL13" s="34">
        <v>1</v>
      </c>
      <c r="AM13" s="34">
        <v>1</v>
      </c>
      <c r="AN13" s="34">
        <v>1</v>
      </c>
      <c r="AO13" s="32">
        <v>1</v>
      </c>
      <c r="AP13" s="35">
        <v>1</v>
      </c>
      <c r="AQ13" s="34">
        <v>1</v>
      </c>
      <c r="AR13" s="34">
        <v>1</v>
      </c>
      <c r="AS13" s="56"/>
      <c r="AT13" s="55"/>
      <c r="AV13" s="8"/>
      <c r="AW13" s="9" t="s">
        <v>96</v>
      </c>
      <c r="AX13" s="53" t="s">
        <v>97</v>
      </c>
      <c r="AY13" s="63">
        <f>Notes!$L$4</f>
        <v>2024</v>
      </c>
      <c r="AZ13" s="63">
        <f>Notes!$L$5</f>
        <v>2040</v>
      </c>
      <c r="BA13" s="26">
        <v>0</v>
      </c>
      <c r="BB13" s="34">
        <v>1</v>
      </c>
    </row>
    <row r="14" spans="1:55" x14ac:dyDescent="0.3">
      <c r="B14" s="8"/>
      <c r="C14" s="55"/>
      <c r="F14" s="45"/>
      <c r="I14" s="45"/>
      <c r="L14" s="45"/>
      <c r="N14" s="8"/>
      <c r="O14" s="55"/>
      <c r="Q14" s="45"/>
      <c r="R14" s="46"/>
      <c r="U14" s="70"/>
      <c r="X14" s="8"/>
      <c r="Y14" s="55"/>
      <c r="AD14" s="45"/>
      <c r="AE14" s="46"/>
      <c r="AH14" s="45"/>
      <c r="AJ14" s="8"/>
      <c r="AK14" s="55"/>
      <c r="AL14" s="55"/>
      <c r="AO14" s="45"/>
      <c r="AP14" s="46"/>
      <c r="AS14" s="45"/>
      <c r="AV14" s="8"/>
      <c r="AW14" s="9" t="s">
        <v>297</v>
      </c>
      <c r="AX14" s="53" t="s">
        <v>296</v>
      </c>
      <c r="AY14" s="63">
        <f>Notes!$L$4</f>
        <v>2024</v>
      </c>
      <c r="AZ14" s="63">
        <f>Notes!$L$5</f>
        <v>2040</v>
      </c>
      <c r="BA14" s="26">
        <v>0</v>
      </c>
      <c r="BB14" s="34">
        <v>1</v>
      </c>
    </row>
    <row r="15" spans="1:55" x14ac:dyDescent="0.3">
      <c r="B15" s="8"/>
      <c r="C15" s="54" t="s">
        <v>301</v>
      </c>
      <c r="F15" s="45"/>
      <c r="I15" s="45"/>
      <c r="L15" s="45"/>
      <c r="N15" s="8"/>
      <c r="O15" s="54" t="s">
        <v>301</v>
      </c>
      <c r="P15" s="60"/>
      <c r="Q15" s="45"/>
      <c r="R15" s="46"/>
      <c r="U15" s="70"/>
      <c r="X15" s="8"/>
      <c r="Y15" s="54" t="s">
        <v>301</v>
      </c>
      <c r="Z15" s="60"/>
      <c r="AD15" s="45"/>
      <c r="AE15" s="46"/>
      <c r="AH15" s="45"/>
      <c r="AJ15" s="8"/>
      <c r="AK15" s="54" t="s">
        <v>301</v>
      </c>
      <c r="AL15" s="54"/>
      <c r="AO15" s="45"/>
      <c r="AP15" s="46"/>
      <c r="AS15" s="45"/>
      <c r="AV15" s="8"/>
      <c r="AW15" s="9" t="s">
        <v>762</v>
      </c>
      <c r="AX15" s="53" t="s">
        <v>131</v>
      </c>
      <c r="AY15" s="63">
        <f>Notes!$L$4</f>
        <v>2024</v>
      </c>
      <c r="AZ15" s="63">
        <f>Notes!$L$5</f>
        <v>2040</v>
      </c>
      <c r="BA15" s="26">
        <v>0</v>
      </c>
      <c r="BB15" s="34">
        <v>1</v>
      </c>
    </row>
    <row r="16" spans="1:55" x14ac:dyDescent="0.3">
      <c r="B16" s="8"/>
      <c r="D16" s="50" t="s">
        <v>72</v>
      </c>
      <c r="E16" s="50" t="s">
        <v>73</v>
      </c>
      <c r="F16" s="51" t="s">
        <v>74</v>
      </c>
      <c r="G16" s="50" t="s">
        <v>75</v>
      </c>
      <c r="H16" s="50" t="s">
        <v>76</v>
      </c>
      <c r="I16" s="51" t="s">
        <v>77</v>
      </c>
      <c r="J16" s="50" t="s">
        <v>78</v>
      </c>
      <c r="K16" s="50" t="s">
        <v>79</v>
      </c>
      <c r="L16" s="51" t="s">
        <v>123</v>
      </c>
      <c r="N16" s="8"/>
      <c r="P16" s="50" t="s">
        <v>81</v>
      </c>
      <c r="Q16" s="51" t="s">
        <v>82</v>
      </c>
      <c r="R16" s="52" t="s">
        <v>621</v>
      </c>
      <c r="S16" s="50" t="s">
        <v>80</v>
      </c>
      <c r="T16" s="50" t="s">
        <v>285</v>
      </c>
      <c r="U16" s="73" t="s">
        <v>310</v>
      </c>
      <c r="V16" s="50" t="s">
        <v>123</v>
      </c>
      <c r="X16" s="8"/>
      <c r="Z16" s="50" t="s">
        <v>84</v>
      </c>
      <c r="AA16" s="50" t="s">
        <v>85</v>
      </c>
      <c r="AB16" s="50" t="s">
        <v>310</v>
      </c>
      <c r="AC16" s="50" t="s">
        <v>83</v>
      </c>
      <c r="AD16" s="51" t="s">
        <v>130</v>
      </c>
      <c r="AE16" s="52" t="s">
        <v>131</v>
      </c>
      <c r="AF16" s="50" t="s">
        <v>128</v>
      </c>
      <c r="AG16" s="61" t="s">
        <v>129</v>
      </c>
      <c r="AH16" s="51" t="s">
        <v>123</v>
      </c>
      <c r="AJ16" s="8"/>
      <c r="AL16" s="50" t="s">
        <v>133</v>
      </c>
      <c r="AM16" s="50" t="s">
        <v>101</v>
      </c>
      <c r="AN16" s="50" t="s">
        <v>622</v>
      </c>
      <c r="AO16" s="51" t="s">
        <v>130</v>
      </c>
      <c r="AP16" s="62" t="s">
        <v>131</v>
      </c>
      <c r="AQ16" s="50" t="s">
        <v>128</v>
      </c>
      <c r="AR16" s="61" t="s">
        <v>129</v>
      </c>
      <c r="AS16" s="51" t="s">
        <v>288</v>
      </c>
      <c r="AT16" s="50" t="s">
        <v>123</v>
      </c>
      <c r="AV16" s="8"/>
      <c r="AW16" s="9" t="s">
        <v>763</v>
      </c>
      <c r="AX16" s="53" t="s">
        <v>129</v>
      </c>
      <c r="AY16" s="63">
        <f>Notes!$L$4</f>
        <v>2024</v>
      </c>
      <c r="AZ16" s="63">
        <f>Notes!$L$5</f>
        <v>2040</v>
      </c>
      <c r="BA16" s="26">
        <v>0</v>
      </c>
      <c r="BB16" s="34">
        <v>1</v>
      </c>
    </row>
    <row r="17" spans="2:54" x14ac:dyDescent="0.3">
      <c r="B17" s="8"/>
      <c r="C17" s="2" t="s">
        <v>713</v>
      </c>
      <c r="D17" s="26">
        <v>0</v>
      </c>
      <c r="E17" s="26">
        <v>0</v>
      </c>
      <c r="F17" s="27">
        <v>0</v>
      </c>
      <c r="G17" s="26">
        <v>0</v>
      </c>
      <c r="H17" s="26">
        <v>0</v>
      </c>
      <c r="I17" s="27">
        <v>0</v>
      </c>
      <c r="J17" s="26">
        <v>0</v>
      </c>
      <c r="K17" s="26">
        <v>0</v>
      </c>
      <c r="L17" s="67">
        <v>1</v>
      </c>
      <c r="N17" s="8"/>
      <c r="O17" s="2" t="s">
        <v>649</v>
      </c>
      <c r="P17" s="26">
        <v>0</v>
      </c>
      <c r="Q17" s="27">
        <v>0</v>
      </c>
      <c r="R17" s="30">
        <v>0</v>
      </c>
      <c r="S17" s="27">
        <v>0</v>
      </c>
      <c r="T17" s="30">
        <v>0</v>
      </c>
      <c r="U17" s="34">
        <v>1</v>
      </c>
      <c r="V17" s="34">
        <v>1</v>
      </c>
      <c r="X17" s="8"/>
      <c r="Y17" s="2" t="s">
        <v>852</v>
      </c>
      <c r="Z17" s="26">
        <v>0</v>
      </c>
      <c r="AA17" s="26">
        <v>0</v>
      </c>
      <c r="AB17" s="26">
        <v>0</v>
      </c>
      <c r="AC17" s="26">
        <v>0</v>
      </c>
      <c r="AD17" s="27">
        <v>0</v>
      </c>
      <c r="AE17" s="30">
        <v>0</v>
      </c>
      <c r="AF17" s="26">
        <v>0</v>
      </c>
      <c r="AG17" s="26">
        <v>0</v>
      </c>
      <c r="AH17" s="32">
        <v>1</v>
      </c>
      <c r="AJ17" s="8"/>
      <c r="AK17" s="2" t="s">
        <v>8</v>
      </c>
      <c r="AL17" s="26">
        <v>0</v>
      </c>
      <c r="AM17" s="26">
        <v>0</v>
      </c>
      <c r="AN17" s="26">
        <v>0</v>
      </c>
      <c r="AO17" s="27">
        <v>0</v>
      </c>
      <c r="AP17" s="30">
        <v>0</v>
      </c>
      <c r="AQ17" s="26">
        <v>0</v>
      </c>
      <c r="AR17" s="26">
        <v>0</v>
      </c>
      <c r="AS17" s="32">
        <v>1</v>
      </c>
      <c r="AT17" s="34">
        <v>1</v>
      </c>
      <c r="AV17" s="8"/>
      <c r="AW17" s="9" t="s">
        <v>290</v>
      </c>
      <c r="AX17" s="53" t="s">
        <v>74</v>
      </c>
      <c r="AY17" s="63">
        <f>Notes!$L$4</f>
        <v>2024</v>
      </c>
      <c r="AZ17" s="63">
        <f>Notes!$L$5</f>
        <v>2040</v>
      </c>
      <c r="BA17" s="26">
        <v>0</v>
      </c>
      <c r="BB17" s="34">
        <v>1</v>
      </c>
    </row>
    <row r="18" spans="2:54" x14ac:dyDescent="0.3">
      <c r="B18" s="8"/>
      <c r="C18" s="2" t="s">
        <v>766</v>
      </c>
      <c r="D18" s="26">
        <v>0</v>
      </c>
      <c r="E18" s="26">
        <v>0</v>
      </c>
      <c r="F18" s="27">
        <v>0</v>
      </c>
      <c r="G18" s="26">
        <v>0</v>
      </c>
      <c r="H18" s="26">
        <v>0</v>
      </c>
      <c r="I18" s="27">
        <v>0</v>
      </c>
      <c r="J18" s="26">
        <v>0</v>
      </c>
      <c r="K18" s="26">
        <v>0</v>
      </c>
      <c r="L18" s="67">
        <v>1</v>
      </c>
      <c r="N18" s="8"/>
      <c r="O18" s="2" t="s">
        <v>809</v>
      </c>
      <c r="P18" s="26">
        <v>0</v>
      </c>
      <c r="Q18" s="27">
        <v>0</v>
      </c>
      <c r="R18" s="30">
        <v>0</v>
      </c>
      <c r="S18" s="27">
        <v>0</v>
      </c>
      <c r="T18" s="30">
        <v>0</v>
      </c>
      <c r="U18" s="34">
        <v>1</v>
      </c>
      <c r="V18" s="34">
        <v>1</v>
      </c>
      <c r="X18" s="8"/>
      <c r="Y18" s="2" t="s">
        <v>853</v>
      </c>
      <c r="Z18" s="26">
        <v>0</v>
      </c>
      <c r="AA18" s="26">
        <v>0</v>
      </c>
      <c r="AB18" s="26">
        <v>0</v>
      </c>
      <c r="AC18" s="26">
        <v>0</v>
      </c>
      <c r="AD18" s="27">
        <v>0</v>
      </c>
      <c r="AE18" s="30">
        <v>0</v>
      </c>
      <c r="AF18" s="26">
        <v>0</v>
      </c>
      <c r="AG18" s="26">
        <v>0</v>
      </c>
      <c r="AH18" s="32">
        <v>1</v>
      </c>
      <c r="AJ18" s="8"/>
      <c r="AK18" s="2" t="s">
        <v>985</v>
      </c>
      <c r="AL18" s="26">
        <v>0</v>
      </c>
      <c r="AM18" s="26">
        <v>0</v>
      </c>
      <c r="AN18" s="26">
        <v>0</v>
      </c>
      <c r="AO18" s="27">
        <v>0</v>
      </c>
      <c r="AP18" s="30">
        <v>0</v>
      </c>
      <c r="AQ18" s="26">
        <v>0</v>
      </c>
      <c r="AR18" s="26">
        <v>0</v>
      </c>
      <c r="AS18" s="32">
        <v>1</v>
      </c>
      <c r="AT18" s="34">
        <v>1</v>
      </c>
      <c r="AV18" s="8"/>
      <c r="AW18" s="9" t="s">
        <v>291</v>
      </c>
      <c r="AX18" s="53" t="s">
        <v>75</v>
      </c>
      <c r="AY18" s="63">
        <f>Notes!$L$4</f>
        <v>2024</v>
      </c>
      <c r="AZ18" s="63">
        <f>Notes!$L$5</f>
        <v>2040</v>
      </c>
      <c r="BA18" s="26">
        <v>0</v>
      </c>
      <c r="BB18" s="34">
        <v>1</v>
      </c>
    </row>
    <row r="19" spans="2:54" x14ac:dyDescent="0.3">
      <c r="B19" s="8"/>
      <c r="C19" s="2" t="s">
        <v>976</v>
      </c>
      <c r="D19" s="26">
        <v>0</v>
      </c>
      <c r="E19" s="26">
        <v>0</v>
      </c>
      <c r="F19" s="27">
        <v>0</v>
      </c>
      <c r="G19" s="26">
        <v>0</v>
      </c>
      <c r="H19" s="26">
        <v>0</v>
      </c>
      <c r="I19" s="27">
        <v>0</v>
      </c>
      <c r="J19" s="26">
        <v>0</v>
      </c>
      <c r="K19" s="26">
        <v>0</v>
      </c>
      <c r="L19" s="67">
        <v>1</v>
      </c>
      <c r="N19" s="8"/>
      <c r="O19" s="2" t="s">
        <v>946</v>
      </c>
      <c r="P19" s="26">
        <v>0</v>
      </c>
      <c r="Q19" s="27">
        <v>0</v>
      </c>
      <c r="R19" s="30">
        <v>0</v>
      </c>
      <c r="S19" s="27">
        <v>0</v>
      </c>
      <c r="T19" s="30">
        <v>0</v>
      </c>
      <c r="U19" s="34">
        <v>1</v>
      </c>
      <c r="V19" s="34">
        <v>1</v>
      </c>
      <c r="X19" s="8"/>
      <c r="Y19" s="2" t="s">
        <v>854</v>
      </c>
      <c r="Z19" s="26">
        <v>0</v>
      </c>
      <c r="AA19" s="26">
        <v>0</v>
      </c>
      <c r="AB19" s="26">
        <v>0</v>
      </c>
      <c r="AC19" s="26">
        <v>0</v>
      </c>
      <c r="AD19" s="27">
        <v>0</v>
      </c>
      <c r="AE19" s="30">
        <v>0</v>
      </c>
      <c r="AF19" s="26">
        <v>0</v>
      </c>
      <c r="AG19" s="26">
        <v>0</v>
      </c>
      <c r="AH19" s="32">
        <v>1</v>
      </c>
      <c r="AJ19" s="8"/>
      <c r="AK19" s="2" t="s">
        <v>986</v>
      </c>
      <c r="AL19" s="26">
        <v>0</v>
      </c>
      <c r="AM19" s="26">
        <v>0</v>
      </c>
      <c r="AN19" s="26">
        <v>0</v>
      </c>
      <c r="AO19" s="27">
        <v>0</v>
      </c>
      <c r="AP19" s="30">
        <v>0</v>
      </c>
      <c r="AQ19" s="26">
        <v>0</v>
      </c>
      <c r="AR19" s="26">
        <v>0</v>
      </c>
      <c r="AS19" s="32">
        <v>1</v>
      </c>
      <c r="AT19" s="34">
        <v>1</v>
      </c>
      <c r="AV19" s="8"/>
      <c r="AW19" s="9" t="s">
        <v>292</v>
      </c>
      <c r="AX19" s="53" t="s">
        <v>76</v>
      </c>
      <c r="AY19" s="63">
        <f>Notes!$L$4</f>
        <v>2024</v>
      </c>
      <c r="AZ19" s="63">
        <f>Notes!$L$5</f>
        <v>2040</v>
      </c>
      <c r="BA19" s="26">
        <v>0</v>
      </c>
      <c r="BB19" s="34">
        <v>1</v>
      </c>
    </row>
    <row r="20" spans="2:54" x14ac:dyDescent="0.3">
      <c r="B20" s="8"/>
      <c r="C20" s="2" t="s">
        <v>977</v>
      </c>
      <c r="D20" s="26">
        <v>0</v>
      </c>
      <c r="E20" s="26">
        <v>0</v>
      </c>
      <c r="F20" s="27">
        <v>0</v>
      </c>
      <c r="G20" s="26">
        <v>0</v>
      </c>
      <c r="H20" s="26">
        <v>0</v>
      </c>
      <c r="I20" s="27">
        <v>0</v>
      </c>
      <c r="J20" s="26">
        <v>0</v>
      </c>
      <c r="K20" s="26">
        <v>0</v>
      </c>
      <c r="L20" s="67">
        <v>1</v>
      </c>
      <c r="N20" s="8"/>
      <c r="O20" s="2" t="s">
        <v>947</v>
      </c>
      <c r="P20" s="26">
        <v>0</v>
      </c>
      <c r="Q20" s="27">
        <v>0</v>
      </c>
      <c r="R20" s="30">
        <v>0</v>
      </c>
      <c r="S20" s="27">
        <v>0</v>
      </c>
      <c r="T20" s="30">
        <v>0</v>
      </c>
      <c r="U20" s="34">
        <v>1</v>
      </c>
      <c r="V20" s="34">
        <v>1</v>
      </c>
      <c r="X20" s="8"/>
      <c r="Y20" s="2" t="s">
        <v>855</v>
      </c>
      <c r="Z20" s="26">
        <v>0</v>
      </c>
      <c r="AA20" s="26">
        <v>0</v>
      </c>
      <c r="AB20" s="26">
        <v>0</v>
      </c>
      <c r="AC20" s="26">
        <v>0</v>
      </c>
      <c r="AD20" s="27">
        <v>0</v>
      </c>
      <c r="AE20" s="30">
        <v>0</v>
      </c>
      <c r="AF20" s="26">
        <v>0</v>
      </c>
      <c r="AG20" s="26">
        <v>0</v>
      </c>
      <c r="AH20" s="32">
        <v>1</v>
      </c>
      <c r="AJ20" s="8"/>
      <c r="AK20" s="2" t="s">
        <v>987</v>
      </c>
      <c r="AL20" s="26">
        <v>0</v>
      </c>
      <c r="AM20" s="26">
        <v>0</v>
      </c>
      <c r="AN20" s="26">
        <v>0</v>
      </c>
      <c r="AO20" s="27">
        <v>0</v>
      </c>
      <c r="AP20" s="30">
        <v>0</v>
      </c>
      <c r="AQ20" s="26">
        <v>0</v>
      </c>
      <c r="AR20" s="26">
        <v>0</v>
      </c>
      <c r="AS20" s="32">
        <v>1</v>
      </c>
      <c r="AT20" s="34">
        <v>1</v>
      </c>
      <c r="AV20" s="8"/>
      <c r="AW20" s="9" t="s">
        <v>61</v>
      </c>
      <c r="AX20" s="53" t="s">
        <v>82</v>
      </c>
      <c r="AY20" s="63">
        <f>Notes!$L$4</f>
        <v>2024</v>
      </c>
      <c r="AZ20" s="63">
        <f>Notes!$L$5</f>
        <v>2040</v>
      </c>
      <c r="BA20" s="26">
        <v>0</v>
      </c>
      <c r="BB20" s="34">
        <v>1</v>
      </c>
    </row>
    <row r="21" spans="2:54" x14ac:dyDescent="0.3">
      <c r="B21" s="8"/>
      <c r="C21" s="2" t="s">
        <v>767</v>
      </c>
      <c r="D21" s="26">
        <v>0</v>
      </c>
      <c r="E21" s="26">
        <v>0</v>
      </c>
      <c r="F21" s="27">
        <v>0</v>
      </c>
      <c r="G21" s="26">
        <v>0</v>
      </c>
      <c r="H21" s="26">
        <v>0</v>
      </c>
      <c r="I21" s="27">
        <v>0</v>
      </c>
      <c r="J21" s="26">
        <v>0</v>
      </c>
      <c r="K21" s="26">
        <v>0</v>
      </c>
      <c r="L21" s="67">
        <v>1</v>
      </c>
      <c r="N21" s="8"/>
      <c r="O21" s="2" t="s">
        <v>810</v>
      </c>
      <c r="P21" s="26">
        <v>0</v>
      </c>
      <c r="Q21" s="27">
        <v>0</v>
      </c>
      <c r="R21" s="30">
        <v>0</v>
      </c>
      <c r="S21" s="27">
        <v>0</v>
      </c>
      <c r="T21" s="30">
        <v>0</v>
      </c>
      <c r="U21" s="34">
        <v>1</v>
      </c>
      <c r="V21" s="34">
        <v>1</v>
      </c>
      <c r="X21" s="8"/>
      <c r="Y21" s="2" t="s">
        <v>856</v>
      </c>
      <c r="Z21" s="26">
        <v>0</v>
      </c>
      <c r="AA21" s="26">
        <v>0</v>
      </c>
      <c r="AB21" s="26">
        <v>0</v>
      </c>
      <c r="AC21" s="26">
        <v>0</v>
      </c>
      <c r="AD21" s="27">
        <v>0</v>
      </c>
      <c r="AE21" s="30">
        <v>0</v>
      </c>
      <c r="AF21" s="26">
        <v>0</v>
      </c>
      <c r="AG21" s="26">
        <v>0</v>
      </c>
      <c r="AH21" s="32">
        <v>1</v>
      </c>
      <c r="AJ21" s="8"/>
      <c r="AK21" s="2" t="s">
        <v>988</v>
      </c>
      <c r="AL21" s="26">
        <v>0</v>
      </c>
      <c r="AM21" s="26">
        <v>0</v>
      </c>
      <c r="AN21" s="26">
        <v>0</v>
      </c>
      <c r="AO21" s="27">
        <v>0</v>
      </c>
      <c r="AP21" s="30">
        <v>0</v>
      </c>
      <c r="AQ21" s="26">
        <v>0</v>
      </c>
      <c r="AR21" s="26">
        <v>0</v>
      </c>
      <c r="AS21" s="32">
        <v>1</v>
      </c>
      <c r="AT21" s="34">
        <v>1</v>
      </c>
      <c r="AV21" s="8"/>
      <c r="AW21" s="9" t="s">
        <v>293</v>
      </c>
      <c r="AX21" s="53" t="s">
        <v>621</v>
      </c>
      <c r="AY21" s="63">
        <f>Notes!$L$4</f>
        <v>2024</v>
      </c>
      <c r="AZ21" s="63">
        <f>Notes!$L$5</f>
        <v>2040</v>
      </c>
      <c r="BA21" s="26">
        <v>0</v>
      </c>
      <c r="BB21" s="34">
        <v>1</v>
      </c>
    </row>
    <row r="22" spans="2:54" x14ac:dyDescent="0.3">
      <c r="B22" s="8"/>
      <c r="C22" s="2" t="s">
        <v>714</v>
      </c>
      <c r="D22" s="26">
        <v>0</v>
      </c>
      <c r="E22" s="26">
        <v>0</v>
      </c>
      <c r="F22" s="27">
        <v>0</v>
      </c>
      <c r="G22" s="26">
        <v>0</v>
      </c>
      <c r="H22" s="26">
        <v>0</v>
      </c>
      <c r="I22" s="27">
        <v>0</v>
      </c>
      <c r="J22" s="26">
        <v>0</v>
      </c>
      <c r="K22" s="26">
        <v>0</v>
      </c>
      <c r="L22" s="67">
        <v>1</v>
      </c>
      <c r="N22" s="8"/>
      <c r="O22" s="2" t="s">
        <v>650</v>
      </c>
      <c r="P22" s="26">
        <v>0</v>
      </c>
      <c r="Q22" s="27">
        <v>0</v>
      </c>
      <c r="R22" s="30">
        <v>0</v>
      </c>
      <c r="S22" s="27">
        <v>0</v>
      </c>
      <c r="T22" s="30">
        <v>0</v>
      </c>
      <c r="U22" s="34">
        <v>1</v>
      </c>
      <c r="V22" s="34">
        <v>1</v>
      </c>
      <c r="X22" s="8"/>
      <c r="Y22" s="2" t="s">
        <v>857</v>
      </c>
      <c r="Z22" s="26">
        <v>0</v>
      </c>
      <c r="AA22" s="26">
        <v>0</v>
      </c>
      <c r="AB22" s="26">
        <v>0</v>
      </c>
      <c r="AC22" s="26">
        <v>0</v>
      </c>
      <c r="AD22" s="27">
        <v>0</v>
      </c>
      <c r="AE22" s="30">
        <v>0</v>
      </c>
      <c r="AF22" s="26">
        <v>0</v>
      </c>
      <c r="AG22" s="26">
        <v>0</v>
      </c>
      <c r="AH22" s="32">
        <v>1</v>
      </c>
      <c r="AJ22" s="8"/>
      <c r="AK22" s="2" t="s">
        <v>989</v>
      </c>
      <c r="AL22" s="26">
        <v>0</v>
      </c>
      <c r="AM22" s="26">
        <v>0</v>
      </c>
      <c r="AN22" s="26">
        <v>0</v>
      </c>
      <c r="AO22" s="27">
        <v>0</v>
      </c>
      <c r="AP22" s="30">
        <v>0</v>
      </c>
      <c r="AQ22" s="26">
        <v>0</v>
      </c>
      <c r="AR22" s="26">
        <v>0</v>
      </c>
      <c r="AS22" s="32">
        <v>1</v>
      </c>
      <c r="AT22" s="34">
        <v>1</v>
      </c>
      <c r="AV22" s="8"/>
      <c r="AW22" s="9" t="s">
        <v>294</v>
      </c>
      <c r="AX22" s="53" t="s">
        <v>83</v>
      </c>
      <c r="AY22" s="63">
        <f>Notes!$L$4</f>
        <v>2024</v>
      </c>
      <c r="AZ22" s="63">
        <f>Notes!$L$5</f>
        <v>2040</v>
      </c>
      <c r="BA22" s="26">
        <v>0</v>
      </c>
      <c r="BB22" s="34">
        <v>1</v>
      </c>
    </row>
    <row r="23" spans="2:54" x14ac:dyDescent="0.3">
      <c r="B23" s="8"/>
      <c r="C23" s="2" t="s">
        <v>715</v>
      </c>
      <c r="D23" s="26">
        <v>0</v>
      </c>
      <c r="E23" s="26">
        <v>0</v>
      </c>
      <c r="F23" s="27">
        <v>0</v>
      </c>
      <c r="G23" s="26">
        <v>0</v>
      </c>
      <c r="H23" s="26">
        <v>0</v>
      </c>
      <c r="I23" s="27">
        <v>0</v>
      </c>
      <c r="J23" s="26">
        <v>0</v>
      </c>
      <c r="K23" s="26">
        <v>0</v>
      </c>
      <c r="L23" s="67">
        <v>1</v>
      </c>
      <c r="N23" s="8"/>
      <c r="O23" s="2" t="s">
        <v>651</v>
      </c>
      <c r="P23" s="26">
        <v>0</v>
      </c>
      <c r="Q23" s="27">
        <v>0</v>
      </c>
      <c r="R23" s="30">
        <v>0</v>
      </c>
      <c r="S23" s="27">
        <v>0</v>
      </c>
      <c r="T23" s="30">
        <v>0</v>
      </c>
      <c r="U23" s="34">
        <v>1</v>
      </c>
      <c r="V23" s="34">
        <v>1</v>
      </c>
      <c r="X23" s="8"/>
      <c r="Y23" s="2" t="s">
        <v>858</v>
      </c>
      <c r="Z23" s="26">
        <v>0</v>
      </c>
      <c r="AA23" s="26">
        <v>0</v>
      </c>
      <c r="AB23" s="26">
        <v>0</v>
      </c>
      <c r="AC23" s="26">
        <v>0</v>
      </c>
      <c r="AD23" s="27">
        <v>0</v>
      </c>
      <c r="AE23" s="30">
        <v>0</v>
      </c>
      <c r="AF23" s="26">
        <v>0</v>
      </c>
      <c r="AG23" s="26">
        <v>0</v>
      </c>
      <c r="AH23" s="32">
        <v>1</v>
      </c>
      <c r="AJ23" s="8"/>
      <c r="AK23" s="2" t="s">
        <v>990</v>
      </c>
      <c r="AL23" s="26">
        <v>0</v>
      </c>
      <c r="AM23" s="26">
        <v>0</v>
      </c>
      <c r="AN23" s="26">
        <v>0</v>
      </c>
      <c r="AO23" s="27">
        <v>0</v>
      </c>
      <c r="AP23" s="30">
        <v>0</v>
      </c>
      <c r="AQ23" s="26">
        <v>0</v>
      </c>
      <c r="AR23" s="26">
        <v>0</v>
      </c>
      <c r="AS23" s="32">
        <v>1</v>
      </c>
      <c r="AT23" s="34">
        <v>1</v>
      </c>
      <c r="AV23" s="8"/>
      <c r="AW23" s="9" t="s">
        <v>295</v>
      </c>
      <c r="AX23" s="53" t="s">
        <v>622</v>
      </c>
      <c r="AY23" s="63">
        <f>Notes!$L$4</f>
        <v>2024</v>
      </c>
      <c r="AZ23" s="63">
        <f>Notes!$L$5</f>
        <v>2040</v>
      </c>
      <c r="BA23" s="26">
        <v>0</v>
      </c>
      <c r="BB23" s="34">
        <v>1</v>
      </c>
    </row>
    <row r="24" spans="2:54" x14ac:dyDescent="0.3">
      <c r="B24" s="8"/>
      <c r="C24" s="2" t="s">
        <v>768</v>
      </c>
      <c r="D24" s="26">
        <v>0</v>
      </c>
      <c r="E24" s="26">
        <v>0</v>
      </c>
      <c r="F24" s="27">
        <v>0</v>
      </c>
      <c r="G24" s="26">
        <v>0</v>
      </c>
      <c r="H24" s="26">
        <v>0</v>
      </c>
      <c r="I24" s="27">
        <v>0</v>
      </c>
      <c r="J24" s="26">
        <v>0</v>
      </c>
      <c r="K24" s="26">
        <v>0</v>
      </c>
      <c r="L24" s="67">
        <v>1</v>
      </c>
      <c r="N24" s="8"/>
      <c r="O24" s="2" t="s">
        <v>811</v>
      </c>
      <c r="P24" s="26">
        <v>0</v>
      </c>
      <c r="Q24" s="27">
        <v>0</v>
      </c>
      <c r="R24" s="30">
        <v>0</v>
      </c>
      <c r="S24" s="27">
        <v>0</v>
      </c>
      <c r="T24" s="30">
        <v>0</v>
      </c>
      <c r="U24" s="34">
        <v>1</v>
      </c>
      <c r="V24" s="34">
        <v>1</v>
      </c>
      <c r="X24" s="8"/>
      <c r="Y24" s="2" t="s">
        <v>859</v>
      </c>
      <c r="Z24" s="26">
        <v>0</v>
      </c>
      <c r="AA24" s="26">
        <v>0</v>
      </c>
      <c r="AB24" s="26">
        <v>0</v>
      </c>
      <c r="AC24" s="26">
        <v>0</v>
      </c>
      <c r="AD24" s="27">
        <v>0</v>
      </c>
      <c r="AE24" s="30">
        <v>0</v>
      </c>
      <c r="AF24" s="26">
        <v>0</v>
      </c>
      <c r="AG24" s="26">
        <v>0</v>
      </c>
      <c r="AH24" s="32">
        <v>1</v>
      </c>
      <c r="AJ24" s="8"/>
      <c r="AK24" s="2" t="s">
        <v>991</v>
      </c>
      <c r="AL24" s="26">
        <v>0</v>
      </c>
      <c r="AM24" s="26">
        <v>0</v>
      </c>
      <c r="AN24" s="26">
        <v>0</v>
      </c>
      <c r="AO24" s="27">
        <v>0</v>
      </c>
      <c r="AP24" s="30">
        <v>0</v>
      </c>
      <c r="AQ24" s="26">
        <v>0</v>
      </c>
      <c r="AR24" s="26">
        <v>0</v>
      </c>
      <c r="AS24" s="32">
        <v>1</v>
      </c>
      <c r="AT24" s="34">
        <v>1</v>
      </c>
      <c r="AV24" s="8"/>
      <c r="AW24" s="9" t="s">
        <v>647</v>
      </c>
      <c r="AX24" s="53" t="s">
        <v>648</v>
      </c>
      <c r="AY24" s="63">
        <f>Notes!$L$4</f>
        <v>2024</v>
      </c>
      <c r="AZ24" s="63">
        <f>Notes!$L$5</f>
        <v>2040</v>
      </c>
      <c r="BA24" s="26">
        <v>0</v>
      </c>
      <c r="BB24" s="34">
        <v>1</v>
      </c>
    </row>
    <row r="25" spans="2:54" x14ac:dyDescent="0.3">
      <c r="B25" s="8"/>
      <c r="C25" s="2" t="s">
        <v>716</v>
      </c>
      <c r="D25" s="26">
        <v>0</v>
      </c>
      <c r="E25" s="26">
        <v>0</v>
      </c>
      <c r="F25" s="27">
        <v>0</v>
      </c>
      <c r="G25" s="26">
        <v>0</v>
      </c>
      <c r="H25" s="26">
        <v>0</v>
      </c>
      <c r="I25" s="27">
        <v>0</v>
      </c>
      <c r="J25" s="26">
        <v>0</v>
      </c>
      <c r="K25" s="26">
        <v>0</v>
      </c>
      <c r="L25" s="67">
        <v>1</v>
      </c>
      <c r="N25" s="8"/>
      <c r="O25" s="2" t="s">
        <v>652</v>
      </c>
      <c r="P25" s="26">
        <v>0</v>
      </c>
      <c r="Q25" s="27">
        <v>0</v>
      </c>
      <c r="R25" s="30">
        <v>0</v>
      </c>
      <c r="S25" s="27">
        <v>0</v>
      </c>
      <c r="T25" s="30">
        <v>0</v>
      </c>
      <c r="U25" s="34">
        <v>1</v>
      </c>
      <c r="V25" s="34">
        <v>1</v>
      </c>
      <c r="X25" s="8"/>
      <c r="Y25" s="2" t="s">
        <v>10</v>
      </c>
      <c r="Z25" s="26">
        <v>0</v>
      </c>
      <c r="AA25" s="26">
        <v>0</v>
      </c>
      <c r="AB25" s="26">
        <v>0</v>
      </c>
      <c r="AC25" s="26">
        <v>0</v>
      </c>
      <c r="AD25" s="27">
        <v>0</v>
      </c>
      <c r="AE25" s="30">
        <v>0</v>
      </c>
      <c r="AF25" s="26">
        <v>0</v>
      </c>
      <c r="AG25" s="26">
        <v>0</v>
      </c>
      <c r="AH25" s="32">
        <v>1</v>
      </c>
      <c r="AJ25" s="8"/>
      <c r="AK25" s="2" t="s">
        <v>992</v>
      </c>
      <c r="AL25" s="26">
        <v>0</v>
      </c>
      <c r="AM25" s="26">
        <v>0</v>
      </c>
      <c r="AN25" s="26">
        <v>0</v>
      </c>
      <c r="AO25" s="27">
        <v>0</v>
      </c>
      <c r="AP25" s="30">
        <v>0</v>
      </c>
      <c r="AQ25" s="26">
        <v>0</v>
      </c>
      <c r="AR25" s="26">
        <v>0</v>
      </c>
      <c r="AS25" s="32">
        <v>1</v>
      </c>
      <c r="AT25" s="34">
        <v>1</v>
      </c>
      <c r="AV25" s="8"/>
    </row>
    <row r="26" spans="2:54" x14ac:dyDescent="0.3">
      <c r="B26" s="8"/>
      <c r="C26" s="2" t="s">
        <v>769</v>
      </c>
      <c r="D26" s="26">
        <v>0</v>
      </c>
      <c r="E26" s="26">
        <v>0</v>
      </c>
      <c r="F26" s="27">
        <v>0</v>
      </c>
      <c r="G26" s="26">
        <v>0</v>
      </c>
      <c r="H26" s="26">
        <v>0</v>
      </c>
      <c r="I26" s="27">
        <v>0</v>
      </c>
      <c r="J26" s="26">
        <v>0</v>
      </c>
      <c r="K26" s="26">
        <v>0</v>
      </c>
      <c r="L26" s="67">
        <v>1</v>
      </c>
      <c r="N26" s="8"/>
      <c r="O26" s="2" t="s">
        <v>812</v>
      </c>
      <c r="P26" s="26">
        <v>0</v>
      </c>
      <c r="Q26" s="27">
        <v>0</v>
      </c>
      <c r="R26" s="30">
        <v>0</v>
      </c>
      <c r="S26" s="27">
        <v>0</v>
      </c>
      <c r="T26" s="30">
        <v>0</v>
      </c>
      <c r="U26" s="34">
        <v>1</v>
      </c>
      <c r="V26" s="34">
        <v>1</v>
      </c>
      <c r="X26" s="8"/>
      <c r="Y26" s="2" t="s">
        <v>860</v>
      </c>
      <c r="Z26" s="26">
        <v>0</v>
      </c>
      <c r="AA26" s="26">
        <v>0</v>
      </c>
      <c r="AB26" s="26">
        <v>0</v>
      </c>
      <c r="AC26" s="26">
        <v>0</v>
      </c>
      <c r="AD26" s="27">
        <v>0</v>
      </c>
      <c r="AE26" s="30">
        <v>0</v>
      </c>
      <c r="AF26" s="26">
        <v>0</v>
      </c>
      <c r="AG26" s="26">
        <v>0</v>
      </c>
      <c r="AH26" s="32">
        <v>1</v>
      </c>
      <c r="AJ26" s="8"/>
      <c r="AK26" s="2" t="s">
        <v>993</v>
      </c>
      <c r="AL26" s="26">
        <v>0</v>
      </c>
      <c r="AM26" s="26">
        <v>0</v>
      </c>
      <c r="AN26" s="26">
        <v>0</v>
      </c>
      <c r="AO26" s="27">
        <v>0</v>
      </c>
      <c r="AP26" s="30">
        <v>0</v>
      </c>
      <c r="AQ26" s="26">
        <v>0</v>
      </c>
      <c r="AR26" s="26">
        <v>0</v>
      </c>
      <c r="AS26" s="32">
        <v>1</v>
      </c>
      <c r="AT26" s="34">
        <v>1</v>
      </c>
    </row>
    <row r="27" spans="2:54" x14ac:dyDescent="0.3">
      <c r="B27" s="8"/>
      <c r="C27" s="2" t="s">
        <v>770</v>
      </c>
      <c r="D27" s="26">
        <v>0</v>
      </c>
      <c r="E27" s="26">
        <v>0</v>
      </c>
      <c r="F27" s="27">
        <v>0</v>
      </c>
      <c r="G27" s="26">
        <v>0</v>
      </c>
      <c r="H27" s="26">
        <v>0</v>
      </c>
      <c r="I27" s="27">
        <v>0</v>
      </c>
      <c r="J27" s="26">
        <v>0</v>
      </c>
      <c r="K27" s="26">
        <v>0</v>
      </c>
      <c r="L27" s="67">
        <v>1</v>
      </c>
      <c r="N27" s="8"/>
      <c r="O27" s="2" t="s">
        <v>813</v>
      </c>
      <c r="P27" s="26">
        <v>0</v>
      </c>
      <c r="Q27" s="27">
        <v>0</v>
      </c>
      <c r="R27" s="30">
        <v>0</v>
      </c>
      <c r="S27" s="27">
        <v>0</v>
      </c>
      <c r="T27" s="30">
        <v>0</v>
      </c>
      <c r="U27" s="34">
        <v>1</v>
      </c>
      <c r="V27" s="34">
        <v>1</v>
      </c>
      <c r="X27" s="8"/>
      <c r="Y27" s="2" t="s">
        <v>861</v>
      </c>
      <c r="Z27" s="26">
        <v>0</v>
      </c>
      <c r="AA27" s="26">
        <v>0</v>
      </c>
      <c r="AB27" s="26">
        <v>0</v>
      </c>
      <c r="AC27" s="26">
        <v>0</v>
      </c>
      <c r="AD27" s="27">
        <v>0</v>
      </c>
      <c r="AE27" s="30">
        <v>0</v>
      </c>
      <c r="AF27" s="26">
        <v>0</v>
      </c>
      <c r="AG27" s="26">
        <v>0</v>
      </c>
      <c r="AH27" s="32">
        <v>1</v>
      </c>
      <c r="AJ27" s="8"/>
      <c r="AK27" s="2" t="s">
        <v>994</v>
      </c>
      <c r="AL27" s="26">
        <v>0</v>
      </c>
      <c r="AM27" s="26">
        <v>0</v>
      </c>
      <c r="AN27" s="26">
        <v>0</v>
      </c>
      <c r="AO27" s="27">
        <v>0</v>
      </c>
      <c r="AP27" s="30">
        <v>0</v>
      </c>
      <c r="AQ27" s="26">
        <v>0</v>
      </c>
      <c r="AR27" s="26">
        <v>0</v>
      </c>
      <c r="AS27" s="32">
        <v>1</v>
      </c>
      <c r="AT27" s="34">
        <v>1</v>
      </c>
    </row>
    <row r="28" spans="2:54" x14ac:dyDescent="0.3">
      <c r="B28" s="8"/>
      <c r="C28" s="2" t="s">
        <v>771</v>
      </c>
      <c r="D28" s="26">
        <v>0</v>
      </c>
      <c r="E28" s="26">
        <v>0</v>
      </c>
      <c r="F28" s="27">
        <v>0</v>
      </c>
      <c r="G28" s="26">
        <v>0</v>
      </c>
      <c r="H28" s="26">
        <v>0</v>
      </c>
      <c r="I28" s="27">
        <v>0</v>
      </c>
      <c r="J28" s="26">
        <v>0</v>
      </c>
      <c r="K28" s="26">
        <v>0</v>
      </c>
      <c r="L28" s="67">
        <v>1</v>
      </c>
      <c r="N28" s="8"/>
      <c r="O28" s="2" t="s">
        <v>814</v>
      </c>
      <c r="P28" s="26">
        <v>0</v>
      </c>
      <c r="Q28" s="27">
        <v>0</v>
      </c>
      <c r="R28" s="30">
        <v>0</v>
      </c>
      <c r="S28" s="27">
        <v>0</v>
      </c>
      <c r="T28" s="30">
        <v>0</v>
      </c>
      <c r="U28" s="34">
        <v>1</v>
      </c>
      <c r="V28" s="34">
        <v>1</v>
      </c>
      <c r="X28" s="8"/>
      <c r="Y28" s="2" t="s">
        <v>862</v>
      </c>
      <c r="Z28" s="26">
        <v>0</v>
      </c>
      <c r="AA28" s="26">
        <v>0</v>
      </c>
      <c r="AB28" s="26">
        <v>0</v>
      </c>
      <c r="AC28" s="26">
        <v>0</v>
      </c>
      <c r="AD28" s="27">
        <v>0</v>
      </c>
      <c r="AE28" s="30">
        <v>0</v>
      </c>
      <c r="AF28" s="26">
        <v>0</v>
      </c>
      <c r="AG28" s="26">
        <v>0</v>
      </c>
      <c r="AH28" s="32">
        <v>1</v>
      </c>
      <c r="AJ28" s="8"/>
      <c r="AK28" s="2" t="s">
        <v>995</v>
      </c>
      <c r="AL28" s="26">
        <v>0</v>
      </c>
      <c r="AM28" s="26">
        <v>0</v>
      </c>
      <c r="AN28" s="26">
        <v>0</v>
      </c>
      <c r="AO28" s="27">
        <v>0</v>
      </c>
      <c r="AP28" s="30">
        <v>0</v>
      </c>
      <c r="AQ28" s="26">
        <v>0</v>
      </c>
      <c r="AR28" s="26">
        <v>0</v>
      </c>
      <c r="AS28" s="32">
        <v>1</v>
      </c>
      <c r="AT28" s="34">
        <v>1</v>
      </c>
    </row>
    <row r="29" spans="2:54" x14ac:dyDescent="0.3">
      <c r="B29" s="8"/>
      <c r="C29" s="2" t="s">
        <v>717</v>
      </c>
      <c r="D29" s="26">
        <v>0</v>
      </c>
      <c r="E29" s="26">
        <v>0</v>
      </c>
      <c r="F29" s="27">
        <v>0</v>
      </c>
      <c r="G29" s="26">
        <v>0</v>
      </c>
      <c r="H29" s="26">
        <v>0</v>
      </c>
      <c r="I29" s="27">
        <v>0</v>
      </c>
      <c r="J29" s="26">
        <v>0</v>
      </c>
      <c r="K29" s="26">
        <v>0</v>
      </c>
      <c r="L29" s="67">
        <v>1</v>
      </c>
      <c r="N29" s="8"/>
      <c r="O29" s="2" t="s">
        <v>653</v>
      </c>
      <c r="P29" s="26">
        <v>0</v>
      </c>
      <c r="Q29" s="27">
        <v>0</v>
      </c>
      <c r="R29" s="30">
        <v>0</v>
      </c>
      <c r="S29" s="27">
        <v>0</v>
      </c>
      <c r="T29" s="30">
        <v>0</v>
      </c>
      <c r="U29" s="34">
        <v>1</v>
      </c>
      <c r="V29" s="34">
        <v>1</v>
      </c>
      <c r="X29" s="8"/>
      <c r="Y29" s="2" t="s">
        <v>863</v>
      </c>
      <c r="Z29" s="26">
        <v>0</v>
      </c>
      <c r="AA29" s="26">
        <v>0</v>
      </c>
      <c r="AB29" s="26">
        <v>0</v>
      </c>
      <c r="AC29" s="26">
        <v>0</v>
      </c>
      <c r="AD29" s="27">
        <v>0</v>
      </c>
      <c r="AE29" s="30">
        <v>0</v>
      </c>
      <c r="AF29" s="26">
        <v>0</v>
      </c>
      <c r="AG29" s="26">
        <v>0</v>
      </c>
      <c r="AH29" s="32">
        <v>1</v>
      </c>
      <c r="AJ29" s="8"/>
      <c r="AK29" s="2" t="s">
        <v>996</v>
      </c>
      <c r="AL29" s="26">
        <v>0</v>
      </c>
      <c r="AM29" s="26">
        <v>0</v>
      </c>
      <c r="AN29" s="26">
        <v>0</v>
      </c>
      <c r="AO29" s="27">
        <v>0</v>
      </c>
      <c r="AP29" s="30">
        <v>0</v>
      </c>
      <c r="AQ29" s="26">
        <v>0</v>
      </c>
      <c r="AR29" s="26">
        <v>0</v>
      </c>
      <c r="AS29" s="32">
        <v>1</v>
      </c>
      <c r="AT29" s="34">
        <v>1</v>
      </c>
    </row>
    <row r="30" spans="2:54" x14ac:dyDescent="0.3">
      <c r="B30" s="8"/>
      <c r="C30" s="2" t="s">
        <v>978</v>
      </c>
      <c r="D30" s="26">
        <v>0</v>
      </c>
      <c r="E30" s="26">
        <v>0</v>
      </c>
      <c r="F30" s="27">
        <v>0</v>
      </c>
      <c r="G30" s="26">
        <v>0</v>
      </c>
      <c r="H30" s="26">
        <v>0</v>
      </c>
      <c r="I30" s="27">
        <v>0</v>
      </c>
      <c r="J30" s="26">
        <v>0</v>
      </c>
      <c r="K30" s="26">
        <v>0</v>
      </c>
      <c r="L30" s="67">
        <v>1</v>
      </c>
      <c r="N30" s="8"/>
      <c r="O30" s="2" t="s">
        <v>948</v>
      </c>
      <c r="P30" s="26">
        <v>0</v>
      </c>
      <c r="Q30" s="27">
        <v>0</v>
      </c>
      <c r="R30" s="30">
        <v>0</v>
      </c>
      <c r="S30" s="27">
        <v>0</v>
      </c>
      <c r="T30" s="30">
        <v>0</v>
      </c>
      <c r="U30" s="34">
        <v>1</v>
      </c>
      <c r="V30" s="34">
        <v>1</v>
      </c>
      <c r="X30" s="8"/>
      <c r="Y30" s="2"/>
      <c r="Z30" s="26"/>
      <c r="AA30" s="26"/>
      <c r="AB30" s="26"/>
      <c r="AC30" s="26"/>
      <c r="AD30" s="27"/>
      <c r="AE30" s="30"/>
      <c r="AF30" s="26"/>
      <c r="AG30" s="26"/>
      <c r="AH30" s="32"/>
      <c r="AJ30" s="8"/>
      <c r="AK30" s="2" t="s">
        <v>997</v>
      </c>
      <c r="AL30" s="26">
        <v>0</v>
      </c>
      <c r="AM30" s="26">
        <v>0</v>
      </c>
      <c r="AN30" s="26">
        <v>0</v>
      </c>
      <c r="AO30" s="27">
        <v>0</v>
      </c>
      <c r="AP30" s="30">
        <v>0</v>
      </c>
      <c r="AQ30" s="26">
        <v>0</v>
      </c>
      <c r="AR30" s="26">
        <v>0</v>
      </c>
      <c r="AS30" s="32">
        <v>1</v>
      </c>
      <c r="AT30" s="34">
        <v>1</v>
      </c>
    </row>
    <row r="31" spans="2:54" x14ac:dyDescent="0.3">
      <c r="B31" s="8"/>
      <c r="C31" s="2" t="s">
        <v>718</v>
      </c>
      <c r="D31" s="26">
        <v>0</v>
      </c>
      <c r="E31" s="26">
        <v>0</v>
      </c>
      <c r="F31" s="27">
        <v>0</v>
      </c>
      <c r="G31" s="26">
        <v>0</v>
      </c>
      <c r="H31" s="26">
        <v>0</v>
      </c>
      <c r="I31" s="27">
        <v>0</v>
      </c>
      <c r="J31" s="26">
        <v>0</v>
      </c>
      <c r="K31" s="26">
        <v>0</v>
      </c>
      <c r="L31" s="67">
        <v>1</v>
      </c>
      <c r="N31" s="8"/>
      <c r="O31" s="2" t="s">
        <v>654</v>
      </c>
      <c r="P31" s="26">
        <v>0</v>
      </c>
      <c r="Q31" s="27">
        <v>0</v>
      </c>
      <c r="R31" s="30">
        <v>0</v>
      </c>
      <c r="S31" s="27">
        <v>0</v>
      </c>
      <c r="T31" s="30">
        <v>0</v>
      </c>
      <c r="U31" s="34">
        <v>1</v>
      </c>
      <c r="V31" s="34">
        <v>1</v>
      </c>
      <c r="X31" s="8"/>
      <c r="Y31" s="2"/>
      <c r="Z31" s="26"/>
      <c r="AA31" s="26"/>
      <c r="AB31" s="26"/>
      <c r="AC31" s="26"/>
      <c r="AD31" s="27"/>
      <c r="AE31" s="30"/>
      <c r="AF31" s="26"/>
      <c r="AG31" s="26"/>
      <c r="AH31" s="32"/>
      <c r="AJ31" s="8"/>
      <c r="AK31" s="2" t="s">
        <v>998</v>
      </c>
      <c r="AL31" s="26">
        <v>0</v>
      </c>
      <c r="AM31" s="26">
        <v>0</v>
      </c>
      <c r="AN31" s="26">
        <v>0</v>
      </c>
      <c r="AO31" s="27">
        <v>0</v>
      </c>
      <c r="AP31" s="30">
        <v>0</v>
      </c>
      <c r="AQ31" s="26">
        <v>0</v>
      </c>
      <c r="AR31" s="26">
        <v>0</v>
      </c>
      <c r="AS31" s="32">
        <v>1</v>
      </c>
      <c r="AT31" s="34">
        <v>1</v>
      </c>
    </row>
    <row r="32" spans="2:54" x14ac:dyDescent="0.3">
      <c r="B32" s="8"/>
      <c r="C32" s="2" t="s">
        <v>719</v>
      </c>
      <c r="D32" s="26">
        <v>0</v>
      </c>
      <c r="E32" s="26">
        <v>0</v>
      </c>
      <c r="F32" s="27">
        <v>0</v>
      </c>
      <c r="G32" s="26">
        <v>0</v>
      </c>
      <c r="H32" s="26">
        <v>0</v>
      </c>
      <c r="I32" s="27">
        <v>0</v>
      </c>
      <c r="J32" s="26">
        <v>0</v>
      </c>
      <c r="K32" s="26">
        <v>0</v>
      </c>
      <c r="L32" s="67">
        <v>1</v>
      </c>
      <c r="N32" s="8"/>
      <c r="O32" s="2" t="s">
        <v>655</v>
      </c>
      <c r="P32" s="26">
        <v>0</v>
      </c>
      <c r="Q32" s="27">
        <v>0</v>
      </c>
      <c r="R32" s="30">
        <v>0</v>
      </c>
      <c r="S32" s="27">
        <v>0</v>
      </c>
      <c r="T32" s="30">
        <v>0</v>
      </c>
      <c r="U32" s="34">
        <v>1</v>
      </c>
      <c r="V32" s="34">
        <v>1</v>
      </c>
      <c r="X32" s="8"/>
      <c r="Y32" s="2"/>
      <c r="Z32" s="26"/>
      <c r="AA32" s="26"/>
      <c r="AB32" s="26"/>
      <c r="AC32" s="26"/>
      <c r="AD32" s="27"/>
      <c r="AE32" s="30"/>
      <c r="AF32" s="26"/>
      <c r="AG32" s="26"/>
      <c r="AH32" s="32"/>
      <c r="AJ32" s="8"/>
      <c r="AK32" s="2" t="s">
        <v>999</v>
      </c>
      <c r="AL32" s="26">
        <v>0</v>
      </c>
      <c r="AM32" s="26">
        <v>0</v>
      </c>
      <c r="AN32" s="26">
        <v>0</v>
      </c>
      <c r="AO32" s="27">
        <v>0</v>
      </c>
      <c r="AP32" s="30">
        <v>0</v>
      </c>
      <c r="AQ32" s="26">
        <v>0</v>
      </c>
      <c r="AR32" s="26">
        <v>0</v>
      </c>
      <c r="AS32" s="32">
        <v>1</v>
      </c>
      <c r="AT32" s="34">
        <v>1</v>
      </c>
    </row>
    <row r="33" spans="2:46" x14ac:dyDescent="0.3">
      <c r="B33" s="8"/>
      <c r="C33" s="2" t="s">
        <v>720</v>
      </c>
      <c r="D33" s="26">
        <v>0</v>
      </c>
      <c r="E33" s="26">
        <v>0</v>
      </c>
      <c r="F33" s="27">
        <v>0</v>
      </c>
      <c r="G33" s="26">
        <v>0</v>
      </c>
      <c r="H33" s="26">
        <v>0</v>
      </c>
      <c r="I33" s="27">
        <v>0</v>
      </c>
      <c r="J33" s="26">
        <v>0</v>
      </c>
      <c r="K33" s="26">
        <v>0</v>
      </c>
      <c r="L33" s="67">
        <v>1</v>
      </c>
      <c r="N33" s="8"/>
      <c r="O33" s="2" t="s">
        <v>656</v>
      </c>
      <c r="P33" s="26">
        <v>0</v>
      </c>
      <c r="Q33" s="27">
        <v>0</v>
      </c>
      <c r="R33" s="30">
        <v>0</v>
      </c>
      <c r="S33" s="27">
        <v>0</v>
      </c>
      <c r="T33" s="30">
        <v>0</v>
      </c>
      <c r="U33" s="34">
        <v>1</v>
      </c>
      <c r="V33" s="34">
        <v>1</v>
      </c>
      <c r="X33" s="8"/>
      <c r="Y33" s="2"/>
      <c r="Z33" s="26"/>
      <c r="AA33" s="26"/>
      <c r="AB33" s="26"/>
      <c r="AC33" s="26"/>
      <c r="AD33" s="27"/>
      <c r="AE33" s="30"/>
      <c r="AF33" s="26"/>
      <c r="AG33" s="26"/>
      <c r="AH33" s="32"/>
      <c r="AJ33" s="8"/>
      <c r="AK33" s="2" t="s">
        <v>1000</v>
      </c>
      <c r="AL33" s="26">
        <v>0</v>
      </c>
      <c r="AM33" s="26">
        <v>0</v>
      </c>
      <c r="AN33" s="26">
        <v>0</v>
      </c>
      <c r="AO33" s="27">
        <v>0</v>
      </c>
      <c r="AP33" s="30">
        <v>0</v>
      </c>
      <c r="AQ33" s="26">
        <v>0</v>
      </c>
      <c r="AR33" s="26">
        <v>0</v>
      </c>
      <c r="AS33" s="32">
        <v>1</v>
      </c>
      <c r="AT33" s="34">
        <v>1</v>
      </c>
    </row>
    <row r="34" spans="2:46" x14ac:dyDescent="0.3">
      <c r="B34" s="8"/>
      <c r="C34" s="2" t="s">
        <v>721</v>
      </c>
      <c r="D34" s="26">
        <v>0</v>
      </c>
      <c r="E34" s="26">
        <v>0</v>
      </c>
      <c r="F34" s="27">
        <v>0</v>
      </c>
      <c r="G34" s="26">
        <v>0</v>
      </c>
      <c r="H34" s="26">
        <v>0</v>
      </c>
      <c r="I34" s="27">
        <v>0</v>
      </c>
      <c r="J34" s="26">
        <v>0</v>
      </c>
      <c r="K34" s="26">
        <v>0</v>
      </c>
      <c r="L34" s="67">
        <v>1</v>
      </c>
      <c r="N34" s="8"/>
      <c r="O34" s="2" t="s">
        <v>657</v>
      </c>
      <c r="P34" s="26">
        <v>0</v>
      </c>
      <c r="Q34" s="27">
        <v>0</v>
      </c>
      <c r="R34" s="30">
        <v>0</v>
      </c>
      <c r="S34" s="27">
        <v>0</v>
      </c>
      <c r="T34" s="30">
        <v>0</v>
      </c>
      <c r="U34" s="34">
        <v>1</v>
      </c>
      <c r="V34" s="34">
        <v>1</v>
      </c>
      <c r="X34" s="8"/>
      <c r="Y34" s="2"/>
      <c r="Z34" s="26"/>
      <c r="AA34" s="26"/>
      <c r="AB34" s="26"/>
      <c r="AC34" s="26"/>
      <c r="AD34" s="27"/>
      <c r="AE34" s="30"/>
      <c r="AF34" s="26"/>
      <c r="AG34" s="26"/>
      <c r="AH34" s="32"/>
      <c r="AJ34" s="8"/>
      <c r="AK34" s="2" t="s">
        <v>1001</v>
      </c>
      <c r="AL34" s="26">
        <v>0</v>
      </c>
      <c r="AM34" s="26">
        <v>0</v>
      </c>
      <c r="AN34" s="26">
        <v>0</v>
      </c>
      <c r="AO34" s="27">
        <v>0</v>
      </c>
      <c r="AP34" s="30">
        <v>0</v>
      </c>
      <c r="AQ34" s="26">
        <v>0</v>
      </c>
      <c r="AR34" s="26">
        <v>0</v>
      </c>
      <c r="AS34" s="32">
        <v>1</v>
      </c>
      <c r="AT34" s="34">
        <v>1</v>
      </c>
    </row>
    <row r="35" spans="2:46" x14ac:dyDescent="0.3">
      <c r="B35" s="8"/>
      <c r="C35" s="2" t="s">
        <v>979</v>
      </c>
      <c r="D35" s="26">
        <v>0</v>
      </c>
      <c r="E35" s="26">
        <v>0</v>
      </c>
      <c r="F35" s="27">
        <v>0</v>
      </c>
      <c r="G35" s="26">
        <v>0</v>
      </c>
      <c r="H35" s="26">
        <v>0</v>
      </c>
      <c r="I35" s="27">
        <v>0</v>
      </c>
      <c r="J35" s="26">
        <v>0</v>
      </c>
      <c r="K35" s="26">
        <v>0</v>
      </c>
      <c r="L35" s="67">
        <v>1</v>
      </c>
      <c r="N35" s="8"/>
      <c r="O35" s="2" t="s">
        <v>949</v>
      </c>
      <c r="P35" s="26">
        <v>0</v>
      </c>
      <c r="Q35" s="27">
        <v>0</v>
      </c>
      <c r="R35" s="30">
        <v>0</v>
      </c>
      <c r="S35" s="27">
        <v>0</v>
      </c>
      <c r="T35" s="30">
        <v>0</v>
      </c>
      <c r="U35" s="34">
        <v>1</v>
      </c>
      <c r="V35" s="34">
        <v>1</v>
      </c>
      <c r="X35" s="8"/>
      <c r="Y35" s="2"/>
      <c r="Z35" s="26"/>
      <c r="AA35" s="26"/>
      <c r="AB35" s="26"/>
      <c r="AC35" s="26"/>
      <c r="AD35" s="27"/>
      <c r="AE35" s="30"/>
      <c r="AF35" s="26"/>
      <c r="AG35" s="26"/>
      <c r="AH35" s="32"/>
      <c r="AJ35" s="8"/>
      <c r="AK35" s="2" t="s">
        <v>1002</v>
      </c>
      <c r="AL35" s="26">
        <v>0</v>
      </c>
      <c r="AM35" s="26">
        <v>0</v>
      </c>
      <c r="AN35" s="26">
        <v>0</v>
      </c>
      <c r="AO35" s="27">
        <v>0</v>
      </c>
      <c r="AP35" s="30">
        <v>0</v>
      </c>
      <c r="AQ35" s="26">
        <v>0</v>
      </c>
      <c r="AR35" s="26">
        <v>0</v>
      </c>
      <c r="AS35" s="32">
        <v>1</v>
      </c>
      <c r="AT35" s="34">
        <v>1</v>
      </c>
    </row>
    <row r="36" spans="2:46" x14ac:dyDescent="0.3">
      <c r="B36" s="8"/>
      <c r="C36" s="2" t="s">
        <v>772</v>
      </c>
      <c r="D36" s="26">
        <v>0</v>
      </c>
      <c r="E36" s="26">
        <v>0</v>
      </c>
      <c r="F36" s="27">
        <v>0</v>
      </c>
      <c r="G36" s="26">
        <v>0</v>
      </c>
      <c r="H36" s="26">
        <v>0</v>
      </c>
      <c r="I36" s="27">
        <v>0</v>
      </c>
      <c r="J36" s="26">
        <v>0</v>
      </c>
      <c r="K36" s="26">
        <v>0</v>
      </c>
      <c r="L36" s="67">
        <v>1</v>
      </c>
      <c r="N36" s="8"/>
      <c r="O36" s="2" t="s">
        <v>815</v>
      </c>
      <c r="P36" s="26">
        <v>0</v>
      </c>
      <c r="Q36" s="27">
        <v>0</v>
      </c>
      <c r="R36" s="30">
        <v>0</v>
      </c>
      <c r="S36" s="27">
        <v>0</v>
      </c>
      <c r="T36" s="30">
        <v>0</v>
      </c>
      <c r="U36" s="34">
        <v>1</v>
      </c>
      <c r="V36" s="34">
        <v>1</v>
      </c>
      <c r="X36" s="8"/>
      <c r="Y36" s="2"/>
      <c r="Z36" s="26"/>
      <c r="AA36" s="26"/>
      <c r="AB36" s="26"/>
      <c r="AC36" s="26"/>
      <c r="AD36" s="27"/>
      <c r="AE36" s="30"/>
      <c r="AF36" s="26"/>
      <c r="AG36" s="26"/>
      <c r="AH36" s="32"/>
      <c r="AJ36" s="8"/>
      <c r="AK36" s="2" t="s">
        <v>1003</v>
      </c>
      <c r="AL36" s="26">
        <v>0</v>
      </c>
      <c r="AM36" s="26">
        <v>0</v>
      </c>
      <c r="AN36" s="26">
        <v>0</v>
      </c>
      <c r="AO36" s="27">
        <v>0</v>
      </c>
      <c r="AP36" s="30">
        <v>0</v>
      </c>
      <c r="AQ36" s="26">
        <v>0</v>
      </c>
      <c r="AR36" s="26">
        <v>0</v>
      </c>
      <c r="AS36" s="32">
        <v>1</v>
      </c>
      <c r="AT36" s="34">
        <v>1</v>
      </c>
    </row>
    <row r="37" spans="2:46" x14ac:dyDescent="0.3">
      <c r="B37" s="8"/>
      <c r="C37" s="2" t="s">
        <v>773</v>
      </c>
      <c r="D37" s="26">
        <v>0</v>
      </c>
      <c r="E37" s="26">
        <v>0</v>
      </c>
      <c r="F37" s="27">
        <v>0</v>
      </c>
      <c r="G37" s="26">
        <v>0</v>
      </c>
      <c r="H37" s="26">
        <v>0</v>
      </c>
      <c r="I37" s="27">
        <v>0</v>
      </c>
      <c r="J37" s="26">
        <v>0</v>
      </c>
      <c r="K37" s="26">
        <v>0</v>
      </c>
      <c r="L37" s="67">
        <v>1</v>
      </c>
      <c r="N37" s="8"/>
      <c r="O37" s="2" t="s">
        <v>816</v>
      </c>
      <c r="P37" s="26">
        <v>0</v>
      </c>
      <c r="Q37" s="27">
        <v>0</v>
      </c>
      <c r="R37" s="30">
        <v>0</v>
      </c>
      <c r="S37" s="27">
        <v>0</v>
      </c>
      <c r="T37" s="30">
        <v>0</v>
      </c>
      <c r="U37" s="34">
        <v>1</v>
      </c>
      <c r="V37" s="34">
        <v>1</v>
      </c>
      <c r="X37" s="8"/>
      <c r="Y37" s="2"/>
      <c r="Z37" s="26"/>
      <c r="AA37" s="26"/>
      <c r="AB37" s="26"/>
      <c r="AC37" s="26"/>
      <c r="AD37" s="27"/>
      <c r="AE37" s="30"/>
      <c r="AF37" s="26"/>
      <c r="AG37" s="26"/>
      <c r="AH37" s="32"/>
      <c r="AJ37" s="8"/>
      <c r="AK37" s="2" t="s">
        <v>1004</v>
      </c>
      <c r="AL37" s="26">
        <v>0</v>
      </c>
      <c r="AM37" s="26">
        <v>0</v>
      </c>
      <c r="AN37" s="26">
        <v>0</v>
      </c>
      <c r="AO37" s="27">
        <v>0</v>
      </c>
      <c r="AP37" s="30">
        <v>0</v>
      </c>
      <c r="AQ37" s="26">
        <v>0</v>
      </c>
      <c r="AR37" s="26">
        <v>0</v>
      </c>
      <c r="AS37" s="32">
        <v>1</v>
      </c>
      <c r="AT37" s="34">
        <v>1</v>
      </c>
    </row>
    <row r="38" spans="2:46" x14ac:dyDescent="0.3">
      <c r="B38" s="8"/>
      <c r="C38" s="2" t="s">
        <v>722</v>
      </c>
      <c r="D38" s="26">
        <v>0</v>
      </c>
      <c r="E38" s="26">
        <v>0</v>
      </c>
      <c r="F38" s="27">
        <v>0</v>
      </c>
      <c r="G38" s="26">
        <v>0</v>
      </c>
      <c r="H38" s="26">
        <v>0</v>
      </c>
      <c r="I38" s="27">
        <v>0</v>
      </c>
      <c r="J38" s="26">
        <v>0</v>
      </c>
      <c r="K38" s="26">
        <v>0</v>
      </c>
      <c r="L38" s="67">
        <v>1</v>
      </c>
      <c r="N38" s="8"/>
      <c r="O38" s="2" t="s">
        <v>658</v>
      </c>
      <c r="P38" s="26">
        <v>0</v>
      </c>
      <c r="Q38" s="27">
        <v>0</v>
      </c>
      <c r="R38" s="30">
        <v>0</v>
      </c>
      <c r="S38" s="27">
        <v>0</v>
      </c>
      <c r="T38" s="30">
        <v>0</v>
      </c>
      <c r="U38" s="34">
        <v>1</v>
      </c>
      <c r="V38" s="34">
        <v>1</v>
      </c>
      <c r="X38" s="8"/>
      <c r="Y38" s="2"/>
      <c r="Z38" s="26"/>
      <c r="AA38" s="26"/>
      <c r="AB38" s="26"/>
      <c r="AC38" s="26"/>
      <c r="AD38" s="27"/>
      <c r="AE38" s="30"/>
      <c r="AF38" s="26"/>
      <c r="AG38" s="26"/>
      <c r="AH38" s="32"/>
      <c r="AJ38" s="8"/>
      <c r="AK38" s="2"/>
      <c r="AL38" s="26"/>
      <c r="AM38" s="26"/>
      <c r="AN38" s="26"/>
      <c r="AO38" s="27"/>
      <c r="AP38" s="30"/>
      <c r="AQ38" s="26"/>
      <c r="AR38" s="26"/>
      <c r="AS38" s="32"/>
      <c r="AT38" s="34"/>
    </row>
    <row r="39" spans="2:46" x14ac:dyDescent="0.3">
      <c r="B39" s="8"/>
      <c r="C39" s="2" t="s">
        <v>774</v>
      </c>
      <c r="D39" s="26">
        <v>0</v>
      </c>
      <c r="E39" s="26">
        <v>0</v>
      </c>
      <c r="F39" s="27">
        <v>0</v>
      </c>
      <c r="G39" s="26">
        <v>0</v>
      </c>
      <c r="H39" s="26">
        <v>0</v>
      </c>
      <c r="I39" s="27">
        <v>0</v>
      </c>
      <c r="J39" s="26">
        <v>0</v>
      </c>
      <c r="K39" s="26">
        <v>0</v>
      </c>
      <c r="L39" s="67">
        <v>1</v>
      </c>
      <c r="N39" s="8"/>
      <c r="O39" s="2" t="s">
        <v>817</v>
      </c>
      <c r="P39" s="26">
        <v>0</v>
      </c>
      <c r="Q39" s="27">
        <v>0</v>
      </c>
      <c r="R39" s="30">
        <v>0</v>
      </c>
      <c r="S39" s="27">
        <v>0</v>
      </c>
      <c r="T39" s="30">
        <v>0</v>
      </c>
      <c r="U39" s="34">
        <v>1</v>
      </c>
      <c r="V39" s="34">
        <v>1</v>
      </c>
      <c r="X39" s="8"/>
      <c r="Y39" s="2"/>
      <c r="Z39" s="26"/>
      <c r="AA39" s="26"/>
      <c r="AB39" s="26"/>
      <c r="AC39" s="26"/>
      <c r="AD39" s="27"/>
      <c r="AE39" s="30"/>
      <c r="AF39" s="26"/>
      <c r="AG39" s="26"/>
      <c r="AH39" s="32"/>
      <c r="AJ39" s="8"/>
      <c r="AK39" s="2"/>
      <c r="AL39" s="26"/>
      <c r="AM39" s="26"/>
      <c r="AN39" s="26"/>
      <c r="AO39" s="27"/>
      <c r="AP39" s="30"/>
      <c r="AQ39" s="26"/>
      <c r="AR39" s="26"/>
      <c r="AS39" s="32"/>
      <c r="AT39" s="34"/>
    </row>
    <row r="40" spans="2:46" x14ac:dyDescent="0.3">
      <c r="B40" s="8"/>
      <c r="C40" s="2" t="s">
        <v>723</v>
      </c>
      <c r="D40" s="26">
        <v>0</v>
      </c>
      <c r="E40" s="26">
        <v>0</v>
      </c>
      <c r="F40" s="27">
        <v>0</v>
      </c>
      <c r="G40" s="26">
        <v>0</v>
      </c>
      <c r="H40" s="26">
        <v>0</v>
      </c>
      <c r="I40" s="27">
        <v>0</v>
      </c>
      <c r="J40" s="26">
        <v>0</v>
      </c>
      <c r="K40" s="26">
        <v>0</v>
      </c>
      <c r="L40" s="67">
        <v>1</v>
      </c>
      <c r="N40" s="8"/>
      <c r="O40" s="2" t="s">
        <v>659</v>
      </c>
      <c r="P40" s="26">
        <v>0</v>
      </c>
      <c r="Q40" s="27">
        <v>0</v>
      </c>
      <c r="R40" s="30">
        <v>0</v>
      </c>
      <c r="S40" s="27">
        <v>0</v>
      </c>
      <c r="T40" s="30">
        <v>0</v>
      </c>
      <c r="U40" s="34">
        <v>1</v>
      </c>
      <c r="V40" s="34">
        <v>1</v>
      </c>
      <c r="X40" s="8"/>
      <c r="Y40" s="2"/>
      <c r="Z40" s="26"/>
      <c r="AA40" s="26"/>
      <c r="AB40" s="26"/>
      <c r="AC40" s="26"/>
      <c r="AD40" s="27"/>
      <c r="AE40" s="30"/>
      <c r="AF40" s="26"/>
      <c r="AG40" s="26"/>
      <c r="AH40" s="32"/>
      <c r="AJ40" s="8"/>
      <c r="AK40" s="2"/>
      <c r="AL40" s="26"/>
      <c r="AM40" s="26"/>
      <c r="AN40" s="26"/>
      <c r="AO40" s="27"/>
      <c r="AP40" s="30"/>
      <c r="AQ40" s="26"/>
      <c r="AR40" s="26"/>
      <c r="AS40" s="32"/>
      <c r="AT40" s="34"/>
    </row>
    <row r="41" spans="2:46" x14ac:dyDescent="0.3">
      <c r="B41" s="8"/>
      <c r="C41" s="2" t="s">
        <v>775</v>
      </c>
      <c r="D41" s="26">
        <v>0</v>
      </c>
      <c r="E41" s="26">
        <v>0</v>
      </c>
      <c r="F41" s="27">
        <v>0</v>
      </c>
      <c r="G41" s="26">
        <v>0</v>
      </c>
      <c r="H41" s="26">
        <v>0</v>
      </c>
      <c r="I41" s="27">
        <v>0</v>
      </c>
      <c r="J41" s="26">
        <v>0</v>
      </c>
      <c r="K41" s="26">
        <v>0</v>
      </c>
      <c r="L41" s="67">
        <v>1</v>
      </c>
      <c r="N41" s="8"/>
      <c r="O41" s="2" t="s">
        <v>818</v>
      </c>
      <c r="P41" s="26">
        <v>0</v>
      </c>
      <c r="Q41" s="27">
        <v>0</v>
      </c>
      <c r="R41" s="30">
        <v>0</v>
      </c>
      <c r="S41" s="27">
        <v>0</v>
      </c>
      <c r="T41" s="30">
        <v>0</v>
      </c>
      <c r="U41" s="34">
        <v>1</v>
      </c>
      <c r="V41" s="34">
        <v>1</v>
      </c>
      <c r="X41" s="8"/>
      <c r="Y41" s="2"/>
      <c r="Z41" s="26"/>
      <c r="AA41" s="26"/>
      <c r="AB41" s="26"/>
      <c r="AC41" s="26"/>
      <c r="AD41" s="27"/>
      <c r="AE41" s="30"/>
      <c r="AF41" s="26"/>
      <c r="AG41" s="26"/>
      <c r="AH41" s="32"/>
      <c r="AJ41" s="8"/>
      <c r="AK41" s="2"/>
      <c r="AL41" s="26"/>
      <c r="AM41" s="26"/>
      <c r="AN41" s="26"/>
      <c r="AO41" s="27"/>
      <c r="AP41" s="30"/>
      <c r="AQ41" s="26"/>
      <c r="AR41" s="26"/>
      <c r="AS41" s="32"/>
      <c r="AT41" s="34"/>
    </row>
    <row r="42" spans="2:46" x14ac:dyDescent="0.3">
      <c r="B42" s="8"/>
      <c r="C42" s="2" t="s">
        <v>776</v>
      </c>
      <c r="D42" s="26">
        <v>0</v>
      </c>
      <c r="E42" s="26">
        <v>0</v>
      </c>
      <c r="F42" s="27">
        <v>0</v>
      </c>
      <c r="G42" s="26">
        <v>0</v>
      </c>
      <c r="H42" s="26">
        <v>0</v>
      </c>
      <c r="I42" s="27">
        <v>0</v>
      </c>
      <c r="J42" s="26">
        <v>0</v>
      </c>
      <c r="K42" s="26">
        <v>0</v>
      </c>
      <c r="L42" s="67">
        <v>1</v>
      </c>
      <c r="N42" s="8"/>
      <c r="O42" s="2" t="s">
        <v>819</v>
      </c>
      <c r="P42" s="26">
        <v>0</v>
      </c>
      <c r="Q42" s="27">
        <v>0</v>
      </c>
      <c r="R42" s="30">
        <v>0</v>
      </c>
      <c r="S42" s="27">
        <v>0</v>
      </c>
      <c r="T42" s="30">
        <v>0</v>
      </c>
      <c r="U42" s="34">
        <v>1</v>
      </c>
      <c r="V42" s="34">
        <v>1</v>
      </c>
      <c r="X42" s="8"/>
      <c r="Y42" s="2"/>
      <c r="Z42" s="26"/>
      <c r="AA42" s="26"/>
      <c r="AB42" s="26"/>
      <c r="AC42" s="26"/>
      <c r="AD42" s="27"/>
      <c r="AE42" s="30"/>
      <c r="AF42" s="26"/>
      <c r="AG42" s="26"/>
      <c r="AH42" s="32"/>
      <c r="AJ42" s="8"/>
      <c r="AK42" s="2"/>
      <c r="AL42" s="26"/>
      <c r="AM42" s="26"/>
      <c r="AN42" s="26"/>
      <c r="AO42" s="27"/>
      <c r="AP42" s="30"/>
      <c r="AQ42" s="26"/>
      <c r="AR42" s="26"/>
      <c r="AS42" s="32"/>
      <c r="AT42" s="34"/>
    </row>
    <row r="43" spans="2:46" x14ac:dyDescent="0.3">
      <c r="B43" s="8"/>
      <c r="C43" s="2" t="s">
        <v>777</v>
      </c>
      <c r="D43" s="26">
        <v>0</v>
      </c>
      <c r="E43" s="26">
        <v>0</v>
      </c>
      <c r="F43" s="27">
        <v>0</v>
      </c>
      <c r="G43" s="26">
        <v>0</v>
      </c>
      <c r="H43" s="26">
        <v>0</v>
      </c>
      <c r="I43" s="27">
        <v>0</v>
      </c>
      <c r="J43" s="26">
        <v>0</v>
      </c>
      <c r="K43" s="26">
        <v>0</v>
      </c>
      <c r="L43" s="67">
        <v>1</v>
      </c>
      <c r="N43" s="8"/>
      <c r="O43" s="2" t="s">
        <v>820</v>
      </c>
      <c r="P43" s="26">
        <v>0</v>
      </c>
      <c r="Q43" s="27">
        <v>0</v>
      </c>
      <c r="R43" s="30">
        <v>0</v>
      </c>
      <c r="S43" s="27">
        <v>0</v>
      </c>
      <c r="T43" s="30">
        <v>0</v>
      </c>
      <c r="U43" s="34">
        <v>1</v>
      </c>
      <c r="V43" s="34">
        <v>1</v>
      </c>
      <c r="X43" s="8"/>
      <c r="Y43" s="2"/>
      <c r="Z43" s="26"/>
      <c r="AA43" s="26"/>
      <c r="AB43" s="26"/>
      <c r="AC43" s="26"/>
      <c r="AD43" s="27"/>
      <c r="AE43" s="30"/>
      <c r="AF43" s="26"/>
      <c r="AG43" s="26"/>
      <c r="AH43" s="32"/>
      <c r="AJ43" s="8"/>
      <c r="AK43" s="2"/>
      <c r="AL43" s="26"/>
      <c r="AM43" s="26"/>
      <c r="AN43" s="26"/>
      <c r="AO43" s="27"/>
      <c r="AP43" s="30"/>
      <c r="AQ43" s="26"/>
      <c r="AR43" s="26"/>
      <c r="AS43" s="32"/>
      <c r="AT43" s="34"/>
    </row>
    <row r="44" spans="2:46" x14ac:dyDescent="0.3">
      <c r="B44" s="8"/>
      <c r="C44" s="2" t="s">
        <v>724</v>
      </c>
      <c r="D44" s="26">
        <v>0</v>
      </c>
      <c r="E44" s="26">
        <v>0</v>
      </c>
      <c r="F44" s="27">
        <v>0</v>
      </c>
      <c r="G44" s="26">
        <v>0</v>
      </c>
      <c r="H44" s="26">
        <v>0</v>
      </c>
      <c r="I44" s="27">
        <v>0</v>
      </c>
      <c r="J44" s="26">
        <v>0</v>
      </c>
      <c r="K44" s="26">
        <v>0</v>
      </c>
      <c r="L44" s="67">
        <v>1</v>
      </c>
      <c r="N44" s="8"/>
      <c r="O44" s="2" t="s">
        <v>660</v>
      </c>
      <c r="P44" s="26">
        <v>0</v>
      </c>
      <c r="Q44" s="27">
        <v>0</v>
      </c>
      <c r="R44" s="30">
        <v>0</v>
      </c>
      <c r="S44" s="27">
        <v>0</v>
      </c>
      <c r="T44" s="30">
        <v>0</v>
      </c>
      <c r="U44" s="34">
        <v>1</v>
      </c>
      <c r="V44" s="34">
        <v>1</v>
      </c>
      <c r="X44" s="8"/>
      <c r="Y44" s="2"/>
      <c r="Z44" s="26"/>
      <c r="AA44" s="26"/>
      <c r="AB44" s="26"/>
      <c r="AC44" s="26"/>
      <c r="AD44" s="27"/>
      <c r="AE44" s="30"/>
      <c r="AF44" s="26"/>
      <c r="AG44" s="26"/>
      <c r="AH44" s="32"/>
      <c r="AJ44" s="8"/>
      <c r="AK44" s="2"/>
      <c r="AL44" s="26"/>
      <c r="AM44" s="26"/>
      <c r="AN44" s="26"/>
      <c r="AO44" s="27"/>
      <c r="AP44" s="30"/>
      <c r="AQ44" s="26"/>
      <c r="AR44" s="26"/>
      <c r="AS44" s="32"/>
      <c r="AT44" s="34"/>
    </row>
    <row r="45" spans="2:46" x14ac:dyDescent="0.3">
      <c r="B45" s="8"/>
      <c r="C45" s="2" t="s">
        <v>725</v>
      </c>
      <c r="D45" s="26">
        <v>0</v>
      </c>
      <c r="E45" s="26">
        <v>0</v>
      </c>
      <c r="F45" s="27">
        <v>0</v>
      </c>
      <c r="G45" s="26">
        <v>0</v>
      </c>
      <c r="H45" s="26">
        <v>0</v>
      </c>
      <c r="I45" s="27">
        <v>0</v>
      </c>
      <c r="J45" s="26">
        <v>0</v>
      </c>
      <c r="K45" s="26">
        <v>0</v>
      </c>
      <c r="L45" s="67">
        <v>1</v>
      </c>
      <c r="N45" s="8"/>
      <c r="O45" s="2" t="s">
        <v>661</v>
      </c>
      <c r="P45" s="26">
        <v>0</v>
      </c>
      <c r="Q45" s="27">
        <v>0</v>
      </c>
      <c r="R45" s="30">
        <v>0</v>
      </c>
      <c r="S45" s="27">
        <v>0</v>
      </c>
      <c r="T45" s="30">
        <v>0</v>
      </c>
      <c r="U45" s="34">
        <v>1</v>
      </c>
      <c r="V45" s="34">
        <v>1</v>
      </c>
      <c r="X45" s="8"/>
      <c r="Y45" s="2"/>
      <c r="Z45" s="26"/>
      <c r="AA45" s="26"/>
      <c r="AB45" s="26"/>
      <c r="AC45" s="26"/>
      <c r="AD45" s="27"/>
      <c r="AE45" s="30"/>
      <c r="AF45" s="26"/>
      <c r="AG45" s="26"/>
      <c r="AH45" s="32"/>
      <c r="AJ45" s="8"/>
      <c r="AK45" s="2"/>
      <c r="AL45" s="26"/>
      <c r="AM45" s="26"/>
      <c r="AN45" s="26"/>
      <c r="AO45" s="27"/>
      <c r="AP45" s="30"/>
      <c r="AQ45" s="26"/>
      <c r="AR45" s="26"/>
      <c r="AS45" s="32"/>
      <c r="AT45" s="34"/>
    </row>
    <row r="46" spans="2:46" x14ac:dyDescent="0.3">
      <c r="B46" s="8"/>
      <c r="C46" s="2" t="s">
        <v>778</v>
      </c>
      <c r="D46" s="26">
        <v>0</v>
      </c>
      <c r="E46" s="26">
        <v>0</v>
      </c>
      <c r="F46" s="27">
        <v>0</v>
      </c>
      <c r="G46" s="26">
        <v>0</v>
      </c>
      <c r="H46" s="26">
        <v>0</v>
      </c>
      <c r="I46" s="27">
        <v>0</v>
      </c>
      <c r="J46" s="26">
        <v>0</v>
      </c>
      <c r="K46" s="26">
        <v>0</v>
      </c>
      <c r="L46" s="67">
        <v>1</v>
      </c>
      <c r="N46" s="8"/>
      <c r="O46" s="2" t="s">
        <v>821</v>
      </c>
      <c r="P46" s="26">
        <v>0</v>
      </c>
      <c r="Q46" s="27">
        <v>0</v>
      </c>
      <c r="R46" s="30">
        <v>0</v>
      </c>
      <c r="S46" s="27">
        <v>0</v>
      </c>
      <c r="T46" s="30">
        <v>0</v>
      </c>
      <c r="U46" s="34">
        <v>1</v>
      </c>
      <c r="V46" s="34">
        <v>1</v>
      </c>
      <c r="X46" s="8"/>
      <c r="Y46" s="2"/>
      <c r="Z46" s="26"/>
      <c r="AA46" s="26"/>
      <c r="AB46" s="26"/>
      <c r="AC46" s="26"/>
      <c r="AD46" s="27"/>
      <c r="AE46" s="30"/>
      <c r="AF46" s="26"/>
      <c r="AG46" s="26"/>
      <c r="AH46" s="32"/>
      <c r="AJ46" s="8"/>
      <c r="AK46" s="2"/>
      <c r="AL46" s="26"/>
      <c r="AM46" s="26"/>
      <c r="AN46" s="26"/>
      <c r="AO46" s="27"/>
      <c r="AP46" s="30"/>
      <c r="AQ46" s="26"/>
      <c r="AR46" s="26"/>
      <c r="AS46" s="32"/>
      <c r="AT46" s="34"/>
    </row>
    <row r="47" spans="2:46" x14ac:dyDescent="0.3">
      <c r="B47" s="8"/>
      <c r="C47" s="2" t="s">
        <v>726</v>
      </c>
      <c r="D47" s="26">
        <v>0</v>
      </c>
      <c r="E47" s="26">
        <v>0</v>
      </c>
      <c r="F47" s="27">
        <v>0</v>
      </c>
      <c r="G47" s="26">
        <v>0</v>
      </c>
      <c r="H47" s="26">
        <v>0</v>
      </c>
      <c r="I47" s="27">
        <v>0</v>
      </c>
      <c r="J47" s="26">
        <v>0</v>
      </c>
      <c r="K47" s="26">
        <v>0</v>
      </c>
      <c r="L47" s="67">
        <v>1</v>
      </c>
      <c r="N47" s="8"/>
      <c r="O47" s="2" t="s">
        <v>662</v>
      </c>
      <c r="P47" s="26">
        <v>0</v>
      </c>
      <c r="Q47" s="27">
        <v>0</v>
      </c>
      <c r="R47" s="30">
        <v>0</v>
      </c>
      <c r="S47" s="27">
        <v>0</v>
      </c>
      <c r="T47" s="30">
        <v>0</v>
      </c>
      <c r="U47" s="34">
        <v>1</v>
      </c>
      <c r="V47" s="34">
        <v>1</v>
      </c>
      <c r="X47" s="8"/>
      <c r="Y47" s="2"/>
      <c r="Z47" s="26"/>
      <c r="AA47" s="26"/>
      <c r="AB47" s="26"/>
      <c r="AC47" s="26"/>
      <c r="AD47" s="27"/>
      <c r="AE47" s="30"/>
      <c r="AF47" s="26"/>
      <c r="AG47" s="26"/>
      <c r="AH47" s="32"/>
      <c r="AJ47" s="8"/>
      <c r="AK47" s="2"/>
      <c r="AL47" s="26"/>
      <c r="AM47" s="26"/>
      <c r="AN47" s="26"/>
      <c r="AO47" s="27"/>
      <c r="AP47" s="30"/>
      <c r="AQ47" s="26"/>
      <c r="AR47" s="26"/>
      <c r="AS47" s="32"/>
      <c r="AT47" s="34"/>
    </row>
    <row r="48" spans="2:46" x14ac:dyDescent="0.3">
      <c r="B48" s="8"/>
      <c r="C48" s="2" t="s">
        <v>779</v>
      </c>
      <c r="D48" s="26">
        <v>0</v>
      </c>
      <c r="E48" s="26">
        <v>0</v>
      </c>
      <c r="F48" s="27">
        <v>0</v>
      </c>
      <c r="G48" s="26">
        <v>0</v>
      </c>
      <c r="H48" s="26">
        <v>0</v>
      </c>
      <c r="I48" s="27">
        <v>0</v>
      </c>
      <c r="J48" s="26">
        <v>0</v>
      </c>
      <c r="K48" s="26">
        <v>0</v>
      </c>
      <c r="L48" s="67">
        <v>1</v>
      </c>
      <c r="N48" s="8"/>
      <c r="O48" s="2" t="s">
        <v>822</v>
      </c>
      <c r="P48" s="26">
        <v>0</v>
      </c>
      <c r="Q48" s="27">
        <v>0</v>
      </c>
      <c r="R48" s="30">
        <v>0</v>
      </c>
      <c r="S48" s="27">
        <v>0</v>
      </c>
      <c r="T48" s="30">
        <v>0</v>
      </c>
      <c r="U48" s="34">
        <v>1</v>
      </c>
      <c r="V48" s="34">
        <v>1</v>
      </c>
      <c r="X48" s="8"/>
      <c r="Y48" s="2"/>
      <c r="Z48" s="26"/>
      <c r="AA48" s="26"/>
      <c r="AB48" s="26"/>
      <c r="AC48" s="26"/>
      <c r="AD48" s="27"/>
      <c r="AE48" s="30"/>
      <c r="AF48" s="26"/>
      <c r="AG48" s="26"/>
      <c r="AH48" s="32"/>
      <c r="AJ48" s="8"/>
      <c r="AK48" s="2"/>
      <c r="AL48" s="26"/>
      <c r="AM48" s="26"/>
      <c r="AN48" s="26"/>
      <c r="AO48" s="27"/>
      <c r="AP48" s="30"/>
      <c r="AQ48" s="26"/>
      <c r="AR48" s="26"/>
      <c r="AS48" s="32"/>
      <c r="AT48" s="34"/>
    </row>
    <row r="49" spans="2:46" x14ac:dyDescent="0.3">
      <c r="B49" s="8"/>
      <c r="C49" s="2" t="s">
        <v>780</v>
      </c>
      <c r="D49" s="26">
        <v>0</v>
      </c>
      <c r="E49" s="26">
        <v>0</v>
      </c>
      <c r="F49" s="27">
        <v>0</v>
      </c>
      <c r="G49" s="26">
        <v>0</v>
      </c>
      <c r="H49" s="26">
        <v>0</v>
      </c>
      <c r="I49" s="27">
        <v>0</v>
      </c>
      <c r="J49" s="26">
        <v>0</v>
      </c>
      <c r="K49" s="26">
        <v>0</v>
      </c>
      <c r="L49" s="67">
        <v>1</v>
      </c>
      <c r="N49" s="8"/>
      <c r="O49" s="2" t="s">
        <v>823</v>
      </c>
      <c r="P49" s="26">
        <v>0</v>
      </c>
      <c r="Q49" s="27">
        <v>0</v>
      </c>
      <c r="R49" s="30">
        <v>0</v>
      </c>
      <c r="S49" s="27">
        <v>0</v>
      </c>
      <c r="T49" s="30">
        <v>0</v>
      </c>
      <c r="U49" s="34">
        <v>1</v>
      </c>
      <c r="V49" s="34">
        <v>1</v>
      </c>
      <c r="X49" s="8"/>
      <c r="Y49" s="2"/>
      <c r="Z49" s="26"/>
      <c r="AA49" s="26"/>
      <c r="AB49" s="26"/>
      <c r="AC49" s="26"/>
      <c r="AD49" s="27"/>
      <c r="AE49" s="30"/>
      <c r="AF49" s="26"/>
      <c r="AG49" s="26"/>
      <c r="AH49" s="32"/>
      <c r="AJ49" s="8"/>
      <c r="AK49" s="2"/>
      <c r="AL49" s="26"/>
      <c r="AM49" s="26"/>
      <c r="AN49" s="26"/>
      <c r="AO49" s="27"/>
      <c r="AP49" s="30"/>
      <c r="AQ49" s="26"/>
      <c r="AR49" s="26"/>
      <c r="AS49" s="32"/>
      <c r="AT49" s="34"/>
    </row>
    <row r="50" spans="2:46" x14ac:dyDescent="0.3">
      <c r="B50" s="8"/>
      <c r="C50" s="2" t="s">
        <v>727</v>
      </c>
      <c r="D50" s="26">
        <v>0</v>
      </c>
      <c r="E50" s="26">
        <v>0</v>
      </c>
      <c r="F50" s="27">
        <v>0</v>
      </c>
      <c r="G50" s="26">
        <v>0</v>
      </c>
      <c r="H50" s="26">
        <v>0</v>
      </c>
      <c r="I50" s="27">
        <v>0</v>
      </c>
      <c r="J50" s="26">
        <v>0</v>
      </c>
      <c r="K50" s="26">
        <v>0</v>
      </c>
      <c r="L50" s="67">
        <v>1</v>
      </c>
      <c r="N50" s="8"/>
      <c r="O50" s="2" t="s">
        <v>663</v>
      </c>
      <c r="P50" s="26">
        <v>0</v>
      </c>
      <c r="Q50" s="27">
        <v>0</v>
      </c>
      <c r="R50" s="30">
        <v>0</v>
      </c>
      <c r="S50" s="27">
        <v>0</v>
      </c>
      <c r="T50" s="30">
        <v>0</v>
      </c>
      <c r="U50" s="34">
        <v>1</v>
      </c>
      <c r="V50" s="34">
        <v>1</v>
      </c>
      <c r="X50" s="8"/>
      <c r="Y50" s="2"/>
      <c r="Z50" s="26"/>
      <c r="AA50" s="26"/>
      <c r="AB50" s="26"/>
      <c r="AC50" s="26"/>
      <c r="AD50" s="27"/>
      <c r="AE50" s="30"/>
      <c r="AF50" s="26"/>
      <c r="AG50" s="26"/>
      <c r="AH50" s="32"/>
      <c r="AJ50" s="8"/>
      <c r="AK50" s="2"/>
      <c r="AL50" s="26"/>
      <c r="AM50" s="26"/>
      <c r="AN50" s="26"/>
      <c r="AO50" s="27"/>
      <c r="AP50" s="30"/>
      <c r="AQ50" s="26"/>
      <c r="AR50" s="26"/>
      <c r="AS50" s="32"/>
      <c r="AT50" s="34"/>
    </row>
    <row r="51" spans="2:46" x14ac:dyDescent="0.3">
      <c r="B51" s="8"/>
      <c r="C51" s="2" t="s">
        <v>728</v>
      </c>
      <c r="D51" s="26">
        <v>0</v>
      </c>
      <c r="E51" s="26">
        <v>0</v>
      </c>
      <c r="F51" s="27">
        <v>0</v>
      </c>
      <c r="G51" s="26">
        <v>0</v>
      </c>
      <c r="H51" s="26">
        <v>0</v>
      </c>
      <c r="I51" s="27">
        <v>0</v>
      </c>
      <c r="J51" s="26">
        <v>0</v>
      </c>
      <c r="K51" s="26">
        <v>0</v>
      </c>
      <c r="L51" s="67">
        <v>1</v>
      </c>
      <c r="N51" s="8"/>
      <c r="O51" s="2" t="s">
        <v>664</v>
      </c>
      <c r="P51" s="26">
        <v>0</v>
      </c>
      <c r="Q51" s="27">
        <v>0</v>
      </c>
      <c r="R51" s="30">
        <v>0</v>
      </c>
      <c r="S51" s="27">
        <v>0</v>
      </c>
      <c r="T51" s="30">
        <v>0</v>
      </c>
      <c r="U51" s="34">
        <v>1</v>
      </c>
      <c r="V51" s="34">
        <v>1</v>
      </c>
      <c r="X51" s="8"/>
      <c r="Y51" s="2"/>
      <c r="Z51" s="26"/>
      <c r="AA51" s="26"/>
      <c r="AB51" s="26"/>
      <c r="AC51" s="26"/>
      <c r="AD51" s="27"/>
      <c r="AE51" s="30"/>
      <c r="AF51" s="26"/>
      <c r="AG51" s="26"/>
      <c r="AH51" s="32"/>
      <c r="AJ51" s="8"/>
      <c r="AK51" s="2"/>
      <c r="AL51" s="26"/>
      <c r="AM51" s="26"/>
      <c r="AN51" s="26"/>
      <c r="AO51" s="27"/>
      <c r="AP51" s="30"/>
      <c r="AQ51" s="26"/>
      <c r="AR51" s="26"/>
      <c r="AS51" s="32"/>
      <c r="AT51" s="34"/>
    </row>
    <row r="52" spans="2:46" x14ac:dyDescent="0.3">
      <c r="B52" s="8"/>
      <c r="C52" s="2" t="s">
        <v>781</v>
      </c>
      <c r="D52" s="26">
        <v>0</v>
      </c>
      <c r="E52" s="26">
        <v>0</v>
      </c>
      <c r="F52" s="27">
        <v>0</v>
      </c>
      <c r="G52" s="26">
        <v>0</v>
      </c>
      <c r="H52" s="26">
        <v>0</v>
      </c>
      <c r="I52" s="27">
        <v>0</v>
      </c>
      <c r="J52" s="26">
        <v>0</v>
      </c>
      <c r="K52" s="26">
        <v>0</v>
      </c>
      <c r="L52" s="67">
        <v>1</v>
      </c>
      <c r="N52" s="8"/>
      <c r="O52" s="2" t="s">
        <v>824</v>
      </c>
      <c r="P52" s="26">
        <v>0</v>
      </c>
      <c r="Q52" s="27">
        <v>0</v>
      </c>
      <c r="R52" s="30">
        <v>0</v>
      </c>
      <c r="S52" s="27">
        <v>0</v>
      </c>
      <c r="T52" s="30">
        <v>0</v>
      </c>
      <c r="U52" s="34">
        <v>1</v>
      </c>
      <c r="V52" s="34">
        <v>1</v>
      </c>
      <c r="X52" s="8"/>
      <c r="Y52" s="2"/>
      <c r="Z52" s="26"/>
      <c r="AA52" s="26"/>
      <c r="AB52" s="26"/>
      <c r="AC52" s="26"/>
      <c r="AD52" s="27"/>
      <c r="AE52" s="30"/>
      <c r="AF52" s="26"/>
      <c r="AG52" s="26"/>
      <c r="AH52" s="32"/>
      <c r="AJ52" s="8"/>
      <c r="AK52" s="2"/>
      <c r="AL52" s="26"/>
      <c r="AM52" s="26"/>
      <c r="AN52" s="26"/>
      <c r="AO52" s="27"/>
      <c r="AP52" s="30"/>
      <c r="AQ52" s="26"/>
      <c r="AR52" s="26"/>
      <c r="AS52" s="32"/>
      <c r="AT52" s="34"/>
    </row>
    <row r="53" spans="2:46" x14ac:dyDescent="0.3">
      <c r="B53" s="8"/>
      <c r="C53" s="2" t="s">
        <v>729</v>
      </c>
      <c r="D53" s="26">
        <v>0</v>
      </c>
      <c r="E53" s="26">
        <v>0</v>
      </c>
      <c r="F53" s="27">
        <v>0</v>
      </c>
      <c r="G53" s="26">
        <v>0</v>
      </c>
      <c r="H53" s="26">
        <v>0</v>
      </c>
      <c r="I53" s="27">
        <v>0</v>
      </c>
      <c r="J53" s="26">
        <v>0</v>
      </c>
      <c r="K53" s="26">
        <v>0</v>
      </c>
      <c r="L53" s="67">
        <v>1</v>
      </c>
      <c r="N53" s="8"/>
      <c r="O53" s="2" t="s">
        <v>665</v>
      </c>
      <c r="P53" s="26">
        <v>0</v>
      </c>
      <c r="Q53" s="27">
        <v>0</v>
      </c>
      <c r="R53" s="30">
        <v>0</v>
      </c>
      <c r="S53" s="27">
        <v>0</v>
      </c>
      <c r="T53" s="30">
        <v>0</v>
      </c>
      <c r="U53" s="34">
        <v>1</v>
      </c>
      <c r="V53" s="34">
        <v>1</v>
      </c>
      <c r="X53" s="8"/>
      <c r="Y53" s="2"/>
      <c r="Z53" s="26"/>
      <c r="AA53" s="26"/>
      <c r="AB53" s="26"/>
      <c r="AC53" s="26"/>
      <c r="AD53" s="27"/>
      <c r="AE53" s="30"/>
      <c r="AF53" s="26"/>
      <c r="AG53" s="26"/>
      <c r="AH53" s="32"/>
      <c r="AJ53" s="8"/>
      <c r="AK53" s="2"/>
      <c r="AL53" s="26"/>
      <c r="AM53" s="26"/>
      <c r="AN53" s="26"/>
      <c r="AO53" s="27"/>
      <c r="AP53" s="30"/>
      <c r="AQ53" s="26"/>
      <c r="AR53" s="26"/>
      <c r="AS53" s="32"/>
      <c r="AT53" s="34"/>
    </row>
    <row r="54" spans="2:46" x14ac:dyDescent="0.3">
      <c r="B54" s="8"/>
      <c r="C54" s="2" t="s">
        <v>782</v>
      </c>
      <c r="D54" s="26">
        <v>0</v>
      </c>
      <c r="E54" s="26">
        <v>0</v>
      </c>
      <c r="F54" s="27">
        <v>0</v>
      </c>
      <c r="G54" s="26">
        <v>0</v>
      </c>
      <c r="H54" s="26">
        <v>0</v>
      </c>
      <c r="I54" s="27">
        <v>0</v>
      </c>
      <c r="J54" s="26">
        <v>0</v>
      </c>
      <c r="K54" s="26">
        <v>0</v>
      </c>
      <c r="L54" s="67">
        <v>1</v>
      </c>
      <c r="N54" s="8"/>
      <c r="O54" s="2" t="s">
        <v>825</v>
      </c>
      <c r="P54" s="26">
        <v>0</v>
      </c>
      <c r="Q54" s="27">
        <v>0</v>
      </c>
      <c r="R54" s="30">
        <v>0</v>
      </c>
      <c r="S54" s="27">
        <v>0</v>
      </c>
      <c r="T54" s="30">
        <v>0</v>
      </c>
      <c r="U54" s="34">
        <v>1</v>
      </c>
      <c r="V54" s="34">
        <v>1</v>
      </c>
      <c r="X54" s="8"/>
      <c r="Y54" s="2"/>
      <c r="Z54" s="26"/>
      <c r="AA54" s="26"/>
      <c r="AB54" s="26"/>
      <c r="AC54" s="26"/>
      <c r="AD54" s="27"/>
      <c r="AE54" s="30"/>
      <c r="AF54" s="26"/>
      <c r="AG54" s="26"/>
      <c r="AH54" s="32"/>
      <c r="AJ54" s="8"/>
      <c r="AK54" s="2"/>
      <c r="AL54" s="26"/>
      <c r="AM54" s="26"/>
      <c r="AN54" s="26"/>
      <c r="AO54" s="27"/>
      <c r="AP54" s="30"/>
      <c r="AQ54" s="26"/>
      <c r="AR54" s="26"/>
      <c r="AS54" s="32"/>
      <c r="AT54" s="34"/>
    </row>
    <row r="55" spans="2:46" x14ac:dyDescent="0.3">
      <c r="B55" s="8"/>
      <c r="C55" s="2" t="s">
        <v>783</v>
      </c>
      <c r="D55" s="26">
        <v>0</v>
      </c>
      <c r="E55" s="26">
        <v>0</v>
      </c>
      <c r="F55" s="27">
        <v>0</v>
      </c>
      <c r="G55" s="26">
        <v>0</v>
      </c>
      <c r="H55" s="26">
        <v>0</v>
      </c>
      <c r="I55" s="27">
        <v>0</v>
      </c>
      <c r="J55" s="26">
        <v>0</v>
      </c>
      <c r="K55" s="26">
        <v>0</v>
      </c>
      <c r="L55" s="67">
        <v>1</v>
      </c>
      <c r="N55" s="8"/>
      <c r="O55" s="2" t="s">
        <v>826</v>
      </c>
      <c r="P55" s="26">
        <v>0</v>
      </c>
      <c r="Q55" s="27">
        <v>0</v>
      </c>
      <c r="R55" s="30">
        <v>0</v>
      </c>
      <c r="S55" s="27">
        <v>0</v>
      </c>
      <c r="T55" s="30">
        <v>0</v>
      </c>
      <c r="U55" s="34">
        <v>1</v>
      </c>
      <c r="V55" s="34">
        <v>1</v>
      </c>
      <c r="X55" s="8"/>
      <c r="Y55" s="2"/>
      <c r="Z55" s="26"/>
      <c r="AA55" s="26"/>
      <c r="AB55" s="26"/>
      <c r="AC55" s="26"/>
      <c r="AD55" s="27"/>
      <c r="AE55" s="30"/>
      <c r="AF55" s="26"/>
      <c r="AG55" s="26"/>
      <c r="AH55" s="32"/>
      <c r="AJ55" s="8"/>
      <c r="AK55" s="2"/>
      <c r="AL55" s="26"/>
      <c r="AM55" s="26"/>
      <c r="AN55" s="26"/>
      <c r="AO55" s="27"/>
      <c r="AP55" s="30"/>
      <c r="AQ55" s="26"/>
      <c r="AR55" s="26"/>
      <c r="AS55" s="32"/>
      <c r="AT55" s="34"/>
    </row>
    <row r="56" spans="2:46" x14ac:dyDescent="0.3">
      <c r="B56" s="8"/>
      <c r="C56" s="2" t="s">
        <v>784</v>
      </c>
      <c r="D56" s="26">
        <v>0</v>
      </c>
      <c r="E56" s="26">
        <v>0</v>
      </c>
      <c r="F56" s="27">
        <v>0</v>
      </c>
      <c r="G56" s="26">
        <v>0</v>
      </c>
      <c r="H56" s="26">
        <v>0</v>
      </c>
      <c r="I56" s="27">
        <v>0</v>
      </c>
      <c r="J56" s="26">
        <v>0</v>
      </c>
      <c r="K56" s="26">
        <v>0</v>
      </c>
      <c r="L56" s="67">
        <v>1</v>
      </c>
      <c r="N56" s="8"/>
      <c r="O56" s="2" t="s">
        <v>827</v>
      </c>
      <c r="P56" s="26">
        <v>0</v>
      </c>
      <c r="Q56" s="27">
        <v>0</v>
      </c>
      <c r="R56" s="30">
        <v>0</v>
      </c>
      <c r="S56" s="27">
        <v>0</v>
      </c>
      <c r="T56" s="30">
        <v>0</v>
      </c>
      <c r="U56" s="34">
        <v>1</v>
      </c>
      <c r="V56" s="34">
        <v>1</v>
      </c>
      <c r="X56" s="8"/>
      <c r="Y56" s="2"/>
      <c r="Z56" s="26"/>
      <c r="AA56" s="26"/>
      <c r="AB56" s="26"/>
      <c r="AC56" s="26"/>
      <c r="AD56" s="27"/>
      <c r="AE56" s="30"/>
      <c r="AF56" s="26"/>
      <c r="AG56" s="26"/>
      <c r="AH56" s="32"/>
      <c r="AJ56" s="8"/>
      <c r="AK56" s="2"/>
      <c r="AL56" s="26"/>
      <c r="AM56" s="26"/>
      <c r="AN56" s="26"/>
      <c r="AO56" s="27"/>
      <c r="AP56" s="30"/>
      <c r="AQ56" s="26"/>
      <c r="AR56" s="26"/>
      <c r="AS56" s="32"/>
      <c r="AT56" s="34"/>
    </row>
    <row r="57" spans="2:46" x14ac:dyDescent="0.3">
      <c r="B57" s="8"/>
      <c r="C57" s="2" t="s">
        <v>785</v>
      </c>
      <c r="D57" s="26">
        <v>0</v>
      </c>
      <c r="E57" s="26">
        <v>0</v>
      </c>
      <c r="F57" s="27">
        <v>0</v>
      </c>
      <c r="G57" s="26">
        <v>0</v>
      </c>
      <c r="H57" s="26">
        <v>0</v>
      </c>
      <c r="I57" s="27">
        <v>0</v>
      </c>
      <c r="J57" s="26">
        <v>0</v>
      </c>
      <c r="K57" s="26">
        <v>0</v>
      </c>
      <c r="L57" s="67">
        <v>1</v>
      </c>
      <c r="N57" s="8"/>
      <c r="O57" s="2" t="s">
        <v>828</v>
      </c>
      <c r="P57" s="26">
        <v>0</v>
      </c>
      <c r="Q57" s="27">
        <v>0</v>
      </c>
      <c r="R57" s="30">
        <v>0</v>
      </c>
      <c r="S57" s="27">
        <v>0</v>
      </c>
      <c r="T57" s="30">
        <v>0</v>
      </c>
      <c r="U57" s="34">
        <v>1</v>
      </c>
      <c r="V57" s="34">
        <v>1</v>
      </c>
      <c r="X57" s="8"/>
      <c r="Y57" s="2"/>
      <c r="Z57" s="26"/>
      <c r="AA57" s="26"/>
      <c r="AB57" s="26"/>
      <c r="AC57" s="26"/>
      <c r="AD57" s="27"/>
      <c r="AE57" s="30"/>
      <c r="AF57" s="26"/>
      <c r="AG57" s="26"/>
      <c r="AH57" s="32"/>
      <c r="AJ57" s="8"/>
      <c r="AK57" s="2"/>
      <c r="AL57" s="26"/>
      <c r="AM57" s="26"/>
      <c r="AN57" s="26"/>
      <c r="AO57" s="27"/>
      <c r="AP57" s="30"/>
      <c r="AQ57" s="26"/>
      <c r="AR57" s="26"/>
      <c r="AS57" s="32"/>
      <c r="AT57" s="34"/>
    </row>
    <row r="58" spans="2:46" x14ac:dyDescent="0.3">
      <c r="B58" s="8"/>
      <c r="C58" s="2" t="s">
        <v>786</v>
      </c>
      <c r="D58" s="26">
        <v>0</v>
      </c>
      <c r="E58" s="26">
        <v>0</v>
      </c>
      <c r="F58" s="27">
        <v>0</v>
      </c>
      <c r="G58" s="26">
        <v>0</v>
      </c>
      <c r="H58" s="26">
        <v>0</v>
      </c>
      <c r="I58" s="27">
        <v>0</v>
      </c>
      <c r="J58" s="26">
        <v>0</v>
      </c>
      <c r="K58" s="26">
        <v>0</v>
      </c>
      <c r="L58" s="67">
        <v>1</v>
      </c>
      <c r="N58" s="8"/>
      <c r="O58" s="2" t="s">
        <v>829</v>
      </c>
      <c r="P58" s="26">
        <v>0</v>
      </c>
      <c r="Q58" s="27">
        <v>0</v>
      </c>
      <c r="R58" s="30">
        <v>0</v>
      </c>
      <c r="S58" s="27">
        <v>0</v>
      </c>
      <c r="T58" s="30">
        <v>0</v>
      </c>
      <c r="U58" s="34">
        <v>1</v>
      </c>
      <c r="V58" s="34">
        <v>1</v>
      </c>
      <c r="X58" s="8"/>
      <c r="Y58" s="2"/>
      <c r="Z58" s="26"/>
      <c r="AA58" s="26"/>
      <c r="AB58" s="26"/>
      <c r="AC58" s="26"/>
      <c r="AD58" s="27"/>
      <c r="AE58" s="30"/>
      <c r="AF58" s="26"/>
      <c r="AG58" s="26"/>
      <c r="AH58" s="32"/>
      <c r="AJ58" s="8"/>
      <c r="AK58" s="2"/>
      <c r="AL58" s="26"/>
      <c r="AM58" s="26"/>
      <c r="AN58" s="26"/>
      <c r="AO58" s="27"/>
      <c r="AP58" s="30"/>
      <c r="AQ58" s="26"/>
      <c r="AR58" s="26"/>
      <c r="AS58" s="32"/>
      <c r="AT58" s="34"/>
    </row>
    <row r="59" spans="2:46" x14ac:dyDescent="0.3">
      <c r="B59" s="8"/>
      <c r="C59" s="2" t="s">
        <v>787</v>
      </c>
      <c r="D59" s="26">
        <v>0</v>
      </c>
      <c r="E59" s="26">
        <v>0</v>
      </c>
      <c r="F59" s="27">
        <v>0</v>
      </c>
      <c r="G59" s="26">
        <v>0</v>
      </c>
      <c r="H59" s="26">
        <v>0</v>
      </c>
      <c r="I59" s="27">
        <v>0</v>
      </c>
      <c r="J59" s="26">
        <v>0</v>
      </c>
      <c r="K59" s="26">
        <v>0</v>
      </c>
      <c r="L59" s="67">
        <v>1</v>
      </c>
      <c r="N59" s="8"/>
      <c r="O59" s="2" t="s">
        <v>830</v>
      </c>
      <c r="P59" s="26">
        <v>0</v>
      </c>
      <c r="Q59" s="27">
        <v>0</v>
      </c>
      <c r="R59" s="30">
        <v>0</v>
      </c>
      <c r="S59" s="27">
        <v>0</v>
      </c>
      <c r="T59" s="30">
        <v>0</v>
      </c>
      <c r="U59" s="34">
        <v>1</v>
      </c>
      <c r="V59" s="34">
        <v>1</v>
      </c>
      <c r="X59" s="8"/>
      <c r="Y59" s="2"/>
      <c r="Z59" s="26"/>
      <c r="AA59" s="26"/>
      <c r="AB59" s="26"/>
      <c r="AC59" s="26"/>
      <c r="AD59" s="27"/>
      <c r="AE59" s="30"/>
      <c r="AF59" s="26"/>
      <c r="AG59" s="26"/>
      <c r="AH59" s="32"/>
      <c r="AJ59" s="8"/>
      <c r="AK59" s="2"/>
      <c r="AL59" s="26"/>
      <c r="AM59" s="26"/>
      <c r="AN59" s="26"/>
      <c r="AO59" s="27"/>
      <c r="AP59" s="30"/>
      <c r="AQ59" s="26"/>
      <c r="AR59" s="26"/>
      <c r="AS59" s="32"/>
      <c r="AT59" s="34"/>
    </row>
    <row r="60" spans="2:46" x14ac:dyDescent="0.3">
      <c r="B60" s="8"/>
      <c r="C60" s="2" t="s">
        <v>788</v>
      </c>
      <c r="D60" s="26">
        <v>0</v>
      </c>
      <c r="E60" s="26">
        <v>0</v>
      </c>
      <c r="F60" s="27">
        <v>0</v>
      </c>
      <c r="G60" s="26">
        <v>0</v>
      </c>
      <c r="H60" s="26">
        <v>0</v>
      </c>
      <c r="I60" s="27">
        <v>0</v>
      </c>
      <c r="J60" s="26">
        <v>0</v>
      </c>
      <c r="K60" s="26">
        <v>0</v>
      </c>
      <c r="L60" s="67">
        <v>1</v>
      </c>
      <c r="N60" s="8"/>
      <c r="O60" s="2" t="s">
        <v>831</v>
      </c>
      <c r="P60" s="26">
        <v>0</v>
      </c>
      <c r="Q60" s="27">
        <v>0</v>
      </c>
      <c r="R60" s="30">
        <v>0</v>
      </c>
      <c r="S60" s="27">
        <v>0</v>
      </c>
      <c r="T60" s="30">
        <v>0</v>
      </c>
      <c r="U60" s="34">
        <v>1</v>
      </c>
      <c r="V60" s="34">
        <v>1</v>
      </c>
      <c r="X60" s="8"/>
      <c r="Y60" s="2"/>
      <c r="Z60" s="26"/>
      <c r="AA60" s="26"/>
      <c r="AB60" s="26"/>
      <c r="AC60" s="26"/>
      <c r="AD60" s="27"/>
      <c r="AE60" s="30"/>
      <c r="AF60" s="26"/>
      <c r="AG60" s="26"/>
      <c r="AH60" s="32"/>
      <c r="AJ60" s="8"/>
      <c r="AK60" s="2"/>
      <c r="AL60" s="26"/>
      <c r="AM60" s="26"/>
      <c r="AN60" s="26"/>
      <c r="AO60" s="27"/>
      <c r="AP60" s="30"/>
      <c r="AQ60" s="26"/>
      <c r="AR60" s="26"/>
      <c r="AS60" s="32"/>
      <c r="AT60" s="34"/>
    </row>
    <row r="61" spans="2:46" x14ac:dyDescent="0.3">
      <c r="B61" s="8"/>
      <c r="C61" s="2" t="s">
        <v>789</v>
      </c>
      <c r="D61" s="26">
        <v>0</v>
      </c>
      <c r="E61" s="26">
        <v>0</v>
      </c>
      <c r="F61" s="27">
        <v>0</v>
      </c>
      <c r="G61" s="26">
        <v>0</v>
      </c>
      <c r="H61" s="26">
        <v>0</v>
      </c>
      <c r="I61" s="27">
        <v>0</v>
      </c>
      <c r="J61" s="26">
        <v>0</v>
      </c>
      <c r="K61" s="26">
        <v>0</v>
      </c>
      <c r="L61" s="67">
        <v>1</v>
      </c>
      <c r="N61" s="8"/>
      <c r="O61" s="2" t="s">
        <v>832</v>
      </c>
      <c r="P61" s="26">
        <v>0</v>
      </c>
      <c r="Q61" s="27">
        <v>0</v>
      </c>
      <c r="R61" s="30">
        <v>0</v>
      </c>
      <c r="S61" s="27">
        <v>0</v>
      </c>
      <c r="T61" s="30">
        <v>0</v>
      </c>
      <c r="U61" s="34">
        <v>1</v>
      </c>
      <c r="V61" s="34">
        <v>1</v>
      </c>
      <c r="X61" s="8"/>
      <c r="Y61" s="2"/>
      <c r="Z61" s="26"/>
      <c r="AA61" s="26"/>
      <c r="AB61" s="26"/>
      <c r="AC61" s="26"/>
      <c r="AD61" s="27"/>
      <c r="AE61" s="30"/>
      <c r="AF61" s="26"/>
      <c r="AG61" s="26"/>
      <c r="AH61" s="32"/>
      <c r="AJ61" s="8"/>
      <c r="AK61" s="2"/>
      <c r="AL61" s="26"/>
      <c r="AM61" s="26"/>
      <c r="AN61" s="26"/>
      <c r="AO61" s="27"/>
      <c r="AP61" s="30"/>
      <c r="AQ61" s="26"/>
      <c r="AR61" s="26"/>
      <c r="AS61" s="32"/>
      <c r="AT61" s="34"/>
    </row>
    <row r="62" spans="2:46" x14ac:dyDescent="0.3">
      <c r="B62" s="8"/>
      <c r="C62" s="2" t="s">
        <v>790</v>
      </c>
      <c r="D62" s="26">
        <v>0</v>
      </c>
      <c r="E62" s="26">
        <v>0</v>
      </c>
      <c r="F62" s="27">
        <v>0</v>
      </c>
      <c r="G62" s="26">
        <v>0</v>
      </c>
      <c r="H62" s="26">
        <v>0</v>
      </c>
      <c r="I62" s="27">
        <v>0</v>
      </c>
      <c r="J62" s="26">
        <v>0</v>
      </c>
      <c r="K62" s="26">
        <v>0</v>
      </c>
      <c r="L62" s="67">
        <v>1</v>
      </c>
      <c r="N62" s="8"/>
      <c r="O62" s="2" t="s">
        <v>833</v>
      </c>
      <c r="P62" s="26">
        <v>0</v>
      </c>
      <c r="Q62" s="27">
        <v>0</v>
      </c>
      <c r="R62" s="30">
        <v>0</v>
      </c>
      <c r="S62" s="27">
        <v>0</v>
      </c>
      <c r="T62" s="30">
        <v>0</v>
      </c>
      <c r="U62" s="34">
        <v>1</v>
      </c>
      <c r="V62" s="34">
        <v>1</v>
      </c>
      <c r="X62" s="8"/>
      <c r="Y62" s="2"/>
      <c r="Z62" s="26"/>
      <c r="AA62" s="26"/>
      <c r="AB62" s="26"/>
      <c r="AC62" s="26"/>
      <c r="AD62" s="27"/>
      <c r="AE62" s="30"/>
      <c r="AF62" s="26"/>
      <c r="AG62" s="26"/>
      <c r="AH62" s="32"/>
      <c r="AJ62" s="8"/>
      <c r="AK62" s="2"/>
      <c r="AL62" s="26"/>
      <c r="AM62" s="26"/>
      <c r="AN62" s="26"/>
      <c r="AO62" s="27"/>
      <c r="AP62" s="30"/>
      <c r="AQ62" s="26"/>
      <c r="AR62" s="26"/>
      <c r="AS62" s="32"/>
      <c r="AT62" s="34"/>
    </row>
    <row r="63" spans="2:46" x14ac:dyDescent="0.3">
      <c r="B63" s="8"/>
      <c r="C63" s="2" t="s">
        <v>791</v>
      </c>
      <c r="D63" s="26">
        <v>0</v>
      </c>
      <c r="E63" s="26">
        <v>0</v>
      </c>
      <c r="F63" s="27">
        <v>0</v>
      </c>
      <c r="G63" s="26">
        <v>0</v>
      </c>
      <c r="H63" s="26">
        <v>0</v>
      </c>
      <c r="I63" s="27">
        <v>0</v>
      </c>
      <c r="J63" s="26">
        <v>0</v>
      </c>
      <c r="K63" s="26">
        <v>0</v>
      </c>
      <c r="L63" s="67">
        <v>1</v>
      </c>
      <c r="N63" s="8"/>
      <c r="O63" s="2" t="s">
        <v>834</v>
      </c>
      <c r="P63" s="26">
        <v>0</v>
      </c>
      <c r="Q63" s="27">
        <v>0</v>
      </c>
      <c r="R63" s="30">
        <v>0</v>
      </c>
      <c r="S63" s="27">
        <v>0</v>
      </c>
      <c r="T63" s="30">
        <v>0</v>
      </c>
      <c r="U63" s="34">
        <v>1</v>
      </c>
      <c r="V63" s="34">
        <v>1</v>
      </c>
      <c r="X63" s="8"/>
      <c r="Y63" s="2"/>
      <c r="Z63" s="26"/>
      <c r="AA63" s="26"/>
      <c r="AB63" s="26"/>
      <c r="AC63" s="26"/>
      <c r="AD63" s="27"/>
      <c r="AE63" s="30"/>
      <c r="AF63" s="26"/>
      <c r="AG63" s="26"/>
      <c r="AH63" s="32"/>
      <c r="AJ63" s="8"/>
      <c r="AK63" s="2"/>
      <c r="AL63" s="26"/>
      <c r="AM63" s="26"/>
      <c r="AN63" s="26"/>
      <c r="AO63" s="27"/>
      <c r="AP63" s="30"/>
      <c r="AQ63" s="26"/>
      <c r="AR63" s="26"/>
      <c r="AS63" s="32"/>
      <c r="AT63" s="34"/>
    </row>
    <row r="64" spans="2:46" x14ac:dyDescent="0.3">
      <c r="B64" s="8"/>
      <c r="C64" s="2" t="s">
        <v>792</v>
      </c>
      <c r="D64" s="26">
        <v>0</v>
      </c>
      <c r="E64" s="26">
        <v>0</v>
      </c>
      <c r="F64" s="27">
        <v>0</v>
      </c>
      <c r="G64" s="26">
        <v>0</v>
      </c>
      <c r="H64" s="26">
        <v>0</v>
      </c>
      <c r="I64" s="27">
        <v>0</v>
      </c>
      <c r="J64" s="26">
        <v>0</v>
      </c>
      <c r="K64" s="26">
        <v>0</v>
      </c>
      <c r="L64" s="67">
        <v>1</v>
      </c>
      <c r="N64" s="8"/>
      <c r="O64" s="2" t="s">
        <v>835</v>
      </c>
      <c r="P64" s="26">
        <v>0</v>
      </c>
      <c r="Q64" s="27">
        <v>0</v>
      </c>
      <c r="R64" s="30">
        <v>0</v>
      </c>
      <c r="S64" s="27">
        <v>0</v>
      </c>
      <c r="T64" s="30">
        <v>0</v>
      </c>
      <c r="U64" s="34">
        <v>1</v>
      </c>
      <c r="V64" s="34">
        <v>1</v>
      </c>
      <c r="X64" s="8"/>
      <c r="Y64" s="2"/>
      <c r="Z64" s="26"/>
      <c r="AA64" s="26"/>
      <c r="AB64" s="26"/>
      <c r="AC64" s="26"/>
      <c r="AD64" s="27"/>
      <c r="AE64" s="30"/>
      <c r="AF64" s="26"/>
      <c r="AG64" s="26"/>
      <c r="AH64" s="32"/>
      <c r="AJ64" s="8"/>
      <c r="AK64" s="2"/>
      <c r="AL64" s="26"/>
      <c r="AM64" s="26"/>
      <c r="AN64" s="26"/>
      <c r="AO64" s="27"/>
      <c r="AP64" s="30"/>
      <c r="AQ64" s="26"/>
      <c r="AR64" s="26"/>
      <c r="AS64" s="32"/>
      <c r="AT64" s="34"/>
    </row>
    <row r="65" spans="2:46" x14ac:dyDescent="0.3">
      <c r="B65" s="8"/>
      <c r="C65" s="2" t="s">
        <v>793</v>
      </c>
      <c r="D65" s="26">
        <v>0</v>
      </c>
      <c r="E65" s="26">
        <v>0</v>
      </c>
      <c r="F65" s="27">
        <v>0</v>
      </c>
      <c r="G65" s="26">
        <v>0</v>
      </c>
      <c r="H65" s="26">
        <v>0</v>
      </c>
      <c r="I65" s="27">
        <v>0</v>
      </c>
      <c r="J65" s="26">
        <v>0</v>
      </c>
      <c r="K65" s="26">
        <v>0</v>
      </c>
      <c r="L65" s="67">
        <v>1</v>
      </c>
      <c r="N65" s="8"/>
      <c r="O65" s="2" t="s">
        <v>836</v>
      </c>
      <c r="P65" s="26">
        <v>0</v>
      </c>
      <c r="Q65" s="27">
        <v>0</v>
      </c>
      <c r="R65" s="30">
        <v>0</v>
      </c>
      <c r="S65" s="27">
        <v>0</v>
      </c>
      <c r="T65" s="30">
        <v>0</v>
      </c>
      <c r="U65" s="34">
        <v>1</v>
      </c>
      <c r="V65" s="34">
        <v>1</v>
      </c>
      <c r="X65" s="8"/>
      <c r="Y65" s="2"/>
      <c r="Z65" s="26"/>
      <c r="AA65" s="26"/>
      <c r="AB65" s="26"/>
      <c r="AC65" s="26"/>
      <c r="AD65" s="27"/>
      <c r="AE65" s="30"/>
      <c r="AF65" s="26"/>
      <c r="AG65" s="26"/>
      <c r="AH65" s="32"/>
      <c r="AJ65" s="8"/>
      <c r="AK65" s="2"/>
      <c r="AL65" s="26"/>
      <c r="AM65" s="26"/>
      <c r="AN65" s="26"/>
      <c r="AO65" s="27"/>
      <c r="AP65" s="30"/>
      <c r="AQ65" s="26"/>
      <c r="AR65" s="26"/>
      <c r="AS65" s="32"/>
      <c r="AT65" s="34"/>
    </row>
    <row r="66" spans="2:46" x14ac:dyDescent="0.3">
      <c r="B66" s="8"/>
      <c r="C66" s="2" t="s">
        <v>980</v>
      </c>
      <c r="D66" s="26">
        <v>0</v>
      </c>
      <c r="E66" s="26">
        <v>0</v>
      </c>
      <c r="F66" s="27">
        <v>0</v>
      </c>
      <c r="G66" s="26">
        <v>0</v>
      </c>
      <c r="H66" s="26">
        <v>0</v>
      </c>
      <c r="I66" s="27">
        <v>0</v>
      </c>
      <c r="J66" s="26">
        <v>0</v>
      </c>
      <c r="K66" s="26">
        <v>0</v>
      </c>
      <c r="L66" s="67">
        <v>1</v>
      </c>
      <c r="N66" s="8"/>
      <c r="O66" s="2" t="s">
        <v>950</v>
      </c>
      <c r="P66" s="26">
        <v>0</v>
      </c>
      <c r="Q66" s="27">
        <v>0</v>
      </c>
      <c r="R66" s="30">
        <v>0</v>
      </c>
      <c r="S66" s="27">
        <v>0</v>
      </c>
      <c r="T66" s="30">
        <v>0</v>
      </c>
      <c r="U66" s="34">
        <v>1</v>
      </c>
      <c r="V66" s="34">
        <v>1</v>
      </c>
      <c r="X66" s="8"/>
      <c r="Y66" s="2"/>
      <c r="Z66" s="26"/>
      <c r="AA66" s="26"/>
      <c r="AB66" s="26"/>
      <c r="AC66" s="26"/>
      <c r="AD66" s="27"/>
      <c r="AE66" s="30"/>
      <c r="AF66" s="26"/>
      <c r="AG66" s="26"/>
      <c r="AH66" s="32"/>
      <c r="AJ66" s="8"/>
      <c r="AK66" s="2"/>
      <c r="AL66" s="26"/>
      <c r="AM66" s="26"/>
      <c r="AN66" s="26"/>
      <c r="AO66" s="27"/>
      <c r="AP66" s="30"/>
      <c r="AQ66" s="26"/>
      <c r="AR66" s="26"/>
      <c r="AS66" s="32"/>
      <c r="AT66" s="34"/>
    </row>
    <row r="67" spans="2:46" x14ac:dyDescent="0.3">
      <c r="B67" s="8"/>
      <c r="C67" s="2" t="s">
        <v>981</v>
      </c>
      <c r="D67" s="26">
        <v>0</v>
      </c>
      <c r="E67" s="26">
        <v>0</v>
      </c>
      <c r="F67" s="27">
        <v>0</v>
      </c>
      <c r="G67" s="26">
        <v>0</v>
      </c>
      <c r="H67" s="26">
        <v>0</v>
      </c>
      <c r="I67" s="27">
        <v>0</v>
      </c>
      <c r="J67" s="26">
        <v>0</v>
      </c>
      <c r="K67" s="26">
        <v>0</v>
      </c>
      <c r="L67" s="67">
        <v>1</v>
      </c>
      <c r="N67" s="8"/>
      <c r="O67" s="2" t="s">
        <v>951</v>
      </c>
      <c r="P67" s="26">
        <v>0</v>
      </c>
      <c r="Q67" s="27">
        <v>0</v>
      </c>
      <c r="R67" s="30">
        <v>0</v>
      </c>
      <c r="S67" s="27">
        <v>0</v>
      </c>
      <c r="T67" s="30">
        <v>0</v>
      </c>
      <c r="U67" s="34">
        <v>1</v>
      </c>
      <c r="V67" s="34">
        <v>1</v>
      </c>
      <c r="X67" s="8"/>
      <c r="Y67" s="2"/>
      <c r="Z67" s="26"/>
      <c r="AA67" s="26"/>
      <c r="AB67" s="26"/>
      <c r="AC67" s="26"/>
      <c r="AD67" s="27"/>
      <c r="AE67" s="30"/>
      <c r="AF67" s="26"/>
      <c r="AG67" s="26"/>
      <c r="AH67" s="32"/>
      <c r="AJ67" s="8"/>
      <c r="AK67" s="2"/>
      <c r="AL67" s="26"/>
      <c r="AM67" s="26"/>
      <c r="AN67" s="26"/>
      <c r="AO67" s="27"/>
      <c r="AP67" s="30"/>
      <c r="AQ67" s="26"/>
      <c r="AR67" s="26"/>
      <c r="AS67" s="32"/>
      <c r="AT67" s="34"/>
    </row>
    <row r="68" spans="2:46" x14ac:dyDescent="0.3">
      <c r="B68" s="8"/>
      <c r="C68" s="2" t="s">
        <v>794</v>
      </c>
      <c r="D68" s="26">
        <v>0</v>
      </c>
      <c r="E68" s="26">
        <v>0</v>
      </c>
      <c r="F68" s="27">
        <v>0</v>
      </c>
      <c r="G68" s="26">
        <v>0</v>
      </c>
      <c r="H68" s="26">
        <v>0</v>
      </c>
      <c r="I68" s="27">
        <v>0</v>
      </c>
      <c r="J68" s="26">
        <v>0</v>
      </c>
      <c r="K68" s="26">
        <v>0</v>
      </c>
      <c r="L68" s="67">
        <v>1</v>
      </c>
      <c r="N68" s="8"/>
      <c r="O68" s="2" t="s">
        <v>837</v>
      </c>
      <c r="P68" s="26">
        <v>0</v>
      </c>
      <c r="Q68" s="27">
        <v>0</v>
      </c>
      <c r="R68" s="30">
        <v>0</v>
      </c>
      <c r="S68" s="27">
        <v>0</v>
      </c>
      <c r="T68" s="30">
        <v>0</v>
      </c>
      <c r="U68" s="34">
        <v>1</v>
      </c>
      <c r="V68" s="34">
        <v>1</v>
      </c>
      <c r="X68" s="8"/>
      <c r="Y68" s="2"/>
      <c r="Z68" s="26"/>
      <c r="AA68" s="26"/>
      <c r="AB68" s="26"/>
      <c r="AC68" s="26"/>
      <c r="AD68" s="27"/>
      <c r="AE68" s="30"/>
      <c r="AF68" s="26"/>
      <c r="AG68" s="26"/>
      <c r="AH68" s="32"/>
      <c r="AJ68" s="8"/>
      <c r="AK68" s="2"/>
      <c r="AL68" s="26"/>
      <c r="AM68" s="26"/>
      <c r="AN68" s="26"/>
      <c r="AO68" s="27"/>
      <c r="AP68" s="30"/>
      <c r="AQ68" s="26"/>
      <c r="AR68" s="26"/>
      <c r="AS68" s="32"/>
      <c r="AT68" s="34"/>
    </row>
    <row r="69" spans="2:46" x14ac:dyDescent="0.3">
      <c r="B69" s="8"/>
      <c r="C69" s="2" t="s">
        <v>795</v>
      </c>
      <c r="D69" s="26">
        <v>0</v>
      </c>
      <c r="E69" s="26">
        <v>0</v>
      </c>
      <c r="F69" s="27">
        <v>0</v>
      </c>
      <c r="G69" s="26">
        <v>0</v>
      </c>
      <c r="H69" s="26">
        <v>0</v>
      </c>
      <c r="I69" s="27">
        <v>0</v>
      </c>
      <c r="J69" s="26">
        <v>0</v>
      </c>
      <c r="K69" s="26">
        <v>0</v>
      </c>
      <c r="L69" s="67">
        <v>1</v>
      </c>
      <c r="N69" s="8"/>
      <c r="O69" s="2" t="s">
        <v>838</v>
      </c>
      <c r="P69" s="26">
        <v>0</v>
      </c>
      <c r="Q69" s="27">
        <v>0</v>
      </c>
      <c r="R69" s="30">
        <v>0</v>
      </c>
      <c r="S69" s="27">
        <v>0</v>
      </c>
      <c r="T69" s="30">
        <v>0</v>
      </c>
      <c r="U69" s="34">
        <v>1</v>
      </c>
      <c r="V69" s="34">
        <v>1</v>
      </c>
      <c r="X69" s="8"/>
      <c r="Y69" s="2"/>
      <c r="Z69" s="26"/>
      <c r="AA69" s="26"/>
      <c r="AB69" s="26"/>
      <c r="AC69" s="26"/>
      <c r="AD69" s="27"/>
      <c r="AE69" s="30"/>
      <c r="AF69" s="26"/>
      <c r="AG69" s="26"/>
      <c r="AH69" s="32"/>
      <c r="AJ69" s="8"/>
      <c r="AK69" s="2"/>
      <c r="AL69" s="26"/>
      <c r="AM69" s="26"/>
      <c r="AN69" s="26"/>
      <c r="AO69" s="27"/>
      <c r="AP69" s="30"/>
      <c r="AQ69" s="26"/>
      <c r="AR69" s="26"/>
      <c r="AS69" s="32"/>
      <c r="AT69" s="34"/>
    </row>
    <row r="70" spans="2:46" x14ac:dyDescent="0.3">
      <c r="B70" s="8"/>
      <c r="C70" s="2" t="s">
        <v>796</v>
      </c>
      <c r="D70" s="26">
        <v>0</v>
      </c>
      <c r="E70" s="26">
        <v>0</v>
      </c>
      <c r="F70" s="27">
        <v>0</v>
      </c>
      <c r="G70" s="26">
        <v>0</v>
      </c>
      <c r="H70" s="26">
        <v>0</v>
      </c>
      <c r="I70" s="27">
        <v>0</v>
      </c>
      <c r="J70" s="26">
        <v>0</v>
      </c>
      <c r="K70" s="26">
        <v>0</v>
      </c>
      <c r="L70" s="67">
        <v>1</v>
      </c>
      <c r="N70" s="8"/>
      <c r="O70" s="2" t="s">
        <v>839</v>
      </c>
      <c r="P70" s="26">
        <v>0</v>
      </c>
      <c r="Q70" s="27">
        <v>0</v>
      </c>
      <c r="R70" s="30">
        <v>0</v>
      </c>
      <c r="S70" s="27">
        <v>0</v>
      </c>
      <c r="T70" s="30">
        <v>0</v>
      </c>
      <c r="U70" s="34">
        <v>1</v>
      </c>
      <c r="V70" s="34">
        <v>1</v>
      </c>
      <c r="X70" s="8"/>
      <c r="Y70" s="2"/>
      <c r="Z70" s="26"/>
      <c r="AA70" s="26"/>
      <c r="AB70" s="26"/>
      <c r="AC70" s="26"/>
      <c r="AD70" s="27"/>
      <c r="AE70" s="30"/>
      <c r="AF70" s="26"/>
      <c r="AG70" s="26"/>
      <c r="AH70" s="32"/>
      <c r="AJ70" s="8"/>
      <c r="AK70" s="2"/>
      <c r="AL70" s="26"/>
      <c r="AM70" s="26"/>
      <c r="AN70" s="26"/>
      <c r="AO70" s="27"/>
      <c r="AP70" s="30"/>
      <c r="AQ70" s="26"/>
      <c r="AR70" s="26"/>
      <c r="AS70" s="32"/>
      <c r="AT70" s="34"/>
    </row>
    <row r="71" spans="2:46" x14ac:dyDescent="0.3">
      <c r="B71" s="8"/>
      <c r="C71" s="2" t="s">
        <v>797</v>
      </c>
      <c r="D71" s="26">
        <v>0</v>
      </c>
      <c r="E71" s="26">
        <v>0</v>
      </c>
      <c r="F71" s="27">
        <v>0</v>
      </c>
      <c r="G71" s="26">
        <v>0</v>
      </c>
      <c r="H71" s="26">
        <v>0</v>
      </c>
      <c r="I71" s="27">
        <v>0</v>
      </c>
      <c r="J71" s="26">
        <v>0</v>
      </c>
      <c r="K71" s="26">
        <v>0</v>
      </c>
      <c r="L71" s="67">
        <v>1</v>
      </c>
      <c r="N71" s="8"/>
      <c r="O71" s="2" t="s">
        <v>840</v>
      </c>
      <c r="P71" s="26">
        <v>0</v>
      </c>
      <c r="Q71" s="27">
        <v>0</v>
      </c>
      <c r="R71" s="30">
        <v>0</v>
      </c>
      <c r="S71" s="27">
        <v>0</v>
      </c>
      <c r="T71" s="30">
        <v>0</v>
      </c>
      <c r="U71" s="34">
        <v>1</v>
      </c>
      <c r="V71" s="34">
        <v>1</v>
      </c>
      <c r="X71" s="8"/>
      <c r="Y71" s="2"/>
      <c r="Z71" s="26"/>
      <c r="AA71" s="26"/>
      <c r="AB71" s="26"/>
      <c r="AC71" s="26"/>
      <c r="AD71" s="27"/>
      <c r="AE71" s="30"/>
      <c r="AF71" s="26"/>
      <c r="AG71" s="26"/>
      <c r="AH71" s="32"/>
      <c r="AJ71" s="8"/>
      <c r="AK71" s="2"/>
      <c r="AL71" s="26"/>
      <c r="AM71" s="26"/>
      <c r="AN71" s="26"/>
      <c r="AO71" s="27"/>
      <c r="AP71" s="30"/>
      <c r="AQ71" s="26"/>
      <c r="AR71" s="26"/>
      <c r="AS71" s="32"/>
      <c r="AT71" s="34"/>
    </row>
    <row r="72" spans="2:46" x14ac:dyDescent="0.3">
      <c r="B72" s="8"/>
      <c r="C72" s="2" t="s">
        <v>798</v>
      </c>
      <c r="D72" s="26">
        <v>0</v>
      </c>
      <c r="E72" s="26">
        <v>0</v>
      </c>
      <c r="F72" s="27">
        <v>0</v>
      </c>
      <c r="G72" s="26">
        <v>0</v>
      </c>
      <c r="H72" s="26">
        <v>0</v>
      </c>
      <c r="I72" s="27">
        <v>0</v>
      </c>
      <c r="J72" s="26">
        <v>0</v>
      </c>
      <c r="K72" s="26">
        <v>0</v>
      </c>
      <c r="L72" s="67">
        <v>1</v>
      </c>
      <c r="N72" s="8"/>
      <c r="O72" s="2" t="s">
        <v>841</v>
      </c>
      <c r="P72" s="26">
        <v>0</v>
      </c>
      <c r="Q72" s="27">
        <v>0</v>
      </c>
      <c r="R72" s="30">
        <v>0</v>
      </c>
      <c r="S72" s="27">
        <v>0</v>
      </c>
      <c r="T72" s="30">
        <v>0</v>
      </c>
      <c r="U72" s="34">
        <v>1</v>
      </c>
      <c r="V72" s="34">
        <v>1</v>
      </c>
      <c r="X72" s="8"/>
      <c r="Y72" s="2"/>
      <c r="Z72" s="26"/>
      <c r="AA72" s="26"/>
      <c r="AB72" s="26"/>
      <c r="AC72" s="26"/>
      <c r="AD72" s="27"/>
      <c r="AE72" s="30"/>
      <c r="AF72" s="26"/>
      <c r="AG72" s="26"/>
      <c r="AH72" s="32"/>
      <c r="AJ72" s="8"/>
      <c r="AK72" s="2"/>
      <c r="AL72" s="26"/>
      <c r="AM72" s="26"/>
      <c r="AN72" s="26"/>
      <c r="AO72" s="27"/>
      <c r="AP72" s="30"/>
      <c r="AQ72" s="26"/>
      <c r="AR72" s="26"/>
      <c r="AS72" s="32"/>
      <c r="AT72" s="34"/>
    </row>
    <row r="73" spans="2:46" x14ac:dyDescent="0.3">
      <c r="B73" s="8"/>
      <c r="C73" s="2" t="s">
        <v>730</v>
      </c>
      <c r="D73" s="26">
        <v>0</v>
      </c>
      <c r="E73" s="26">
        <v>0</v>
      </c>
      <c r="F73" s="27">
        <v>0</v>
      </c>
      <c r="G73" s="26">
        <v>0</v>
      </c>
      <c r="H73" s="26">
        <v>0</v>
      </c>
      <c r="I73" s="27">
        <v>0</v>
      </c>
      <c r="J73" s="26">
        <v>0</v>
      </c>
      <c r="K73" s="26">
        <v>0</v>
      </c>
      <c r="L73" s="67">
        <v>1</v>
      </c>
      <c r="N73" s="8"/>
      <c r="O73" s="2" t="s">
        <v>666</v>
      </c>
      <c r="P73" s="26">
        <v>0</v>
      </c>
      <c r="Q73" s="27">
        <v>0</v>
      </c>
      <c r="R73" s="30">
        <v>0</v>
      </c>
      <c r="S73" s="27">
        <v>0</v>
      </c>
      <c r="T73" s="30">
        <v>0</v>
      </c>
      <c r="U73" s="34">
        <v>1</v>
      </c>
      <c r="V73" s="34">
        <v>1</v>
      </c>
      <c r="X73" s="8"/>
      <c r="Y73" s="2"/>
      <c r="Z73" s="26"/>
      <c r="AA73" s="26"/>
      <c r="AB73" s="26"/>
      <c r="AC73" s="26"/>
      <c r="AD73" s="27"/>
      <c r="AE73" s="30"/>
      <c r="AF73" s="26"/>
      <c r="AG73" s="26"/>
      <c r="AH73" s="32"/>
      <c r="AJ73" s="8"/>
      <c r="AK73" s="2"/>
      <c r="AL73" s="26"/>
      <c r="AM73" s="26"/>
      <c r="AN73" s="26"/>
      <c r="AO73" s="27"/>
      <c r="AP73" s="30"/>
      <c r="AQ73" s="26"/>
      <c r="AR73" s="26"/>
      <c r="AS73" s="32"/>
      <c r="AT73" s="34"/>
    </row>
    <row r="74" spans="2:46" x14ac:dyDescent="0.3">
      <c r="B74" s="8"/>
      <c r="C74" s="2" t="s">
        <v>799</v>
      </c>
      <c r="D74" s="26">
        <v>0</v>
      </c>
      <c r="E74" s="26">
        <v>0</v>
      </c>
      <c r="F74" s="27">
        <v>0</v>
      </c>
      <c r="G74" s="26">
        <v>0</v>
      </c>
      <c r="H74" s="26">
        <v>0</v>
      </c>
      <c r="I74" s="27">
        <v>0</v>
      </c>
      <c r="J74" s="26">
        <v>0</v>
      </c>
      <c r="K74" s="26">
        <v>0</v>
      </c>
      <c r="L74" s="67">
        <v>1</v>
      </c>
      <c r="N74" s="8"/>
      <c r="O74" s="2" t="s">
        <v>842</v>
      </c>
      <c r="P74" s="26">
        <v>0</v>
      </c>
      <c r="Q74" s="27">
        <v>0</v>
      </c>
      <c r="R74" s="30">
        <v>0</v>
      </c>
      <c r="S74" s="27">
        <v>0</v>
      </c>
      <c r="T74" s="30">
        <v>0</v>
      </c>
      <c r="U74" s="34">
        <v>1</v>
      </c>
      <c r="V74" s="34">
        <v>1</v>
      </c>
      <c r="X74" s="8"/>
      <c r="Y74" s="2"/>
      <c r="Z74" s="26"/>
      <c r="AA74" s="26"/>
      <c r="AB74" s="26"/>
      <c r="AC74" s="26"/>
      <c r="AD74" s="27"/>
      <c r="AE74" s="30"/>
      <c r="AF74" s="26"/>
      <c r="AG74" s="26"/>
      <c r="AH74" s="32"/>
      <c r="AJ74" s="8"/>
      <c r="AK74" s="2"/>
      <c r="AL74" s="26"/>
      <c r="AM74" s="26"/>
      <c r="AN74" s="26"/>
      <c r="AO74" s="27"/>
      <c r="AP74" s="30"/>
      <c r="AQ74" s="26"/>
      <c r="AR74" s="26"/>
      <c r="AS74" s="32"/>
      <c r="AT74" s="34"/>
    </row>
    <row r="75" spans="2:46" x14ac:dyDescent="0.3">
      <c r="B75" s="8"/>
      <c r="C75" s="2" t="s">
        <v>731</v>
      </c>
      <c r="D75" s="26">
        <v>0</v>
      </c>
      <c r="E75" s="26">
        <v>0</v>
      </c>
      <c r="F75" s="27">
        <v>0</v>
      </c>
      <c r="G75" s="26">
        <v>0</v>
      </c>
      <c r="H75" s="26">
        <v>0</v>
      </c>
      <c r="I75" s="27">
        <v>0</v>
      </c>
      <c r="J75" s="26">
        <v>0</v>
      </c>
      <c r="K75" s="26">
        <v>0</v>
      </c>
      <c r="L75" s="67">
        <v>1</v>
      </c>
      <c r="N75" s="8"/>
      <c r="O75" s="2" t="s">
        <v>667</v>
      </c>
      <c r="P75" s="26">
        <v>0</v>
      </c>
      <c r="Q75" s="27">
        <v>0</v>
      </c>
      <c r="R75" s="30">
        <v>0</v>
      </c>
      <c r="S75" s="27">
        <v>0</v>
      </c>
      <c r="T75" s="30">
        <v>0</v>
      </c>
      <c r="U75" s="34">
        <v>1</v>
      </c>
      <c r="V75" s="34">
        <v>1</v>
      </c>
      <c r="X75" s="8"/>
      <c r="Y75" s="2"/>
      <c r="Z75" s="26"/>
      <c r="AA75" s="26"/>
      <c r="AB75" s="26"/>
      <c r="AC75" s="26"/>
      <c r="AD75" s="27"/>
      <c r="AE75" s="30"/>
      <c r="AF75" s="26"/>
      <c r="AG75" s="26"/>
      <c r="AH75" s="32"/>
      <c r="AJ75" s="8"/>
      <c r="AK75" s="2"/>
      <c r="AL75" s="26"/>
      <c r="AM75" s="26"/>
      <c r="AN75" s="26"/>
      <c r="AO75" s="27"/>
      <c r="AP75" s="30"/>
      <c r="AQ75" s="26"/>
      <c r="AR75" s="26"/>
      <c r="AS75" s="32"/>
      <c r="AT75" s="34"/>
    </row>
    <row r="76" spans="2:46" x14ac:dyDescent="0.3">
      <c r="B76" s="8"/>
      <c r="C76" s="2" t="s">
        <v>800</v>
      </c>
      <c r="D76" s="26">
        <v>0</v>
      </c>
      <c r="E76" s="26">
        <v>0</v>
      </c>
      <c r="F76" s="27">
        <v>0</v>
      </c>
      <c r="G76" s="26">
        <v>0</v>
      </c>
      <c r="H76" s="26">
        <v>0</v>
      </c>
      <c r="I76" s="27">
        <v>0</v>
      </c>
      <c r="J76" s="26">
        <v>0</v>
      </c>
      <c r="K76" s="26">
        <v>0</v>
      </c>
      <c r="L76" s="67">
        <v>1</v>
      </c>
      <c r="N76" s="8"/>
      <c r="O76" s="2" t="s">
        <v>843</v>
      </c>
      <c r="P76" s="26">
        <v>0</v>
      </c>
      <c r="Q76" s="27">
        <v>0</v>
      </c>
      <c r="R76" s="30">
        <v>0</v>
      </c>
      <c r="S76" s="27">
        <v>0</v>
      </c>
      <c r="T76" s="30">
        <v>0</v>
      </c>
      <c r="U76" s="34">
        <v>1</v>
      </c>
      <c r="V76" s="34">
        <v>1</v>
      </c>
      <c r="X76" s="8"/>
      <c r="Y76" s="2"/>
      <c r="Z76" s="26"/>
      <c r="AA76" s="26"/>
      <c r="AB76" s="26"/>
      <c r="AC76" s="26"/>
      <c r="AD76" s="27"/>
      <c r="AE76" s="30"/>
      <c r="AF76" s="26"/>
      <c r="AG76" s="26"/>
      <c r="AH76" s="32"/>
      <c r="AJ76" s="8"/>
      <c r="AK76" s="2"/>
      <c r="AL76" s="26"/>
      <c r="AM76" s="26"/>
      <c r="AN76" s="26"/>
      <c r="AO76" s="27"/>
      <c r="AP76" s="30"/>
      <c r="AQ76" s="26"/>
      <c r="AR76" s="26"/>
      <c r="AS76" s="32"/>
      <c r="AT76" s="34"/>
    </row>
    <row r="77" spans="2:46" x14ac:dyDescent="0.3">
      <c r="B77" s="8"/>
      <c r="C77" s="2" t="s">
        <v>982</v>
      </c>
      <c r="D77" s="26">
        <v>0</v>
      </c>
      <c r="E77" s="26">
        <v>0</v>
      </c>
      <c r="F77" s="27">
        <v>0</v>
      </c>
      <c r="G77" s="26">
        <v>0</v>
      </c>
      <c r="H77" s="26">
        <v>0</v>
      </c>
      <c r="I77" s="27">
        <v>0</v>
      </c>
      <c r="J77" s="26">
        <v>0</v>
      </c>
      <c r="K77" s="26">
        <v>0</v>
      </c>
      <c r="L77" s="67">
        <v>1</v>
      </c>
      <c r="N77" s="8"/>
      <c r="O77" s="2" t="s">
        <v>952</v>
      </c>
      <c r="P77" s="26">
        <v>0</v>
      </c>
      <c r="Q77" s="27">
        <v>0</v>
      </c>
      <c r="R77" s="30">
        <v>0</v>
      </c>
      <c r="S77" s="27">
        <v>0</v>
      </c>
      <c r="T77" s="30">
        <v>0</v>
      </c>
      <c r="U77" s="34">
        <v>1</v>
      </c>
      <c r="V77" s="34">
        <v>1</v>
      </c>
      <c r="X77" s="8"/>
      <c r="Y77" s="2"/>
      <c r="Z77" s="26"/>
      <c r="AA77" s="26"/>
      <c r="AB77" s="26"/>
      <c r="AC77" s="26"/>
      <c r="AD77" s="27"/>
      <c r="AE77" s="30"/>
      <c r="AF77" s="26"/>
      <c r="AG77" s="26"/>
      <c r="AH77" s="32"/>
      <c r="AJ77" s="8"/>
      <c r="AK77" s="2"/>
      <c r="AL77" s="26"/>
      <c r="AM77" s="26"/>
      <c r="AN77" s="26"/>
      <c r="AO77" s="27"/>
      <c r="AP77" s="30"/>
      <c r="AQ77" s="26"/>
      <c r="AR77" s="26"/>
      <c r="AS77" s="32"/>
      <c r="AT77" s="34"/>
    </row>
    <row r="78" spans="2:46" x14ac:dyDescent="0.3">
      <c r="B78" s="8"/>
      <c r="C78" s="2" t="s">
        <v>983</v>
      </c>
      <c r="D78" s="26">
        <v>0</v>
      </c>
      <c r="E78" s="26">
        <v>0</v>
      </c>
      <c r="F78" s="27">
        <v>0</v>
      </c>
      <c r="G78" s="26">
        <v>0</v>
      </c>
      <c r="H78" s="26">
        <v>0</v>
      </c>
      <c r="I78" s="27">
        <v>0</v>
      </c>
      <c r="J78" s="26">
        <v>0</v>
      </c>
      <c r="K78" s="26">
        <v>0</v>
      </c>
      <c r="L78" s="67">
        <v>1</v>
      </c>
      <c r="N78" s="8"/>
      <c r="O78" s="2" t="s">
        <v>953</v>
      </c>
      <c r="P78" s="26">
        <v>0</v>
      </c>
      <c r="Q78" s="27">
        <v>0</v>
      </c>
      <c r="R78" s="30">
        <v>0</v>
      </c>
      <c r="S78" s="27">
        <v>0</v>
      </c>
      <c r="T78" s="30">
        <v>0</v>
      </c>
      <c r="U78" s="34">
        <v>1</v>
      </c>
      <c r="V78" s="34">
        <v>1</v>
      </c>
      <c r="X78" s="8"/>
      <c r="Y78" s="2"/>
      <c r="Z78" s="26"/>
      <c r="AA78" s="26"/>
      <c r="AB78" s="26"/>
      <c r="AC78" s="26"/>
      <c r="AD78" s="27"/>
      <c r="AE78" s="30"/>
      <c r="AF78" s="26"/>
      <c r="AG78" s="26"/>
      <c r="AH78" s="32"/>
      <c r="AJ78" s="8"/>
      <c r="AK78" s="2"/>
      <c r="AL78" s="26"/>
      <c r="AM78" s="26"/>
      <c r="AN78" s="26"/>
      <c r="AO78" s="27"/>
      <c r="AP78" s="30"/>
      <c r="AQ78" s="26"/>
      <c r="AR78" s="26"/>
      <c r="AS78" s="32"/>
      <c r="AT78" s="34"/>
    </row>
    <row r="79" spans="2:46" x14ac:dyDescent="0.3">
      <c r="B79" s="8"/>
      <c r="C79" s="2" t="s">
        <v>984</v>
      </c>
      <c r="D79" s="26">
        <v>0</v>
      </c>
      <c r="E79" s="26">
        <v>0</v>
      </c>
      <c r="F79" s="27">
        <v>0</v>
      </c>
      <c r="G79" s="26">
        <v>0</v>
      </c>
      <c r="H79" s="26">
        <v>0</v>
      </c>
      <c r="I79" s="27">
        <v>0</v>
      </c>
      <c r="J79" s="26">
        <v>0</v>
      </c>
      <c r="K79" s="26">
        <v>0</v>
      </c>
      <c r="L79" s="67">
        <v>1</v>
      </c>
      <c r="N79" s="8"/>
      <c r="O79" s="2" t="s">
        <v>954</v>
      </c>
      <c r="P79" s="26">
        <v>0</v>
      </c>
      <c r="Q79" s="27">
        <v>0</v>
      </c>
      <c r="R79" s="30">
        <v>0</v>
      </c>
      <c r="S79" s="27">
        <v>0</v>
      </c>
      <c r="T79" s="30">
        <v>0</v>
      </c>
      <c r="U79" s="34">
        <v>1</v>
      </c>
      <c r="V79" s="34">
        <v>1</v>
      </c>
      <c r="X79" s="8"/>
      <c r="Y79" s="2"/>
      <c r="Z79" s="26"/>
      <c r="AA79" s="26"/>
      <c r="AB79" s="26"/>
      <c r="AC79" s="26"/>
      <c r="AD79" s="27"/>
      <c r="AE79" s="30"/>
      <c r="AF79" s="26"/>
      <c r="AG79" s="26"/>
      <c r="AH79" s="32"/>
      <c r="AJ79" s="8"/>
      <c r="AK79" s="2"/>
      <c r="AL79" s="26"/>
      <c r="AM79" s="26"/>
      <c r="AN79" s="26"/>
      <c r="AO79" s="27"/>
      <c r="AP79" s="30"/>
      <c r="AQ79" s="26"/>
      <c r="AR79" s="26"/>
      <c r="AS79" s="32"/>
      <c r="AT79" s="34"/>
    </row>
    <row r="80" spans="2:46" x14ac:dyDescent="0.3">
      <c r="B80" s="8"/>
      <c r="C80" s="2" t="s">
        <v>732</v>
      </c>
      <c r="D80" s="26">
        <v>0</v>
      </c>
      <c r="E80" s="26">
        <v>0</v>
      </c>
      <c r="F80" s="27">
        <v>0</v>
      </c>
      <c r="G80" s="26">
        <v>0</v>
      </c>
      <c r="H80" s="26">
        <v>0</v>
      </c>
      <c r="I80" s="27">
        <v>0</v>
      </c>
      <c r="J80" s="26">
        <v>0</v>
      </c>
      <c r="K80" s="26">
        <v>0</v>
      </c>
      <c r="L80" s="67">
        <v>1</v>
      </c>
      <c r="N80" s="8"/>
      <c r="O80" s="2" t="s">
        <v>668</v>
      </c>
      <c r="P80" s="26">
        <v>0</v>
      </c>
      <c r="Q80" s="27">
        <v>0</v>
      </c>
      <c r="R80" s="30">
        <v>0</v>
      </c>
      <c r="S80" s="27">
        <v>0</v>
      </c>
      <c r="T80" s="30">
        <v>0</v>
      </c>
      <c r="U80" s="34">
        <v>1</v>
      </c>
      <c r="V80" s="34">
        <v>1</v>
      </c>
      <c r="X80" s="8"/>
      <c r="Y80" s="2"/>
      <c r="Z80" s="26"/>
      <c r="AA80" s="26"/>
      <c r="AB80" s="26"/>
      <c r="AC80" s="26"/>
      <c r="AD80" s="27"/>
      <c r="AE80" s="30"/>
      <c r="AF80" s="26"/>
      <c r="AG80" s="26"/>
      <c r="AH80" s="32"/>
      <c r="AJ80" s="8"/>
      <c r="AK80" s="2"/>
      <c r="AL80" s="26"/>
      <c r="AM80" s="26"/>
      <c r="AN80" s="26"/>
      <c r="AO80" s="27"/>
      <c r="AP80" s="30"/>
      <c r="AQ80" s="26"/>
      <c r="AR80" s="26"/>
      <c r="AS80" s="32"/>
      <c r="AT80" s="34"/>
    </row>
    <row r="81" spans="2:46" x14ac:dyDescent="0.3">
      <c r="B81" s="8"/>
      <c r="C81" s="2" t="s">
        <v>801</v>
      </c>
      <c r="D81" s="26">
        <v>0</v>
      </c>
      <c r="E81" s="26">
        <v>0</v>
      </c>
      <c r="F81" s="27">
        <v>0</v>
      </c>
      <c r="G81" s="26">
        <v>0</v>
      </c>
      <c r="H81" s="26">
        <v>0</v>
      </c>
      <c r="I81" s="27">
        <v>0</v>
      </c>
      <c r="J81" s="26">
        <v>0</v>
      </c>
      <c r="K81" s="26">
        <v>0</v>
      </c>
      <c r="L81" s="67">
        <v>1</v>
      </c>
      <c r="N81" s="8"/>
      <c r="O81" s="2" t="s">
        <v>844</v>
      </c>
      <c r="P81" s="26">
        <v>0</v>
      </c>
      <c r="Q81" s="27">
        <v>0</v>
      </c>
      <c r="R81" s="30">
        <v>0</v>
      </c>
      <c r="S81" s="27">
        <v>0</v>
      </c>
      <c r="T81" s="30">
        <v>0</v>
      </c>
      <c r="U81" s="34">
        <v>1</v>
      </c>
      <c r="V81" s="34">
        <v>1</v>
      </c>
      <c r="X81" s="8"/>
      <c r="Y81" s="2"/>
      <c r="Z81" s="26"/>
      <c r="AA81" s="26"/>
      <c r="AB81" s="26"/>
      <c r="AC81" s="26"/>
      <c r="AD81" s="27"/>
      <c r="AE81" s="30"/>
      <c r="AF81" s="26"/>
      <c r="AG81" s="26"/>
      <c r="AH81" s="32"/>
      <c r="AJ81" s="8"/>
      <c r="AK81" s="2"/>
      <c r="AL81" s="26"/>
      <c r="AM81" s="26"/>
      <c r="AN81" s="26"/>
      <c r="AO81" s="27"/>
      <c r="AP81" s="30"/>
      <c r="AQ81" s="26"/>
      <c r="AR81" s="26"/>
      <c r="AS81" s="32"/>
      <c r="AT81" s="34"/>
    </row>
    <row r="82" spans="2:46" x14ac:dyDescent="0.3">
      <c r="B82" s="8"/>
      <c r="C82" s="2" t="s">
        <v>802</v>
      </c>
      <c r="D82" s="26">
        <v>0</v>
      </c>
      <c r="E82" s="26">
        <v>0</v>
      </c>
      <c r="F82" s="27">
        <v>0</v>
      </c>
      <c r="G82" s="26">
        <v>0</v>
      </c>
      <c r="H82" s="26">
        <v>0</v>
      </c>
      <c r="I82" s="27">
        <v>0</v>
      </c>
      <c r="J82" s="26">
        <v>0</v>
      </c>
      <c r="K82" s="26">
        <v>0</v>
      </c>
      <c r="L82" s="67">
        <v>1</v>
      </c>
      <c r="N82" s="8"/>
      <c r="O82" s="2" t="s">
        <v>845</v>
      </c>
      <c r="P82" s="26">
        <v>0</v>
      </c>
      <c r="Q82" s="27">
        <v>0</v>
      </c>
      <c r="R82" s="30">
        <v>0</v>
      </c>
      <c r="S82" s="27">
        <v>0</v>
      </c>
      <c r="T82" s="30">
        <v>0</v>
      </c>
      <c r="U82" s="34">
        <v>1</v>
      </c>
      <c r="V82" s="34">
        <v>1</v>
      </c>
      <c r="X82" s="8"/>
      <c r="Y82" s="2"/>
      <c r="Z82" s="26"/>
      <c r="AA82" s="26"/>
      <c r="AB82" s="26"/>
      <c r="AC82" s="26"/>
      <c r="AD82" s="27"/>
      <c r="AE82" s="30"/>
      <c r="AF82" s="26"/>
      <c r="AG82" s="26"/>
      <c r="AH82" s="32"/>
      <c r="AJ82" s="8"/>
      <c r="AK82" s="2"/>
      <c r="AL82" s="26"/>
      <c r="AM82" s="26"/>
      <c r="AN82" s="26"/>
      <c r="AO82" s="27"/>
      <c r="AP82" s="30"/>
      <c r="AQ82" s="26"/>
      <c r="AR82" s="26"/>
      <c r="AS82" s="32"/>
      <c r="AT82" s="34"/>
    </row>
    <row r="83" spans="2:46" x14ac:dyDescent="0.3">
      <c r="B83" s="8"/>
      <c r="C83" s="2" t="s">
        <v>733</v>
      </c>
      <c r="D83" s="26">
        <v>0</v>
      </c>
      <c r="E83" s="26">
        <v>0</v>
      </c>
      <c r="F83" s="27">
        <v>0</v>
      </c>
      <c r="G83" s="26">
        <v>0</v>
      </c>
      <c r="H83" s="26">
        <v>0</v>
      </c>
      <c r="I83" s="27">
        <v>0</v>
      </c>
      <c r="J83" s="26">
        <v>0</v>
      </c>
      <c r="K83" s="26">
        <v>0</v>
      </c>
      <c r="L83" s="67">
        <v>1</v>
      </c>
      <c r="N83" s="8"/>
      <c r="O83" s="2" t="s">
        <v>669</v>
      </c>
      <c r="P83" s="26">
        <v>0</v>
      </c>
      <c r="Q83" s="27">
        <v>0</v>
      </c>
      <c r="R83" s="30">
        <v>0</v>
      </c>
      <c r="S83" s="27">
        <v>0</v>
      </c>
      <c r="T83" s="30">
        <v>0</v>
      </c>
      <c r="U83" s="34">
        <v>1</v>
      </c>
      <c r="V83" s="34">
        <v>1</v>
      </c>
      <c r="X83" s="8"/>
      <c r="Y83" s="2"/>
      <c r="Z83" s="26"/>
      <c r="AA83" s="26"/>
      <c r="AB83" s="26"/>
      <c r="AC83" s="26"/>
      <c r="AD83" s="27"/>
      <c r="AE83" s="30"/>
      <c r="AF83" s="26"/>
      <c r="AG83" s="26"/>
      <c r="AH83" s="32"/>
      <c r="AJ83" s="8"/>
      <c r="AK83" s="2"/>
      <c r="AL83" s="26"/>
      <c r="AM83" s="26"/>
      <c r="AN83" s="26"/>
      <c r="AO83" s="27"/>
      <c r="AP83" s="30"/>
      <c r="AQ83" s="26"/>
      <c r="AR83" s="26"/>
      <c r="AS83" s="32"/>
      <c r="AT83" s="34"/>
    </row>
    <row r="84" spans="2:46" x14ac:dyDescent="0.3">
      <c r="B84" s="8"/>
      <c r="C84" s="2" t="s">
        <v>803</v>
      </c>
      <c r="D84" s="26">
        <v>0</v>
      </c>
      <c r="E84" s="26">
        <v>0</v>
      </c>
      <c r="F84" s="27">
        <v>0</v>
      </c>
      <c r="G84" s="26">
        <v>0</v>
      </c>
      <c r="H84" s="26">
        <v>0</v>
      </c>
      <c r="I84" s="27">
        <v>0</v>
      </c>
      <c r="J84" s="26">
        <v>0</v>
      </c>
      <c r="K84" s="26">
        <v>0</v>
      </c>
      <c r="L84" s="67">
        <v>1</v>
      </c>
      <c r="N84" s="8"/>
      <c r="O84" s="2" t="s">
        <v>846</v>
      </c>
      <c r="P84" s="26">
        <v>0</v>
      </c>
      <c r="Q84" s="27">
        <v>0</v>
      </c>
      <c r="R84" s="30">
        <v>0</v>
      </c>
      <c r="S84" s="27">
        <v>0</v>
      </c>
      <c r="T84" s="30">
        <v>0</v>
      </c>
      <c r="U84" s="34">
        <v>1</v>
      </c>
      <c r="V84" s="34">
        <v>1</v>
      </c>
      <c r="X84" s="8"/>
      <c r="Y84" s="2"/>
      <c r="Z84" s="26"/>
      <c r="AA84" s="26"/>
      <c r="AB84" s="26"/>
      <c r="AC84" s="26"/>
      <c r="AD84" s="27"/>
      <c r="AE84" s="30"/>
      <c r="AF84" s="26"/>
      <c r="AG84" s="26"/>
      <c r="AH84" s="32"/>
      <c r="AJ84" s="8"/>
      <c r="AK84" s="2"/>
      <c r="AL84" s="26"/>
      <c r="AM84" s="26"/>
      <c r="AN84" s="26"/>
      <c r="AO84" s="27"/>
      <c r="AP84" s="30"/>
      <c r="AQ84" s="26"/>
      <c r="AR84" s="26"/>
      <c r="AS84" s="32"/>
      <c r="AT84" s="34"/>
    </row>
    <row r="85" spans="2:46" x14ac:dyDescent="0.3">
      <c r="B85" s="8"/>
      <c r="C85" s="2" t="s">
        <v>804</v>
      </c>
      <c r="D85" s="26">
        <v>0</v>
      </c>
      <c r="E85" s="26">
        <v>0</v>
      </c>
      <c r="F85" s="27">
        <v>0</v>
      </c>
      <c r="G85" s="26">
        <v>0</v>
      </c>
      <c r="H85" s="26">
        <v>0</v>
      </c>
      <c r="I85" s="27">
        <v>0</v>
      </c>
      <c r="J85" s="26">
        <v>0</v>
      </c>
      <c r="K85" s="26">
        <v>0</v>
      </c>
      <c r="L85" s="67">
        <v>1</v>
      </c>
      <c r="N85" s="8"/>
      <c r="O85" s="2" t="s">
        <v>847</v>
      </c>
      <c r="P85" s="26">
        <v>0</v>
      </c>
      <c r="Q85" s="27">
        <v>0</v>
      </c>
      <c r="R85" s="30">
        <v>0</v>
      </c>
      <c r="S85" s="27">
        <v>0</v>
      </c>
      <c r="T85" s="30">
        <v>0</v>
      </c>
      <c r="U85" s="34">
        <v>1</v>
      </c>
      <c r="V85" s="34">
        <v>1</v>
      </c>
      <c r="X85" s="8"/>
      <c r="Y85" s="2"/>
      <c r="Z85" s="26"/>
      <c r="AA85" s="26"/>
      <c r="AB85" s="26"/>
      <c r="AC85" s="26"/>
      <c r="AD85" s="27"/>
      <c r="AE85" s="30"/>
      <c r="AF85" s="26"/>
      <c r="AG85" s="26"/>
      <c r="AH85" s="32"/>
      <c r="AJ85" s="8"/>
      <c r="AK85" s="2"/>
      <c r="AL85" s="26"/>
      <c r="AM85" s="26"/>
      <c r="AN85" s="26"/>
      <c r="AO85" s="27"/>
      <c r="AP85" s="30"/>
      <c r="AQ85" s="26"/>
      <c r="AR85" s="26"/>
      <c r="AS85" s="32"/>
      <c r="AT85" s="34"/>
    </row>
    <row r="86" spans="2:46" x14ac:dyDescent="0.3">
      <c r="B86" s="8"/>
      <c r="C86" s="2" t="s">
        <v>805</v>
      </c>
      <c r="D86" s="26">
        <v>0</v>
      </c>
      <c r="E86" s="26">
        <v>0</v>
      </c>
      <c r="F86" s="27">
        <v>0</v>
      </c>
      <c r="G86" s="26">
        <v>0</v>
      </c>
      <c r="H86" s="26">
        <v>0</v>
      </c>
      <c r="I86" s="27">
        <v>0</v>
      </c>
      <c r="J86" s="26">
        <v>0</v>
      </c>
      <c r="K86" s="26">
        <v>0</v>
      </c>
      <c r="L86" s="67">
        <v>1</v>
      </c>
      <c r="N86" s="8"/>
      <c r="O86" s="2" t="s">
        <v>848</v>
      </c>
      <c r="P86" s="26">
        <v>0</v>
      </c>
      <c r="Q86" s="27">
        <v>0</v>
      </c>
      <c r="R86" s="30">
        <v>0</v>
      </c>
      <c r="S86" s="27">
        <v>0</v>
      </c>
      <c r="T86" s="30">
        <v>0</v>
      </c>
      <c r="U86" s="34">
        <v>1</v>
      </c>
      <c r="V86" s="34">
        <v>1</v>
      </c>
      <c r="X86" s="8"/>
      <c r="Y86" s="2"/>
      <c r="Z86" s="26"/>
      <c r="AA86" s="26"/>
      <c r="AB86" s="26"/>
      <c r="AC86" s="26"/>
      <c r="AD86" s="27"/>
      <c r="AE86" s="30"/>
      <c r="AF86" s="26"/>
      <c r="AG86" s="26"/>
      <c r="AH86" s="32"/>
      <c r="AJ86" s="8"/>
      <c r="AK86" s="2"/>
      <c r="AL86" s="26"/>
      <c r="AM86" s="26"/>
      <c r="AN86" s="26"/>
      <c r="AO86" s="27"/>
      <c r="AP86" s="30"/>
      <c r="AQ86" s="26"/>
      <c r="AR86" s="26"/>
      <c r="AS86" s="32"/>
      <c r="AT86" s="34"/>
    </row>
    <row r="87" spans="2:46" x14ac:dyDescent="0.3">
      <c r="B87" s="8"/>
      <c r="C87" s="2" t="s">
        <v>734</v>
      </c>
      <c r="D87" s="26">
        <v>0</v>
      </c>
      <c r="E87" s="26">
        <v>0</v>
      </c>
      <c r="F87" s="27">
        <v>0</v>
      </c>
      <c r="G87" s="26">
        <v>0</v>
      </c>
      <c r="H87" s="26">
        <v>0</v>
      </c>
      <c r="I87" s="27">
        <v>0</v>
      </c>
      <c r="J87" s="26">
        <v>0</v>
      </c>
      <c r="K87" s="26">
        <v>0</v>
      </c>
      <c r="L87" s="67">
        <v>1</v>
      </c>
      <c r="N87" s="8"/>
      <c r="O87" s="2" t="s">
        <v>670</v>
      </c>
      <c r="P87" s="26">
        <v>0</v>
      </c>
      <c r="Q87" s="27">
        <v>0</v>
      </c>
      <c r="R87" s="30">
        <v>0</v>
      </c>
      <c r="S87" s="27">
        <v>0</v>
      </c>
      <c r="T87" s="30">
        <v>0</v>
      </c>
      <c r="U87" s="34">
        <v>1</v>
      </c>
      <c r="V87" s="34">
        <v>1</v>
      </c>
      <c r="X87" s="8"/>
      <c r="Y87" s="2"/>
      <c r="Z87" s="26"/>
      <c r="AA87" s="26"/>
      <c r="AB87" s="26"/>
      <c r="AC87" s="26"/>
      <c r="AD87" s="27"/>
      <c r="AE87" s="30"/>
      <c r="AF87" s="26"/>
      <c r="AG87" s="26"/>
      <c r="AH87" s="32"/>
      <c r="AJ87" s="8"/>
      <c r="AK87" s="2"/>
      <c r="AL87" s="26"/>
      <c r="AM87" s="26"/>
      <c r="AN87" s="26"/>
      <c r="AO87" s="27"/>
      <c r="AP87" s="30"/>
      <c r="AQ87" s="26"/>
      <c r="AR87" s="26"/>
      <c r="AS87" s="32"/>
      <c r="AT87" s="34"/>
    </row>
    <row r="88" spans="2:46" x14ac:dyDescent="0.3">
      <c r="B88" s="8"/>
      <c r="C88" s="2" t="s">
        <v>735</v>
      </c>
      <c r="D88" s="26">
        <v>0</v>
      </c>
      <c r="E88" s="26">
        <v>0</v>
      </c>
      <c r="F88" s="27">
        <v>0</v>
      </c>
      <c r="G88" s="26">
        <v>0</v>
      </c>
      <c r="H88" s="26">
        <v>0</v>
      </c>
      <c r="I88" s="27">
        <v>0</v>
      </c>
      <c r="J88" s="26">
        <v>0</v>
      </c>
      <c r="K88" s="26">
        <v>0</v>
      </c>
      <c r="L88" s="67">
        <v>1</v>
      </c>
      <c r="N88" s="8"/>
      <c r="O88" s="2" t="s">
        <v>671</v>
      </c>
      <c r="P88" s="26">
        <v>0</v>
      </c>
      <c r="Q88" s="27">
        <v>0</v>
      </c>
      <c r="R88" s="30">
        <v>0</v>
      </c>
      <c r="S88" s="27">
        <v>0</v>
      </c>
      <c r="T88" s="30">
        <v>0</v>
      </c>
      <c r="U88" s="34">
        <v>1</v>
      </c>
      <c r="V88" s="34">
        <v>1</v>
      </c>
      <c r="X88" s="8"/>
      <c r="Y88" s="2"/>
      <c r="Z88" s="26"/>
      <c r="AA88" s="26"/>
      <c r="AB88" s="26"/>
      <c r="AC88" s="26"/>
      <c r="AD88" s="27"/>
      <c r="AE88" s="30"/>
      <c r="AF88" s="26"/>
      <c r="AG88" s="26"/>
      <c r="AH88" s="32"/>
      <c r="AJ88" s="8"/>
      <c r="AK88" s="2"/>
      <c r="AL88" s="26"/>
      <c r="AM88" s="26"/>
      <c r="AN88" s="26"/>
      <c r="AO88" s="27"/>
      <c r="AP88" s="30"/>
      <c r="AQ88" s="26"/>
      <c r="AR88" s="26"/>
      <c r="AS88" s="32"/>
      <c r="AT88" s="34"/>
    </row>
    <row r="89" spans="2:46" x14ac:dyDescent="0.3">
      <c r="B89" s="8"/>
      <c r="C89" s="2" t="s">
        <v>736</v>
      </c>
      <c r="D89" s="26">
        <v>0</v>
      </c>
      <c r="E89" s="26">
        <v>0</v>
      </c>
      <c r="F89" s="27">
        <v>0</v>
      </c>
      <c r="G89" s="26">
        <v>0</v>
      </c>
      <c r="H89" s="26">
        <v>0</v>
      </c>
      <c r="I89" s="27">
        <v>0</v>
      </c>
      <c r="J89" s="26">
        <v>0</v>
      </c>
      <c r="K89" s="26">
        <v>0</v>
      </c>
      <c r="L89" s="67">
        <v>1</v>
      </c>
      <c r="N89" s="8"/>
      <c r="O89" s="2" t="s">
        <v>672</v>
      </c>
      <c r="P89" s="26">
        <v>0</v>
      </c>
      <c r="Q89" s="27">
        <v>0</v>
      </c>
      <c r="R89" s="30">
        <v>0</v>
      </c>
      <c r="S89" s="27">
        <v>0</v>
      </c>
      <c r="T89" s="30">
        <v>0</v>
      </c>
      <c r="U89" s="34">
        <v>1</v>
      </c>
      <c r="V89" s="34">
        <v>1</v>
      </c>
      <c r="X89" s="8"/>
      <c r="Y89" s="2"/>
      <c r="Z89" s="26"/>
      <c r="AA89" s="26"/>
      <c r="AB89" s="26"/>
      <c r="AC89" s="26"/>
      <c r="AD89" s="27"/>
      <c r="AE89" s="30"/>
      <c r="AF89" s="26"/>
      <c r="AG89" s="26"/>
      <c r="AH89" s="32"/>
      <c r="AJ89" s="8"/>
      <c r="AK89" s="2"/>
      <c r="AL89" s="26"/>
      <c r="AM89" s="26"/>
      <c r="AN89" s="26"/>
      <c r="AO89" s="27"/>
      <c r="AP89" s="30"/>
      <c r="AQ89" s="26"/>
      <c r="AR89" s="26"/>
      <c r="AS89" s="32"/>
      <c r="AT89" s="34"/>
    </row>
    <row r="90" spans="2:46" x14ac:dyDescent="0.3">
      <c r="B90" s="8"/>
      <c r="C90" s="2" t="s">
        <v>737</v>
      </c>
      <c r="D90" s="26">
        <v>0</v>
      </c>
      <c r="E90" s="26">
        <v>0</v>
      </c>
      <c r="F90" s="27">
        <v>0</v>
      </c>
      <c r="G90" s="26">
        <v>0</v>
      </c>
      <c r="H90" s="26">
        <v>0</v>
      </c>
      <c r="I90" s="27">
        <v>0</v>
      </c>
      <c r="J90" s="26">
        <v>0</v>
      </c>
      <c r="K90" s="26">
        <v>0</v>
      </c>
      <c r="L90" s="67">
        <v>1</v>
      </c>
      <c r="N90" s="8"/>
      <c r="O90" s="2" t="s">
        <v>673</v>
      </c>
      <c r="P90" s="26">
        <v>0</v>
      </c>
      <c r="Q90" s="27">
        <v>0</v>
      </c>
      <c r="R90" s="30">
        <v>0</v>
      </c>
      <c r="S90" s="27">
        <v>0</v>
      </c>
      <c r="T90" s="30">
        <v>0</v>
      </c>
      <c r="U90" s="34">
        <v>1</v>
      </c>
      <c r="V90" s="34">
        <v>1</v>
      </c>
      <c r="X90" s="8"/>
      <c r="Y90" s="2"/>
      <c r="Z90" s="26"/>
      <c r="AA90" s="26"/>
      <c r="AB90" s="26"/>
      <c r="AC90" s="26"/>
      <c r="AD90" s="27"/>
      <c r="AE90" s="30"/>
      <c r="AF90" s="26"/>
      <c r="AG90" s="26"/>
      <c r="AH90" s="32"/>
      <c r="AJ90" s="8"/>
      <c r="AK90" s="2"/>
      <c r="AL90" s="26"/>
      <c r="AM90" s="26"/>
      <c r="AN90" s="26"/>
      <c r="AO90" s="27"/>
      <c r="AP90" s="30"/>
      <c r="AQ90" s="26"/>
      <c r="AR90" s="26"/>
      <c r="AS90" s="32"/>
      <c r="AT90" s="34"/>
    </row>
    <row r="91" spans="2:46" x14ac:dyDescent="0.3">
      <c r="B91" s="8"/>
      <c r="C91" s="2" t="s">
        <v>806</v>
      </c>
      <c r="D91" s="26">
        <v>0</v>
      </c>
      <c r="E91" s="26">
        <v>0</v>
      </c>
      <c r="F91" s="27">
        <v>0</v>
      </c>
      <c r="G91" s="26">
        <v>0</v>
      </c>
      <c r="H91" s="26">
        <v>0</v>
      </c>
      <c r="I91" s="27">
        <v>0</v>
      </c>
      <c r="J91" s="26">
        <v>0</v>
      </c>
      <c r="K91" s="26">
        <v>0</v>
      </c>
      <c r="L91" s="67">
        <v>1</v>
      </c>
      <c r="N91" s="8"/>
      <c r="O91" s="2" t="s">
        <v>849</v>
      </c>
      <c r="P91" s="26">
        <v>0</v>
      </c>
      <c r="Q91" s="27">
        <v>0</v>
      </c>
      <c r="R91" s="30">
        <v>0</v>
      </c>
      <c r="S91" s="27">
        <v>0</v>
      </c>
      <c r="T91" s="30">
        <v>0</v>
      </c>
      <c r="U91" s="34">
        <v>1</v>
      </c>
      <c r="V91" s="34">
        <v>1</v>
      </c>
      <c r="X91" s="8"/>
      <c r="Y91" s="2"/>
      <c r="Z91" s="26"/>
      <c r="AA91" s="26"/>
      <c r="AB91" s="26"/>
      <c r="AC91" s="26"/>
      <c r="AD91" s="27"/>
      <c r="AE91" s="30"/>
      <c r="AF91" s="26"/>
      <c r="AG91" s="26"/>
      <c r="AH91" s="32"/>
      <c r="AJ91" s="8"/>
      <c r="AK91" s="2"/>
      <c r="AL91" s="26"/>
      <c r="AM91" s="26"/>
      <c r="AN91" s="26"/>
      <c r="AO91" s="27"/>
      <c r="AP91" s="30"/>
      <c r="AQ91" s="26"/>
      <c r="AR91" s="26"/>
      <c r="AS91" s="32"/>
      <c r="AT91" s="34"/>
    </row>
    <row r="92" spans="2:46" x14ac:dyDescent="0.3">
      <c r="B92" s="8"/>
      <c r="C92" s="2" t="s">
        <v>807</v>
      </c>
      <c r="D92" s="26">
        <v>0</v>
      </c>
      <c r="E92" s="26">
        <v>0</v>
      </c>
      <c r="F92" s="27">
        <v>0</v>
      </c>
      <c r="G92" s="26">
        <v>0</v>
      </c>
      <c r="H92" s="26">
        <v>0</v>
      </c>
      <c r="I92" s="27">
        <v>0</v>
      </c>
      <c r="J92" s="26">
        <v>0</v>
      </c>
      <c r="K92" s="26">
        <v>0</v>
      </c>
      <c r="L92" s="67">
        <v>1</v>
      </c>
      <c r="N92" s="8"/>
      <c r="O92" s="2" t="s">
        <v>850</v>
      </c>
      <c r="P92" s="26">
        <v>0</v>
      </c>
      <c r="Q92" s="27">
        <v>0</v>
      </c>
      <c r="R92" s="30">
        <v>0</v>
      </c>
      <c r="S92" s="27">
        <v>0</v>
      </c>
      <c r="T92" s="30">
        <v>0</v>
      </c>
      <c r="U92" s="34">
        <v>1</v>
      </c>
      <c r="V92" s="34">
        <v>1</v>
      </c>
      <c r="X92" s="8"/>
      <c r="Y92" s="2"/>
      <c r="Z92" s="26"/>
      <c r="AA92" s="26"/>
      <c r="AB92" s="26"/>
      <c r="AC92" s="26"/>
      <c r="AD92" s="27"/>
      <c r="AE92" s="30"/>
      <c r="AF92" s="26"/>
      <c r="AG92" s="26"/>
      <c r="AH92" s="32"/>
      <c r="AJ92" s="8"/>
      <c r="AK92" s="2"/>
      <c r="AL92" s="26"/>
      <c r="AM92" s="26"/>
      <c r="AN92" s="26"/>
      <c r="AO92" s="27"/>
      <c r="AP92" s="30"/>
      <c r="AQ92" s="26"/>
      <c r="AR92" s="26"/>
      <c r="AS92" s="32"/>
      <c r="AT92" s="34"/>
    </row>
    <row r="93" spans="2:46" x14ac:dyDescent="0.3">
      <c r="B93" s="8"/>
      <c r="C93" s="2" t="s">
        <v>738</v>
      </c>
      <c r="D93" s="26">
        <v>0</v>
      </c>
      <c r="E93" s="26">
        <v>0</v>
      </c>
      <c r="F93" s="27">
        <v>0</v>
      </c>
      <c r="G93" s="26">
        <v>0</v>
      </c>
      <c r="H93" s="26">
        <v>0</v>
      </c>
      <c r="I93" s="27">
        <v>0</v>
      </c>
      <c r="J93" s="26">
        <v>0</v>
      </c>
      <c r="K93" s="26">
        <v>0</v>
      </c>
      <c r="L93" s="67">
        <v>1</v>
      </c>
      <c r="N93" s="8"/>
      <c r="O93" s="2" t="s">
        <v>674</v>
      </c>
      <c r="P93" s="26">
        <v>0</v>
      </c>
      <c r="Q93" s="27">
        <v>0</v>
      </c>
      <c r="R93" s="30">
        <v>0</v>
      </c>
      <c r="S93" s="27">
        <v>0</v>
      </c>
      <c r="T93" s="30">
        <v>0</v>
      </c>
      <c r="U93" s="34">
        <v>1</v>
      </c>
      <c r="V93" s="34">
        <v>1</v>
      </c>
      <c r="X93" s="8"/>
      <c r="Y93" s="2"/>
      <c r="Z93" s="26"/>
      <c r="AA93" s="26"/>
      <c r="AB93" s="26"/>
      <c r="AC93" s="26"/>
      <c r="AD93" s="27"/>
      <c r="AE93" s="30"/>
      <c r="AF93" s="26"/>
      <c r="AG93" s="26"/>
      <c r="AH93" s="32"/>
      <c r="AJ93" s="8"/>
      <c r="AK93" s="2"/>
      <c r="AL93" s="26"/>
      <c r="AM93" s="26"/>
      <c r="AN93" s="26"/>
      <c r="AO93" s="27"/>
      <c r="AP93" s="30"/>
      <c r="AQ93" s="26"/>
      <c r="AR93" s="26"/>
      <c r="AS93" s="32"/>
      <c r="AT93" s="34"/>
    </row>
    <row r="94" spans="2:46" x14ac:dyDescent="0.3">
      <c r="B94" s="8"/>
      <c r="C94" s="2" t="s">
        <v>739</v>
      </c>
      <c r="D94" s="26">
        <v>0</v>
      </c>
      <c r="E94" s="26">
        <v>0</v>
      </c>
      <c r="F94" s="27">
        <v>0</v>
      </c>
      <c r="G94" s="26">
        <v>0</v>
      </c>
      <c r="H94" s="26">
        <v>0</v>
      </c>
      <c r="I94" s="27">
        <v>0</v>
      </c>
      <c r="J94" s="26">
        <v>0</v>
      </c>
      <c r="K94" s="26">
        <v>0</v>
      </c>
      <c r="L94" s="67">
        <v>1</v>
      </c>
      <c r="N94" s="8"/>
      <c r="O94" s="2" t="s">
        <v>675</v>
      </c>
      <c r="P94" s="26">
        <v>0</v>
      </c>
      <c r="Q94" s="27">
        <v>0</v>
      </c>
      <c r="R94" s="30">
        <v>0</v>
      </c>
      <c r="S94" s="27">
        <v>0</v>
      </c>
      <c r="T94" s="30">
        <v>0</v>
      </c>
      <c r="U94" s="34">
        <v>1</v>
      </c>
      <c r="V94" s="34">
        <v>1</v>
      </c>
      <c r="X94" s="8"/>
      <c r="Y94" s="2"/>
      <c r="Z94" s="26"/>
      <c r="AA94" s="26"/>
      <c r="AB94" s="26"/>
      <c r="AC94" s="26"/>
      <c r="AD94" s="27"/>
      <c r="AE94" s="30"/>
      <c r="AF94" s="26"/>
      <c r="AG94" s="26"/>
      <c r="AH94" s="32"/>
      <c r="AJ94" s="8"/>
      <c r="AK94" s="2"/>
      <c r="AL94" s="26"/>
      <c r="AM94" s="26"/>
      <c r="AN94" s="26"/>
      <c r="AO94" s="27"/>
      <c r="AP94" s="30"/>
      <c r="AQ94" s="26"/>
      <c r="AR94" s="26"/>
      <c r="AS94" s="32"/>
      <c r="AT94" s="34"/>
    </row>
    <row r="95" spans="2:46" x14ac:dyDescent="0.3">
      <c r="B95" s="8"/>
      <c r="C95" s="2" t="s">
        <v>740</v>
      </c>
      <c r="D95" s="26">
        <v>0</v>
      </c>
      <c r="E95" s="26">
        <v>0</v>
      </c>
      <c r="F95" s="27">
        <v>0</v>
      </c>
      <c r="G95" s="26">
        <v>0</v>
      </c>
      <c r="H95" s="26">
        <v>0</v>
      </c>
      <c r="I95" s="27">
        <v>0</v>
      </c>
      <c r="J95" s="26">
        <v>0</v>
      </c>
      <c r="K95" s="26">
        <v>0</v>
      </c>
      <c r="L95" s="67">
        <v>1</v>
      </c>
      <c r="N95" s="8"/>
      <c r="O95" s="2" t="s">
        <v>676</v>
      </c>
      <c r="P95" s="26">
        <v>0</v>
      </c>
      <c r="Q95" s="27">
        <v>0</v>
      </c>
      <c r="R95" s="30">
        <v>0</v>
      </c>
      <c r="S95" s="27">
        <v>0</v>
      </c>
      <c r="T95" s="30">
        <v>0</v>
      </c>
      <c r="U95" s="34">
        <v>1</v>
      </c>
      <c r="V95" s="34">
        <v>1</v>
      </c>
      <c r="X95" s="8"/>
      <c r="Y95" s="2"/>
      <c r="Z95" s="26"/>
      <c r="AA95" s="26"/>
      <c r="AB95" s="26"/>
      <c r="AC95" s="26"/>
      <c r="AD95" s="27"/>
      <c r="AE95" s="30"/>
      <c r="AF95" s="26"/>
      <c r="AG95" s="26"/>
      <c r="AH95" s="32"/>
      <c r="AJ95" s="8"/>
      <c r="AK95" s="2"/>
      <c r="AL95" s="26"/>
      <c r="AM95" s="26"/>
      <c r="AN95" s="26"/>
      <c r="AO95" s="27"/>
      <c r="AP95" s="30"/>
      <c r="AQ95" s="26"/>
      <c r="AR95" s="26"/>
      <c r="AS95" s="32"/>
      <c r="AT95" s="34"/>
    </row>
    <row r="96" spans="2:46" x14ac:dyDescent="0.3">
      <c r="B96" s="8"/>
      <c r="C96" s="2" t="s">
        <v>741</v>
      </c>
      <c r="D96" s="26">
        <v>0</v>
      </c>
      <c r="E96" s="26">
        <v>0</v>
      </c>
      <c r="F96" s="27">
        <v>0</v>
      </c>
      <c r="G96" s="26">
        <v>0</v>
      </c>
      <c r="H96" s="26">
        <v>0</v>
      </c>
      <c r="I96" s="27">
        <v>0</v>
      </c>
      <c r="J96" s="26">
        <v>0</v>
      </c>
      <c r="K96" s="26">
        <v>0</v>
      </c>
      <c r="L96" s="67">
        <v>1</v>
      </c>
      <c r="N96" s="8"/>
      <c r="O96" s="2" t="s">
        <v>677</v>
      </c>
      <c r="P96" s="26">
        <v>0</v>
      </c>
      <c r="Q96" s="27">
        <v>0</v>
      </c>
      <c r="R96" s="30">
        <v>0</v>
      </c>
      <c r="S96" s="27">
        <v>0</v>
      </c>
      <c r="T96" s="30">
        <v>0</v>
      </c>
      <c r="U96" s="34">
        <v>1</v>
      </c>
      <c r="V96" s="34">
        <v>1</v>
      </c>
      <c r="X96" s="8"/>
      <c r="Y96" s="2"/>
      <c r="Z96" s="26"/>
      <c r="AA96" s="26"/>
      <c r="AB96" s="26"/>
      <c r="AC96" s="26"/>
      <c r="AD96" s="27"/>
      <c r="AE96" s="30"/>
      <c r="AF96" s="26"/>
      <c r="AG96" s="26"/>
      <c r="AH96" s="32"/>
      <c r="AJ96" s="8"/>
      <c r="AK96" s="2"/>
      <c r="AL96" s="26"/>
      <c r="AM96" s="26"/>
      <c r="AN96" s="26"/>
      <c r="AO96" s="27"/>
      <c r="AP96" s="30"/>
      <c r="AQ96" s="26"/>
      <c r="AR96" s="26"/>
      <c r="AS96" s="32"/>
      <c r="AT96" s="34"/>
    </row>
    <row r="97" spans="2:46" x14ac:dyDescent="0.3">
      <c r="B97" s="8"/>
      <c r="C97" s="2" t="s">
        <v>742</v>
      </c>
      <c r="D97" s="26">
        <v>0</v>
      </c>
      <c r="E97" s="26">
        <v>0</v>
      </c>
      <c r="F97" s="27">
        <v>0</v>
      </c>
      <c r="G97" s="26">
        <v>0</v>
      </c>
      <c r="H97" s="26">
        <v>0</v>
      </c>
      <c r="I97" s="27">
        <v>0</v>
      </c>
      <c r="J97" s="26">
        <v>0</v>
      </c>
      <c r="K97" s="26">
        <v>0</v>
      </c>
      <c r="L97" s="67">
        <v>1</v>
      </c>
      <c r="N97" s="8"/>
      <c r="O97" s="2" t="s">
        <v>678</v>
      </c>
      <c r="P97" s="26">
        <v>0</v>
      </c>
      <c r="Q97" s="27">
        <v>0</v>
      </c>
      <c r="R97" s="30">
        <v>0</v>
      </c>
      <c r="S97" s="27">
        <v>0</v>
      </c>
      <c r="T97" s="30">
        <v>0</v>
      </c>
      <c r="U97" s="34">
        <v>1</v>
      </c>
      <c r="V97" s="34">
        <v>1</v>
      </c>
      <c r="X97" s="8"/>
      <c r="Y97" s="2"/>
      <c r="Z97" s="26"/>
      <c r="AA97" s="26"/>
      <c r="AB97" s="26"/>
      <c r="AC97" s="26"/>
      <c r="AD97" s="27"/>
      <c r="AE97" s="30"/>
      <c r="AF97" s="26"/>
      <c r="AG97" s="26"/>
      <c r="AH97" s="32"/>
      <c r="AJ97" s="8"/>
      <c r="AK97" s="2"/>
      <c r="AL97" s="26"/>
      <c r="AM97" s="26"/>
      <c r="AN97" s="26"/>
      <c r="AO97" s="27"/>
      <c r="AP97" s="30"/>
      <c r="AQ97" s="26"/>
      <c r="AR97" s="26"/>
      <c r="AS97" s="32"/>
      <c r="AT97" s="34"/>
    </row>
    <row r="98" spans="2:46" x14ac:dyDescent="0.3">
      <c r="B98" s="8"/>
      <c r="C98" s="2" t="s">
        <v>743</v>
      </c>
      <c r="D98" s="26">
        <v>0</v>
      </c>
      <c r="E98" s="26">
        <v>0</v>
      </c>
      <c r="F98" s="27">
        <v>0</v>
      </c>
      <c r="G98" s="26">
        <v>0</v>
      </c>
      <c r="H98" s="26">
        <v>0</v>
      </c>
      <c r="I98" s="27">
        <v>0</v>
      </c>
      <c r="J98" s="26">
        <v>0</v>
      </c>
      <c r="K98" s="26">
        <v>0</v>
      </c>
      <c r="L98" s="67">
        <v>1</v>
      </c>
      <c r="N98" s="8"/>
      <c r="O98" s="2" t="s">
        <v>679</v>
      </c>
      <c r="P98" s="26">
        <v>0</v>
      </c>
      <c r="Q98" s="27">
        <v>0</v>
      </c>
      <c r="R98" s="30">
        <v>0</v>
      </c>
      <c r="S98" s="27">
        <v>0</v>
      </c>
      <c r="T98" s="30">
        <v>0</v>
      </c>
      <c r="U98" s="34">
        <v>1</v>
      </c>
      <c r="V98" s="34">
        <v>1</v>
      </c>
      <c r="X98" s="8"/>
      <c r="Y98" s="2"/>
      <c r="Z98" s="26"/>
      <c r="AA98" s="26"/>
      <c r="AB98" s="26"/>
      <c r="AC98" s="26"/>
      <c r="AD98" s="27"/>
      <c r="AE98" s="30"/>
      <c r="AF98" s="26"/>
      <c r="AG98" s="26"/>
      <c r="AH98" s="32"/>
      <c r="AJ98" s="8"/>
      <c r="AK98" s="2"/>
      <c r="AL98" s="26"/>
      <c r="AM98" s="26"/>
      <c r="AN98" s="26"/>
      <c r="AO98" s="27"/>
      <c r="AP98" s="30"/>
      <c r="AQ98" s="26"/>
      <c r="AR98" s="26"/>
      <c r="AS98" s="32"/>
      <c r="AT98" s="34"/>
    </row>
    <row r="99" spans="2:46" x14ac:dyDescent="0.3">
      <c r="B99" s="8"/>
      <c r="C99" s="2" t="s">
        <v>744</v>
      </c>
      <c r="D99" s="26">
        <v>0</v>
      </c>
      <c r="E99" s="26">
        <v>0</v>
      </c>
      <c r="F99" s="27">
        <v>0</v>
      </c>
      <c r="G99" s="26">
        <v>0</v>
      </c>
      <c r="H99" s="26">
        <v>0</v>
      </c>
      <c r="I99" s="27">
        <v>0</v>
      </c>
      <c r="J99" s="26">
        <v>0</v>
      </c>
      <c r="K99" s="26">
        <v>0</v>
      </c>
      <c r="L99" s="67">
        <v>1</v>
      </c>
      <c r="N99" s="8"/>
      <c r="O99" s="2" t="s">
        <v>680</v>
      </c>
      <c r="P99" s="26">
        <v>0</v>
      </c>
      <c r="Q99" s="27">
        <v>0</v>
      </c>
      <c r="R99" s="30">
        <v>0</v>
      </c>
      <c r="S99" s="27">
        <v>0</v>
      </c>
      <c r="T99" s="30">
        <v>0</v>
      </c>
      <c r="U99" s="34">
        <v>1</v>
      </c>
      <c r="V99" s="34">
        <v>1</v>
      </c>
      <c r="X99" s="8"/>
      <c r="Y99" s="2"/>
      <c r="Z99" s="26"/>
      <c r="AA99" s="26"/>
      <c r="AB99" s="26"/>
      <c r="AC99" s="26"/>
      <c r="AD99" s="27"/>
      <c r="AE99" s="30"/>
      <c r="AF99" s="26"/>
      <c r="AG99" s="26"/>
      <c r="AH99" s="32"/>
      <c r="AJ99" s="8"/>
      <c r="AK99" s="2"/>
      <c r="AL99" s="26"/>
      <c r="AM99" s="26"/>
      <c r="AN99" s="26"/>
      <c r="AO99" s="27"/>
      <c r="AP99" s="30"/>
      <c r="AQ99" s="26"/>
      <c r="AR99" s="26"/>
      <c r="AS99" s="32"/>
      <c r="AT99" s="34"/>
    </row>
    <row r="100" spans="2:46" x14ac:dyDescent="0.3">
      <c r="B100" s="8"/>
      <c r="C100" s="2" t="s">
        <v>808</v>
      </c>
      <c r="D100" s="26">
        <v>0</v>
      </c>
      <c r="E100" s="26">
        <v>0</v>
      </c>
      <c r="F100" s="27">
        <v>0</v>
      </c>
      <c r="G100" s="26">
        <v>0</v>
      </c>
      <c r="H100" s="26">
        <v>0</v>
      </c>
      <c r="I100" s="27">
        <v>0</v>
      </c>
      <c r="J100" s="26">
        <v>0</v>
      </c>
      <c r="K100" s="26">
        <v>0</v>
      </c>
      <c r="L100" s="67">
        <v>1</v>
      </c>
      <c r="N100" s="8"/>
      <c r="O100" s="2" t="s">
        <v>851</v>
      </c>
      <c r="P100" s="26">
        <v>0</v>
      </c>
      <c r="Q100" s="27">
        <v>0</v>
      </c>
      <c r="R100" s="30">
        <v>0</v>
      </c>
      <c r="S100" s="27">
        <v>0</v>
      </c>
      <c r="T100" s="30">
        <v>0</v>
      </c>
      <c r="U100" s="34">
        <v>1</v>
      </c>
      <c r="V100" s="34">
        <v>1</v>
      </c>
      <c r="X100" s="8"/>
      <c r="Y100" s="2"/>
      <c r="Z100" s="26"/>
      <c r="AA100" s="26"/>
      <c r="AB100" s="26"/>
      <c r="AC100" s="26"/>
      <c r="AD100" s="27"/>
      <c r="AE100" s="30"/>
      <c r="AF100" s="26"/>
      <c r="AG100" s="26"/>
      <c r="AH100" s="32"/>
      <c r="AJ100" s="8"/>
      <c r="AK100" s="2"/>
      <c r="AL100" s="26"/>
      <c r="AM100" s="26"/>
      <c r="AN100" s="26"/>
      <c r="AO100" s="27"/>
      <c r="AP100" s="30"/>
      <c r="AQ100" s="26"/>
      <c r="AR100" s="26"/>
      <c r="AS100" s="32"/>
      <c r="AT100" s="34"/>
    </row>
    <row r="101" spans="2:46" x14ac:dyDescent="0.3">
      <c r="B101" s="8"/>
      <c r="C101" s="2" t="s">
        <v>745</v>
      </c>
      <c r="D101" s="26">
        <v>0</v>
      </c>
      <c r="E101" s="26">
        <v>0</v>
      </c>
      <c r="F101" s="27">
        <v>0</v>
      </c>
      <c r="G101" s="26">
        <v>0</v>
      </c>
      <c r="H101" s="26">
        <v>0</v>
      </c>
      <c r="I101" s="27">
        <v>0</v>
      </c>
      <c r="J101" s="26">
        <v>0</v>
      </c>
      <c r="K101" s="26">
        <v>0</v>
      </c>
      <c r="L101" s="67">
        <v>1</v>
      </c>
      <c r="N101" s="8"/>
      <c r="O101" s="2" t="s">
        <v>681</v>
      </c>
      <c r="P101" s="26">
        <v>0</v>
      </c>
      <c r="Q101" s="27">
        <v>0</v>
      </c>
      <c r="R101" s="30">
        <v>0</v>
      </c>
      <c r="S101" s="27">
        <v>0</v>
      </c>
      <c r="T101" s="30">
        <v>0</v>
      </c>
      <c r="U101" s="34">
        <v>1</v>
      </c>
      <c r="V101" s="34">
        <v>1</v>
      </c>
      <c r="X101" s="8"/>
      <c r="Y101" s="2"/>
      <c r="Z101" s="26"/>
      <c r="AA101" s="26"/>
      <c r="AB101" s="26"/>
      <c r="AC101" s="26"/>
      <c r="AD101" s="27"/>
      <c r="AE101" s="30"/>
      <c r="AF101" s="26"/>
      <c r="AG101" s="26"/>
      <c r="AH101" s="32"/>
      <c r="AJ101" s="8"/>
      <c r="AK101" s="2"/>
      <c r="AL101" s="26"/>
      <c r="AM101" s="26"/>
      <c r="AN101" s="26"/>
      <c r="AO101" s="27"/>
      <c r="AP101" s="30"/>
      <c r="AQ101" s="26"/>
      <c r="AR101" s="26"/>
      <c r="AS101" s="32"/>
      <c r="AT101" s="34"/>
    </row>
    <row r="102" spans="2:46" x14ac:dyDescent="0.3">
      <c r="B102" s="8"/>
      <c r="C102" s="2" t="s">
        <v>746</v>
      </c>
      <c r="D102" s="26">
        <v>0</v>
      </c>
      <c r="E102" s="26">
        <v>0</v>
      </c>
      <c r="F102" s="27">
        <v>0</v>
      </c>
      <c r="G102" s="26">
        <v>0</v>
      </c>
      <c r="H102" s="26">
        <v>0</v>
      </c>
      <c r="I102" s="27">
        <v>0</v>
      </c>
      <c r="J102" s="26">
        <v>0</v>
      </c>
      <c r="K102" s="26">
        <v>0</v>
      </c>
      <c r="L102" s="67">
        <v>1</v>
      </c>
      <c r="N102" s="8"/>
      <c r="O102" s="2" t="s">
        <v>682</v>
      </c>
      <c r="P102" s="26">
        <v>0</v>
      </c>
      <c r="Q102" s="27">
        <v>0</v>
      </c>
      <c r="R102" s="30">
        <v>0</v>
      </c>
      <c r="S102" s="27">
        <v>0</v>
      </c>
      <c r="T102" s="30">
        <v>0</v>
      </c>
      <c r="U102" s="34">
        <v>1</v>
      </c>
      <c r="V102" s="34">
        <v>1</v>
      </c>
      <c r="X102" s="8"/>
      <c r="Y102" s="2"/>
      <c r="Z102" s="26"/>
      <c r="AA102" s="26"/>
      <c r="AB102" s="26"/>
      <c r="AC102" s="26"/>
      <c r="AD102" s="27"/>
      <c r="AE102" s="30"/>
      <c r="AF102" s="26"/>
      <c r="AG102" s="26"/>
      <c r="AH102" s="32"/>
      <c r="AJ102" s="8"/>
      <c r="AK102" s="2"/>
      <c r="AL102" s="26"/>
      <c r="AM102" s="26"/>
      <c r="AN102" s="26"/>
      <c r="AO102" s="27"/>
      <c r="AP102" s="30"/>
      <c r="AQ102" s="26"/>
      <c r="AR102" s="26"/>
      <c r="AS102" s="32"/>
      <c r="AT102" s="34"/>
    </row>
    <row r="103" spans="2:46" x14ac:dyDescent="0.3">
      <c r="B103" s="8"/>
      <c r="C103" s="2" t="s">
        <v>747</v>
      </c>
      <c r="D103" s="26">
        <v>0</v>
      </c>
      <c r="E103" s="26">
        <v>0</v>
      </c>
      <c r="F103" s="27">
        <v>0</v>
      </c>
      <c r="G103" s="26">
        <v>0</v>
      </c>
      <c r="H103" s="26">
        <v>0</v>
      </c>
      <c r="I103" s="27">
        <v>0</v>
      </c>
      <c r="J103" s="26">
        <v>0</v>
      </c>
      <c r="K103" s="26">
        <v>0</v>
      </c>
      <c r="L103" s="67">
        <v>1</v>
      </c>
      <c r="N103" s="8"/>
      <c r="O103" s="2" t="s">
        <v>683</v>
      </c>
      <c r="P103" s="26">
        <v>0</v>
      </c>
      <c r="Q103" s="27">
        <v>0</v>
      </c>
      <c r="R103" s="30">
        <v>0</v>
      </c>
      <c r="S103" s="27">
        <v>0</v>
      </c>
      <c r="T103" s="30">
        <v>0</v>
      </c>
      <c r="U103" s="34">
        <v>1</v>
      </c>
      <c r="V103" s="34">
        <v>1</v>
      </c>
      <c r="X103" s="8"/>
      <c r="Y103" s="2"/>
      <c r="Z103" s="26"/>
      <c r="AA103" s="26"/>
      <c r="AB103" s="26"/>
      <c r="AC103" s="26"/>
      <c r="AD103" s="27"/>
      <c r="AE103" s="30"/>
      <c r="AF103" s="26"/>
      <c r="AG103" s="26"/>
      <c r="AH103" s="32"/>
      <c r="AJ103" s="8"/>
      <c r="AK103" s="2"/>
      <c r="AL103" s="26"/>
      <c r="AM103" s="26"/>
      <c r="AN103" s="26"/>
      <c r="AO103" s="27"/>
      <c r="AP103" s="30"/>
      <c r="AQ103" s="26"/>
      <c r="AR103" s="26"/>
      <c r="AS103" s="32"/>
      <c r="AT103" s="34"/>
    </row>
    <row r="104" spans="2:46" x14ac:dyDescent="0.3">
      <c r="B104" s="8"/>
      <c r="C104" s="2" t="s">
        <v>748</v>
      </c>
      <c r="D104" s="26">
        <v>0</v>
      </c>
      <c r="E104" s="26">
        <v>0</v>
      </c>
      <c r="F104" s="27">
        <v>0</v>
      </c>
      <c r="G104" s="26">
        <v>0</v>
      </c>
      <c r="H104" s="26">
        <v>0</v>
      </c>
      <c r="I104" s="27">
        <v>0</v>
      </c>
      <c r="J104" s="26">
        <v>0</v>
      </c>
      <c r="K104" s="26">
        <v>0</v>
      </c>
      <c r="L104" s="67">
        <v>1</v>
      </c>
      <c r="N104" s="8"/>
      <c r="O104" s="2" t="s">
        <v>684</v>
      </c>
      <c r="P104" s="26">
        <v>0</v>
      </c>
      <c r="Q104" s="27">
        <v>0</v>
      </c>
      <c r="R104" s="30">
        <v>0</v>
      </c>
      <c r="S104" s="27">
        <v>0</v>
      </c>
      <c r="T104" s="30">
        <v>0</v>
      </c>
      <c r="U104" s="34">
        <v>1</v>
      </c>
      <c r="V104" s="34">
        <v>1</v>
      </c>
      <c r="X104" s="8"/>
      <c r="Y104" s="2"/>
      <c r="Z104" s="26"/>
      <c r="AA104" s="26"/>
      <c r="AB104" s="26"/>
      <c r="AC104" s="26"/>
      <c r="AD104" s="27"/>
      <c r="AE104" s="30"/>
      <c r="AF104" s="26"/>
      <c r="AG104" s="26"/>
      <c r="AH104" s="32"/>
      <c r="AJ104" s="8"/>
      <c r="AK104" s="2"/>
      <c r="AL104" s="26"/>
      <c r="AM104" s="26"/>
      <c r="AN104" s="26"/>
      <c r="AO104" s="27"/>
      <c r="AP104" s="30"/>
      <c r="AQ104" s="26"/>
      <c r="AR104" s="26"/>
      <c r="AS104" s="32"/>
      <c r="AT104" s="34"/>
    </row>
    <row r="105" spans="2:46" x14ac:dyDescent="0.3">
      <c r="B105" s="8"/>
      <c r="C105" s="2" t="s">
        <v>749</v>
      </c>
      <c r="D105" s="26">
        <v>0</v>
      </c>
      <c r="E105" s="26">
        <v>0</v>
      </c>
      <c r="F105" s="27">
        <v>0</v>
      </c>
      <c r="G105" s="26">
        <v>0</v>
      </c>
      <c r="H105" s="26">
        <v>0</v>
      </c>
      <c r="I105" s="27">
        <v>0</v>
      </c>
      <c r="J105" s="26">
        <v>0</v>
      </c>
      <c r="K105" s="26">
        <v>0</v>
      </c>
      <c r="L105" s="67">
        <v>1</v>
      </c>
      <c r="N105" s="8"/>
      <c r="O105" s="2" t="s">
        <v>685</v>
      </c>
      <c r="P105" s="26">
        <v>0</v>
      </c>
      <c r="Q105" s="27">
        <v>0</v>
      </c>
      <c r="R105" s="30">
        <v>0</v>
      </c>
      <c r="S105" s="27">
        <v>0</v>
      </c>
      <c r="T105" s="30">
        <v>0</v>
      </c>
      <c r="U105" s="34">
        <v>1</v>
      </c>
      <c r="V105" s="34">
        <v>1</v>
      </c>
      <c r="X105" s="8"/>
      <c r="Y105" s="2"/>
      <c r="Z105" s="26"/>
      <c r="AA105" s="26"/>
      <c r="AB105" s="26"/>
      <c r="AC105" s="26"/>
      <c r="AD105" s="27"/>
      <c r="AE105" s="30"/>
      <c r="AF105" s="26"/>
      <c r="AG105" s="26"/>
      <c r="AH105" s="32"/>
      <c r="AJ105" s="8"/>
      <c r="AK105" s="2"/>
      <c r="AL105" s="26"/>
      <c r="AM105" s="26"/>
      <c r="AN105" s="26"/>
      <c r="AO105" s="27"/>
      <c r="AP105" s="30"/>
      <c r="AQ105" s="26"/>
      <c r="AR105" s="26"/>
      <c r="AS105" s="32"/>
      <c r="AT105" s="34"/>
    </row>
    <row r="106" spans="2:46" x14ac:dyDescent="0.3">
      <c r="B106" s="8"/>
      <c r="C106" s="2" t="s">
        <v>750</v>
      </c>
      <c r="D106" s="26">
        <v>0</v>
      </c>
      <c r="E106" s="26">
        <v>0</v>
      </c>
      <c r="F106" s="27">
        <v>0</v>
      </c>
      <c r="G106" s="26">
        <v>0</v>
      </c>
      <c r="H106" s="26">
        <v>0</v>
      </c>
      <c r="I106" s="27">
        <v>0</v>
      </c>
      <c r="J106" s="26">
        <v>0</v>
      </c>
      <c r="K106" s="26">
        <v>0</v>
      </c>
      <c r="L106" s="67">
        <v>1</v>
      </c>
      <c r="N106" s="8"/>
      <c r="O106" s="2" t="s">
        <v>686</v>
      </c>
      <c r="P106" s="26">
        <v>0</v>
      </c>
      <c r="Q106" s="27">
        <v>0</v>
      </c>
      <c r="R106" s="30">
        <v>0</v>
      </c>
      <c r="S106" s="27">
        <v>0</v>
      </c>
      <c r="T106" s="30">
        <v>0</v>
      </c>
      <c r="U106" s="34">
        <v>1</v>
      </c>
      <c r="V106" s="34">
        <v>1</v>
      </c>
      <c r="X106" s="8"/>
      <c r="Y106" s="2"/>
      <c r="Z106" s="26"/>
      <c r="AA106" s="26"/>
      <c r="AB106" s="26"/>
      <c r="AC106" s="26"/>
      <c r="AD106" s="27"/>
      <c r="AE106" s="30"/>
      <c r="AF106" s="26"/>
      <c r="AG106" s="26"/>
      <c r="AH106" s="32"/>
      <c r="AJ106" s="8"/>
      <c r="AK106" s="2"/>
      <c r="AL106" s="26"/>
      <c r="AM106" s="26"/>
      <c r="AN106" s="26"/>
      <c r="AO106" s="27"/>
      <c r="AP106" s="30"/>
      <c r="AQ106" s="26"/>
      <c r="AR106" s="26"/>
      <c r="AS106" s="32"/>
      <c r="AT106" s="34"/>
    </row>
    <row r="107" spans="2:46" x14ac:dyDescent="0.3">
      <c r="B107" s="8"/>
      <c r="C107" s="2" t="s">
        <v>751</v>
      </c>
      <c r="D107" s="26">
        <v>0</v>
      </c>
      <c r="E107" s="26">
        <v>0</v>
      </c>
      <c r="F107" s="27">
        <v>0</v>
      </c>
      <c r="G107" s="26">
        <v>0</v>
      </c>
      <c r="H107" s="26">
        <v>0</v>
      </c>
      <c r="I107" s="27">
        <v>0</v>
      </c>
      <c r="J107" s="26">
        <v>0</v>
      </c>
      <c r="K107" s="26">
        <v>0</v>
      </c>
      <c r="L107" s="67">
        <v>1</v>
      </c>
      <c r="N107" s="8"/>
      <c r="O107" s="2" t="s">
        <v>687</v>
      </c>
      <c r="P107" s="26">
        <v>0</v>
      </c>
      <c r="Q107" s="27">
        <v>0</v>
      </c>
      <c r="R107" s="30">
        <v>0</v>
      </c>
      <c r="S107" s="27">
        <v>0</v>
      </c>
      <c r="T107" s="30">
        <v>0</v>
      </c>
      <c r="U107" s="34">
        <v>1</v>
      </c>
      <c r="V107" s="34">
        <v>1</v>
      </c>
      <c r="X107" s="8"/>
      <c r="Y107" s="2"/>
      <c r="Z107" s="26"/>
      <c r="AA107" s="26"/>
      <c r="AB107" s="26"/>
      <c r="AC107" s="26"/>
      <c r="AD107" s="27"/>
      <c r="AE107" s="30"/>
      <c r="AF107" s="26"/>
      <c r="AG107" s="26"/>
      <c r="AH107" s="32"/>
      <c r="AJ107" s="8"/>
      <c r="AK107" s="2"/>
      <c r="AL107" s="26"/>
      <c r="AM107" s="26"/>
      <c r="AN107" s="26"/>
      <c r="AO107" s="27"/>
      <c r="AP107" s="30"/>
      <c r="AQ107" s="26"/>
      <c r="AR107" s="26"/>
      <c r="AS107" s="32"/>
      <c r="AT107" s="34"/>
    </row>
    <row r="108" spans="2:46" x14ac:dyDescent="0.3">
      <c r="B108" s="8"/>
      <c r="C108" s="2" t="s">
        <v>752</v>
      </c>
      <c r="D108" s="26">
        <v>0</v>
      </c>
      <c r="E108" s="26">
        <v>0</v>
      </c>
      <c r="F108" s="27">
        <v>0</v>
      </c>
      <c r="G108" s="26">
        <v>0</v>
      </c>
      <c r="H108" s="26">
        <v>0</v>
      </c>
      <c r="I108" s="27">
        <v>0</v>
      </c>
      <c r="J108" s="26">
        <v>0</v>
      </c>
      <c r="K108" s="26">
        <v>0</v>
      </c>
      <c r="L108" s="67">
        <v>1</v>
      </c>
      <c r="N108" s="8"/>
      <c r="O108" s="2" t="s">
        <v>688</v>
      </c>
      <c r="P108" s="26">
        <v>0</v>
      </c>
      <c r="Q108" s="27">
        <v>0</v>
      </c>
      <c r="R108" s="30">
        <v>0</v>
      </c>
      <c r="S108" s="27">
        <v>0</v>
      </c>
      <c r="T108" s="30">
        <v>0</v>
      </c>
      <c r="U108" s="34">
        <v>1</v>
      </c>
      <c r="V108" s="34">
        <v>1</v>
      </c>
      <c r="X108" s="8"/>
      <c r="Y108" s="2"/>
      <c r="Z108" s="26"/>
      <c r="AA108" s="26"/>
      <c r="AB108" s="26"/>
      <c r="AC108" s="26"/>
      <c r="AD108" s="27"/>
      <c r="AE108" s="30"/>
      <c r="AF108" s="26"/>
      <c r="AG108" s="26"/>
      <c r="AH108" s="32"/>
      <c r="AJ108" s="8"/>
      <c r="AK108" s="2"/>
      <c r="AL108" s="26"/>
      <c r="AM108" s="26"/>
      <c r="AN108" s="26"/>
      <c r="AO108" s="27"/>
      <c r="AP108" s="30"/>
      <c r="AQ108" s="26"/>
      <c r="AR108" s="26"/>
      <c r="AS108" s="32"/>
      <c r="AT108" s="34"/>
    </row>
    <row r="109" spans="2:46" x14ac:dyDescent="0.3">
      <c r="B109" s="8"/>
      <c r="C109" s="2"/>
      <c r="D109" s="26"/>
      <c r="E109" s="26"/>
      <c r="F109" s="27"/>
      <c r="G109" s="26"/>
      <c r="H109" s="26"/>
      <c r="I109" s="27"/>
      <c r="J109" s="26"/>
      <c r="K109" s="26"/>
      <c r="L109" s="67"/>
      <c r="N109" s="8"/>
      <c r="O109" s="2"/>
      <c r="P109" s="26"/>
      <c r="Q109" s="27"/>
      <c r="R109" s="30"/>
      <c r="S109" s="27"/>
      <c r="T109" s="30"/>
      <c r="U109" s="34"/>
      <c r="V109" s="34"/>
      <c r="X109" s="8"/>
      <c r="Y109" s="2"/>
      <c r="Z109" s="26"/>
      <c r="AA109" s="26"/>
      <c r="AB109" s="26"/>
      <c r="AC109" s="26"/>
      <c r="AD109" s="27"/>
      <c r="AE109" s="30"/>
      <c r="AF109" s="26"/>
      <c r="AG109" s="26"/>
      <c r="AH109" s="32"/>
      <c r="AJ109" s="8"/>
      <c r="AK109" s="2"/>
      <c r="AL109" s="26"/>
      <c r="AM109" s="26"/>
      <c r="AN109" s="26"/>
      <c r="AO109" s="27"/>
      <c r="AP109" s="30"/>
      <c r="AQ109" s="26"/>
      <c r="AR109" s="26"/>
      <c r="AS109" s="32"/>
      <c r="AT109" s="34"/>
    </row>
    <row r="110" spans="2:46" x14ac:dyDescent="0.3">
      <c r="B110" s="8"/>
      <c r="C110" s="2"/>
      <c r="D110" s="26"/>
      <c r="E110" s="26"/>
      <c r="F110" s="27"/>
      <c r="G110" s="26"/>
      <c r="H110" s="26"/>
      <c r="I110" s="27"/>
      <c r="J110" s="26"/>
      <c r="K110" s="26"/>
      <c r="L110" s="67"/>
      <c r="N110" s="8"/>
      <c r="O110" s="2"/>
      <c r="P110" s="26"/>
      <c r="Q110" s="27"/>
      <c r="R110" s="30"/>
      <c r="S110" s="27"/>
      <c r="T110" s="30"/>
      <c r="U110" s="34"/>
      <c r="V110" s="34"/>
      <c r="X110" s="8"/>
      <c r="Y110" s="2"/>
      <c r="Z110" s="26"/>
      <c r="AA110" s="26"/>
      <c r="AB110" s="26"/>
      <c r="AC110" s="26"/>
      <c r="AD110" s="27"/>
      <c r="AE110" s="30"/>
      <c r="AF110" s="26"/>
      <c r="AG110" s="26"/>
      <c r="AH110" s="32"/>
      <c r="AJ110" s="8"/>
      <c r="AK110" s="2"/>
      <c r="AL110" s="26"/>
      <c r="AM110" s="26"/>
      <c r="AN110" s="26"/>
      <c r="AO110" s="27"/>
      <c r="AP110" s="30"/>
      <c r="AQ110" s="26"/>
      <c r="AR110" s="26"/>
      <c r="AS110" s="32"/>
      <c r="AT110" s="34"/>
    </row>
    <row r="111" spans="2:46" x14ac:dyDescent="0.3">
      <c r="B111" s="8"/>
      <c r="C111" s="2"/>
      <c r="D111" s="26"/>
      <c r="E111" s="26"/>
      <c r="F111" s="27"/>
      <c r="G111" s="26"/>
      <c r="H111" s="26"/>
      <c r="I111" s="27"/>
      <c r="J111" s="26"/>
      <c r="K111" s="26"/>
      <c r="L111" s="67"/>
      <c r="N111" s="8"/>
      <c r="O111" s="2"/>
      <c r="P111" s="26"/>
      <c r="Q111" s="27"/>
      <c r="R111" s="30"/>
      <c r="S111" s="27"/>
      <c r="T111" s="30"/>
      <c r="U111" s="34"/>
      <c r="V111" s="34"/>
      <c r="X111" s="8"/>
      <c r="Y111" s="2"/>
      <c r="Z111" s="26"/>
      <c r="AA111" s="26"/>
      <c r="AB111" s="26"/>
      <c r="AC111" s="26"/>
      <c r="AD111" s="27"/>
      <c r="AE111" s="30"/>
      <c r="AF111" s="26"/>
      <c r="AG111" s="26"/>
      <c r="AH111" s="32"/>
      <c r="AJ111" s="8"/>
      <c r="AK111" s="2"/>
      <c r="AL111" s="26"/>
      <c r="AM111" s="26"/>
      <c r="AN111" s="26"/>
      <c r="AO111" s="27"/>
      <c r="AP111" s="30"/>
      <c r="AQ111" s="26"/>
      <c r="AR111" s="26"/>
      <c r="AS111" s="32"/>
      <c r="AT111" s="34"/>
    </row>
    <row r="112" spans="2:46" x14ac:dyDescent="0.3">
      <c r="B112" s="8"/>
      <c r="C112" s="2"/>
      <c r="D112" s="26"/>
      <c r="E112" s="26"/>
      <c r="F112" s="27"/>
      <c r="G112" s="26"/>
      <c r="H112" s="26"/>
      <c r="I112" s="27"/>
      <c r="J112" s="26"/>
      <c r="K112" s="26"/>
      <c r="L112" s="67"/>
      <c r="N112" s="8"/>
      <c r="O112" s="2"/>
      <c r="P112" s="26"/>
      <c r="Q112" s="27"/>
      <c r="R112" s="30"/>
      <c r="S112" s="27"/>
      <c r="T112" s="30"/>
      <c r="U112" s="34"/>
      <c r="V112" s="34"/>
      <c r="X112" s="8"/>
      <c r="Y112" s="2"/>
      <c r="Z112" s="26"/>
      <c r="AA112" s="26"/>
      <c r="AB112" s="26"/>
      <c r="AC112" s="26"/>
      <c r="AD112" s="27"/>
      <c r="AE112" s="30"/>
      <c r="AF112" s="26"/>
      <c r="AG112" s="26"/>
      <c r="AH112" s="32"/>
      <c r="AJ112" s="8"/>
      <c r="AK112" s="2"/>
      <c r="AL112" s="26"/>
      <c r="AM112" s="26"/>
      <c r="AN112" s="26"/>
      <c r="AO112" s="27"/>
      <c r="AP112" s="30"/>
      <c r="AQ112" s="26"/>
      <c r="AR112" s="26"/>
      <c r="AS112" s="32"/>
      <c r="AT112" s="34"/>
    </row>
    <row r="113" spans="2:46" x14ac:dyDescent="0.3">
      <c r="B113" s="8"/>
      <c r="C113" s="2"/>
      <c r="D113" s="26"/>
      <c r="E113" s="26"/>
      <c r="F113" s="27"/>
      <c r="G113" s="26"/>
      <c r="H113" s="26"/>
      <c r="I113" s="27"/>
      <c r="J113" s="26"/>
      <c r="K113" s="26"/>
      <c r="L113" s="67"/>
      <c r="N113" s="8"/>
      <c r="O113" s="2"/>
      <c r="P113" s="26"/>
      <c r="Q113" s="27"/>
      <c r="R113" s="30"/>
      <c r="S113" s="27"/>
      <c r="T113" s="30"/>
      <c r="U113" s="34"/>
      <c r="V113" s="34"/>
      <c r="X113" s="8"/>
      <c r="Y113" s="2"/>
      <c r="Z113" s="26"/>
      <c r="AA113" s="26"/>
      <c r="AB113" s="26"/>
      <c r="AC113" s="26"/>
      <c r="AD113" s="27"/>
      <c r="AE113" s="30"/>
      <c r="AF113" s="26"/>
      <c r="AG113" s="26"/>
      <c r="AH113" s="32"/>
      <c r="AJ113" s="8"/>
      <c r="AK113" s="2"/>
      <c r="AL113" s="26"/>
      <c r="AM113" s="26"/>
      <c r="AN113" s="26"/>
      <c r="AO113" s="27"/>
      <c r="AP113" s="30"/>
      <c r="AQ113" s="26"/>
      <c r="AR113" s="26"/>
      <c r="AS113" s="32"/>
      <c r="AT113" s="34"/>
    </row>
    <row r="114" spans="2:46" x14ac:dyDescent="0.3">
      <c r="B114" s="8"/>
      <c r="C114" s="2"/>
      <c r="D114" s="26"/>
      <c r="E114" s="26"/>
      <c r="F114" s="27"/>
      <c r="G114" s="26"/>
      <c r="H114" s="26"/>
      <c r="I114" s="27"/>
      <c r="J114" s="26"/>
      <c r="K114" s="26"/>
      <c r="L114" s="67"/>
      <c r="N114" s="8"/>
      <c r="O114" s="2"/>
      <c r="P114" s="26"/>
      <c r="Q114" s="27"/>
      <c r="R114" s="30"/>
      <c r="S114" s="27"/>
      <c r="T114" s="30"/>
      <c r="U114" s="34"/>
      <c r="V114" s="34"/>
      <c r="X114" s="8"/>
      <c r="Y114" s="2"/>
      <c r="Z114" s="26"/>
      <c r="AA114" s="26"/>
      <c r="AB114" s="26"/>
      <c r="AC114" s="26"/>
      <c r="AD114" s="27"/>
      <c r="AE114" s="30"/>
      <c r="AF114" s="26"/>
      <c r="AG114" s="26"/>
      <c r="AH114" s="32"/>
      <c r="AJ114" s="8"/>
      <c r="AK114" s="2"/>
      <c r="AL114" s="26"/>
      <c r="AM114" s="26"/>
      <c r="AN114" s="26"/>
      <c r="AO114" s="27"/>
      <c r="AP114" s="30"/>
      <c r="AQ114" s="26"/>
      <c r="AR114" s="26"/>
      <c r="AS114" s="32"/>
      <c r="AT114" s="34"/>
    </row>
    <row r="115" spans="2:46" x14ac:dyDescent="0.3">
      <c r="B115" s="8"/>
      <c r="C115" s="2"/>
      <c r="D115" s="26"/>
      <c r="E115" s="26"/>
      <c r="F115" s="27"/>
      <c r="G115" s="26"/>
      <c r="H115" s="26"/>
      <c r="I115" s="27"/>
      <c r="J115" s="26"/>
      <c r="K115" s="26"/>
      <c r="L115" s="67"/>
      <c r="N115" s="8"/>
      <c r="O115" s="2"/>
      <c r="P115" s="26"/>
      <c r="Q115" s="27"/>
      <c r="R115" s="30"/>
      <c r="S115" s="27"/>
      <c r="T115" s="30"/>
      <c r="U115" s="34"/>
      <c r="V115" s="34"/>
      <c r="X115" s="8"/>
      <c r="Y115" s="2"/>
      <c r="Z115" s="26"/>
      <c r="AA115" s="26"/>
      <c r="AB115" s="26"/>
      <c r="AC115" s="26"/>
      <c r="AD115" s="27"/>
      <c r="AE115" s="30"/>
      <c r="AF115" s="26"/>
      <c r="AG115" s="26"/>
      <c r="AH115" s="32"/>
      <c r="AJ115" s="8"/>
      <c r="AK115" s="2"/>
      <c r="AL115" s="26"/>
      <c r="AM115" s="26"/>
      <c r="AN115" s="26"/>
      <c r="AO115" s="27"/>
      <c r="AP115" s="30"/>
      <c r="AQ115" s="26"/>
      <c r="AR115" s="26"/>
      <c r="AS115" s="32"/>
      <c r="AT115" s="34"/>
    </row>
    <row r="116" spans="2:46" x14ac:dyDescent="0.3">
      <c r="B116" s="8"/>
      <c r="C116" s="2"/>
      <c r="D116" s="26"/>
      <c r="E116" s="26"/>
      <c r="F116" s="27"/>
      <c r="G116" s="26"/>
      <c r="H116" s="26"/>
      <c r="I116" s="27"/>
      <c r="J116" s="26"/>
      <c r="K116" s="26"/>
      <c r="L116" s="67"/>
      <c r="N116" s="8"/>
      <c r="O116" s="2"/>
      <c r="P116" s="26"/>
      <c r="Q116" s="27"/>
      <c r="R116" s="30"/>
      <c r="S116" s="27"/>
      <c r="T116" s="30"/>
      <c r="U116" s="34"/>
      <c r="V116" s="34"/>
      <c r="X116" s="8"/>
      <c r="Y116" s="2"/>
      <c r="Z116" s="26"/>
      <c r="AA116" s="26"/>
      <c r="AB116" s="26"/>
      <c r="AC116" s="26"/>
      <c r="AD116" s="27"/>
      <c r="AE116" s="30"/>
      <c r="AF116" s="26"/>
      <c r="AG116" s="26"/>
      <c r="AH116" s="32"/>
      <c r="AJ116" s="8"/>
      <c r="AK116" s="2"/>
      <c r="AL116" s="26"/>
      <c r="AM116" s="26"/>
      <c r="AN116" s="26"/>
      <c r="AO116" s="27"/>
      <c r="AP116" s="30"/>
      <c r="AQ116" s="26"/>
      <c r="AR116" s="26"/>
      <c r="AS116" s="32"/>
      <c r="AT116" s="34"/>
    </row>
    <row r="117" spans="2:46" x14ac:dyDescent="0.3">
      <c r="B117" s="8"/>
      <c r="C117" s="2"/>
      <c r="D117" s="26"/>
      <c r="E117" s="26"/>
      <c r="F117" s="27"/>
      <c r="G117" s="26"/>
      <c r="H117" s="26"/>
      <c r="I117" s="27"/>
      <c r="J117" s="26"/>
      <c r="K117" s="26"/>
      <c r="L117" s="67"/>
      <c r="N117" s="8"/>
      <c r="O117" s="2"/>
      <c r="P117" s="26"/>
      <c r="Q117" s="27"/>
      <c r="R117" s="30"/>
      <c r="S117" s="27"/>
      <c r="T117" s="30"/>
      <c r="U117" s="34"/>
      <c r="V117" s="34"/>
      <c r="X117" s="8"/>
      <c r="Y117" s="2"/>
      <c r="Z117" s="26"/>
      <c r="AA117" s="26"/>
      <c r="AB117" s="26"/>
      <c r="AC117" s="26"/>
      <c r="AD117" s="27"/>
      <c r="AE117" s="30"/>
      <c r="AF117" s="26"/>
      <c r="AG117" s="26"/>
      <c r="AH117" s="32"/>
      <c r="AJ117" s="8"/>
      <c r="AK117" s="2"/>
      <c r="AL117" s="26"/>
      <c r="AM117" s="26"/>
      <c r="AN117" s="26"/>
      <c r="AO117" s="27"/>
      <c r="AP117" s="30"/>
      <c r="AQ117" s="26"/>
      <c r="AR117" s="26"/>
      <c r="AS117" s="32"/>
      <c r="AT117" s="34"/>
    </row>
    <row r="118" spans="2:46" x14ac:dyDescent="0.3">
      <c r="B118" s="8"/>
      <c r="C118" s="2"/>
      <c r="D118" s="26"/>
      <c r="E118" s="26"/>
      <c r="F118" s="27"/>
      <c r="G118" s="26"/>
      <c r="H118" s="26"/>
      <c r="I118" s="27"/>
      <c r="J118" s="26"/>
      <c r="K118" s="26"/>
      <c r="L118" s="67"/>
      <c r="N118" s="8"/>
      <c r="O118" s="2"/>
      <c r="P118" s="26"/>
      <c r="Q118" s="27"/>
      <c r="R118" s="30"/>
      <c r="S118" s="27"/>
      <c r="T118" s="30"/>
      <c r="U118" s="34"/>
      <c r="V118" s="34"/>
      <c r="X118" s="8"/>
      <c r="Y118" s="2"/>
      <c r="Z118" s="26"/>
      <c r="AA118" s="26"/>
      <c r="AB118" s="26"/>
      <c r="AC118" s="26"/>
      <c r="AD118" s="27"/>
      <c r="AE118" s="30"/>
      <c r="AF118" s="26"/>
      <c r="AG118" s="26"/>
      <c r="AH118" s="32"/>
      <c r="AJ118" s="8"/>
      <c r="AK118" s="2"/>
      <c r="AL118" s="26"/>
      <c r="AM118" s="26"/>
      <c r="AN118" s="26"/>
      <c r="AO118" s="27"/>
      <c r="AP118" s="30"/>
      <c r="AQ118" s="26"/>
      <c r="AR118" s="26"/>
      <c r="AS118" s="32"/>
      <c r="AT118" s="34"/>
    </row>
    <row r="119" spans="2:46" x14ac:dyDescent="0.3">
      <c r="B119" s="8"/>
      <c r="C119" s="2"/>
      <c r="D119" s="26"/>
      <c r="E119" s="26"/>
      <c r="F119" s="27"/>
      <c r="G119" s="26"/>
      <c r="H119" s="26"/>
      <c r="I119" s="27"/>
      <c r="J119" s="26"/>
      <c r="K119" s="26"/>
      <c r="L119" s="67"/>
      <c r="N119" s="8"/>
      <c r="O119" s="2"/>
      <c r="P119" s="26"/>
      <c r="Q119" s="27"/>
      <c r="R119" s="30"/>
      <c r="S119" s="27"/>
      <c r="T119" s="30"/>
      <c r="U119" s="34"/>
      <c r="V119" s="34"/>
      <c r="X119" s="8"/>
      <c r="Y119" s="2"/>
      <c r="Z119" s="26"/>
      <c r="AA119" s="26"/>
      <c r="AB119" s="26"/>
      <c r="AC119" s="26"/>
      <c r="AD119" s="27"/>
      <c r="AE119" s="30"/>
      <c r="AF119" s="26"/>
      <c r="AG119" s="26"/>
      <c r="AH119" s="32"/>
      <c r="AJ119" s="8"/>
      <c r="AK119" s="2"/>
      <c r="AL119" s="26"/>
      <c r="AM119" s="26"/>
      <c r="AN119" s="26"/>
      <c r="AO119" s="27"/>
      <c r="AP119" s="30"/>
      <c r="AQ119" s="26"/>
      <c r="AR119" s="26"/>
      <c r="AS119" s="32"/>
      <c r="AT119" s="34"/>
    </row>
    <row r="120" spans="2:46" x14ac:dyDescent="0.3">
      <c r="B120" s="8"/>
      <c r="C120" s="2"/>
      <c r="D120" s="26"/>
      <c r="E120" s="26"/>
      <c r="F120" s="27"/>
      <c r="G120" s="26"/>
      <c r="H120" s="26"/>
      <c r="I120" s="27"/>
      <c r="J120" s="26"/>
      <c r="K120" s="26"/>
      <c r="L120" s="67"/>
      <c r="N120" s="8"/>
      <c r="O120" s="2"/>
      <c r="P120" s="26"/>
      <c r="Q120" s="27"/>
      <c r="R120" s="30"/>
      <c r="S120" s="27"/>
      <c r="T120" s="30"/>
      <c r="U120" s="34"/>
      <c r="V120" s="34"/>
      <c r="X120" s="8"/>
      <c r="Y120" s="2"/>
      <c r="Z120" s="26"/>
      <c r="AA120" s="26"/>
      <c r="AB120" s="26"/>
      <c r="AC120" s="26"/>
      <c r="AD120" s="27"/>
      <c r="AE120" s="30"/>
      <c r="AF120" s="26"/>
      <c r="AG120" s="26"/>
      <c r="AH120" s="32"/>
      <c r="AJ120" s="8"/>
      <c r="AK120" s="2"/>
      <c r="AL120" s="26"/>
      <c r="AM120" s="26"/>
      <c r="AN120" s="26"/>
      <c r="AO120" s="27"/>
      <c r="AP120" s="30"/>
      <c r="AQ120" s="26"/>
      <c r="AR120" s="26"/>
      <c r="AS120" s="32"/>
      <c r="AT120" s="34"/>
    </row>
    <row r="121" spans="2:46" x14ac:dyDescent="0.3">
      <c r="B121" s="8"/>
      <c r="C121" s="2"/>
      <c r="D121" s="26"/>
      <c r="E121" s="26"/>
      <c r="F121" s="27"/>
      <c r="G121" s="26"/>
      <c r="H121" s="26"/>
      <c r="I121" s="27"/>
      <c r="J121" s="26"/>
      <c r="K121" s="26"/>
      <c r="L121" s="67"/>
      <c r="N121" s="8"/>
      <c r="O121" s="2"/>
      <c r="P121" s="26"/>
      <c r="Q121" s="27"/>
      <c r="R121" s="30"/>
      <c r="S121" s="27"/>
      <c r="T121" s="30"/>
      <c r="U121" s="34"/>
      <c r="V121" s="34"/>
      <c r="X121" s="8"/>
      <c r="Y121" s="2"/>
      <c r="Z121" s="26"/>
      <c r="AA121" s="26"/>
      <c r="AB121" s="26"/>
      <c r="AC121" s="26"/>
      <c r="AD121" s="27"/>
      <c r="AE121" s="30"/>
      <c r="AF121" s="26"/>
      <c r="AG121" s="26"/>
      <c r="AH121" s="32"/>
      <c r="AJ121" s="8"/>
      <c r="AK121" s="2"/>
      <c r="AL121" s="26"/>
      <c r="AM121" s="26"/>
      <c r="AN121" s="26"/>
      <c r="AO121" s="27"/>
      <c r="AP121" s="30"/>
      <c r="AQ121" s="26"/>
      <c r="AR121" s="26"/>
      <c r="AS121" s="32"/>
      <c r="AT121" s="34"/>
    </row>
    <row r="122" spans="2:46" x14ac:dyDescent="0.3">
      <c r="B122" s="8"/>
      <c r="C122" s="2"/>
      <c r="D122" s="26"/>
      <c r="E122" s="26"/>
      <c r="F122" s="27"/>
      <c r="G122" s="26"/>
      <c r="H122" s="26"/>
      <c r="I122" s="27"/>
      <c r="J122" s="26"/>
      <c r="K122" s="26"/>
      <c r="L122" s="67"/>
      <c r="N122" s="8"/>
      <c r="O122" s="2"/>
      <c r="P122" s="26"/>
      <c r="Q122" s="27"/>
      <c r="R122" s="30"/>
      <c r="S122" s="27"/>
      <c r="T122" s="30"/>
      <c r="U122" s="34"/>
      <c r="V122" s="34"/>
      <c r="X122" s="8"/>
      <c r="Y122" s="2"/>
      <c r="Z122" s="26"/>
      <c r="AA122" s="26"/>
      <c r="AB122" s="26"/>
      <c r="AC122" s="26"/>
      <c r="AD122" s="27"/>
      <c r="AE122" s="30"/>
      <c r="AF122" s="26"/>
      <c r="AG122" s="26"/>
      <c r="AH122" s="32"/>
      <c r="AJ122" s="8"/>
      <c r="AK122" s="2"/>
      <c r="AL122" s="26"/>
      <c r="AM122" s="26"/>
      <c r="AN122" s="26"/>
      <c r="AO122" s="27"/>
      <c r="AP122" s="30"/>
      <c r="AQ122" s="26"/>
      <c r="AR122" s="26"/>
      <c r="AS122" s="32"/>
      <c r="AT122" s="34"/>
    </row>
    <row r="123" spans="2:46" x14ac:dyDescent="0.3">
      <c r="B123" s="8"/>
      <c r="C123" s="2"/>
      <c r="D123" s="26"/>
      <c r="E123" s="26"/>
      <c r="F123" s="27"/>
      <c r="G123" s="26"/>
      <c r="H123" s="26"/>
      <c r="I123" s="27"/>
      <c r="J123" s="26"/>
      <c r="K123" s="26"/>
      <c r="L123" s="67"/>
      <c r="N123" s="8"/>
      <c r="O123" s="2"/>
      <c r="P123" s="26"/>
      <c r="Q123" s="27"/>
      <c r="R123" s="30"/>
      <c r="S123" s="27"/>
      <c r="T123" s="30"/>
      <c r="U123" s="34"/>
      <c r="V123" s="34"/>
      <c r="X123" s="8"/>
      <c r="Y123" s="2"/>
      <c r="Z123" s="26"/>
      <c r="AA123" s="26"/>
      <c r="AB123" s="26"/>
      <c r="AC123" s="26"/>
      <c r="AD123" s="27"/>
      <c r="AE123" s="30"/>
      <c r="AF123" s="26"/>
      <c r="AG123" s="26"/>
      <c r="AH123" s="32"/>
      <c r="AJ123" s="8"/>
      <c r="AK123" s="2"/>
      <c r="AL123" s="26"/>
      <c r="AM123" s="26"/>
      <c r="AN123" s="26"/>
      <c r="AO123" s="27"/>
      <c r="AP123" s="30"/>
      <c r="AQ123" s="26"/>
      <c r="AR123" s="26"/>
      <c r="AS123" s="32"/>
      <c r="AT123" s="34"/>
    </row>
    <row r="124" spans="2:46" x14ac:dyDescent="0.3">
      <c r="B124" s="8"/>
      <c r="C124" s="2"/>
      <c r="D124" s="26"/>
      <c r="E124" s="26"/>
      <c r="F124" s="27"/>
      <c r="G124" s="26"/>
      <c r="H124" s="26"/>
      <c r="I124" s="27"/>
      <c r="J124" s="26"/>
      <c r="K124" s="26"/>
      <c r="L124" s="67"/>
      <c r="N124" s="8"/>
      <c r="O124" s="2"/>
      <c r="P124" s="26"/>
      <c r="Q124" s="27"/>
      <c r="R124" s="30"/>
      <c r="S124" s="27"/>
      <c r="T124" s="30"/>
      <c r="U124" s="34"/>
      <c r="V124" s="34"/>
      <c r="X124" s="8"/>
      <c r="Y124" s="2"/>
      <c r="Z124" s="26"/>
      <c r="AA124" s="26"/>
      <c r="AB124" s="26"/>
      <c r="AC124" s="26"/>
      <c r="AD124" s="27"/>
      <c r="AE124" s="30"/>
      <c r="AF124" s="26"/>
      <c r="AG124" s="26"/>
      <c r="AH124" s="32"/>
      <c r="AJ124" s="8"/>
      <c r="AK124" s="2"/>
      <c r="AL124" s="26"/>
      <c r="AM124" s="26"/>
      <c r="AN124" s="26"/>
      <c r="AO124" s="27"/>
      <c r="AP124" s="30"/>
      <c r="AQ124" s="26"/>
      <c r="AR124" s="26"/>
      <c r="AS124" s="32"/>
      <c r="AT124" s="34"/>
    </row>
    <row r="125" spans="2:46" x14ac:dyDescent="0.3">
      <c r="B125" s="8"/>
      <c r="C125" s="2"/>
      <c r="D125" s="26"/>
      <c r="E125" s="26"/>
      <c r="F125" s="27"/>
      <c r="G125" s="26"/>
      <c r="H125" s="26"/>
      <c r="I125" s="27"/>
      <c r="J125" s="26"/>
      <c r="K125" s="26"/>
      <c r="L125" s="67"/>
      <c r="N125" s="8"/>
      <c r="O125" s="2"/>
      <c r="P125" s="26"/>
      <c r="Q125" s="27"/>
      <c r="R125" s="30"/>
      <c r="S125" s="27"/>
      <c r="T125" s="30"/>
      <c r="U125" s="34"/>
      <c r="V125" s="34"/>
      <c r="X125" s="8"/>
      <c r="Y125" s="2"/>
      <c r="Z125" s="26"/>
      <c r="AA125" s="26"/>
      <c r="AB125" s="26"/>
      <c r="AC125" s="26"/>
      <c r="AD125" s="27"/>
      <c r="AE125" s="30"/>
      <c r="AF125" s="26"/>
      <c r="AG125" s="26"/>
      <c r="AH125" s="32"/>
      <c r="AJ125" s="8"/>
      <c r="AK125" s="2"/>
      <c r="AL125" s="26"/>
      <c r="AM125" s="26"/>
      <c r="AN125" s="26"/>
      <c r="AO125" s="27"/>
      <c r="AP125" s="30"/>
      <c r="AQ125" s="26"/>
      <c r="AR125" s="26"/>
      <c r="AS125" s="32"/>
      <c r="AT125" s="34"/>
    </row>
    <row r="126" spans="2:46" x14ac:dyDescent="0.3">
      <c r="B126" s="8"/>
      <c r="C126" s="2"/>
      <c r="D126" s="26"/>
      <c r="E126" s="26"/>
      <c r="F126" s="27"/>
      <c r="G126" s="26"/>
      <c r="H126" s="26"/>
      <c r="I126" s="27"/>
      <c r="J126" s="26"/>
      <c r="K126" s="26"/>
      <c r="L126" s="67"/>
      <c r="N126" s="8"/>
      <c r="O126" s="2"/>
      <c r="P126" s="26"/>
      <c r="Q126" s="27"/>
      <c r="R126" s="30"/>
      <c r="S126" s="27"/>
      <c r="T126" s="30"/>
      <c r="U126" s="34"/>
      <c r="V126" s="34"/>
      <c r="X126" s="8"/>
      <c r="Y126" s="2"/>
      <c r="Z126" s="26"/>
      <c r="AA126" s="26"/>
      <c r="AB126" s="26"/>
      <c r="AC126" s="26"/>
      <c r="AD126" s="27"/>
      <c r="AE126" s="30"/>
      <c r="AF126" s="26"/>
      <c r="AG126" s="26"/>
      <c r="AH126" s="32"/>
      <c r="AJ126" s="8"/>
      <c r="AK126" s="2"/>
      <c r="AL126" s="26"/>
      <c r="AM126" s="26"/>
      <c r="AN126" s="26"/>
      <c r="AO126" s="27"/>
      <c r="AP126" s="30"/>
      <c r="AQ126" s="26"/>
      <c r="AR126" s="26"/>
      <c r="AS126" s="32"/>
      <c r="AT126" s="34"/>
    </row>
    <row r="127" spans="2:46" x14ac:dyDescent="0.3">
      <c r="B127" s="8"/>
      <c r="C127" s="2"/>
      <c r="D127" s="26"/>
      <c r="E127" s="26"/>
      <c r="F127" s="27"/>
      <c r="G127" s="26"/>
      <c r="H127" s="26"/>
      <c r="I127" s="27"/>
      <c r="J127" s="26"/>
      <c r="K127" s="26"/>
      <c r="L127" s="67"/>
      <c r="N127" s="8"/>
      <c r="O127" s="2"/>
      <c r="P127" s="26"/>
      <c r="Q127" s="27"/>
      <c r="R127" s="30"/>
      <c r="S127" s="27"/>
      <c r="T127" s="30"/>
      <c r="U127" s="34"/>
      <c r="V127" s="34"/>
      <c r="X127" s="8"/>
      <c r="Y127" s="2"/>
      <c r="Z127" s="26"/>
      <c r="AA127" s="26"/>
      <c r="AB127" s="26"/>
      <c r="AC127" s="26"/>
      <c r="AD127" s="27"/>
      <c r="AE127" s="30"/>
      <c r="AF127" s="26"/>
      <c r="AG127" s="26"/>
      <c r="AH127" s="32"/>
      <c r="AJ127" s="8"/>
      <c r="AK127" s="2"/>
      <c r="AL127" s="26"/>
      <c r="AM127" s="26"/>
      <c r="AN127" s="26"/>
      <c r="AO127" s="27"/>
      <c r="AP127" s="30"/>
      <c r="AQ127" s="26"/>
      <c r="AR127" s="26"/>
      <c r="AS127" s="32"/>
      <c r="AT127" s="34"/>
    </row>
    <row r="128" spans="2:46" x14ac:dyDescent="0.3">
      <c r="B128" s="8"/>
      <c r="C128" s="2"/>
      <c r="D128" s="26"/>
      <c r="E128" s="26"/>
      <c r="F128" s="27"/>
      <c r="G128" s="26"/>
      <c r="H128" s="26"/>
      <c r="I128" s="27"/>
      <c r="J128" s="26"/>
      <c r="K128" s="26"/>
      <c r="L128" s="67"/>
      <c r="N128" s="8"/>
      <c r="O128" s="2"/>
      <c r="P128" s="26"/>
      <c r="Q128" s="27"/>
      <c r="R128" s="30"/>
      <c r="S128" s="27"/>
      <c r="T128" s="30"/>
      <c r="U128" s="34"/>
      <c r="V128" s="34"/>
      <c r="X128" s="8"/>
      <c r="Y128" s="2"/>
      <c r="Z128" s="26"/>
      <c r="AA128" s="26"/>
      <c r="AB128" s="26"/>
      <c r="AC128" s="26"/>
      <c r="AD128" s="27"/>
      <c r="AE128" s="30"/>
      <c r="AF128" s="26"/>
      <c r="AG128" s="26"/>
      <c r="AH128" s="32"/>
      <c r="AJ128" s="8"/>
      <c r="AK128" s="2"/>
      <c r="AL128" s="26"/>
      <c r="AM128" s="26"/>
      <c r="AN128" s="26"/>
      <c r="AO128" s="27"/>
      <c r="AP128" s="30"/>
      <c r="AQ128" s="26"/>
      <c r="AR128" s="26"/>
      <c r="AS128" s="32"/>
      <c r="AT128" s="34"/>
    </row>
    <row r="129" spans="2:46" x14ac:dyDescent="0.3">
      <c r="B129" s="8"/>
      <c r="C129" s="2"/>
      <c r="D129" s="26"/>
      <c r="E129" s="26"/>
      <c r="F129" s="27"/>
      <c r="G129" s="26"/>
      <c r="H129" s="26"/>
      <c r="I129" s="27"/>
      <c r="J129" s="26"/>
      <c r="K129" s="26"/>
      <c r="L129" s="67"/>
      <c r="N129" s="8"/>
      <c r="O129" s="2"/>
      <c r="P129" s="26"/>
      <c r="Q129" s="27"/>
      <c r="R129" s="30"/>
      <c r="S129" s="27"/>
      <c r="T129" s="30"/>
      <c r="U129" s="34"/>
      <c r="V129" s="34"/>
      <c r="X129" s="8"/>
      <c r="Y129" s="2"/>
      <c r="Z129" s="26"/>
      <c r="AA129" s="26"/>
      <c r="AB129" s="26"/>
      <c r="AC129" s="26"/>
      <c r="AD129" s="27"/>
      <c r="AE129" s="30"/>
      <c r="AF129" s="26"/>
      <c r="AG129" s="26"/>
      <c r="AH129" s="32"/>
      <c r="AJ129" s="8"/>
      <c r="AK129" s="2"/>
      <c r="AL129" s="26"/>
      <c r="AM129" s="26"/>
      <c r="AN129" s="26"/>
      <c r="AO129" s="27"/>
      <c r="AP129" s="30"/>
      <c r="AQ129" s="26"/>
      <c r="AR129" s="26"/>
      <c r="AS129" s="32"/>
      <c r="AT129" s="34"/>
    </row>
    <row r="130" spans="2:46" x14ac:dyDescent="0.3">
      <c r="B130" s="8"/>
      <c r="C130" s="2"/>
      <c r="D130" s="26"/>
      <c r="E130" s="26"/>
      <c r="F130" s="27"/>
      <c r="G130" s="26"/>
      <c r="H130" s="26"/>
      <c r="I130" s="27"/>
      <c r="J130" s="26"/>
      <c r="K130" s="26"/>
      <c r="L130" s="67"/>
      <c r="N130" s="8"/>
      <c r="O130" s="2"/>
      <c r="P130" s="26"/>
      <c r="Q130" s="27"/>
      <c r="R130" s="30"/>
      <c r="S130" s="27"/>
      <c r="T130" s="30"/>
      <c r="U130" s="34"/>
      <c r="V130" s="34"/>
      <c r="X130" s="8"/>
      <c r="Y130" s="2"/>
      <c r="Z130" s="26"/>
      <c r="AA130" s="26"/>
      <c r="AB130" s="26"/>
      <c r="AC130" s="26"/>
      <c r="AD130" s="27"/>
      <c r="AE130" s="30"/>
      <c r="AF130" s="26"/>
      <c r="AG130" s="26"/>
      <c r="AH130" s="32"/>
      <c r="AJ130" s="8"/>
      <c r="AK130" s="2"/>
      <c r="AL130" s="26"/>
      <c r="AM130" s="26"/>
      <c r="AN130" s="26"/>
      <c r="AO130" s="27"/>
      <c r="AP130" s="30"/>
      <c r="AQ130" s="26"/>
      <c r="AR130" s="26"/>
      <c r="AS130" s="32"/>
      <c r="AT130" s="34"/>
    </row>
    <row r="131" spans="2:46" x14ac:dyDescent="0.3">
      <c r="B131" s="8"/>
      <c r="C131" s="2"/>
      <c r="D131" s="26"/>
      <c r="E131" s="26"/>
      <c r="F131" s="27"/>
      <c r="G131" s="26"/>
      <c r="H131" s="26"/>
      <c r="I131" s="27"/>
      <c r="J131" s="26"/>
      <c r="K131" s="26"/>
      <c r="L131" s="67"/>
      <c r="N131" s="8"/>
      <c r="O131" s="2"/>
      <c r="P131" s="26"/>
      <c r="Q131" s="27"/>
      <c r="R131" s="30"/>
      <c r="S131" s="27"/>
      <c r="T131" s="30"/>
      <c r="U131" s="34"/>
      <c r="V131" s="34"/>
      <c r="X131" s="8"/>
      <c r="Y131" s="2"/>
      <c r="Z131" s="26"/>
      <c r="AA131" s="26"/>
      <c r="AB131" s="26"/>
      <c r="AC131" s="26"/>
      <c r="AD131" s="27"/>
      <c r="AE131" s="30"/>
      <c r="AF131" s="26"/>
      <c r="AG131" s="26"/>
      <c r="AH131" s="32"/>
      <c r="AJ131" s="8"/>
      <c r="AK131" s="2"/>
      <c r="AL131" s="26"/>
      <c r="AM131" s="26"/>
      <c r="AN131" s="26"/>
      <c r="AO131" s="27"/>
      <c r="AP131" s="30"/>
      <c r="AQ131" s="26"/>
      <c r="AR131" s="26"/>
      <c r="AS131" s="32"/>
      <c r="AT131" s="34"/>
    </row>
    <row r="132" spans="2:46" x14ac:dyDescent="0.3">
      <c r="B132" s="8"/>
      <c r="C132" s="2"/>
      <c r="D132" s="26"/>
      <c r="E132" s="26"/>
      <c r="F132" s="27"/>
      <c r="G132" s="26"/>
      <c r="H132" s="26"/>
      <c r="I132" s="27"/>
      <c r="J132" s="26"/>
      <c r="K132" s="26"/>
      <c r="L132" s="67"/>
      <c r="N132" s="8"/>
      <c r="O132" s="2"/>
      <c r="P132" s="26"/>
      <c r="Q132" s="27"/>
      <c r="R132" s="30"/>
      <c r="S132" s="27"/>
      <c r="T132" s="30"/>
      <c r="U132" s="34"/>
      <c r="V132" s="34"/>
      <c r="X132" s="8"/>
      <c r="Y132" s="2"/>
      <c r="Z132" s="26"/>
      <c r="AA132" s="26"/>
      <c r="AB132" s="26"/>
      <c r="AC132" s="26"/>
      <c r="AD132" s="27"/>
      <c r="AE132" s="30"/>
      <c r="AF132" s="26"/>
      <c r="AG132" s="26"/>
      <c r="AH132" s="32"/>
      <c r="AJ132" s="8"/>
      <c r="AK132" s="2"/>
      <c r="AL132" s="26"/>
      <c r="AM132" s="26"/>
      <c r="AN132" s="26"/>
      <c r="AO132" s="27"/>
      <c r="AP132" s="30"/>
      <c r="AQ132" s="26"/>
      <c r="AR132" s="26"/>
      <c r="AS132" s="32"/>
      <c r="AT132" s="34"/>
    </row>
    <row r="133" spans="2:46" x14ac:dyDescent="0.3">
      <c r="B133" s="8"/>
      <c r="C133" s="2"/>
      <c r="D133" s="26"/>
      <c r="E133" s="26"/>
      <c r="F133" s="27"/>
      <c r="G133" s="26"/>
      <c r="H133" s="26"/>
      <c r="I133" s="27"/>
      <c r="J133" s="26"/>
      <c r="K133" s="26"/>
      <c r="L133" s="67"/>
      <c r="N133" s="8"/>
      <c r="O133" s="2"/>
      <c r="P133" s="26"/>
      <c r="Q133" s="27"/>
      <c r="R133" s="30"/>
      <c r="S133" s="27"/>
      <c r="T133" s="30"/>
      <c r="U133" s="34"/>
      <c r="V133" s="34"/>
      <c r="X133" s="8"/>
      <c r="Y133" s="2"/>
      <c r="Z133" s="26"/>
      <c r="AA133" s="26"/>
      <c r="AB133" s="26"/>
      <c r="AC133" s="26"/>
      <c r="AD133" s="27"/>
      <c r="AE133" s="30"/>
      <c r="AF133" s="26"/>
      <c r="AG133" s="26"/>
      <c r="AH133" s="32"/>
      <c r="AJ133" s="8"/>
      <c r="AK133" s="2"/>
      <c r="AL133" s="26"/>
      <c r="AM133" s="26"/>
      <c r="AN133" s="26"/>
      <c r="AO133" s="27"/>
      <c r="AP133" s="30"/>
      <c r="AQ133" s="26"/>
      <c r="AR133" s="26"/>
      <c r="AS133" s="32"/>
      <c r="AT133" s="34"/>
    </row>
    <row r="134" spans="2:46" x14ac:dyDescent="0.3">
      <c r="B134" s="8"/>
      <c r="C134" s="2"/>
      <c r="D134" s="26"/>
      <c r="E134" s="26"/>
      <c r="F134" s="27"/>
      <c r="G134" s="26"/>
      <c r="H134" s="26"/>
      <c r="I134" s="27"/>
      <c r="J134" s="26"/>
      <c r="K134" s="26"/>
      <c r="L134" s="67"/>
      <c r="N134" s="8"/>
      <c r="O134" s="2"/>
      <c r="P134" s="26"/>
      <c r="Q134" s="27"/>
      <c r="R134" s="30"/>
      <c r="S134" s="27"/>
      <c r="T134" s="30"/>
      <c r="U134" s="34"/>
      <c r="V134" s="34"/>
      <c r="X134" s="8"/>
      <c r="Y134" s="2"/>
      <c r="Z134" s="26"/>
      <c r="AA134" s="26"/>
      <c r="AB134" s="26"/>
      <c r="AC134" s="26"/>
      <c r="AD134" s="27"/>
      <c r="AE134" s="30"/>
      <c r="AF134" s="26"/>
      <c r="AG134" s="26"/>
      <c r="AH134" s="32"/>
      <c r="AJ134" s="8"/>
      <c r="AK134" s="2"/>
      <c r="AL134" s="26"/>
      <c r="AM134" s="26"/>
      <c r="AN134" s="26"/>
      <c r="AO134" s="27"/>
      <c r="AP134" s="30"/>
      <c r="AQ134" s="26"/>
      <c r="AR134" s="26"/>
      <c r="AS134" s="32"/>
      <c r="AT134" s="34"/>
    </row>
    <row r="135" spans="2:46" x14ac:dyDescent="0.3">
      <c r="B135" s="8"/>
      <c r="C135" s="2"/>
      <c r="D135" s="26"/>
      <c r="E135" s="26"/>
      <c r="F135" s="27"/>
      <c r="G135" s="26"/>
      <c r="H135" s="26"/>
      <c r="I135" s="27"/>
      <c r="J135" s="26"/>
      <c r="K135" s="26"/>
      <c r="L135" s="67"/>
      <c r="N135" s="8"/>
      <c r="O135" s="2"/>
      <c r="P135" s="26"/>
      <c r="Q135" s="27"/>
      <c r="R135" s="30"/>
      <c r="S135" s="27"/>
      <c r="T135" s="30"/>
      <c r="U135" s="34"/>
      <c r="V135" s="34"/>
      <c r="X135" s="8"/>
      <c r="Y135" s="2"/>
      <c r="Z135" s="26"/>
      <c r="AA135" s="26"/>
      <c r="AB135" s="26"/>
      <c r="AC135" s="26"/>
      <c r="AD135" s="27"/>
      <c r="AE135" s="30"/>
      <c r="AF135" s="26"/>
      <c r="AG135" s="26"/>
      <c r="AH135" s="32"/>
      <c r="AJ135" s="8"/>
      <c r="AK135" s="2"/>
      <c r="AL135" s="26"/>
      <c r="AM135" s="26"/>
      <c r="AN135" s="26"/>
      <c r="AO135" s="27"/>
      <c r="AP135" s="30"/>
      <c r="AQ135" s="26"/>
      <c r="AR135" s="26"/>
      <c r="AS135" s="32"/>
      <c r="AT135" s="34"/>
    </row>
    <row r="136" spans="2:46" x14ac:dyDescent="0.3">
      <c r="B136" s="8"/>
      <c r="C136" s="2"/>
      <c r="D136" s="26"/>
      <c r="E136" s="26"/>
      <c r="F136" s="27"/>
      <c r="G136" s="26"/>
      <c r="H136" s="26"/>
      <c r="I136" s="27"/>
      <c r="J136" s="26"/>
      <c r="K136" s="26"/>
      <c r="L136" s="67"/>
      <c r="N136" s="8"/>
      <c r="O136" s="2"/>
      <c r="P136" s="26"/>
      <c r="Q136" s="27"/>
      <c r="R136" s="30"/>
      <c r="S136" s="27"/>
      <c r="T136" s="30"/>
      <c r="U136" s="34"/>
      <c r="V136" s="34"/>
      <c r="X136" s="8"/>
      <c r="Y136" s="2"/>
      <c r="Z136" s="26"/>
      <c r="AA136" s="26"/>
      <c r="AB136" s="26"/>
      <c r="AC136" s="26"/>
      <c r="AD136" s="27"/>
      <c r="AE136" s="30"/>
      <c r="AF136" s="26"/>
      <c r="AG136" s="26"/>
      <c r="AH136" s="32"/>
      <c r="AJ136" s="8"/>
      <c r="AK136" s="2"/>
      <c r="AL136" s="26"/>
      <c r="AM136" s="26"/>
      <c r="AN136" s="26"/>
      <c r="AO136" s="27"/>
      <c r="AP136" s="30"/>
      <c r="AQ136" s="26"/>
      <c r="AR136" s="26"/>
      <c r="AS136" s="32"/>
      <c r="AT136" s="34"/>
    </row>
    <row r="137" spans="2:46" x14ac:dyDescent="0.3">
      <c r="B137" s="8"/>
      <c r="C137" s="2"/>
      <c r="D137" s="26"/>
      <c r="E137" s="26"/>
      <c r="F137" s="27"/>
      <c r="G137" s="26"/>
      <c r="H137" s="26"/>
      <c r="I137" s="27"/>
      <c r="J137" s="26"/>
      <c r="K137" s="26"/>
      <c r="L137" s="67"/>
      <c r="N137" s="8"/>
      <c r="O137" s="2"/>
      <c r="P137" s="26"/>
      <c r="Q137" s="27"/>
      <c r="R137" s="30"/>
      <c r="S137" s="27"/>
      <c r="T137" s="30"/>
      <c r="U137" s="34"/>
      <c r="V137" s="34"/>
      <c r="X137" s="8"/>
      <c r="Y137" s="2"/>
      <c r="Z137" s="26"/>
      <c r="AA137" s="26"/>
      <c r="AB137" s="26"/>
      <c r="AC137" s="26"/>
      <c r="AD137" s="27"/>
      <c r="AE137" s="30"/>
      <c r="AF137" s="26"/>
      <c r="AG137" s="26"/>
      <c r="AH137" s="32"/>
      <c r="AJ137" s="8"/>
      <c r="AK137" s="2"/>
      <c r="AL137" s="26"/>
      <c r="AM137" s="26"/>
      <c r="AN137" s="26"/>
      <c r="AO137" s="27"/>
      <c r="AP137" s="30"/>
      <c r="AQ137" s="26"/>
      <c r="AR137" s="26"/>
      <c r="AS137" s="32"/>
      <c r="AT137" s="34"/>
    </row>
    <row r="138" spans="2:46" x14ac:dyDescent="0.3">
      <c r="B138" s="8"/>
      <c r="C138" s="2"/>
      <c r="D138" s="26"/>
      <c r="E138" s="26"/>
      <c r="F138" s="27"/>
      <c r="G138" s="26"/>
      <c r="H138" s="26"/>
      <c r="I138" s="27"/>
      <c r="J138" s="26"/>
      <c r="K138" s="26"/>
      <c r="L138" s="67"/>
      <c r="N138" s="8"/>
      <c r="O138" s="2"/>
      <c r="P138" s="26"/>
      <c r="Q138" s="27"/>
      <c r="R138" s="30"/>
      <c r="S138" s="27"/>
      <c r="T138" s="30"/>
      <c r="U138" s="34"/>
      <c r="V138" s="34"/>
      <c r="X138" s="8"/>
      <c r="Y138" s="2"/>
      <c r="Z138" s="26"/>
      <c r="AA138" s="26"/>
      <c r="AB138" s="26"/>
      <c r="AC138" s="26"/>
      <c r="AD138" s="27"/>
      <c r="AE138" s="30"/>
      <c r="AF138" s="26"/>
      <c r="AG138" s="26"/>
      <c r="AH138" s="32"/>
      <c r="AJ138" s="8"/>
      <c r="AK138" s="2"/>
      <c r="AL138" s="26"/>
      <c r="AM138" s="26"/>
      <c r="AN138" s="26"/>
      <c r="AO138" s="27"/>
      <c r="AP138" s="30"/>
      <c r="AQ138" s="26"/>
      <c r="AR138" s="26"/>
      <c r="AS138" s="32"/>
      <c r="AT138" s="34"/>
    </row>
    <row r="139" spans="2:46" x14ac:dyDescent="0.3">
      <c r="B139" s="8"/>
      <c r="C139" s="2"/>
      <c r="D139" s="26"/>
      <c r="E139" s="26"/>
      <c r="F139" s="27"/>
      <c r="G139" s="26"/>
      <c r="H139" s="26"/>
      <c r="I139" s="27"/>
      <c r="J139" s="26"/>
      <c r="K139" s="26"/>
      <c r="L139" s="67"/>
      <c r="N139" s="8"/>
      <c r="O139" s="2"/>
      <c r="P139" s="26"/>
      <c r="Q139" s="27"/>
      <c r="R139" s="30"/>
      <c r="S139" s="27"/>
      <c r="T139" s="30"/>
      <c r="U139" s="34"/>
      <c r="V139" s="34"/>
      <c r="X139" s="8"/>
      <c r="Y139" s="2"/>
      <c r="Z139" s="26"/>
      <c r="AA139" s="26"/>
      <c r="AB139" s="26"/>
      <c r="AC139" s="26"/>
      <c r="AD139" s="27"/>
      <c r="AE139" s="30"/>
      <c r="AF139" s="26"/>
      <c r="AG139" s="26"/>
      <c r="AH139" s="32"/>
      <c r="AJ139" s="8"/>
      <c r="AK139" s="2"/>
      <c r="AL139" s="26"/>
      <c r="AM139" s="26"/>
      <c r="AN139" s="26"/>
      <c r="AO139" s="27"/>
      <c r="AP139" s="30"/>
      <c r="AQ139" s="26"/>
      <c r="AR139" s="26"/>
      <c r="AS139" s="32"/>
      <c r="AT139" s="34"/>
    </row>
    <row r="140" spans="2:46" x14ac:dyDescent="0.3">
      <c r="B140" s="8"/>
      <c r="C140" s="2"/>
      <c r="D140" s="26"/>
      <c r="E140" s="26"/>
      <c r="F140" s="27"/>
      <c r="G140" s="26"/>
      <c r="H140" s="26"/>
      <c r="I140" s="27"/>
      <c r="J140" s="26"/>
      <c r="K140" s="26"/>
      <c r="L140" s="67"/>
      <c r="N140" s="8"/>
      <c r="O140" s="2"/>
      <c r="P140" s="26"/>
      <c r="Q140" s="27"/>
      <c r="R140" s="30"/>
      <c r="S140" s="27"/>
      <c r="T140" s="30"/>
      <c r="U140" s="34"/>
      <c r="V140" s="34"/>
      <c r="X140" s="8"/>
      <c r="Y140" s="2"/>
      <c r="Z140" s="26"/>
      <c r="AA140" s="26"/>
      <c r="AB140" s="26"/>
      <c r="AC140" s="26"/>
      <c r="AD140" s="27"/>
      <c r="AE140" s="30"/>
      <c r="AF140" s="26"/>
      <c r="AG140" s="26"/>
      <c r="AH140" s="32"/>
      <c r="AJ140" s="8"/>
      <c r="AK140" s="2"/>
      <c r="AL140" s="26"/>
      <c r="AM140" s="26"/>
      <c r="AN140" s="26"/>
      <c r="AO140" s="27"/>
      <c r="AP140" s="30"/>
      <c r="AQ140" s="26"/>
      <c r="AR140" s="26"/>
      <c r="AS140" s="32"/>
      <c r="AT140" s="34"/>
    </row>
    <row r="141" spans="2:46" x14ac:dyDescent="0.3">
      <c r="B141" s="8"/>
      <c r="C141" s="2"/>
      <c r="D141" s="26"/>
      <c r="E141" s="26"/>
      <c r="F141" s="27"/>
      <c r="G141" s="26"/>
      <c r="H141" s="26"/>
      <c r="I141" s="27"/>
      <c r="J141" s="26"/>
      <c r="K141" s="26"/>
      <c r="L141" s="67"/>
      <c r="N141" s="8"/>
      <c r="O141" s="2"/>
      <c r="P141" s="26"/>
      <c r="Q141" s="27"/>
      <c r="R141" s="30"/>
      <c r="S141" s="27"/>
      <c r="T141" s="30"/>
      <c r="U141" s="34"/>
      <c r="V141" s="34"/>
      <c r="X141" s="8"/>
      <c r="Y141" s="2"/>
      <c r="Z141" s="26"/>
      <c r="AA141" s="26"/>
      <c r="AB141" s="26"/>
      <c r="AC141" s="26"/>
      <c r="AD141" s="27"/>
      <c r="AE141" s="30"/>
      <c r="AF141" s="26"/>
      <c r="AG141" s="26"/>
      <c r="AH141" s="32"/>
      <c r="AJ141" s="8"/>
      <c r="AK141" s="2"/>
      <c r="AL141" s="26"/>
      <c r="AM141" s="26"/>
      <c r="AN141" s="26"/>
      <c r="AO141" s="27"/>
      <c r="AP141" s="30"/>
      <c r="AQ141" s="26"/>
      <c r="AR141" s="26"/>
      <c r="AS141" s="32"/>
      <c r="AT141" s="34"/>
    </row>
    <row r="142" spans="2:46" x14ac:dyDescent="0.3">
      <c r="B142" s="8"/>
      <c r="C142" s="2"/>
      <c r="D142" s="26"/>
      <c r="E142" s="26"/>
      <c r="F142" s="27"/>
      <c r="G142" s="26"/>
      <c r="H142" s="26"/>
      <c r="I142" s="27"/>
      <c r="J142" s="26"/>
      <c r="K142" s="26"/>
      <c r="L142" s="67"/>
      <c r="N142" s="8"/>
      <c r="O142" s="2"/>
      <c r="P142" s="26"/>
      <c r="Q142" s="27"/>
      <c r="R142" s="30"/>
      <c r="S142" s="27"/>
      <c r="T142" s="30"/>
      <c r="U142" s="34"/>
      <c r="V142" s="34"/>
      <c r="X142" s="8"/>
      <c r="Y142" s="2"/>
      <c r="Z142" s="26"/>
      <c r="AA142" s="26"/>
      <c r="AB142" s="26"/>
      <c r="AC142" s="26"/>
      <c r="AD142" s="27"/>
      <c r="AE142" s="30"/>
      <c r="AF142" s="26"/>
      <c r="AG142" s="26"/>
      <c r="AH142" s="32"/>
      <c r="AJ142" s="8"/>
      <c r="AK142" s="2"/>
      <c r="AL142" s="26"/>
      <c r="AM142" s="26"/>
      <c r="AN142" s="26"/>
      <c r="AO142" s="27"/>
      <c r="AP142" s="30"/>
      <c r="AQ142" s="26"/>
      <c r="AR142" s="26"/>
      <c r="AS142" s="32"/>
      <c r="AT142" s="34"/>
    </row>
    <row r="143" spans="2:46" x14ac:dyDescent="0.3">
      <c r="B143" s="8"/>
      <c r="C143" s="2"/>
      <c r="D143" s="26"/>
      <c r="E143" s="26"/>
      <c r="F143" s="27"/>
      <c r="G143" s="26"/>
      <c r="H143" s="26"/>
      <c r="I143" s="27"/>
      <c r="J143" s="26"/>
      <c r="K143" s="26"/>
      <c r="L143" s="67"/>
      <c r="N143" s="8"/>
      <c r="O143" s="2"/>
      <c r="P143" s="26"/>
      <c r="Q143" s="27"/>
      <c r="R143" s="30"/>
      <c r="S143" s="27"/>
      <c r="T143" s="30"/>
      <c r="U143" s="34"/>
      <c r="V143" s="34"/>
      <c r="X143" s="8"/>
      <c r="Y143" s="2"/>
      <c r="Z143" s="26"/>
      <c r="AA143" s="26"/>
      <c r="AB143" s="26"/>
      <c r="AC143" s="26"/>
      <c r="AD143" s="27"/>
      <c r="AE143" s="30"/>
      <c r="AF143" s="26"/>
      <c r="AG143" s="26"/>
      <c r="AH143" s="32"/>
      <c r="AJ143" s="8"/>
      <c r="AK143" s="2"/>
      <c r="AL143" s="26"/>
      <c r="AM143" s="26"/>
      <c r="AN143" s="26"/>
      <c r="AO143" s="27"/>
      <c r="AP143" s="30"/>
      <c r="AQ143" s="26"/>
      <c r="AR143" s="26"/>
      <c r="AS143" s="32"/>
      <c r="AT143" s="34"/>
    </row>
    <row r="144" spans="2:46" x14ac:dyDescent="0.3">
      <c r="B144" s="8"/>
      <c r="C144" s="2"/>
      <c r="D144" s="26"/>
      <c r="E144" s="26"/>
      <c r="F144" s="27"/>
      <c r="G144" s="26"/>
      <c r="H144" s="26"/>
      <c r="I144" s="27"/>
      <c r="J144" s="26"/>
      <c r="K144" s="26"/>
      <c r="L144" s="67"/>
      <c r="N144" s="8"/>
      <c r="O144" s="2"/>
      <c r="P144" s="26"/>
      <c r="Q144" s="27"/>
      <c r="R144" s="30"/>
      <c r="S144" s="27"/>
      <c r="T144" s="30"/>
      <c r="U144" s="34"/>
      <c r="V144" s="34"/>
      <c r="X144" s="8"/>
      <c r="Y144" s="2"/>
      <c r="Z144" s="26"/>
      <c r="AA144" s="26"/>
      <c r="AB144" s="26"/>
      <c r="AC144" s="26"/>
      <c r="AD144" s="27"/>
      <c r="AE144" s="30"/>
      <c r="AF144" s="26"/>
      <c r="AG144" s="26"/>
      <c r="AH144" s="32"/>
      <c r="AJ144" s="8"/>
      <c r="AK144" s="2"/>
      <c r="AL144" s="26"/>
      <c r="AM144" s="26"/>
      <c r="AN144" s="26"/>
      <c r="AO144" s="27"/>
      <c r="AP144" s="30"/>
      <c r="AQ144" s="26"/>
      <c r="AR144" s="26"/>
      <c r="AS144" s="32"/>
      <c r="AT144" s="34"/>
    </row>
    <row r="145" spans="2:46" x14ac:dyDescent="0.3">
      <c r="B145" s="8"/>
      <c r="C145" s="2"/>
      <c r="D145" s="26"/>
      <c r="E145" s="26"/>
      <c r="F145" s="27"/>
      <c r="G145" s="26"/>
      <c r="H145" s="26"/>
      <c r="I145" s="27"/>
      <c r="J145" s="26"/>
      <c r="K145" s="26"/>
      <c r="L145" s="67"/>
      <c r="N145" s="8"/>
      <c r="O145" s="2"/>
      <c r="P145" s="26"/>
      <c r="Q145" s="27"/>
      <c r="R145" s="30"/>
      <c r="S145" s="27"/>
      <c r="T145" s="30"/>
      <c r="U145" s="34"/>
      <c r="V145" s="34"/>
      <c r="X145" s="8"/>
      <c r="Y145" s="2"/>
      <c r="Z145" s="26"/>
      <c r="AA145" s="26"/>
      <c r="AB145" s="26"/>
      <c r="AC145" s="26"/>
      <c r="AD145" s="27"/>
      <c r="AE145" s="30"/>
      <c r="AF145" s="26"/>
      <c r="AG145" s="26"/>
      <c r="AH145" s="32"/>
      <c r="AJ145" s="8"/>
      <c r="AK145" s="2"/>
      <c r="AL145" s="26"/>
      <c r="AM145" s="26"/>
      <c r="AN145" s="26"/>
      <c r="AO145" s="27"/>
      <c r="AP145" s="30"/>
      <c r="AQ145" s="26"/>
      <c r="AR145" s="26"/>
      <c r="AS145" s="32"/>
      <c r="AT145" s="34"/>
    </row>
    <row r="146" spans="2:46" x14ac:dyDescent="0.3">
      <c r="B146" s="8"/>
      <c r="C146" s="2"/>
      <c r="D146" s="26"/>
      <c r="E146" s="26"/>
      <c r="F146" s="27"/>
      <c r="G146" s="26"/>
      <c r="H146" s="26"/>
      <c r="I146" s="27"/>
      <c r="J146" s="26"/>
      <c r="K146" s="26"/>
      <c r="L146" s="67"/>
      <c r="N146" s="8"/>
      <c r="O146" s="2"/>
      <c r="P146" s="26"/>
      <c r="Q146" s="27"/>
      <c r="R146" s="30"/>
      <c r="S146" s="27"/>
      <c r="T146" s="30"/>
      <c r="U146" s="34"/>
      <c r="V146" s="34"/>
      <c r="X146" s="8"/>
      <c r="Y146" s="2"/>
      <c r="Z146" s="26"/>
      <c r="AA146" s="26"/>
      <c r="AB146" s="26"/>
      <c r="AC146" s="26"/>
      <c r="AD146" s="27"/>
      <c r="AE146" s="30"/>
      <c r="AF146" s="26"/>
      <c r="AG146" s="26"/>
      <c r="AH146" s="32"/>
      <c r="AJ146" s="8"/>
      <c r="AK146" s="2"/>
      <c r="AL146" s="26"/>
      <c r="AM146" s="26"/>
      <c r="AN146" s="26"/>
      <c r="AO146" s="27"/>
      <c r="AP146" s="30"/>
      <c r="AQ146" s="26"/>
      <c r="AR146" s="26"/>
      <c r="AS146" s="32"/>
      <c r="AT146" s="34"/>
    </row>
    <row r="147" spans="2:46" x14ac:dyDescent="0.3">
      <c r="B147" s="8"/>
      <c r="C147" s="2"/>
      <c r="D147" s="26"/>
      <c r="E147" s="26"/>
      <c r="F147" s="27"/>
      <c r="G147" s="26"/>
      <c r="H147" s="26"/>
      <c r="I147" s="27"/>
      <c r="J147" s="26"/>
      <c r="K147" s="26"/>
      <c r="L147" s="67"/>
      <c r="N147" s="8"/>
      <c r="O147" s="2"/>
      <c r="P147" s="26"/>
      <c r="Q147" s="27"/>
      <c r="R147" s="30"/>
      <c r="S147" s="27"/>
      <c r="T147" s="30"/>
      <c r="U147" s="34"/>
      <c r="V147" s="34"/>
      <c r="X147" s="8"/>
      <c r="Y147" s="2"/>
      <c r="Z147" s="26"/>
      <c r="AA147" s="26"/>
      <c r="AB147" s="26"/>
      <c r="AC147" s="26"/>
      <c r="AD147" s="27"/>
      <c r="AE147" s="30"/>
      <c r="AF147" s="26"/>
      <c r="AG147" s="26"/>
      <c r="AH147" s="32"/>
      <c r="AJ147" s="8"/>
      <c r="AK147" s="2"/>
      <c r="AL147" s="26"/>
      <c r="AM147" s="26"/>
      <c r="AN147" s="26"/>
      <c r="AO147" s="27"/>
      <c r="AP147" s="30"/>
      <c r="AQ147" s="26"/>
      <c r="AR147" s="26"/>
      <c r="AS147" s="32"/>
      <c r="AT147" s="34"/>
    </row>
    <row r="148" spans="2:46" x14ac:dyDescent="0.3">
      <c r="B148" s="8"/>
      <c r="C148" s="2"/>
      <c r="D148" s="26"/>
      <c r="E148" s="26"/>
      <c r="F148" s="27"/>
      <c r="G148" s="26"/>
      <c r="H148" s="26"/>
      <c r="I148" s="27"/>
      <c r="J148" s="26"/>
      <c r="K148" s="26"/>
      <c r="L148" s="67"/>
      <c r="N148" s="8"/>
      <c r="O148" s="2"/>
      <c r="P148" s="26"/>
      <c r="Q148" s="27"/>
      <c r="R148" s="30"/>
      <c r="S148" s="27"/>
      <c r="T148" s="30"/>
      <c r="U148" s="34"/>
      <c r="V148" s="34"/>
      <c r="X148" s="8"/>
      <c r="Y148" s="2"/>
      <c r="Z148" s="26"/>
      <c r="AA148" s="26"/>
      <c r="AB148" s="26"/>
      <c r="AC148" s="26"/>
      <c r="AD148" s="27"/>
      <c r="AE148" s="30"/>
      <c r="AF148" s="26"/>
      <c r="AG148" s="26"/>
      <c r="AH148" s="32"/>
      <c r="AJ148" s="8"/>
      <c r="AK148" s="2"/>
      <c r="AL148" s="26"/>
      <c r="AM148" s="26"/>
      <c r="AN148" s="26"/>
      <c r="AO148" s="27"/>
      <c r="AP148" s="30"/>
      <c r="AQ148" s="26"/>
      <c r="AR148" s="26"/>
      <c r="AS148" s="32"/>
      <c r="AT148" s="34"/>
    </row>
    <row r="149" spans="2:46" x14ac:dyDescent="0.3">
      <c r="B149" s="8"/>
      <c r="C149" s="2"/>
      <c r="D149" s="26"/>
      <c r="E149" s="26"/>
      <c r="F149" s="27"/>
      <c r="G149" s="26"/>
      <c r="H149" s="26"/>
      <c r="I149" s="27"/>
      <c r="J149" s="26"/>
      <c r="K149" s="26"/>
      <c r="L149" s="67"/>
      <c r="N149" s="8"/>
      <c r="O149" s="2"/>
      <c r="P149" s="26"/>
      <c r="Q149" s="27"/>
      <c r="R149" s="30"/>
      <c r="S149" s="27"/>
      <c r="T149" s="30"/>
      <c r="U149" s="34"/>
      <c r="V149" s="34"/>
      <c r="X149" s="8"/>
      <c r="Y149" s="2"/>
      <c r="Z149" s="26"/>
      <c r="AA149" s="26"/>
      <c r="AB149" s="26"/>
      <c r="AC149" s="26"/>
      <c r="AD149" s="27"/>
      <c r="AE149" s="30"/>
      <c r="AF149" s="26"/>
      <c r="AG149" s="26"/>
      <c r="AH149" s="32"/>
      <c r="AJ149" s="8"/>
      <c r="AK149" s="2"/>
      <c r="AL149" s="26"/>
      <c r="AM149" s="26"/>
      <c r="AN149" s="26"/>
      <c r="AO149" s="27"/>
      <c r="AP149" s="30"/>
      <c r="AQ149" s="26"/>
      <c r="AR149" s="26"/>
      <c r="AS149" s="32"/>
      <c r="AT149" s="34"/>
    </row>
    <row r="150" spans="2:46" x14ac:dyDescent="0.3">
      <c r="B150" s="8"/>
      <c r="C150" s="2"/>
      <c r="D150" s="26"/>
      <c r="E150" s="26"/>
      <c r="F150" s="27"/>
      <c r="G150" s="26"/>
      <c r="H150" s="26"/>
      <c r="I150" s="27"/>
      <c r="J150" s="26"/>
      <c r="K150" s="26"/>
      <c r="L150" s="67"/>
      <c r="N150" s="8"/>
      <c r="O150" s="2"/>
      <c r="P150" s="26"/>
      <c r="Q150" s="27"/>
      <c r="R150" s="30"/>
      <c r="S150" s="27"/>
      <c r="T150" s="30"/>
      <c r="U150" s="34"/>
      <c r="V150" s="34"/>
      <c r="X150" s="8"/>
      <c r="Y150" s="2"/>
      <c r="Z150" s="26"/>
      <c r="AA150" s="26"/>
      <c r="AB150" s="26"/>
      <c r="AC150" s="26"/>
      <c r="AD150" s="27"/>
      <c r="AE150" s="30"/>
      <c r="AF150" s="26"/>
      <c r="AG150" s="26"/>
      <c r="AH150" s="32"/>
      <c r="AJ150" s="8"/>
      <c r="AK150" s="2"/>
      <c r="AL150" s="26"/>
      <c r="AM150" s="26"/>
      <c r="AN150" s="26"/>
      <c r="AO150" s="27"/>
      <c r="AP150" s="30"/>
      <c r="AQ150" s="26"/>
      <c r="AR150" s="26"/>
      <c r="AS150" s="32"/>
      <c r="AT150" s="34"/>
    </row>
    <row r="151" spans="2:46" x14ac:dyDescent="0.3">
      <c r="B151" s="8"/>
      <c r="C151" s="2"/>
      <c r="D151" s="26"/>
      <c r="E151" s="26"/>
      <c r="F151" s="27"/>
      <c r="G151" s="26"/>
      <c r="H151" s="26"/>
      <c r="I151" s="27"/>
      <c r="J151" s="26"/>
      <c r="K151" s="26"/>
      <c r="L151" s="67"/>
      <c r="N151" s="8"/>
      <c r="O151" s="2"/>
      <c r="P151" s="26"/>
      <c r="Q151" s="27"/>
      <c r="R151" s="30"/>
      <c r="S151" s="27"/>
      <c r="T151" s="30"/>
      <c r="U151" s="34"/>
      <c r="V151" s="34"/>
      <c r="X151" s="8"/>
      <c r="Y151" s="2"/>
      <c r="Z151" s="26"/>
      <c r="AA151" s="26"/>
      <c r="AB151" s="26"/>
      <c r="AC151" s="26"/>
      <c r="AD151" s="27"/>
      <c r="AE151" s="30"/>
      <c r="AF151" s="26"/>
      <c r="AG151" s="26"/>
      <c r="AH151" s="32"/>
      <c r="AJ151" s="8"/>
      <c r="AK151" s="2"/>
      <c r="AL151" s="26"/>
      <c r="AM151" s="26"/>
      <c r="AN151" s="26"/>
      <c r="AO151" s="27"/>
      <c r="AP151" s="30"/>
      <c r="AQ151" s="26"/>
      <c r="AR151" s="26"/>
      <c r="AS151" s="32"/>
      <c r="AT151" s="34"/>
    </row>
    <row r="152" spans="2:46" x14ac:dyDescent="0.3">
      <c r="B152" s="8"/>
      <c r="C152" s="2"/>
      <c r="D152" s="26"/>
      <c r="E152" s="26"/>
      <c r="F152" s="27"/>
      <c r="G152" s="26"/>
      <c r="H152" s="26"/>
      <c r="I152" s="27"/>
      <c r="J152" s="26"/>
      <c r="K152" s="26"/>
      <c r="L152" s="67"/>
      <c r="N152" s="8"/>
      <c r="O152" s="2"/>
      <c r="P152" s="26"/>
      <c r="Q152" s="27"/>
      <c r="R152" s="30"/>
      <c r="S152" s="27"/>
      <c r="T152" s="30"/>
      <c r="U152" s="34"/>
      <c r="V152" s="34"/>
      <c r="X152" s="8"/>
      <c r="Y152" s="2"/>
      <c r="Z152" s="26"/>
      <c r="AA152" s="26"/>
      <c r="AB152" s="26"/>
      <c r="AC152" s="26"/>
      <c r="AD152" s="27"/>
      <c r="AE152" s="30"/>
      <c r="AF152" s="26"/>
      <c r="AG152" s="26"/>
      <c r="AH152" s="32"/>
      <c r="AJ152" s="8"/>
      <c r="AK152" s="2"/>
      <c r="AL152" s="26"/>
      <c r="AM152" s="26"/>
      <c r="AN152" s="26"/>
      <c r="AO152" s="27"/>
      <c r="AP152" s="30"/>
      <c r="AQ152" s="26"/>
      <c r="AR152" s="26"/>
      <c r="AS152" s="32"/>
      <c r="AT152" s="34"/>
    </row>
    <row r="153" spans="2:46" x14ac:dyDescent="0.3">
      <c r="B153" s="8"/>
      <c r="C153" s="2"/>
      <c r="D153" s="26"/>
      <c r="E153" s="26"/>
      <c r="F153" s="27"/>
      <c r="G153" s="26"/>
      <c r="H153" s="26"/>
      <c r="I153" s="27"/>
      <c r="J153" s="26"/>
      <c r="K153" s="26"/>
      <c r="L153" s="67"/>
      <c r="N153" s="8"/>
      <c r="O153" s="2"/>
      <c r="P153" s="26"/>
      <c r="Q153" s="27"/>
      <c r="R153" s="30"/>
      <c r="S153" s="27"/>
      <c r="T153" s="30"/>
      <c r="U153" s="34"/>
      <c r="V153" s="34"/>
      <c r="X153" s="8"/>
      <c r="Y153" s="2"/>
      <c r="Z153" s="26"/>
      <c r="AA153" s="26"/>
      <c r="AB153" s="26"/>
      <c r="AC153" s="26"/>
      <c r="AD153" s="27"/>
      <c r="AE153" s="30"/>
      <c r="AF153" s="26"/>
      <c r="AG153" s="26"/>
      <c r="AH153" s="32"/>
      <c r="AJ153" s="8"/>
      <c r="AK153" s="2"/>
      <c r="AL153" s="26"/>
      <c r="AM153" s="26"/>
      <c r="AN153" s="26"/>
      <c r="AO153" s="27"/>
      <c r="AP153" s="30"/>
      <c r="AQ153" s="26"/>
      <c r="AR153" s="26"/>
      <c r="AS153" s="32"/>
      <c r="AT153" s="34"/>
    </row>
    <row r="154" spans="2:46" x14ac:dyDescent="0.3">
      <c r="B154" s="8"/>
      <c r="C154" s="2"/>
      <c r="D154" s="26"/>
      <c r="E154" s="26"/>
      <c r="F154" s="27"/>
      <c r="G154" s="26"/>
      <c r="H154" s="26"/>
      <c r="I154" s="27"/>
      <c r="J154" s="26"/>
      <c r="K154" s="26"/>
      <c r="L154" s="67"/>
      <c r="N154" s="8"/>
      <c r="O154" s="2"/>
      <c r="P154" s="26"/>
      <c r="Q154" s="27"/>
      <c r="R154" s="30"/>
      <c r="S154" s="27"/>
      <c r="T154" s="30"/>
      <c r="U154" s="34"/>
      <c r="V154" s="34"/>
      <c r="X154" s="8"/>
      <c r="Y154" s="2"/>
      <c r="Z154" s="26"/>
      <c r="AA154" s="26"/>
      <c r="AB154" s="26"/>
      <c r="AC154" s="26"/>
      <c r="AD154" s="27"/>
      <c r="AE154" s="30"/>
      <c r="AF154" s="26"/>
      <c r="AG154" s="26"/>
      <c r="AH154" s="32"/>
      <c r="AJ154" s="8"/>
      <c r="AK154" s="2"/>
      <c r="AL154" s="26"/>
      <c r="AM154" s="26"/>
      <c r="AN154" s="26"/>
      <c r="AO154" s="27"/>
      <c r="AP154" s="30"/>
      <c r="AQ154" s="26"/>
      <c r="AR154" s="26"/>
      <c r="AS154" s="32"/>
      <c r="AT154" s="34"/>
    </row>
    <row r="155" spans="2:46" x14ac:dyDescent="0.3">
      <c r="B155" s="8"/>
      <c r="C155" s="2"/>
      <c r="D155" s="26"/>
      <c r="E155" s="26"/>
      <c r="F155" s="27"/>
      <c r="G155" s="26"/>
      <c r="H155" s="26"/>
      <c r="I155" s="27"/>
      <c r="J155" s="26"/>
      <c r="K155" s="26"/>
      <c r="L155" s="67"/>
      <c r="N155" s="8"/>
      <c r="O155" s="2"/>
      <c r="P155" s="26"/>
      <c r="Q155" s="27"/>
      <c r="R155" s="30"/>
      <c r="S155" s="27"/>
      <c r="T155" s="30"/>
      <c r="U155" s="34"/>
      <c r="V155" s="34"/>
      <c r="X155" s="8"/>
      <c r="Y155" s="2"/>
      <c r="Z155" s="26"/>
      <c r="AA155" s="26"/>
      <c r="AB155" s="26"/>
      <c r="AC155" s="26"/>
      <c r="AD155" s="27"/>
      <c r="AE155" s="30"/>
      <c r="AF155" s="26"/>
      <c r="AG155" s="26"/>
      <c r="AH155" s="32"/>
      <c r="AJ155" s="8"/>
      <c r="AK155" s="2"/>
      <c r="AL155" s="26"/>
      <c r="AM155" s="26"/>
      <c r="AN155" s="26"/>
      <c r="AO155" s="27"/>
      <c r="AP155" s="30"/>
      <c r="AQ155" s="26"/>
      <c r="AR155" s="26"/>
      <c r="AS155" s="32"/>
      <c r="AT155" s="34"/>
    </row>
    <row r="156" spans="2:46" x14ac:dyDescent="0.3">
      <c r="B156" s="8"/>
      <c r="C156" s="2"/>
      <c r="D156" s="26"/>
      <c r="E156" s="26"/>
      <c r="F156" s="27"/>
      <c r="G156" s="26"/>
      <c r="H156" s="26"/>
      <c r="I156" s="27"/>
      <c r="J156" s="26"/>
      <c r="K156" s="26"/>
      <c r="L156" s="67"/>
      <c r="N156" s="8"/>
      <c r="O156" s="2"/>
      <c r="P156" s="26"/>
      <c r="Q156" s="27"/>
      <c r="R156" s="30"/>
      <c r="S156" s="27"/>
      <c r="T156" s="30"/>
      <c r="U156" s="34"/>
      <c r="V156" s="34"/>
      <c r="X156" s="8"/>
      <c r="Y156" s="2"/>
      <c r="Z156" s="26"/>
      <c r="AA156" s="26"/>
      <c r="AB156" s="26"/>
      <c r="AC156" s="26"/>
      <c r="AD156" s="27"/>
      <c r="AE156" s="30"/>
      <c r="AF156" s="26"/>
      <c r="AG156" s="26"/>
      <c r="AH156" s="32"/>
      <c r="AJ156" s="8"/>
      <c r="AK156" s="2"/>
      <c r="AL156" s="26"/>
      <c r="AM156" s="26"/>
      <c r="AN156" s="26"/>
      <c r="AO156" s="27"/>
      <c r="AP156" s="30"/>
      <c r="AQ156" s="26"/>
      <c r="AR156" s="26"/>
      <c r="AS156" s="32"/>
      <c r="AT156" s="34"/>
    </row>
    <row r="157" spans="2:46" x14ac:dyDescent="0.3">
      <c r="B157" s="8"/>
      <c r="C157" s="2"/>
      <c r="D157" s="26"/>
      <c r="E157" s="26"/>
      <c r="F157" s="27"/>
      <c r="G157" s="26"/>
      <c r="H157" s="26"/>
      <c r="I157" s="27"/>
      <c r="J157" s="26"/>
      <c r="K157" s="26"/>
      <c r="L157" s="67"/>
      <c r="N157" s="8"/>
      <c r="O157" s="2"/>
      <c r="P157" s="26"/>
      <c r="Q157" s="27"/>
      <c r="R157" s="30"/>
      <c r="S157" s="27"/>
      <c r="T157" s="30"/>
      <c r="U157" s="34"/>
      <c r="V157" s="34"/>
      <c r="X157" s="8"/>
      <c r="Y157" s="2"/>
      <c r="Z157" s="26"/>
      <c r="AA157" s="26"/>
      <c r="AB157" s="26"/>
      <c r="AC157" s="26"/>
      <c r="AD157" s="27"/>
      <c r="AE157" s="30"/>
      <c r="AF157" s="26"/>
      <c r="AG157" s="26"/>
      <c r="AH157" s="32"/>
      <c r="AJ157" s="8"/>
      <c r="AK157" s="2"/>
      <c r="AL157" s="26"/>
      <c r="AM157" s="26"/>
      <c r="AN157" s="26"/>
      <c r="AO157" s="27"/>
      <c r="AP157" s="30"/>
      <c r="AQ157" s="26"/>
      <c r="AR157" s="26"/>
      <c r="AS157" s="32"/>
      <c r="AT157" s="34"/>
    </row>
    <row r="158" spans="2:46" x14ac:dyDescent="0.3">
      <c r="B158" s="8"/>
      <c r="C158" s="2"/>
      <c r="D158" s="26"/>
      <c r="E158" s="26"/>
      <c r="F158" s="27"/>
      <c r="G158" s="26"/>
      <c r="H158" s="26"/>
      <c r="I158" s="27"/>
      <c r="J158" s="26"/>
      <c r="K158" s="26"/>
      <c r="L158" s="67"/>
      <c r="N158" s="8"/>
      <c r="O158" s="2"/>
      <c r="P158" s="26"/>
      <c r="Q158" s="27"/>
      <c r="R158" s="30"/>
      <c r="S158" s="27"/>
      <c r="T158" s="30"/>
      <c r="U158" s="34"/>
      <c r="V158" s="34"/>
      <c r="X158" s="8"/>
      <c r="Y158" s="2"/>
      <c r="Z158" s="26"/>
      <c r="AA158" s="26"/>
      <c r="AB158" s="26"/>
      <c r="AC158" s="26"/>
      <c r="AD158" s="27"/>
      <c r="AE158" s="30"/>
      <c r="AF158" s="26"/>
      <c r="AG158" s="26"/>
      <c r="AH158" s="32"/>
      <c r="AJ158" s="8"/>
      <c r="AK158" s="2"/>
      <c r="AL158" s="26"/>
      <c r="AM158" s="26"/>
      <c r="AN158" s="26"/>
      <c r="AO158" s="27"/>
      <c r="AP158" s="30"/>
      <c r="AQ158" s="26"/>
      <c r="AR158" s="26"/>
      <c r="AS158" s="32"/>
      <c r="AT158" s="34"/>
    </row>
    <row r="159" spans="2:46" x14ac:dyDescent="0.3">
      <c r="B159" s="8"/>
      <c r="C159" s="2"/>
      <c r="D159" s="26"/>
      <c r="E159" s="26"/>
      <c r="F159" s="27"/>
      <c r="G159" s="26"/>
      <c r="H159" s="26"/>
      <c r="I159" s="27"/>
      <c r="J159" s="26"/>
      <c r="K159" s="26"/>
      <c r="L159" s="67"/>
      <c r="N159" s="8"/>
      <c r="O159" s="2"/>
      <c r="P159" s="26"/>
      <c r="Q159" s="27"/>
      <c r="R159" s="30"/>
      <c r="S159" s="27"/>
      <c r="T159" s="30"/>
      <c r="U159" s="34"/>
      <c r="V159" s="34"/>
      <c r="X159" s="8"/>
      <c r="Y159" s="2"/>
      <c r="Z159" s="26"/>
      <c r="AA159" s="26"/>
      <c r="AB159" s="26"/>
      <c r="AC159" s="26"/>
      <c r="AD159" s="27"/>
      <c r="AE159" s="30"/>
      <c r="AF159" s="26"/>
      <c r="AG159" s="26"/>
      <c r="AH159" s="32"/>
      <c r="AJ159" s="8"/>
      <c r="AK159" s="2"/>
      <c r="AL159" s="26"/>
      <c r="AM159" s="26"/>
      <c r="AN159" s="26"/>
      <c r="AO159" s="27"/>
      <c r="AP159" s="30"/>
      <c r="AQ159" s="26"/>
      <c r="AR159" s="26"/>
      <c r="AS159" s="32"/>
      <c r="AT159" s="34"/>
    </row>
    <row r="160" spans="2:46" x14ac:dyDescent="0.3">
      <c r="B160" s="8"/>
      <c r="C160" s="2"/>
      <c r="D160" s="26"/>
      <c r="E160" s="26"/>
      <c r="F160" s="27"/>
      <c r="G160" s="26"/>
      <c r="H160" s="26"/>
      <c r="I160" s="27"/>
      <c r="J160" s="26"/>
      <c r="K160" s="26"/>
      <c r="L160" s="67"/>
      <c r="N160" s="8"/>
      <c r="O160" s="2"/>
      <c r="P160" s="26"/>
      <c r="Q160" s="27"/>
      <c r="R160" s="30"/>
      <c r="S160" s="27"/>
      <c r="T160" s="30"/>
      <c r="U160" s="34"/>
      <c r="V160" s="34"/>
      <c r="X160" s="8"/>
      <c r="Y160" s="2"/>
      <c r="Z160" s="26"/>
      <c r="AA160" s="26"/>
      <c r="AB160" s="26"/>
      <c r="AC160" s="26"/>
      <c r="AD160" s="27"/>
      <c r="AE160" s="30"/>
      <c r="AF160" s="26"/>
      <c r="AG160" s="26"/>
      <c r="AH160" s="32"/>
      <c r="AJ160" s="8"/>
      <c r="AK160" s="2"/>
      <c r="AL160" s="26"/>
      <c r="AM160" s="26"/>
      <c r="AN160" s="26"/>
      <c r="AO160" s="27"/>
      <c r="AP160" s="30"/>
      <c r="AQ160" s="26"/>
      <c r="AR160" s="26"/>
      <c r="AS160" s="32"/>
      <c r="AT160" s="34"/>
    </row>
    <row r="161" spans="2:46" x14ac:dyDescent="0.3">
      <c r="B161" s="8"/>
      <c r="C161" s="2"/>
      <c r="D161" s="26"/>
      <c r="E161" s="26"/>
      <c r="F161" s="27"/>
      <c r="G161" s="26"/>
      <c r="H161" s="26"/>
      <c r="I161" s="27"/>
      <c r="J161" s="26"/>
      <c r="K161" s="26"/>
      <c r="L161" s="67"/>
      <c r="N161" s="8"/>
      <c r="O161" s="2"/>
      <c r="P161" s="26"/>
      <c r="Q161" s="27"/>
      <c r="R161" s="30"/>
      <c r="S161" s="27"/>
      <c r="T161" s="30"/>
      <c r="U161" s="34"/>
      <c r="V161" s="34"/>
      <c r="X161" s="8"/>
      <c r="Y161" s="2"/>
      <c r="Z161" s="26"/>
      <c r="AA161" s="26"/>
      <c r="AB161" s="26"/>
      <c r="AC161" s="26"/>
      <c r="AD161" s="27"/>
      <c r="AE161" s="30"/>
      <c r="AF161" s="26"/>
      <c r="AG161" s="26"/>
      <c r="AH161" s="32"/>
      <c r="AJ161" s="8"/>
      <c r="AK161" s="2"/>
      <c r="AL161" s="26"/>
      <c r="AM161" s="26"/>
      <c r="AN161" s="26"/>
      <c r="AO161" s="27"/>
      <c r="AP161" s="30"/>
      <c r="AQ161" s="26"/>
      <c r="AR161" s="26"/>
      <c r="AS161" s="32"/>
      <c r="AT161" s="34"/>
    </row>
    <row r="162" spans="2:46" x14ac:dyDescent="0.3">
      <c r="B162" s="8"/>
      <c r="C162" s="2"/>
      <c r="D162" s="26"/>
      <c r="E162" s="26"/>
      <c r="F162" s="27"/>
      <c r="G162" s="26"/>
      <c r="H162" s="26"/>
      <c r="I162" s="27"/>
      <c r="J162" s="26"/>
      <c r="K162" s="26"/>
      <c r="L162" s="67"/>
      <c r="N162" s="8"/>
      <c r="O162" s="2"/>
      <c r="P162" s="26"/>
      <c r="Q162" s="27"/>
      <c r="R162" s="30"/>
      <c r="S162" s="27"/>
      <c r="T162" s="30"/>
      <c r="U162" s="34"/>
      <c r="V162" s="34"/>
      <c r="X162" s="8"/>
      <c r="Y162" s="2"/>
      <c r="Z162" s="26"/>
      <c r="AA162" s="26"/>
      <c r="AB162" s="26"/>
      <c r="AC162" s="26"/>
      <c r="AD162" s="27"/>
      <c r="AE162" s="30"/>
      <c r="AF162" s="26"/>
      <c r="AG162" s="26"/>
      <c r="AH162" s="32"/>
      <c r="AJ162" s="8"/>
      <c r="AK162" s="2"/>
      <c r="AL162" s="26"/>
      <c r="AM162" s="26"/>
      <c r="AN162" s="26"/>
      <c r="AO162" s="27"/>
      <c r="AP162" s="30"/>
      <c r="AQ162" s="26"/>
      <c r="AR162" s="26"/>
      <c r="AS162" s="32"/>
      <c r="AT162" s="34"/>
    </row>
    <row r="163" spans="2:46" x14ac:dyDescent="0.3">
      <c r="B163" s="8"/>
      <c r="C163" s="2"/>
      <c r="D163" s="26"/>
      <c r="E163" s="26"/>
      <c r="F163" s="27"/>
      <c r="G163" s="26"/>
      <c r="H163" s="26"/>
      <c r="I163" s="27"/>
      <c r="J163" s="26"/>
      <c r="K163" s="26"/>
      <c r="L163" s="67"/>
      <c r="N163" s="8"/>
      <c r="O163" s="2"/>
      <c r="P163" s="26"/>
      <c r="Q163" s="27"/>
      <c r="R163" s="30"/>
      <c r="S163" s="27"/>
      <c r="T163" s="30"/>
      <c r="U163" s="34"/>
      <c r="V163" s="34"/>
      <c r="X163" s="8"/>
      <c r="Y163" s="2"/>
      <c r="Z163" s="26"/>
      <c r="AA163" s="26"/>
      <c r="AB163" s="26"/>
      <c r="AC163" s="26"/>
      <c r="AD163" s="27"/>
      <c r="AE163" s="30"/>
      <c r="AF163" s="26"/>
      <c r="AG163" s="26"/>
      <c r="AH163" s="32"/>
      <c r="AJ163" s="8"/>
      <c r="AK163" s="2"/>
      <c r="AL163" s="26"/>
      <c r="AM163" s="26"/>
      <c r="AN163" s="26"/>
      <c r="AO163" s="27"/>
      <c r="AP163" s="30"/>
      <c r="AQ163" s="26"/>
      <c r="AR163" s="26"/>
      <c r="AS163" s="32"/>
      <c r="AT163" s="34"/>
    </row>
    <row r="164" spans="2:46" x14ac:dyDescent="0.3">
      <c r="B164" s="8"/>
      <c r="C164" s="2"/>
      <c r="D164" s="26"/>
      <c r="E164" s="26"/>
      <c r="F164" s="27"/>
      <c r="G164" s="26"/>
      <c r="H164" s="26"/>
      <c r="I164" s="27"/>
      <c r="J164" s="26"/>
      <c r="K164" s="26"/>
      <c r="L164" s="67"/>
      <c r="N164" s="8"/>
      <c r="O164" s="2"/>
      <c r="P164" s="26"/>
      <c r="Q164" s="27"/>
      <c r="R164" s="30"/>
      <c r="S164" s="27"/>
      <c r="T164" s="30"/>
      <c r="U164" s="34"/>
      <c r="V164" s="34"/>
      <c r="X164" s="8"/>
      <c r="Y164" s="2"/>
      <c r="Z164" s="26"/>
      <c r="AA164" s="26"/>
      <c r="AB164" s="26"/>
      <c r="AC164" s="26"/>
      <c r="AD164" s="27"/>
      <c r="AE164" s="30"/>
      <c r="AF164" s="26"/>
      <c r="AG164" s="26"/>
      <c r="AH164" s="32"/>
      <c r="AJ164" s="8"/>
      <c r="AK164" s="2"/>
      <c r="AL164" s="26"/>
      <c r="AM164" s="26"/>
      <c r="AN164" s="26"/>
      <c r="AO164" s="27"/>
      <c r="AP164" s="30"/>
      <c r="AQ164" s="26"/>
      <c r="AR164" s="26"/>
      <c r="AS164" s="32"/>
      <c r="AT164" s="34"/>
    </row>
    <row r="165" spans="2:46" x14ac:dyDescent="0.3">
      <c r="B165" s="8"/>
      <c r="C165" s="2"/>
      <c r="D165" s="26"/>
      <c r="E165" s="26"/>
      <c r="F165" s="27"/>
      <c r="G165" s="26"/>
      <c r="H165" s="26"/>
      <c r="I165" s="27"/>
      <c r="J165" s="26"/>
      <c r="K165" s="26"/>
      <c r="L165" s="67"/>
      <c r="N165" s="8"/>
      <c r="O165" s="2"/>
      <c r="P165" s="26"/>
      <c r="Q165" s="27"/>
      <c r="R165" s="30"/>
      <c r="S165" s="27"/>
      <c r="T165" s="30"/>
      <c r="U165" s="34"/>
      <c r="V165" s="34"/>
      <c r="X165" s="8"/>
      <c r="Y165" s="2"/>
      <c r="Z165" s="26"/>
      <c r="AA165" s="26"/>
      <c r="AB165" s="26"/>
      <c r="AC165" s="26"/>
      <c r="AD165" s="27"/>
      <c r="AE165" s="30"/>
      <c r="AF165" s="26"/>
      <c r="AG165" s="26"/>
      <c r="AH165" s="32"/>
      <c r="AJ165" s="8"/>
      <c r="AK165" s="2"/>
      <c r="AL165" s="26"/>
      <c r="AM165" s="26"/>
      <c r="AN165" s="26"/>
      <c r="AO165" s="27"/>
      <c r="AP165" s="30"/>
      <c r="AQ165" s="26"/>
      <c r="AR165" s="26"/>
      <c r="AS165" s="32"/>
      <c r="AT165" s="34"/>
    </row>
    <row r="166" spans="2:46" x14ac:dyDescent="0.3">
      <c r="B166" s="8"/>
      <c r="C166" s="2"/>
      <c r="D166" s="26"/>
      <c r="E166" s="26"/>
      <c r="F166" s="28"/>
      <c r="G166" s="29"/>
      <c r="H166" s="29"/>
      <c r="I166" s="28"/>
      <c r="J166" s="29"/>
      <c r="K166" s="29"/>
      <c r="L166" s="68"/>
      <c r="N166" s="8"/>
      <c r="O166" s="2"/>
      <c r="P166" s="26"/>
      <c r="Q166" s="28"/>
      <c r="R166" s="31"/>
      <c r="S166" s="28"/>
      <c r="T166" s="31"/>
      <c r="U166" s="34"/>
      <c r="V166" s="34"/>
      <c r="X166" s="8"/>
      <c r="Y166" s="2"/>
      <c r="Z166" s="26"/>
      <c r="AA166" s="26"/>
      <c r="AB166" s="26"/>
      <c r="AC166" s="26"/>
      <c r="AD166" s="28"/>
      <c r="AE166" s="31"/>
      <c r="AF166" s="26"/>
      <c r="AG166" s="26"/>
      <c r="AH166" s="33"/>
      <c r="AJ166" s="8"/>
      <c r="AK166" s="2"/>
      <c r="AL166" s="26"/>
      <c r="AM166" s="26"/>
      <c r="AN166" s="26"/>
      <c r="AO166" s="28"/>
      <c r="AP166" s="31"/>
      <c r="AQ166" s="26"/>
      <c r="AR166" s="26"/>
      <c r="AS166" s="32"/>
      <c r="AT166" s="34"/>
    </row>
    <row r="167" spans="2:46" x14ac:dyDescent="0.3">
      <c r="B167" s="22"/>
      <c r="C167" s="22"/>
      <c r="D167" s="22"/>
      <c r="E167" s="22"/>
      <c r="F167" s="22"/>
      <c r="G167" s="22"/>
      <c r="H167" s="22"/>
      <c r="I167" s="22"/>
      <c r="J167" s="22"/>
      <c r="K167" s="22"/>
      <c r="L167" s="22"/>
      <c r="N167" s="22"/>
      <c r="O167" s="22"/>
      <c r="P167" s="22"/>
      <c r="Q167" s="22"/>
      <c r="R167" s="22"/>
      <c r="S167" s="22"/>
      <c r="T167" s="22"/>
      <c r="U167" s="22"/>
      <c r="V167" s="22"/>
      <c r="X167" s="22"/>
      <c r="Y167" s="22"/>
      <c r="Z167" s="22"/>
      <c r="AA167" s="22"/>
      <c r="AB167" s="22"/>
      <c r="AC167" s="22"/>
      <c r="AD167" s="22"/>
      <c r="AE167" s="22"/>
      <c r="AF167" s="22"/>
      <c r="AG167" s="22"/>
      <c r="AH167" s="22"/>
      <c r="AJ167" s="22"/>
      <c r="AK167" s="22"/>
      <c r="AL167" s="22"/>
      <c r="AM167" s="22"/>
      <c r="AN167" s="22"/>
      <c r="AO167" s="22"/>
      <c r="AP167" s="22"/>
      <c r="AQ167" s="22"/>
      <c r="AR167" s="22"/>
      <c r="AS167" s="22"/>
      <c r="AT167" s="22"/>
    </row>
  </sheetData>
  <mergeCells count="11">
    <mergeCell ref="AF4:AG4"/>
    <mergeCell ref="AO4:AP4"/>
    <mergeCell ref="AQ4:AR4"/>
    <mergeCell ref="AS4:AT4"/>
    <mergeCell ref="D4:E4"/>
    <mergeCell ref="F4:H4"/>
    <mergeCell ref="I4:K4"/>
    <mergeCell ref="Q4:R4"/>
    <mergeCell ref="AD4:AE4"/>
    <mergeCell ref="S4:T4"/>
    <mergeCell ref="U4:V4"/>
  </mergeCells>
  <conditionalFormatting sqref="D13:K13 P13:R13 Z13:AG13 AL13:AR13">
    <cfRule type="cellIs" dxfId="109" priority="11" operator="greaterThan">
      <formula>1</formula>
    </cfRule>
  </conditionalFormatting>
  <conditionalFormatting sqref="D17:K166 Z17:AG166 AL17:AR166">
    <cfRule type="cellIs" dxfId="108" priority="12" operator="lessThan">
      <formula>0</formula>
    </cfRule>
    <cfRule type="cellIs" dxfId="107" priority="13" operator="greaterThan">
      <formula>0</formula>
    </cfRule>
  </conditionalFormatting>
  <conditionalFormatting sqref="U17:V166">
    <cfRule type="cellIs" dxfId="106" priority="9" operator="greaterThan">
      <formula>1</formula>
    </cfRule>
  </conditionalFormatting>
  <conditionalFormatting sqref="AH17:AH166">
    <cfRule type="cellIs" dxfId="105" priority="8" operator="greaterThan">
      <formula>1</formula>
    </cfRule>
  </conditionalFormatting>
  <conditionalFormatting sqref="AS17:AT166">
    <cfRule type="cellIs" dxfId="104" priority="6" operator="greaterThan">
      <formula>1</formula>
    </cfRule>
  </conditionalFormatting>
  <conditionalFormatting sqref="BA7:BA24 P17:T166">
    <cfRule type="cellIs" dxfId="101" priority="3" operator="lessThan">
      <formula>0</formula>
    </cfRule>
    <cfRule type="cellIs" dxfId="100" priority="4" operator="greaterThan">
      <formula>0</formula>
    </cfRule>
  </conditionalFormatting>
  <conditionalFormatting sqref="BB7:BB24 L17:L166">
    <cfRule type="cellIs" dxfId="99" priority="5" operator="greaterThan">
      <formula>1</formula>
    </cfRule>
  </conditionalFormatting>
  <dataValidations count="4">
    <dataValidation type="whole" errorStyle="information" allowBlank="1" showInputMessage="1" showErrorMessage="1" errorTitle="Must select 1 or 2" error="1 = Multiplicative_x000a_2 = Additive" sqref="AL13:AR13 Z13:AG13 P13:R13 D13:K13 BB7:BB24" xr:uid="{E0C0DF27-A32C-488A-ACF4-17AA11BCB67A}">
      <formula1>1</formula1>
      <formula2>2</formula2>
    </dataValidation>
    <dataValidation type="decimal" errorStyle="information" allowBlank="1" showInputMessage="1" showErrorMessage="1" errorTitle="Must select a number" error="Cannot choose letters or special characters." sqref="D17:K166 BA7:BA24 P17:T166 Z17:AG166 AO17:AR166 AL17:AN37" xr:uid="{BD7DBCDD-FBA7-47C3-9DD3-9AA66D6F4F45}">
      <formula1>-1000000000</formula1>
      <formula2>1000000000</formula2>
    </dataValidation>
    <dataValidation type="whole" errorStyle="information" allowBlank="1" showInputMessage="1" showErrorMessage="1" errorTitle="Must select 1 or 2" error="1 = Included in shock_x000a_2 = Excluded" sqref="U17:U166" xr:uid="{CEF9A5F6-D61C-42ED-A2D6-E40335C449B5}">
      <formula1>1</formula1>
      <formula2>2</formula2>
    </dataValidation>
    <dataValidation type="whole" errorStyle="information" allowBlank="1" showInputMessage="1" showErrorMessage="1" errorTitle="Must select 1 or 2" error="1 = Included in closure_x000a_2 = Excluded" sqref="V17:V166 AH17:AH166 L17:L166 AS17:AT166" xr:uid="{D497F1CE-88D9-4FF8-8919-D44D4CC4D43E}">
      <formula1>1</formula1>
      <formula2>2</formula2>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ellIs" priority="15" operator="equal" id="{4084209B-8223-4310-B67F-D3ED21EE75D5}">
            <xm:f>Notes!$L$4</xm:f>
            <x14:dxf>
              <font>
                <b val="0"/>
                <i val="0"/>
                <strike val="0"/>
                <color theme="0" tint="-0.34998626667073579"/>
              </font>
              <fill>
                <patternFill patternType="none">
                  <bgColor auto="1"/>
                </patternFill>
              </fill>
            </x14:dxf>
          </x14:cfRule>
          <xm:sqref>AY7:AY24 D8:K8 P8:T8 Z8:AG8 AL8:AR8</xm:sqref>
        </x14:conditionalFormatting>
        <x14:conditionalFormatting xmlns:xm="http://schemas.microsoft.com/office/excel/2006/main">
          <x14:cfRule type="cellIs" priority="14" operator="equal" id="{2BFA5DE2-0934-4074-854D-FAB139368301}">
            <xm:f>Notes!$L$5</xm:f>
            <x14:dxf>
              <font>
                <b val="0"/>
                <i val="0"/>
                <strike val="0"/>
                <color theme="0" tint="-0.34998626667073579"/>
              </font>
              <fill>
                <patternFill patternType="none">
                  <bgColor auto="1"/>
                </patternFill>
              </fill>
            </x14:dxf>
          </x14:cfRule>
          <xm:sqref>AZ7:AZ24 D9:K9 P9:T9 Z9:AG9 AL9:AR9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Out of range" error="Time periods must fall within the range specified on the &quot;Base&quot; worksheet." xr:uid="{04C14042-4613-4DA4-819C-6AFB357FC894}">
          <x14:formula1>
            <xm:f>Main!$H$5:$H$58</xm:f>
          </x14:formula1>
          <xm:sqref>D8:K9 AY7:AZ24 AL8:AR9 P8:T9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9B56C-BF29-44F7-B4C2-3718B77A5295}">
  <sheetPr>
    <tabColor theme="8" tint="-0.499984740745262"/>
  </sheetPr>
  <dimension ref="A1:BE167"/>
  <sheetViews>
    <sheetView zoomScale="55" zoomScaleNormal="55" workbookViewId="0">
      <pane ySplit="16" topLeftCell="A17" activePane="bottomLeft" state="frozen"/>
      <selection activeCell="V17" sqref="V17"/>
      <selection pane="bottomLeft" activeCell="V17" sqref="V17"/>
    </sheetView>
  </sheetViews>
  <sheetFormatPr defaultColWidth="0" defaultRowHeight="14.4" zeroHeight="1" x14ac:dyDescent="0.3"/>
  <cols>
    <col min="1" max="2" width="2.44140625" customWidth="1"/>
    <col min="3" max="12" width="9.109375" customWidth="1"/>
    <col min="13" max="14" width="2.44140625" customWidth="1"/>
    <col min="15" max="22" width="9.109375" customWidth="1"/>
    <col min="23" max="24" width="2.44140625" customWidth="1"/>
    <col min="25" max="34" width="9.109375" customWidth="1"/>
    <col min="35" max="36" width="2.44140625" customWidth="1"/>
    <col min="37" max="37" width="11.77734375" customWidth="1"/>
    <col min="38" max="46" width="9.109375" customWidth="1"/>
    <col min="47" max="48" width="2.44140625" customWidth="1"/>
    <col min="49" max="49" width="18.88671875" bestFit="1" customWidth="1"/>
    <col min="50" max="54" width="9.109375" customWidth="1"/>
    <col min="55" max="55" width="2.44140625" customWidth="1"/>
    <col min="56" max="57" width="0" hidden="1" customWidth="1"/>
    <col min="58" max="16384" width="9.109375" hidden="1"/>
  </cols>
  <sheetData>
    <row r="1" spans="1:55" ht="18" x14ac:dyDescent="0.35">
      <c r="A1" s="6" t="str">
        <f>"Simulation "&amp;AC1&amp;IF(AD1&lt;&gt;""," : "&amp;AD1,"")</f>
        <v>Simulation sim7</v>
      </c>
      <c r="B1" s="6"/>
      <c r="C1" s="4"/>
      <c r="D1" s="4"/>
      <c r="E1" s="4"/>
      <c r="F1" s="4"/>
      <c r="G1" s="4"/>
      <c r="H1" s="4"/>
      <c r="I1" s="4"/>
      <c r="J1" s="4"/>
      <c r="K1" s="4"/>
      <c r="L1" s="4"/>
      <c r="M1" s="4"/>
      <c r="N1" s="4"/>
      <c r="O1" s="4"/>
      <c r="P1" s="4"/>
      <c r="Q1" s="4"/>
      <c r="R1" s="4"/>
      <c r="S1" s="4"/>
      <c r="T1" s="4"/>
      <c r="U1" s="4"/>
      <c r="V1" s="4"/>
      <c r="W1" s="4"/>
      <c r="X1" s="4"/>
      <c r="Y1" s="4"/>
      <c r="Z1" s="4"/>
      <c r="AA1" s="4"/>
      <c r="AB1" s="4"/>
      <c r="AC1" s="4" t="str">
        <f>Main!C13</f>
        <v>sim7</v>
      </c>
      <c r="AD1" s="4" t="str">
        <f>IF(Main!E13&lt;&gt;"",Main!E13,"")</f>
        <v/>
      </c>
      <c r="AE1" s="4"/>
      <c r="AF1" s="4"/>
      <c r="AG1" s="4"/>
      <c r="AH1" s="4"/>
      <c r="AI1" s="4"/>
      <c r="AJ1" s="4"/>
      <c r="AK1" s="4"/>
      <c r="AL1" s="4"/>
      <c r="AM1" s="4"/>
      <c r="AN1" s="4"/>
      <c r="AO1" s="4"/>
      <c r="AP1" s="4"/>
      <c r="AQ1" s="4"/>
      <c r="AR1" s="4"/>
      <c r="AS1" s="4"/>
      <c r="AT1" s="4"/>
      <c r="AU1" s="4"/>
      <c r="AV1" s="4"/>
      <c r="AW1" s="4"/>
      <c r="AX1" s="4"/>
      <c r="AY1" s="4"/>
      <c r="AZ1" s="4"/>
      <c r="BA1" s="4"/>
      <c r="BB1" s="4"/>
      <c r="BC1" s="4"/>
    </row>
    <row r="2" spans="1:55" x14ac:dyDescent="0.3"/>
    <row r="3" spans="1:55" ht="15.6" x14ac:dyDescent="0.3">
      <c r="B3" s="7"/>
      <c r="C3" s="17" t="s">
        <v>55</v>
      </c>
      <c r="D3" s="36"/>
      <c r="E3" s="36"/>
      <c r="F3" s="36"/>
      <c r="G3" s="36"/>
      <c r="H3" s="36"/>
      <c r="I3" s="36"/>
      <c r="J3" s="36"/>
      <c r="K3" s="36"/>
      <c r="L3" s="36"/>
      <c r="N3" s="7"/>
      <c r="O3" s="17" t="s">
        <v>56</v>
      </c>
      <c r="P3" s="36"/>
      <c r="Q3" s="36"/>
      <c r="R3" s="36"/>
      <c r="S3" s="36"/>
      <c r="T3" s="36"/>
      <c r="U3" s="36"/>
      <c r="V3" s="36"/>
      <c r="X3" s="7"/>
      <c r="Y3" s="17" t="s">
        <v>57</v>
      </c>
      <c r="Z3" s="36"/>
      <c r="AA3" s="36"/>
      <c r="AB3" s="36"/>
      <c r="AC3" s="36"/>
      <c r="AD3" s="36"/>
      <c r="AE3" s="36"/>
      <c r="AF3" s="36"/>
      <c r="AG3" s="36"/>
      <c r="AH3" s="36"/>
      <c r="AJ3" s="7"/>
      <c r="AK3" s="17" t="s">
        <v>283</v>
      </c>
      <c r="AL3" s="36"/>
      <c r="AM3" s="36"/>
      <c r="AN3" s="36"/>
      <c r="AO3" s="36"/>
      <c r="AP3" s="36"/>
      <c r="AQ3" s="36"/>
      <c r="AR3" s="36"/>
      <c r="AS3" s="36"/>
      <c r="AT3" s="36"/>
      <c r="AV3" s="7"/>
      <c r="AW3" s="17" t="s">
        <v>125</v>
      </c>
      <c r="AX3" s="36"/>
      <c r="AY3" s="36"/>
      <c r="AZ3" s="36"/>
      <c r="BA3" s="36"/>
      <c r="BB3" s="36"/>
    </row>
    <row r="4" spans="1:55" x14ac:dyDescent="0.3">
      <c r="B4" s="14"/>
      <c r="C4" s="9"/>
      <c r="D4" s="74" t="s">
        <v>58</v>
      </c>
      <c r="E4" s="74"/>
      <c r="F4" s="75" t="s">
        <v>59</v>
      </c>
      <c r="G4" s="74"/>
      <c r="H4" s="74"/>
      <c r="I4" s="75" t="s">
        <v>7</v>
      </c>
      <c r="J4" s="74"/>
      <c r="K4" s="74"/>
      <c r="L4" s="37" t="s">
        <v>103</v>
      </c>
      <c r="N4" s="14"/>
      <c r="O4" s="9"/>
      <c r="P4" s="38" t="s">
        <v>60</v>
      </c>
      <c r="Q4" s="75" t="s">
        <v>61</v>
      </c>
      <c r="R4" s="76"/>
      <c r="S4" s="75" t="s">
        <v>646</v>
      </c>
      <c r="T4" s="74"/>
      <c r="U4" s="75" t="s">
        <v>103</v>
      </c>
      <c r="V4" s="74"/>
      <c r="X4" s="14"/>
      <c r="Y4" s="9"/>
      <c r="Z4" s="38" t="s">
        <v>63</v>
      </c>
      <c r="AA4" s="38" t="s">
        <v>62</v>
      </c>
      <c r="AB4" s="38" t="s">
        <v>311</v>
      </c>
      <c r="AC4" s="38" t="s">
        <v>62</v>
      </c>
      <c r="AD4" s="75" t="s">
        <v>126</v>
      </c>
      <c r="AE4" s="76"/>
      <c r="AF4" s="74" t="s">
        <v>127</v>
      </c>
      <c r="AG4" s="74"/>
      <c r="AH4" s="37" t="s">
        <v>103</v>
      </c>
      <c r="AJ4" s="14"/>
      <c r="AK4" s="9"/>
      <c r="AL4" s="38" t="s">
        <v>132</v>
      </c>
      <c r="AM4" s="38" t="s">
        <v>99</v>
      </c>
      <c r="AN4" s="38" t="s">
        <v>289</v>
      </c>
      <c r="AO4" s="75" t="s">
        <v>126</v>
      </c>
      <c r="AP4" s="76"/>
      <c r="AQ4" s="74" t="s">
        <v>127</v>
      </c>
      <c r="AR4" s="74"/>
      <c r="AS4" s="75" t="s">
        <v>103</v>
      </c>
      <c r="AT4" s="74"/>
      <c r="AV4" s="8"/>
      <c r="AY4" s="39" t="s">
        <v>335</v>
      </c>
      <c r="AZ4" s="39" t="s">
        <v>336</v>
      </c>
      <c r="BA4" s="39" t="s">
        <v>300</v>
      </c>
      <c r="BB4" s="39" t="s">
        <v>304</v>
      </c>
    </row>
    <row r="5" spans="1:55" x14ac:dyDescent="0.3">
      <c r="B5" s="14"/>
      <c r="C5" s="9"/>
      <c r="D5" s="40" t="s">
        <v>64</v>
      </c>
      <c r="E5" s="40" t="s">
        <v>65</v>
      </c>
      <c r="F5" s="41" t="s">
        <v>64</v>
      </c>
      <c r="G5" s="40" t="s">
        <v>65</v>
      </c>
      <c r="H5" s="40" t="s">
        <v>66</v>
      </c>
      <c r="I5" s="41" t="s">
        <v>64</v>
      </c>
      <c r="J5" s="40" t="s">
        <v>65</v>
      </c>
      <c r="K5" s="40" t="s">
        <v>67</v>
      </c>
      <c r="L5" s="41" t="s">
        <v>100</v>
      </c>
      <c r="N5" s="14"/>
      <c r="O5" s="9"/>
      <c r="P5" s="40"/>
      <c r="Q5" s="41" t="s">
        <v>68</v>
      </c>
      <c r="R5" s="42" t="s">
        <v>124</v>
      </c>
      <c r="S5" s="40" t="s">
        <v>284</v>
      </c>
      <c r="T5" s="40" t="s">
        <v>286</v>
      </c>
      <c r="U5" s="69" t="s">
        <v>313</v>
      </c>
      <c r="V5" s="40" t="s">
        <v>100</v>
      </c>
      <c r="X5" s="14"/>
      <c r="Y5" s="9"/>
      <c r="Z5" s="38" t="s">
        <v>70</v>
      </c>
      <c r="AA5" s="38" t="s">
        <v>71</v>
      </c>
      <c r="AB5" s="38" t="s">
        <v>312</v>
      </c>
      <c r="AC5" s="38" t="s">
        <v>69</v>
      </c>
      <c r="AD5" s="41" t="s">
        <v>86</v>
      </c>
      <c r="AE5" s="42" t="s">
        <v>87</v>
      </c>
      <c r="AF5" s="40" t="s">
        <v>86</v>
      </c>
      <c r="AG5" s="40" t="s">
        <v>87</v>
      </c>
      <c r="AH5" s="41" t="s">
        <v>100</v>
      </c>
      <c r="AJ5" s="14"/>
      <c r="AK5" s="9"/>
      <c r="AL5" s="38" t="s">
        <v>134</v>
      </c>
      <c r="AM5" s="38" t="s">
        <v>70</v>
      </c>
      <c r="AN5" s="38" t="s">
        <v>123</v>
      </c>
      <c r="AO5" s="41" t="s">
        <v>86</v>
      </c>
      <c r="AP5" s="42" t="s">
        <v>87</v>
      </c>
      <c r="AQ5" s="40" t="s">
        <v>86</v>
      </c>
      <c r="AR5" s="40" t="s">
        <v>87</v>
      </c>
      <c r="AS5" s="41" t="s">
        <v>99</v>
      </c>
      <c r="AT5" s="40" t="s">
        <v>100</v>
      </c>
      <c r="AV5" s="8"/>
      <c r="BA5" s="43"/>
      <c r="BB5" s="44" t="s">
        <v>305</v>
      </c>
    </row>
    <row r="6" spans="1:55" x14ac:dyDescent="0.3">
      <c r="B6" s="8"/>
      <c r="F6" s="45"/>
      <c r="I6" s="45"/>
      <c r="L6" s="45"/>
      <c r="N6" s="8"/>
      <c r="Q6" s="45"/>
      <c r="R6" s="46"/>
      <c r="U6" s="70"/>
      <c r="X6" s="8"/>
      <c r="AD6" s="45"/>
      <c r="AE6" s="46"/>
      <c r="AH6" s="45"/>
      <c r="AJ6" s="8"/>
      <c r="AO6" s="45"/>
      <c r="AP6" s="46"/>
      <c r="AS6" s="45"/>
      <c r="AV6" s="8"/>
      <c r="AW6" s="47" t="s">
        <v>303</v>
      </c>
      <c r="AX6" s="48"/>
      <c r="AY6" s="49" t="s">
        <v>337</v>
      </c>
      <c r="AZ6" s="49" t="s">
        <v>338</v>
      </c>
      <c r="BA6" s="49" t="s">
        <v>206</v>
      </c>
      <c r="BB6" s="49" t="s">
        <v>207</v>
      </c>
    </row>
    <row r="7" spans="1:55" x14ac:dyDescent="0.3">
      <c r="B7" s="8"/>
      <c r="D7" s="50" t="s">
        <v>72</v>
      </c>
      <c r="E7" s="50" t="s">
        <v>73</v>
      </c>
      <c r="F7" s="51" t="s">
        <v>74</v>
      </c>
      <c r="G7" s="50" t="s">
        <v>75</v>
      </c>
      <c r="H7" s="50" t="s">
        <v>76</v>
      </c>
      <c r="I7" s="51" t="s">
        <v>77</v>
      </c>
      <c r="J7" s="50" t="s">
        <v>78</v>
      </c>
      <c r="K7" s="50" t="s">
        <v>79</v>
      </c>
      <c r="L7" s="45"/>
      <c r="N7" s="8"/>
      <c r="P7" s="50" t="s">
        <v>81</v>
      </c>
      <c r="Q7" s="51" t="s">
        <v>82</v>
      </c>
      <c r="R7" s="52" t="s">
        <v>621</v>
      </c>
      <c r="S7" s="50" t="s">
        <v>80</v>
      </c>
      <c r="T7" s="50" t="s">
        <v>285</v>
      </c>
      <c r="U7" s="70"/>
      <c r="X7" s="8"/>
      <c r="Z7" s="50" t="s">
        <v>84</v>
      </c>
      <c r="AA7" s="50" t="s">
        <v>85</v>
      </c>
      <c r="AB7" s="50" t="s">
        <v>310</v>
      </c>
      <c r="AC7" s="50" t="s">
        <v>83</v>
      </c>
      <c r="AD7" s="51" t="s">
        <v>130</v>
      </c>
      <c r="AE7" s="52" t="s">
        <v>131</v>
      </c>
      <c r="AF7" s="50" t="s">
        <v>128</v>
      </c>
      <c r="AG7" s="50" t="s">
        <v>129</v>
      </c>
      <c r="AH7" s="45"/>
      <c r="AJ7" s="8"/>
      <c r="AL7" s="50" t="s">
        <v>133</v>
      </c>
      <c r="AM7" s="50" t="s">
        <v>101</v>
      </c>
      <c r="AN7" s="50" t="s">
        <v>622</v>
      </c>
      <c r="AO7" s="51" t="s">
        <v>130</v>
      </c>
      <c r="AP7" s="52" t="s">
        <v>131</v>
      </c>
      <c r="AQ7" s="50" t="s">
        <v>128</v>
      </c>
      <c r="AR7" s="50" t="s">
        <v>129</v>
      </c>
      <c r="AS7" s="45"/>
      <c r="AV7" s="8"/>
      <c r="AW7" s="9" t="s">
        <v>88</v>
      </c>
      <c r="AX7" s="53" t="s">
        <v>89</v>
      </c>
      <c r="AY7" s="63">
        <f>Notes!$L$4</f>
        <v>2024</v>
      </c>
      <c r="AZ7" s="63">
        <f>Notes!$L$5</f>
        <v>2040</v>
      </c>
      <c r="BA7" s="26">
        <v>0</v>
      </c>
      <c r="BB7" s="34">
        <v>1</v>
      </c>
    </row>
    <row r="8" spans="1:55" x14ac:dyDescent="0.3">
      <c r="B8" s="8"/>
      <c r="C8" s="1" t="s">
        <v>339</v>
      </c>
      <c r="D8" s="63">
        <f>Notes!$L4</f>
        <v>2024</v>
      </c>
      <c r="E8" s="63">
        <f>Notes!$L4</f>
        <v>2024</v>
      </c>
      <c r="F8" s="64">
        <f>Notes!$L4</f>
        <v>2024</v>
      </c>
      <c r="G8" s="63">
        <f>Notes!$L4</f>
        <v>2024</v>
      </c>
      <c r="H8" s="63">
        <f>Notes!$L4</f>
        <v>2024</v>
      </c>
      <c r="I8" s="64">
        <f>Notes!$L4</f>
        <v>2024</v>
      </c>
      <c r="J8" s="63">
        <f>Notes!$L4</f>
        <v>2024</v>
      </c>
      <c r="K8" s="63">
        <f>Notes!$L4</f>
        <v>2024</v>
      </c>
      <c r="L8" s="45"/>
      <c r="N8" s="8"/>
      <c r="O8" s="1" t="s">
        <v>339</v>
      </c>
      <c r="P8" s="63">
        <f>Notes!$L4</f>
        <v>2024</v>
      </c>
      <c r="Q8" s="64">
        <f>Notes!$L4</f>
        <v>2024</v>
      </c>
      <c r="R8" s="63">
        <f>Notes!$L4</f>
        <v>2024</v>
      </c>
      <c r="S8" s="64">
        <f>Notes!$L4</f>
        <v>2024</v>
      </c>
      <c r="T8" s="63">
        <f>Notes!$L4</f>
        <v>2024</v>
      </c>
      <c r="U8" s="70"/>
      <c r="X8" s="8"/>
      <c r="Y8" s="1" t="s">
        <v>339</v>
      </c>
      <c r="Z8" s="63">
        <f>Notes!$L4</f>
        <v>2024</v>
      </c>
      <c r="AA8" s="63">
        <f>Notes!$L4</f>
        <v>2024</v>
      </c>
      <c r="AB8" s="63">
        <f>Notes!$L4</f>
        <v>2024</v>
      </c>
      <c r="AC8" s="63">
        <f>Notes!$L4</f>
        <v>2024</v>
      </c>
      <c r="AD8" s="64">
        <f>Notes!$L4</f>
        <v>2024</v>
      </c>
      <c r="AE8" s="63">
        <f>Notes!$L4</f>
        <v>2024</v>
      </c>
      <c r="AF8" s="64">
        <f>Notes!$L4</f>
        <v>2024</v>
      </c>
      <c r="AG8" s="63">
        <f>Notes!$L4</f>
        <v>2024</v>
      </c>
      <c r="AH8" s="45"/>
      <c r="AJ8" s="8"/>
      <c r="AK8" s="1" t="s">
        <v>339</v>
      </c>
      <c r="AL8" s="63">
        <f>Notes!$L4</f>
        <v>2024</v>
      </c>
      <c r="AM8" s="63">
        <f>Notes!$L4</f>
        <v>2024</v>
      </c>
      <c r="AN8" s="63">
        <f>Notes!$L4</f>
        <v>2024</v>
      </c>
      <c r="AO8" s="64">
        <f>Notes!$L4</f>
        <v>2024</v>
      </c>
      <c r="AP8" s="63">
        <f>Notes!$L4</f>
        <v>2024</v>
      </c>
      <c r="AQ8" s="64">
        <f>Notes!$L$4</f>
        <v>2024</v>
      </c>
      <c r="AR8" s="63">
        <f>Notes!$L4</f>
        <v>2024</v>
      </c>
      <c r="AS8" s="45"/>
      <c r="AV8" s="8"/>
      <c r="AW8" s="9" t="s">
        <v>92</v>
      </c>
      <c r="AX8" s="53" t="s">
        <v>93</v>
      </c>
      <c r="AY8" s="63">
        <f>Notes!$L$4</f>
        <v>2024</v>
      </c>
      <c r="AZ8" s="63">
        <f>Notes!$L$5</f>
        <v>2040</v>
      </c>
      <c r="BA8" s="26">
        <v>0</v>
      </c>
      <c r="BB8" s="34">
        <v>1</v>
      </c>
    </row>
    <row r="9" spans="1:55" x14ac:dyDescent="0.3">
      <c r="B9" s="8"/>
      <c r="C9" s="1" t="s">
        <v>340</v>
      </c>
      <c r="D9" s="63">
        <f>Notes!$L5</f>
        <v>2040</v>
      </c>
      <c r="E9" s="63">
        <f>Notes!$L5</f>
        <v>2040</v>
      </c>
      <c r="F9" s="64">
        <f>Notes!$L5</f>
        <v>2040</v>
      </c>
      <c r="G9" s="63">
        <f>Notes!$L5</f>
        <v>2040</v>
      </c>
      <c r="H9" s="63">
        <f>Notes!$L5</f>
        <v>2040</v>
      </c>
      <c r="I9" s="64">
        <f>Notes!$L5</f>
        <v>2040</v>
      </c>
      <c r="J9" s="63">
        <f>Notes!$L5</f>
        <v>2040</v>
      </c>
      <c r="K9" s="63">
        <f>Notes!$L5</f>
        <v>2040</v>
      </c>
      <c r="L9" s="45"/>
      <c r="N9" s="8"/>
      <c r="O9" s="1" t="s">
        <v>340</v>
      </c>
      <c r="P9" s="63">
        <f>Notes!$L5</f>
        <v>2040</v>
      </c>
      <c r="Q9" s="64">
        <f>Notes!$L5</f>
        <v>2040</v>
      </c>
      <c r="R9" s="63">
        <f>Notes!$L5</f>
        <v>2040</v>
      </c>
      <c r="S9" s="64">
        <f>Notes!$L5</f>
        <v>2040</v>
      </c>
      <c r="T9" s="63">
        <f>Notes!$L5</f>
        <v>2040</v>
      </c>
      <c r="U9" s="70"/>
      <c r="X9" s="8"/>
      <c r="Y9" s="1" t="s">
        <v>340</v>
      </c>
      <c r="Z9" s="63">
        <f>Notes!$L5</f>
        <v>2040</v>
      </c>
      <c r="AA9" s="63">
        <f>Notes!$L5</f>
        <v>2040</v>
      </c>
      <c r="AB9" s="63">
        <f>Notes!$L5</f>
        <v>2040</v>
      </c>
      <c r="AC9" s="63">
        <f>Notes!$L5</f>
        <v>2040</v>
      </c>
      <c r="AD9" s="64">
        <f>Notes!$L5</f>
        <v>2040</v>
      </c>
      <c r="AE9" s="63">
        <f>Notes!$L5</f>
        <v>2040</v>
      </c>
      <c r="AF9" s="64">
        <f>Notes!$L5</f>
        <v>2040</v>
      </c>
      <c r="AG9" s="63">
        <f>Notes!$L5</f>
        <v>2040</v>
      </c>
      <c r="AH9" s="45"/>
      <c r="AJ9" s="8"/>
      <c r="AK9" s="1" t="s">
        <v>340</v>
      </c>
      <c r="AL9" s="63">
        <f>Notes!$L5</f>
        <v>2040</v>
      </c>
      <c r="AM9" s="63">
        <f>Notes!$L5</f>
        <v>2040</v>
      </c>
      <c r="AN9" s="63">
        <f>Notes!$L5</f>
        <v>2040</v>
      </c>
      <c r="AO9" s="64">
        <f>Notes!$L5</f>
        <v>2040</v>
      </c>
      <c r="AP9" s="63">
        <f>Notes!$L5</f>
        <v>2040</v>
      </c>
      <c r="AQ9" s="64">
        <f>Notes!$L5</f>
        <v>2040</v>
      </c>
      <c r="AR9" s="63">
        <f>Notes!$L5</f>
        <v>2040</v>
      </c>
      <c r="AS9" s="45"/>
      <c r="AV9" s="8"/>
      <c r="AW9" s="9" t="s">
        <v>90</v>
      </c>
      <c r="AX9" s="53" t="s">
        <v>91</v>
      </c>
      <c r="AY9" s="63">
        <f>Notes!$L$4</f>
        <v>2024</v>
      </c>
      <c r="AZ9" s="63">
        <f>Notes!$L$5</f>
        <v>2040</v>
      </c>
      <c r="BA9" s="26">
        <v>0</v>
      </c>
      <c r="BB9" s="34">
        <v>1</v>
      </c>
    </row>
    <row r="10" spans="1:55" x14ac:dyDescent="0.3">
      <c r="B10" s="8"/>
      <c r="F10" s="45"/>
      <c r="I10" s="45"/>
      <c r="L10" s="45"/>
      <c r="N10" s="8"/>
      <c r="Q10" s="45"/>
      <c r="R10" s="46"/>
      <c r="U10" s="70"/>
      <c r="X10" s="8"/>
      <c r="AD10" s="45"/>
      <c r="AE10" s="46"/>
      <c r="AH10" s="45"/>
      <c r="AJ10" s="8"/>
      <c r="AO10" s="45"/>
      <c r="AP10" s="46"/>
      <c r="AS10" s="45"/>
      <c r="AV10" s="8"/>
      <c r="AW10" s="9" t="s">
        <v>298</v>
      </c>
      <c r="AX10" s="53" t="s">
        <v>299</v>
      </c>
      <c r="AY10" s="63">
        <f>Notes!$L$4</f>
        <v>2024</v>
      </c>
      <c r="AZ10" s="63">
        <f>Notes!$L$5</f>
        <v>2040</v>
      </c>
      <c r="BA10" s="26">
        <v>0</v>
      </c>
      <c r="BB10" s="34">
        <v>1</v>
      </c>
    </row>
    <row r="11" spans="1:55" x14ac:dyDescent="0.3">
      <c r="B11" s="8"/>
      <c r="C11" s="54" t="s">
        <v>302</v>
      </c>
      <c r="D11" s="55"/>
      <c r="E11" s="55"/>
      <c r="F11" s="56"/>
      <c r="G11" s="55"/>
      <c r="H11" s="55"/>
      <c r="I11" s="56"/>
      <c r="J11" s="55"/>
      <c r="K11" s="55"/>
      <c r="L11" s="56"/>
      <c r="N11" s="8"/>
      <c r="O11" s="54" t="s">
        <v>302</v>
      </c>
      <c r="P11" s="53"/>
      <c r="Q11" s="57"/>
      <c r="R11" s="58"/>
      <c r="S11" s="53"/>
      <c r="T11" s="53"/>
      <c r="U11" s="71"/>
      <c r="V11" s="53"/>
      <c r="X11" s="8"/>
      <c r="Y11" s="54" t="s">
        <v>302</v>
      </c>
      <c r="Z11" s="53"/>
      <c r="AA11" s="53"/>
      <c r="AB11" s="53"/>
      <c r="AC11" s="53"/>
      <c r="AD11" s="57"/>
      <c r="AE11" s="58"/>
      <c r="AF11" s="53"/>
      <c r="AG11" s="53"/>
      <c r="AH11" s="56"/>
      <c r="AJ11" s="8"/>
      <c r="AK11" s="54" t="s">
        <v>302</v>
      </c>
      <c r="AL11" s="54"/>
      <c r="AM11" s="59"/>
      <c r="AN11" s="53"/>
      <c r="AO11" s="57"/>
      <c r="AP11" s="58"/>
      <c r="AQ11" s="53"/>
      <c r="AR11" s="53"/>
      <c r="AS11" s="57"/>
      <c r="AT11" s="53"/>
      <c r="AV11" s="8"/>
      <c r="AW11" s="9" t="s">
        <v>98</v>
      </c>
      <c r="AX11" s="53" t="s">
        <v>101</v>
      </c>
      <c r="AY11" s="63">
        <f>Notes!$L$4</f>
        <v>2024</v>
      </c>
      <c r="AZ11" s="63">
        <f>Notes!$L$5</f>
        <v>2040</v>
      </c>
      <c r="BA11" s="26">
        <v>0</v>
      </c>
      <c r="BB11" s="34">
        <v>1</v>
      </c>
    </row>
    <row r="12" spans="1:55" x14ac:dyDescent="0.3">
      <c r="B12" s="8"/>
      <c r="C12" s="54"/>
      <c r="D12" s="50" t="s">
        <v>72</v>
      </c>
      <c r="E12" s="50" t="s">
        <v>73</v>
      </c>
      <c r="F12" s="51" t="s">
        <v>74</v>
      </c>
      <c r="G12" s="50" t="s">
        <v>75</v>
      </c>
      <c r="H12" s="50" t="s">
        <v>76</v>
      </c>
      <c r="I12" s="51" t="s">
        <v>77</v>
      </c>
      <c r="J12" s="50" t="s">
        <v>78</v>
      </c>
      <c r="K12" s="50" t="s">
        <v>79</v>
      </c>
      <c r="L12" s="56"/>
      <c r="N12" s="8"/>
      <c r="O12" s="54"/>
      <c r="P12" s="50" t="s">
        <v>81</v>
      </c>
      <c r="Q12" s="51" t="s">
        <v>82</v>
      </c>
      <c r="R12" s="52" t="s">
        <v>621</v>
      </c>
      <c r="S12" s="53"/>
      <c r="T12" s="53"/>
      <c r="U12" s="71"/>
      <c r="V12" s="53"/>
      <c r="X12" s="8"/>
      <c r="Y12" s="54"/>
      <c r="Z12" s="50" t="s">
        <v>84</v>
      </c>
      <c r="AA12" s="50" t="s">
        <v>85</v>
      </c>
      <c r="AB12" s="50" t="s">
        <v>310</v>
      </c>
      <c r="AC12" s="50" t="s">
        <v>83</v>
      </c>
      <c r="AD12" s="51" t="s">
        <v>130</v>
      </c>
      <c r="AE12" s="52" t="s">
        <v>131</v>
      </c>
      <c r="AF12" s="50" t="s">
        <v>128</v>
      </c>
      <c r="AG12" s="50" t="s">
        <v>129</v>
      </c>
      <c r="AH12" s="56"/>
      <c r="AJ12" s="8"/>
      <c r="AK12" s="54"/>
      <c r="AL12" s="50" t="s">
        <v>133</v>
      </c>
      <c r="AM12" s="50" t="s">
        <v>101</v>
      </c>
      <c r="AN12" s="50" t="s">
        <v>622</v>
      </c>
      <c r="AO12" s="51" t="s">
        <v>130</v>
      </c>
      <c r="AP12" s="52" t="s">
        <v>131</v>
      </c>
      <c r="AQ12" s="50" t="s">
        <v>128</v>
      </c>
      <c r="AR12" s="50" t="s">
        <v>129</v>
      </c>
      <c r="AS12" s="57"/>
      <c r="AT12" s="53"/>
      <c r="AV12" s="8"/>
      <c r="AW12" s="9" t="s">
        <v>94</v>
      </c>
      <c r="AX12" s="53" t="s">
        <v>95</v>
      </c>
      <c r="AY12" s="63">
        <f>Notes!$L$4</f>
        <v>2024</v>
      </c>
      <c r="AZ12" s="63">
        <f>Notes!$L$5</f>
        <v>2040</v>
      </c>
      <c r="BA12" s="26">
        <v>0</v>
      </c>
      <c r="BB12" s="34">
        <v>1</v>
      </c>
    </row>
    <row r="13" spans="1:55" x14ac:dyDescent="0.3">
      <c r="B13" s="8"/>
      <c r="C13" s="55"/>
      <c r="D13" s="34">
        <v>1</v>
      </c>
      <c r="E13" s="34">
        <v>1</v>
      </c>
      <c r="F13" s="32">
        <v>1</v>
      </c>
      <c r="G13" s="34">
        <v>1</v>
      </c>
      <c r="H13" s="34">
        <v>1</v>
      </c>
      <c r="I13" s="32">
        <v>1</v>
      </c>
      <c r="J13" s="34">
        <v>1</v>
      </c>
      <c r="K13" s="34">
        <v>1</v>
      </c>
      <c r="L13" s="56"/>
      <c r="N13" s="8"/>
      <c r="O13" s="55"/>
      <c r="P13" s="34">
        <v>1</v>
      </c>
      <c r="Q13" s="32">
        <v>1</v>
      </c>
      <c r="R13" s="35">
        <v>1</v>
      </c>
      <c r="S13" s="55"/>
      <c r="T13" s="55"/>
      <c r="U13" s="72"/>
      <c r="V13" s="55"/>
      <c r="X13" s="8"/>
      <c r="Y13" s="55"/>
      <c r="Z13" s="34">
        <v>1</v>
      </c>
      <c r="AA13" s="34">
        <v>1</v>
      </c>
      <c r="AB13" s="34">
        <v>1</v>
      </c>
      <c r="AC13" s="34">
        <v>1</v>
      </c>
      <c r="AD13" s="32">
        <v>1</v>
      </c>
      <c r="AE13" s="35">
        <v>1</v>
      </c>
      <c r="AF13" s="34">
        <v>1</v>
      </c>
      <c r="AG13" s="34">
        <v>1</v>
      </c>
      <c r="AH13" s="56"/>
      <c r="AJ13" s="8"/>
      <c r="AK13" s="55"/>
      <c r="AL13" s="34">
        <v>1</v>
      </c>
      <c r="AM13" s="34">
        <v>1</v>
      </c>
      <c r="AN13" s="34">
        <v>1</v>
      </c>
      <c r="AO13" s="32">
        <v>1</v>
      </c>
      <c r="AP13" s="35">
        <v>1</v>
      </c>
      <c r="AQ13" s="34">
        <v>1</v>
      </c>
      <c r="AR13" s="34">
        <v>1</v>
      </c>
      <c r="AS13" s="56"/>
      <c r="AT13" s="55"/>
      <c r="AV13" s="8"/>
      <c r="AW13" s="9" t="s">
        <v>96</v>
      </c>
      <c r="AX13" s="53" t="s">
        <v>97</v>
      </c>
      <c r="AY13" s="63">
        <f>Notes!$L$4</f>
        <v>2024</v>
      </c>
      <c r="AZ13" s="63">
        <f>Notes!$L$5</f>
        <v>2040</v>
      </c>
      <c r="BA13" s="26">
        <v>0</v>
      </c>
      <c r="BB13" s="34">
        <v>1</v>
      </c>
    </row>
    <row r="14" spans="1:55" x14ac:dyDescent="0.3">
      <c r="B14" s="8"/>
      <c r="C14" s="55"/>
      <c r="F14" s="45"/>
      <c r="I14" s="45"/>
      <c r="L14" s="45"/>
      <c r="N14" s="8"/>
      <c r="O14" s="55"/>
      <c r="Q14" s="45"/>
      <c r="R14" s="46"/>
      <c r="U14" s="70"/>
      <c r="X14" s="8"/>
      <c r="Y14" s="55"/>
      <c r="AD14" s="45"/>
      <c r="AE14" s="46"/>
      <c r="AH14" s="45"/>
      <c r="AJ14" s="8"/>
      <c r="AK14" s="55"/>
      <c r="AL14" s="55"/>
      <c r="AO14" s="45"/>
      <c r="AP14" s="46"/>
      <c r="AS14" s="45"/>
      <c r="AV14" s="8"/>
      <c r="AW14" s="9" t="s">
        <v>297</v>
      </c>
      <c r="AX14" s="53" t="s">
        <v>296</v>
      </c>
      <c r="AY14" s="63">
        <f>Notes!$L$4</f>
        <v>2024</v>
      </c>
      <c r="AZ14" s="63">
        <f>Notes!$L$5</f>
        <v>2040</v>
      </c>
      <c r="BA14" s="26">
        <v>0</v>
      </c>
      <c r="BB14" s="34">
        <v>1</v>
      </c>
    </row>
    <row r="15" spans="1:55" x14ac:dyDescent="0.3">
      <c r="B15" s="8"/>
      <c r="C15" s="54" t="s">
        <v>301</v>
      </c>
      <c r="F15" s="45"/>
      <c r="I15" s="45"/>
      <c r="L15" s="45"/>
      <c r="N15" s="8"/>
      <c r="O15" s="54" t="s">
        <v>301</v>
      </c>
      <c r="P15" s="60"/>
      <c r="Q15" s="45"/>
      <c r="R15" s="46"/>
      <c r="U15" s="70"/>
      <c r="X15" s="8"/>
      <c r="Y15" s="54" t="s">
        <v>301</v>
      </c>
      <c r="Z15" s="60"/>
      <c r="AD15" s="45"/>
      <c r="AE15" s="46"/>
      <c r="AH15" s="45"/>
      <c r="AJ15" s="8"/>
      <c r="AK15" s="54" t="s">
        <v>301</v>
      </c>
      <c r="AL15" s="54"/>
      <c r="AO15" s="45"/>
      <c r="AP15" s="46"/>
      <c r="AS15" s="45"/>
      <c r="AV15" s="8"/>
      <c r="AW15" s="9" t="s">
        <v>762</v>
      </c>
      <c r="AX15" s="53" t="s">
        <v>131</v>
      </c>
      <c r="AY15" s="63">
        <f>Notes!$L$4</f>
        <v>2024</v>
      </c>
      <c r="AZ15" s="63">
        <f>Notes!$L$5</f>
        <v>2040</v>
      </c>
      <c r="BA15" s="26">
        <v>0</v>
      </c>
      <c r="BB15" s="34">
        <v>1</v>
      </c>
    </row>
    <row r="16" spans="1:55" x14ac:dyDescent="0.3">
      <c r="B16" s="8"/>
      <c r="D16" s="50" t="s">
        <v>72</v>
      </c>
      <c r="E16" s="50" t="s">
        <v>73</v>
      </c>
      <c r="F16" s="51" t="s">
        <v>74</v>
      </c>
      <c r="G16" s="50" t="s">
        <v>75</v>
      </c>
      <c r="H16" s="50" t="s">
        <v>76</v>
      </c>
      <c r="I16" s="51" t="s">
        <v>77</v>
      </c>
      <c r="J16" s="50" t="s">
        <v>78</v>
      </c>
      <c r="K16" s="50" t="s">
        <v>79</v>
      </c>
      <c r="L16" s="51" t="s">
        <v>123</v>
      </c>
      <c r="N16" s="8"/>
      <c r="P16" s="50" t="s">
        <v>81</v>
      </c>
      <c r="Q16" s="51" t="s">
        <v>82</v>
      </c>
      <c r="R16" s="52" t="s">
        <v>621</v>
      </c>
      <c r="S16" s="50" t="s">
        <v>80</v>
      </c>
      <c r="T16" s="50" t="s">
        <v>285</v>
      </c>
      <c r="U16" s="73" t="s">
        <v>310</v>
      </c>
      <c r="V16" s="50" t="s">
        <v>123</v>
      </c>
      <c r="X16" s="8"/>
      <c r="Z16" s="50" t="s">
        <v>84</v>
      </c>
      <c r="AA16" s="50" t="s">
        <v>85</v>
      </c>
      <c r="AB16" s="50" t="s">
        <v>310</v>
      </c>
      <c r="AC16" s="50" t="s">
        <v>83</v>
      </c>
      <c r="AD16" s="51" t="s">
        <v>130</v>
      </c>
      <c r="AE16" s="52" t="s">
        <v>131</v>
      </c>
      <c r="AF16" s="50" t="s">
        <v>128</v>
      </c>
      <c r="AG16" s="61" t="s">
        <v>129</v>
      </c>
      <c r="AH16" s="51" t="s">
        <v>123</v>
      </c>
      <c r="AJ16" s="8"/>
      <c r="AL16" s="50" t="s">
        <v>133</v>
      </c>
      <c r="AM16" s="50" t="s">
        <v>101</v>
      </c>
      <c r="AN16" s="50" t="s">
        <v>622</v>
      </c>
      <c r="AO16" s="51" t="s">
        <v>130</v>
      </c>
      <c r="AP16" s="62" t="s">
        <v>131</v>
      </c>
      <c r="AQ16" s="50" t="s">
        <v>128</v>
      </c>
      <c r="AR16" s="61" t="s">
        <v>129</v>
      </c>
      <c r="AS16" s="51" t="s">
        <v>288</v>
      </c>
      <c r="AT16" s="50" t="s">
        <v>123</v>
      </c>
      <c r="AV16" s="8"/>
      <c r="AW16" s="9" t="s">
        <v>763</v>
      </c>
      <c r="AX16" s="53" t="s">
        <v>129</v>
      </c>
      <c r="AY16" s="63">
        <f>Notes!$L$4</f>
        <v>2024</v>
      </c>
      <c r="AZ16" s="63">
        <f>Notes!$L$5</f>
        <v>2040</v>
      </c>
      <c r="BA16" s="26">
        <v>0</v>
      </c>
      <c r="BB16" s="34">
        <v>1</v>
      </c>
    </row>
    <row r="17" spans="2:54" x14ac:dyDescent="0.3">
      <c r="B17" s="8"/>
      <c r="C17" s="2" t="s">
        <v>713</v>
      </c>
      <c r="D17" s="26">
        <v>0</v>
      </c>
      <c r="E17" s="26">
        <v>0</v>
      </c>
      <c r="F17" s="27">
        <v>0</v>
      </c>
      <c r="G17" s="26">
        <v>0</v>
      </c>
      <c r="H17" s="26">
        <v>0</v>
      </c>
      <c r="I17" s="27">
        <v>0</v>
      </c>
      <c r="J17" s="26">
        <v>0</v>
      </c>
      <c r="K17" s="26">
        <v>0</v>
      </c>
      <c r="L17" s="67">
        <v>1</v>
      </c>
      <c r="N17" s="8"/>
      <c r="O17" s="2" t="s">
        <v>649</v>
      </c>
      <c r="P17" s="26">
        <v>0</v>
      </c>
      <c r="Q17" s="27">
        <v>0</v>
      </c>
      <c r="R17" s="30">
        <v>0</v>
      </c>
      <c r="S17" s="27">
        <v>0</v>
      </c>
      <c r="T17" s="30">
        <v>0</v>
      </c>
      <c r="U17" s="34">
        <v>1</v>
      </c>
      <c r="V17" s="34">
        <v>1</v>
      </c>
      <c r="X17" s="8"/>
      <c r="Y17" s="2" t="s">
        <v>852</v>
      </c>
      <c r="Z17" s="26">
        <v>0</v>
      </c>
      <c r="AA17" s="26">
        <v>0</v>
      </c>
      <c r="AB17" s="26">
        <v>0</v>
      </c>
      <c r="AC17" s="26">
        <v>0</v>
      </c>
      <c r="AD17" s="27">
        <v>0</v>
      </c>
      <c r="AE17" s="30">
        <v>0</v>
      </c>
      <c r="AF17" s="26">
        <v>0</v>
      </c>
      <c r="AG17" s="26">
        <v>0</v>
      </c>
      <c r="AH17" s="32">
        <v>1</v>
      </c>
      <c r="AJ17" s="8"/>
      <c r="AK17" s="2" t="s">
        <v>8</v>
      </c>
      <c r="AL17" s="26">
        <v>0</v>
      </c>
      <c r="AM17" s="26">
        <v>0</v>
      </c>
      <c r="AN17" s="26">
        <v>0</v>
      </c>
      <c r="AO17" s="27">
        <v>0</v>
      </c>
      <c r="AP17" s="30">
        <v>0</v>
      </c>
      <c r="AQ17" s="26">
        <v>0</v>
      </c>
      <c r="AR17" s="26">
        <v>0</v>
      </c>
      <c r="AS17" s="32">
        <v>1</v>
      </c>
      <c r="AT17" s="34">
        <v>1</v>
      </c>
      <c r="AV17" s="8"/>
      <c r="AW17" s="9" t="s">
        <v>290</v>
      </c>
      <c r="AX17" s="53" t="s">
        <v>74</v>
      </c>
      <c r="AY17" s="63">
        <f>Notes!$L$4</f>
        <v>2024</v>
      </c>
      <c r="AZ17" s="63">
        <f>Notes!$L$5</f>
        <v>2040</v>
      </c>
      <c r="BA17" s="26">
        <v>0</v>
      </c>
      <c r="BB17" s="34">
        <v>1</v>
      </c>
    </row>
    <row r="18" spans="2:54" x14ac:dyDescent="0.3">
      <c r="B18" s="8"/>
      <c r="C18" s="2" t="s">
        <v>766</v>
      </c>
      <c r="D18" s="26">
        <v>0</v>
      </c>
      <c r="E18" s="26">
        <v>0</v>
      </c>
      <c r="F18" s="27">
        <v>0</v>
      </c>
      <c r="G18" s="26">
        <v>0</v>
      </c>
      <c r="H18" s="26">
        <v>0</v>
      </c>
      <c r="I18" s="27">
        <v>0</v>
      </c>
      <c r="J18" s="26">
        <v>0</v>
      </c>
      <c r="K18" s="26">
        <v>0</v>
      </c>
      <c r="L18" s="67">
        <v>1</v>
      </c>
      <c r="N18" s="8"/>
      <c r="O18" s="2" t="s">
        <v>809</v>
      </c>
      <c r="P18" s="26">
        <v>0</v>
      </c>
      <c r="Q18" s="27">
        <v>0</v>
      </c>
      <c r="R18" s="30">
        <v>0</v>
      </c>
      <c r="S18" s="27">
        <v>0</v>
      </c>
      <c r="T18" s="30">
        <v>0</v>
      </c>
      <c r="U18" s="34">
        <v>1</v>
      </c>
      <c r="V18" s="34">
        <v>1</v>
      </c>
      <c r="X18" s="8"/>
      <c r="Y18" s="2" t="s">
        <v>853</v>
      </c>
      <c r="Z18" s="26">
        <v>0</v>
      </c>
      <c r="AA18" s="26">
        <v>0</v>
      </c>
      <c r="AB18" s="26">
        <v>0</v>
      </c>
      <c r="AC18" s="26">
        <v>0</v>
      </c>
      <c r="AD18" s="27">
        <v>0</v>
      </c>
      <c r="AE18" s="30">
        <v>0</v>
      </c>
      <c r="AF18" s="26">
        <v>0</v>
      </c>
      <c r="AG18" s="26">
        <v>0</v>
      </c>
      <c r="AH18" s="32">
        <v>1</v>
      </c>
      <c r="AJ18" s="8"/>
      <c r="AK18" s="2" t="s">
        <v>985</v>
      </c>
      <c r="AL18" s="26">
        <v>0</v>
      </c>
      <c r="AM18" s="26">
        <v>0</v>
      </c>
      <c r="AN18" s="26">
        <v>0</v>
      </c>
      <c r="AO18" s="27">
        <v>0</v>
      </c>
      <c r="AP18" s="30">
        <v>0</v>
      </c>
      <c r="AQ18" s="26">
        <v>0</v>
      </c>
      <c r="AR18" s="26">
        <v>0</v>
      </c>
      <c r="AS18" s="32">
        <v>1</v>
      </c>
      <c r="AT18" s="34">
        <v>1</v>
      </c>
      <c r="AV18" s="8"/>
      <c r="AW18" s="9" t="s">
        <v>291</v>
      </c>
      <c r="AX18" s="53" t="s">
        <v>75</v>
      </c>
      <c r="AY18" s="63">
        <f>Notes!$L$4</f>
        <v>2024</v>
      </c>
      <c r="AZ18" s="63">
        <f>Notes!$L$5</f>
        <v>2040</v>
      </c>
      <c r="BA18" s="26">
        <v>0</v>
      </c>
      <c r="BB18" s="34">
        <v>1</v>
      </c>
    </row>
    <row r="19" spans="2:54" x14ac:dyDescent="0.3">
      <c r="B19" s="8"/>
      <c r="C19" s="2" t="s">
        <v>976</v>
      </c>
      <c r="D19" s="26">
        <v>0</v>
      </c>
      <c r="E19" s="26">
        <v>0</v>
      </c>
      <c r="F19" s="27">
        <v>0</v>
      </c>
      <c r="G19" s="26">
        <v>0</v>
      </c>
      <c r="H19" s="26">
        <v>0</v>
      </c>
      <c r="I19" s="27">
        <v>0</v>
      </c>
      <c r="J19" s="26">
        <v>0</v>
      </c>
      <c r="K19" s="26">
        <v>0</v>
      </c>
      <c r="L19" s="67">
        <v>1</v>
      </c>
      <c r="N19" s="8"/>
      <c r="O19" s="2" t="s">
        <v>946</v>
      </c>
      <c r="P19" s="26">
        <v>0</v>
      </c>
      <c r="Q19" s="27">
        <v>0</v>
      </c>
      <c r="R19" s="30">
        <v>0</v>
      </c>
      <c r="S19" s="27">
        <v>0</v>
      </c>
      <c r="T19" s="30">
        <v>0</v>
      </c>
      <c r="U19" s="34">
        <v>1</v>
      </c>
      <c r="V19" s="34">
        <v>1</v>
      </c>
      <c r="X19" s="8"/>
      <c r="Y19" s="2" t="s">
        <v>854</v>
      </c>
      <c r="Z19" s="26">
        <v>0</v>
      </c>
      <c r="AA19" s="26">
        <v>0</v>
      </c>
      <c r="AB19" s="26">
        <v>0</v>
      </c>
      <c r="AC19" s="26">
        <v>0</v>
      </c>
      <c r="AD19" s="27">
        <v>0</v>
      </c>
      <c r="AE19" s="30">
        <v>0</v>
      </c>
      <c r="AF19" s="26">
        <v>0</v>
      </c>
      <c r="AG19" s="26">
        <v>0</v>
      </c>
      <c r="AH19" s="32">
        <v>1</v>
      </c>
      <c r="AJ19" s="8"/>
      <c r="AK19" s="2" t="s">
        <v>986</v>
      </c>
      <c r="AL19" s="26">
        <v>0</v>
      </c>
      <c r="AM19" s="26">
        <v>0</v>
      </c>
      <c r="AN19" s="26">
        <v>0</v>
      </c>
      <c r="AO19" s="27">
        <v>0</v>
      </c>
      <c r="AP19" s="30">
        <v>0</v>
      </c>
      <c r="AQ19" s="26">
        <v>0</v>
      </c>
      <c r="AR19" s="26">
        <v>0</v>
      </c>
      <c r="AS19" s="32">
        <v>1</v>
      </c>
      <c r="AT19" s="34">
        <v>1</v>
      </c>
      <c r="AV19" s="8"/>
      <c r="AW19" s="9" t="s">
        <v>292</v>
      </c>
      <c r="AX19" s="53" t="s">
        <v>76</v>
      </c>
      <c r="AY19" s="63">
        <f>Notes!$L$4</f>
        <v>2024</v>
      </c>
      <c r="AZ19" s="63">
        <f>Notes!$L$5</f>
        <v>2040</v>
      </c>
      <c r="BA19" s="26">
        <v>0</v>
      </c>
      <c r="BB19" s="34">
        <v>1</v>
      </c>
    </row>
    <row r="20" spans="2:54" x14ac:dyDescent="0.3">
      <c r="B20" s="8"/>
      <c r="C20" s="2" t="s">
        <v>977</v>
      </c>
      <c r="D20" s="26">
        <v>0</v>
      </c>
      <c r="E20" s="26">
        <v>0</v>
      </c>
      <c r="F20" s="27">
        <v>0</v>
      </c>
      <c r="G20" s="26">
        <v>0</v>
      </c>
      <c r="H20" s="26">
        <v>0</v>
      </c>
      <c r="I20" s="27">
        <v>0</v>
      </c>
      <c r="J20" s="26">
        <v>0</v>
      </c>
      <c r="K20" s="26">
        <v>0</v>
      </c>
      <c r="L20" s="67">
        <v>1</v>
      </c>
      <c r="N20" s="8"/>
      <c r="O20" s="2" t="s">
        <v>947</v>
      </c>
      <c r="P20" s="26">
        <v>0</v>
      </c>
      <c r="Q20" s="27">
        <v>0</v>
      </c>
      <c r="R20" s="30">
        <v>0</v>
      </c>
      <c r="S20" s="27">
        <v>0</v>
      </c>
      <c r="T20" s="30">
        <v>0</v>
      </c>
      <c r="U20" s="34">
        <v>1</v>
      </c>
      <c r="V20" s="34">
        <v>1</v>
      </c>
      <c r="X20" s="8"/>
      <c r="Y20" s="2" t="s">
        <v>855</v>
      </c>
      <c r="Z20" s="26">
        <v>0</v>
      </c>
      <c r="AA20" s="26">
        <v>0</v>
      </c>
      <c r="AB20" s="26">
        <v>0</v>
      </c>
      <c r="AC20" s="26">
        <v>0</v>
      </c>
      <c r="AD20" s="27">
        <v>0</v>
      </c>
      <c r="AE20" s="30">
        <v>0</v>
      </c>
      <c r="AF20" s="26">
        <v>0</v>
      </c>
      <c r="AG20" s="26">
        <v>0</v>
      </c>
      <c r="AH20" s="32">
        <v>1</v>
      </c>
      <c r="AJ20" s="8"/>
      <c r="AK20" s="2" t="s">
        <v>987</v>
      </c>
      <c r="AL20" s="26">
        <v>0</v>
      </c>
      <c r="AM20" s="26">
        <v>0</v>
      </c>
      <c r="AN20" s="26">
        <v>0</v>
      </c>
      <c r="AO20" s="27">
        <v>0</v>
      </c>
      <c r="AP20" s="30">
        <v>0</v>
      </c>
      <c r="AQ20" s="26">
        <v>0</v>
      </c>
      <c r="AR20" s="26">
        <v>0</v>
      </c>
      <c r="AS20" s="32">
        <v>1</v>
      </c>
      <c r="AT20" s="34">
        <v>1</v>
      </c>
      <c r="AV20" s="8"/>
      <c r="AW20" s="9" t="s">
        <v>61</v>
      </c>
      <c r="AX20" s="53" t="s">
        <v>82</v>
      </c>
      <c r="AY20" s="63">
        <f>Notes!$L$4</f>
        <v>2024</v>
      </c>
      <c r="AZ20" s="63">
        <f>Notes!$L$5</f>
        <v>2040</v>
      </c>
      <c r="BA20" s="26">
        <v>0</v>
      </c>
      <c r="BB20" s="34">
        <v>1</v>
      </c>
    </row>
    <row r="21" spans="2:54" x14ac:dyDescent="0.3">
      <c r="B21" s="8"/>
      <c r="C21" s="2" t="s">
        <v>767</v>
      </c>
      <c r="D21" s="26">
        <v>0</v>
      </c>
      <c r="E21" s="26">
        <v>0</v>
      </c>
      <c r="F21" s="27">
        <v>0</v>
      </c>
      <c r="G21" s="26">
        <v>0</v>
      </c>
      <c r="H21" s="26">
        <v>0</v>
      </c>
      <c r="I21" s="27">
        <v>0</v>
      </c>
      <c r="J21" s="26">
        <v>0</v>
      </c>
      <c r="K21" s="26">
        <v>0</v>
      </c>
      <c r="L21" s="67">
        <v>1</v>
      </c>
      <c r="N21" s="8"/>
      <c r="O21" s="2" t="s">
        <v>810</v>
      </c>
      <c r="P21" s="26">
        <v>0</v>
      </c>
      <c r="Q21" s="27">
        <v>0</v>
      </c>
      <c r="R21" s="30">
        <v>0</v>
      </c>
      <c r="S21" s="27">
        <v>0</v>
      </c>
      <c r="T21" s="30">
        <v>0</v>
      </c>
      <c r="U21" s="34">
        <v>1</v>
      </c>
      <c r="V21" s="34">
        <v>1</v>
      </c>
      <c r="X21" s="8"/>
      <c r="Y21" s="2" t="s">
        <v>856</v>
      </c>
      <c r="Z21" s="26">
        <v>0</v>
      </c>
      <c r="AA21" s="26">
        <v>0</v>
      </c>
      <c r="AB21" s="26">
        <v>0</v>
      </c>
      <c r="AC21" s="26">
        <v>0</v>
      </c>
      <c r="AD21" s="27">
        <v>0</v>
      </c>
      <c r="AE21" s="30">
        <v>0</v>
      </c>
      <c r="AF21" s="26">
        <v>0</v>
      </c>
      <c r="AG21" s="26">
        <v>0</v>
      </c>
      <c r="AH21" s="32">
        <v>1</v>
      </c>
      <c r="AJ21" s="8"/>
      <c r="AK21" s="2" t="s">
        <v>988</v>
      </c>
      <c r="AL21" s="26">
        <v>0</v>
      </c>
      <c r="AM21" s="26">
        <v>0</v>
      </c>
      <c r="AN21" s="26">
        <v>0</v>
      </c>
      <c r="AO21" s="27">
        <v>0</v>
      </c>
      <c r="AP21" s="30">
        <v>0</v>
      </c>
      <c r="AQ21" s="26">
        <v>0</v>
      </c>
      <c r="AR21" s="26">
        <v>0</v>
      </c>
      <c r="AS21" s="32">
        <v>1</v>
      </c>
      <c r="AT21" s="34">
        <v>1</v>
      </c>
      <c r="AV21" s="8"/>
      <c r="AW21" s="9" t="s">
        <v>293</v>
      </c>
      <c r="AX21" s="53" t="s">
        <v>621</v>
      </c>
      <c r="AY21" s="63">
        <f>Notes!$L$4</f>
        <v>2024</v>
      </c>
      <c r="AZ21" s="63">
        <f>Notes!$L$5</f>
        <v>2040</v>
      </c>
      <c r="BA21" s="26">
        <v>0</v>
      </c>
      <c r="BB21" s="34">
        <v>1</v>
      </c>
    </row>
    <row r="22" spans="2:54" x14ac:dyDescent="0.3">
      <c r="B22" s="8"/>
      <c r="C22" s="2" t="s">
        <v>714</v>
      </c>
      <c r="D22" s="26">
        <v>0</v>
      </c>
      <c r="E22" s="26">
        <v>0</v>
      </c>
      <c r="F22" s="27">
        <v>0</v>
      </c>
      <c r="G22" s="26">
        <v>0</v>
      </c>
      <c r="H22" s="26">
        <v>0</v>
      </c>
      <c r="I22" s="27">
        <v>0</v>
      </c>
      <c r="J22" s="26">
        <v>0</v>
      </c>
      <c r="K22" s="26">
        <v>0</v>
      </c>
      <c r="L22" s="67">
        <v>1</v>
      </c>
      <c r="N22" s="8"/>
      <c r="O22" s="2" t="s">
        <v>650</v>
      </c>
      <c r="P22" s="26">
        <v>0</v>
      </c>
      <c r="Q22" s="27">
        <v>0</v>
      </c>
      <c r="R22" s="30">
        <v>0</v>
      </c>
      <c r="S22" s="27">
        <v>0</v>
      </c>
      <c r="T22" s="30">
        <v>0</v>
      </c>
      <c r="U22" s="34">
        <v>1</v>
      </c>
      <c r="V22" s="34">
        <v>1</v>
      </c>
      <c r="X22" s="8"/>
      <c r="Y22" s="2" t="s">
        <v>857</v>
      </c>
      <c r="Z22" s="26">
        <v>0</v>
      </c>
      <c r="AA22" s="26">
        <v>0</v>
      </c>
      <c r="AB22" s="26">
        <v>0</v>
      </c>
      <c r="AC22" s="26">
        <v>0</v>
      </c>
      <c r="AD22" s="27">
        <v>0</v>
      </c>
      <c r="AE22" s="30">
        <v>0</v>
      </c>
      <c r="AF22" s="26">
        <v>0</v>
      </c>
      <c r="AG22" s="26">
        <v>0</v>
      </c>
      <c r="AH22" s="32">
        <v>1</v>
      </c>
      <c r="AJ22" s="8"/>
      <c r="AK22" s="2" t="s">
        <v>989</v>
      </c>
      <c r="AL22" s="26">
        <v>0</v>
      </c>
      <c r="AM22" s="26">
        <v>0</v>
      </c>
      <c r="AN22" s="26">
        <v>0</v>
      </c>
      <c r="AO22" s="27">
        <v>0</v>
      </c>
      <c r="AP22" s="30">
        <v>0</v>
      </c>
      <c r="AQ22" s="26">
        <v>0</v>
      </c>
      <c r="AR22" s="26">
        <v>0</v>
      </c>
      <c r="AS22" s="32">
        <v>1</v>
      </c>
      <c r="AT22" s="34">
        <v>1</v>
      </c>
      <c r="AV22" s="8"/>
      <c r="AW22" s="9" t="s">
        <v>294</v>
      </c>
      <c r="AX22" s="53" t="s">
        <v>83</v>
      </c>
      <c r="AY22" s="63">
        <f>Notes!$L$4</f>
        <v>2024</v>
      </c>
      <c r="AZ22" s="63">
        <f>Notes!$L$5</f>
        <v>2040</v>
      </c>
      <c r="BA22" s="26">
        <v>0</v>
      </c>
      <c r="BB22" s="34">
        <v>1</v>
      </c>
    </row>
    <row r="23" spans="2:54" x14ac:dyDescent="0.3">
      <c r="B23" s="8"/>
      <c r="C23" s="2" t="s">
        <v>715</v>
      </c>
      <c r="D23" s="26">
        <v>0</v>
      </c>
      <c r="E23" s="26">
        <v>0</v>
      </c>
      <c r="F23" s="27">
        <v>0</v>
      </c>
      <c r="G23" s="26">
        <v>0</v>
      </c>
      <c r="H23" s="26">
        <v>0</v>
      </c>
      <c r="I23" s="27">
        <v>0</v>
      </c>
      <c r="J23" s="26">
        <v>0</v>
      </c>
      <c r="K23" s="26">
        <v>0</v>
      </c>
      <c r="L23" s="67">
        <v>1</v>
      </c>
      <c r="N23" s="8"/>
      <c r="O23" s="2" t="s">
        <v>651</v>
      </c>
      <c r="P23" s="26">
        <v>0</v>
      </c>
      <c r="Q23" s="27">
        <v>0</v>
      </c>
      <c r="R23" s="30">
        <v>0</v>
      </c>
      <c r="S23" s="27">
        <v>0</v>
      </c>
      <c r="T23" s="30">
        <v>0</v>
      </c>
      <c r="U23" s="34">
        <v>1</v>
      </c>
      <c r="V23" s="34">
        <v>1</v>
      </c>
      <c r="X23" s="8"/>
      <c r="Y23" s="2" t="s">
        <v>858</v>
      </c>
      <c r="Z23" s="26">
        <v>0</v>
      </c>
      <c r="AA23" s="26">
        <v>0</v>
      </c>
      <c r="AB23" s="26">
        <v>0</v>
      </c>
      <c r="AC23" s="26">
        <v>0</v>
      </c>
      <c r="AD23" s="27">
        <v>0</v>
      </c>
      <c r="AE23" s="30">
        <v>0</v>
      </c>
      <c r="AF23" s="26">
        <v>0</v>
      </c>
      <c r="AG23" s="26">
        <v>0</v>
      </c>
      <c r="AH23" s="32">
        <v>1</v>
      </c>
      <c r="AJ23" s="8"/>
      <c r="AK23" s="2" t="s">
        <v>990</v>
      </c>
      <c r="AL23" s="26">
        <v>0</v>
      </c>
      <c r="AM23" s="26">
        <v>0</v>
      </c>
      <c r="AN23" s="26">
        <v>0</v>
      </c>
      <c r="AO23" s="27">
        <v>0</v>
      </c>
      <c r="AP23" s="30">
        <v>0</v>
      </c>
      <c r="AQ23" s="26">
        <v>0</v>
      </c>
      <c r="AR23" s="26">
        <v>0</v>
      </c>
      <c r="AS23" s="32">
        <v>1</v>
      </c>
      <c r="AT23" s="34">
        <v>1</v>
      </c>
      <c r="AV23" s="8"/>
      <c r="AW23" s="9" t="s">
        <v>295</v>
      </c>
      <c r="AX23" s="53" t="s">
        <v>622</v>
      </c>
      <c r="AY23" s="63">
        <f>Notes!$L$4</f>
        <v>2024</v>
      </c>
      <c r="AZ23" s="63">
        <f>Notes!$L$5</f>
        <v>2040</v>
      </c>
      <c r="BA23" s="26">
        <v>0</v>
      </c>
      <c r="BB23" s="34">
        <v>1</v>
      </c>
    </row>
    <row r="24" spans="2:54" x14ac:dyDescent="0.3">
      <c r="B24" s="8"/>
      <c r="C24" s="2" t="s">
        <v>768</v>
      </c>
      <c r="D24" s="26">
        <v>0</v>
      </c>
      <c r="E24" s="26">
        <v>0</v>
      </c>
      <c r="F24" s="27">
        <v>0</v>
      </c>
      <c r="G24" s="26">
        <v>0</v>
      </c>
      <c r="H24" s="26">
        <v>0</v>
      </c>
      <c r="I24" s="27">
        <v>0</v>
      </c>
      <c r="J24" s="26">
        <v>0</v>
      </c>
      <c r="K24" s="26">
        <v>0</v>
      </c>
      <c r="L24" s="67">
        <v>1</v>
      </c>
      <c r="N24" s="8"/>
      <c r="O24" s="2" t="s">
        <v>811</v>
      </c>
      <c r="P24" s="26">
        <v>0</v>
      </c>
      <c r="Q24" s="27">
        <v>0</v>
      </c>
      <c r="R24" s="30">
        <v>0</v>
      </c>
      <c r="S24" s="27">
        <v>0</v>
      </c>
      <c r="T24" s="30">
        <v>0</v>
      </c>
      <c r="U24" s="34">
        <v>1</v>
      </c>
      <c r="V24" s="34">
        <v>1</v>
      </c>
      <c r="X24" s="8"/>
      <c r="Y24" s="2" t="s">
        <v>859</v>
      </c>
      <c r="Z24" s="26">
        <v>0</v>
      </c>
      <c r="AA24" s="26">
        <v>0</v>
      </c>
      <c r="AB24" s="26">
        <v>0</v>
      </c>
      <c r="AC24" s="26">
        <v>0</v>
      </c>
      <c r="AD24" s="27">
        <v>0</v>
      </c>
      <c r="AE24" s="30">
        <v>0</v>
      </c>
      <c r="AF24" s="26">
        <v>0</v>
      </c>
      <c r="AG24" s="26">
        <v>0</v>
      </c>
      <c r="AH24" s="32">
        <v>1</v>
      </c>
      <c r="AJ24" s="8"/>
      <c r="AK24" s="2" t="s">
        <v>991</v>
      </c>
      <c r="AL24" s="26">
        <v>0</v>
      </c>
      <c r="AM24" s="26">
        <v>0</v>
      </c>
      <c r="AN24" s="26">
        <v>0</v>
      </c>
      <c r="AO24" s="27">
        <v>0</v>
      </c>
      <c r="AP24" s="30">
        <v>0</v>
      </c>
      <c r="AQ24" s="26">
        <v>0</v>
      </c>
      <c r="AR24" s="26">
        <v>0</v>
      </c>
      <c r="AS24" s="32">
        <v>1</v>
      </c>
      <c r="AT24" s="34">
        <v>1</v>
      </c>
      <c r="AV24" s="8"/>
      <c r="AW24" s="9" t="s">
        <v>647</v>
      </c>
      <c r="AX24" s="53" t="s">
        <v>648</v>
      </c>
      <c r="AY24" s="63">
        <f>Notes!$L$4</f>
        <v>2024</v>
      </c>
      <c r="AZ24" s="63">
        <f>Notes!$L$5</f>
        <v>2040</v>
      </c>
      <c r="BA24" s="26">
        <v>0</v>
      </c>
      <c r="BB24" s="34">
        <v>1</v>
      </c>
    </row>
    <row r="25" spans="2:54" x14ac:dyDescent="0.3">
      <c r="B25" s="8"/>
      <c r="C25" s="2" t="s">
        <v>716</v>
      </c>
      <c r="D25" s="26">
        <v>0</v>
      </c>
      <c r="E25" s="26">
        <v>0</v>
      </c>
      <c r="F25" s="27">
        <v>0</v>
      </c>
      <c r="G25" s="26">
        <v>0</v>
      </c>
      <c r="H25" s="26">
        <v>0</v>
      </c>
      <c r="I25" s="27">
        <v>0</v>
      </c>
      <c r="J25" s="26">
        <v>0</v>
      </c>
      <c r="K25" s="26">
        <v>0</v>
      </c>
      <c r="L25" s="67">
        <v>1</v>
      </c>
      <c r="N25" s="8"/>
      <c r="O25" s="2" t="s">
        <v>652</v>
      </c>
      <c r="P25" s="26">
        <v>0</v>
      </c>
      <c r="Q25" s="27">
        <v>0</v>
      </c>
      <c r="R25" s="30">
        <v>0</v>
      </c>
      <c r="S25" s="27">
        <v>0</v>
      </c>
      <c r="T25" s="30">
        <v>0</v>
      </c>
      <c r="U25" s="34">
        <v>1</v>
      </c>
      <c r="V25" s="34">
        <v>1</v>
      </c>
      <c r="X25" s="8"/>
      <c r="Y25" s="2" t="s">
        <v>10</v>
      </c>
      <c r="Z25" s="26">
        <v>0</v>
      </c>
      <c r="AA25" s="26">
        <v>0</v>
      </c>
      <c r="AB25" s="26">
        <v>0</v>
      </c>
      <c r="AC25" s="26">
        <v>0</v>
      </c>
      <c r="AD25" s="27">
        <v>0</v>
      </c>
      <c r="AE25" s="30">
        <v>0</v>
      </c>
      <c r="AF25" s="26">
        <v>0</v>
      </c>
      <c r="AG25" s="26">
        <v>0</v>
      </c>
      <c r="AH25" s="32">
        <v>1</v>
      </c>
      <c r="AJ25" s="8"/>
      <c r="AK25" s="2" t="s">
        <v>992</v>
      </c>
      <c r="AL25" s="26">
        <v>0</v>
      </c>
      <c r="AM25" s="26">
        <v>0</v>
      </c>
      <c r="AN25" s="26">
        <v>0</v>
      </c>
      <c r="AO25" s="27">
        <v>0</v>
      </c>
      <c r="AP25" s="30">
        <v>0</v>
      </c>
      <c r="AQ25" s="26">
        <v>0</v>
      </c>
      <c r="AR25" s="26">
        <v>0</v>
      </c>
      <c r="AS25" s="32">
        <v>1</v>
      </c>
      <c r="AT25" s="34">
        <v>1</v>
      </c>
      <c r="AV25" s="8"/>
    </row>
    <row r="26" spans="2:54" x14ac:dyDescent="0.3">
      <c r="B26" s="8"/>
      <c r="C26" s="2" t="s">
        <v>769</v>
      </c>
      <c r="D26" s="26">
        <v>0</v>
      </c>
      <c r="E26" s="26">
        <v>0</v>
      </c>
      <c r="F26" s="27">
        <v>0</v>
      </c>
      <c r="G26" s="26">
        <v>0</v>
      </c>
      <c r="H26" s="26">
        <v>0</v>
      </c>
      <c r="I26" s="27">
        <v>0</v>
      </c>
      <c r="J26" s="26">
        <v>0</v>
      </c>
      <c r="K26" s="26">
        <v>0</v>
      </c>
      <c r="L26" s="67">
        <v>1</v>
      </c>
      <c r="N26" s="8"/>
      <c r="O26" s="2" t="s">
        <v>812</v>
      </c>
      <c r="P26" s="26">
        <v>0</v>
      </c>
      <c r="Q26" s="27">
        <v>0</v>
      </c>
      <c r="R26" s="30">
        <v>0</v>
      </c>
      <c r="S26" s="27">
        <v>0</v>
      </c>
      <c r="T26" s="30">
        <v>0</v>
      </c>
      <c r="U26" s="34">
        <v>1</v>
      </c>
      <c r="V26" s="34">
        <v>1</v>
      </c>
      <c r="X26" s="8"/>
      <c r="Y26" s="2" t="s">
        <v>860</v>
      </c>
      <c r="Z26" s="26">
        <v>0</v>
      </c>
      <c r="AA26" s="26">
        <v>0</v>
      </c>
      <c r="AB26" s="26">
        <v>0</v>
      </c>
      <c r="AC26" s="26">
        <v>0</v>
      </c>
      <c r="AD26" s="27">
        <v>0</v>
      </c>
      <c r="AE26" s="30">
        <v>0</v>
      </c>
      <c r="AF26" s="26">
        <v>0</v>
      </c>
      <c r="AG26" s="26">
        <v>0</v>
      </c>
      <c r="AH26" s="32">
        <v>1</v>
      </c>
      <c r="AJ26" s="8"/>
      <c r="AK26" s="2" t="s">
        <v>993</v>
      </c>
      <c r="AL26" s="26">
        <v>0</v>
      </c>
      <c r="AM26" s="26">
        <v>0</v>
      </c>
      <c r="AN26" s="26">
        <v>0</v>
      </c>
      <c r="AO26" s="27">
        <v>0</v>
      </c>
      <c r="AP26" s="30">
        <v>0</v>
      </c>
      <c r="AQ26" s="26">
        <v>0</v>
      </c>
      <c r="AR26" s="26">
        <v>0</v>
      </c>
      <c r="AS26" s="32">
        <v>1</v>
      </c>
      <c r="AT26" s="34">
        <v>1</v>
      </c>
    </row>
    <row r="27" spans="2:54" x14ac:dyDescent="0.3">
      <c r="B27" s="8"/>
      <c r="C27" s="2" t="s">
        <v>770</v>
      </c>
      <c r="D27" s="26">
        <v>0</v>
      </c>
      <c r="E27" s="26">
        <v>0</v>
      </c>
      <c r="F27" s="27">
        <v>0</v>
      </c>
      <c r="G27" s="26">
        <v>0</v>
      </c>
      <c r="H27" s="26">
        <v>0</v>
      </c>
      <c r="I27" s="27">
        <v>0</v>
      </c>
      <c r="J27" s="26">
        <v>0</v>
      </c>
      <c r="K27" s="26">
        <v>0</v>
      </c>
      <c r="L27" s="67">
        <v>1</v>
      </c>
      <c r="N27" s="8"/>
      <c r="O27" s="2" t="s">
        <v>813</v>
      </c>
      <c r="P27" s="26">
        <v>0</v>
      </c>
      <c r="Q27" s="27">
        <v>0</v>
      </c>
      <c r="R27" s="30">
        <v>0</v>
      </c>
      <c r="S27" s="27">
        <v>0</v>
      </c>
      <c r="T27" s="30">
        <v>0</v>
      </c>
      <c r="U27" s="34">
        <v>1</v>
      </c>
      <c r="V27" s="34">
        <v>1</v>
      </c>
      <c r="X27" s="8"/>
      <c r="Y27" s="2" t="s">
        <v>861</v>
      </c>
      <c r="Z27" s="26">
        <v>0</v>
      </c>
      <c r="AA27" s="26">
        <v>0</v>
      </c>
      <c r="AB27" s="26">
        <v>0</v>
      </c>
      <c r="AC27" s="26">
        <v>0</v>
      </c>
      <c r="AD27" s="27">
        <v>0</v>
      </c>
      <c r="AE27" s="30">
        <v>0</v>
      </c>
      <c r="AF27" s="26">
        <v>0</v>
      </c>
      <c r="AG27" s="26">
        <v>0</v>
      </c>
      <c r="AH27" s="32">
        <v>1</v>
      </c>
      <c r="AJ27" s="8"/>
      <c r="AK27" s="2" t="s">
        <v>994</v>
      </c>
      <c r="AL27" s="26">
        <v>0</v>
      </c>
      <c r="AM27" s="26">
        <v>0</v>
      </c>
      <c r="AN27" s="26">
        <v>0</v>
      </c>
      <c r="AO27" s="27">
        <v>0</v>
      </c>
      <c r="AP27" s="30">
        <v>0</v>
      </c>
      <c r="AQ27" s="26">
        <v>0</v>
      </c>
      <c r="AR27" s="26">
        <v>0</v>
      </c>
      <c r="AS27" s="32">
        <v>1</v>
      </c>
      <c r="AT27" s="34">
        <v>1</v>
      </c>
    </row>
    <row r="28" spans="2:54" x14ac:dyDescent="0.3">
      <c r="B28" s="8"/>
      <c r="C28" s="2" t="s">
        <v>771</v>
      </c>
      <c r="D28" s="26">
        <v>0</v>
      </c>
      <c r="E28" s="26">
        <v>0</v>
      </c>
      <c r="F28" s="27">
        <v>0</v>
      </c>
      <c r="G28" s="26">
        <v>0</v>
      </c>
      <c r="H28" s="26">
        <v>0</v>
      </c>
      <c r="I28" s="27">
        <v>0</v>
      </c>
      <c r="J28" s="26">
        <v>0</v>
      </c>
      <c r="K28" s="26">
        <v>0</v>
      </c>
      <c r="L28" s="67">
        <v>1</v>
      </c>
      <c r="N28" s="8"/>
      <c r="O28" s="2" t="s">
        <v>814</v>
      </c>
      <c r="P28" s="26">
        <v>0</v>
      </c>
      <c r="Q28" s="27">
        <v>0</v>
      </c>
      <c r="R28" s="30">
        <v>0</v>
      </c>
      <c r="S28" s="27">
        <v>0</v>
      </c>
      <c r="T28" s="30">
        <v>0</v>
      </c>
      <c r="U28" s="34">
        <v>1</v>
      </c>
      <c r="V28" s="34">
        <v>1</v>
      </c>
      <c r="X28" s="8"/>
      <c r="Y28" s="2" t="s">
        <v>862</v>
      </c>
      <c r="Z28" s="26">
        <v>0</v>
      </c>
      <c r="AA28" s="26">
        <v>0</v>
      </c>
      <c r="AB28" s="26">
        <v>0</v>
      </c>
      <c r="AC28" s="26">
        <v>0</v>
      </c>
      <c r="AD28" s="27">
        <v>0</v>
      </c>
      <c r="AE28" s="30">
        <v>0</v>
      </c>
      <c r="AF28" s="26">
        <v>0</v>
      </c>
      <c r="AG28" s="26">
        <v>0</v>
      </c>
      <c r="AH28" s="32">
        <v>1</v>
      </c>
      <c r="AJ28" s="8"/>
      <c r="AK28" s="2" t="s">
        <v>995</v>
      </c>
      <c r="AL28" s="26">
        <v>0</v>
      </c>
      <c r="AM28" s="26">
        <v>0</v>
      </c>
      <c r="AN28" s="26">
        <v>0</v>
      </c>
      <c r="AO28" s="27">
        <v>0</v>
      </c>
      <c r="AP28" s="30">
        <v>0</v>
      </c>
      <c r="AQ28" s="26">
        <v>0</v>
      </c>
      <c r="AR28" s="26">
        <v>0</v>
      </c>
      <c r="AS28" s="32">
        <v>1</v>
      </c>
      <c r="AT28" s="34">
        <v>1</v>
      </c>
    </row>
    <row r="29" spans="2:54" x14ac:dyDescent="0.3">
      <c r="B29" s="8"/>
      <c r="C29" s="2" t="s">
        <v>717</v>
      </c>
      <c r="D29" s="26">
        <v>0</v>
      </c>
      <c r="E29" s="26">
        <v>0</v>
      </c>
      <c r="F29" s="27">
        <v>0</v>
      </c>
      <c r="G29" s="26">
        <v>0</v>
      </c>
      <c r="H29" s="26">
        <v>0</v>
      </c>
      <c r="I29" s="27">
        <v>0</v>
      </c>
      <c r="J29" s="26">
        <v>0</v>
      </c>
      <c r="K29" s="26">
        <v>0</v>
      </c>
      <c r="L29" s="67">
        <v>1</v>
      </c>
      <c r="N29" s="8"/>
      <c r="O29" s="2" t="s">
        <v>653</v>
      </c>
      <c r="P29" s="26">
        <v>0</v>
      </c>
      <c r="Q29" s="27">
        <v>0</v>
      </c>
      <c r="R29" s="30">
        <v>0</v>
      </c>
      <c r="S29" s="27">
        <v>0</v>
      </c>
      <c r="T29" s="30">
        <v>0</v>
      </c>
      <c r="U29" s="34">
        <v>1</v>
      </c>
      <c r="V29" s="34">
        <v>1</v>
      </c>
      <c r="X29" s="8"/>
      <c r="Y29" s="2" t="s">
        <v>863</v>
      </c>
      <c r="Z29" s="26">
        <v>0</v>
      </c>
      <c r="AA29" s="26">
        <v>0</v>
      </c>
      <c r="AB29" s="26">
        <v>0</v>
      </c>
      <c r="AC29" s="26">
        <v>0</v>
      </c>
      <c r="AD29" s="27">
        <v>0</v>
      </c>
      <c r="AE29" s="30">
        <v>0</v>
      </c>
      <c r="AF29" s="26">
        <v>0</v>
      </c>
      <c r="AG29" s="26">
        <v>0</v>
      </c>
      <c r="AH29" s="32">
        <v>1</v>
      </c>
      <c r="AJ29" s="8"/>
      <c r="AK29" s="2" t="s">
        <v>996</v>
      </c>
      <c r="AL29" s="26">
        <v>0</v>
      </c>
      <c r="AM29" s="26">
        <v>0</v>
      </c>
      <c r="AN29" s="26">
        <v>0</v>
      </c>
      <c r="AO29" s="27">
        <v>0</v>
      </c>
      <c r="AP29" s="30">
        <v>0</v>
      </c>
      <c r="AQ29" s="26">
        <v>0</v>
      </c>
      <c r="AR29" s="26">
        <v>0</v>
      </c>
      <c r="AS29" s="32">
        <v>1</v>
      </c>
      <c r="AT29" s="34">
        <v>1</v>
      </c>
    </row>
    <row r="30" spans="2:54" x14ac:dyDescent="0.3">
      <c r="B30" s="8"/>
      <c r="C30" s="2" t="s">
        <v>978</v>
      </c>
      <c r="D30" s="26">
        <v>0</v>
      </c>
      <c r="E30" s="26">
        <v>0</v>
      </c>
      <c r="F30" s="27">
        <v>0</v>
      </c>
      <c r="G30" s="26">
        <v>0</v>
      </c>
      <c r="H30" s="26">
        <v>0</v>
      </c>
      <c r="I30" s="27">
        <v>0</v>
      </c>
      <c r="J30" s="26">
        <v>0</v>
      </c>
      <c r="K30" s="26">
        <v>0</v>
      </c>
      <c r="L30" s="67">
        <v>1</v>
      </c>
      <c r="N30" s="8"/>
      <c r="O30" s="2" t="s">
        <v>948</v>
      </c>
      <c r="P30" s="26">
        <v>0</v>
      </c>
      <c r="Q30" s="27">
        <v>0</v>
      </c>
      <c r="R30" s="30">
        <v>0</v>
      </c>
      <c r="S30" s="27">
        <v>0</v>
      </c>
      <c r="T30" s="30">
        <v>0</v>
      </c>
      <c r="U30" s="34">
        <v>1</v>
      </c>
      <c r="V30" s="34">
        <v>1</v>
      </c>
      <c r="X30" s="8"/>
      <c r="Y30" s="2"/>
      <c r="Z30" s="26"/>
      <c r="AA30" s="26"/>
      <c r="AB30" s="26"/>
      <c r="AC30" s="26"/>
      <c r="AD30" s="27"/>
      <c r="AE30" s="30"/>
      <c r="AF30" s="26"/>
      <c r="AG30" s="26"/>
      <c r="AH30" s="32"/>
      <c r="AJ30" s="8"/>
      <c r="AK30" s="2" t="s">
        <v>997</v>
      </c>
      <c r="AL30" s="26">
        <v>0</v>
      </c>
      <c r="AM30" s="26">
        <v>0</v>
      </c>
      <c r="AN30" s="26">
        <v>0</v>
      </c>
      <c r="AO30" s="27">
        <v>0</v>
      </c>
      <c r="AP30" s="30">
        <v>0</v>
      </c>
      <c r="AQ30" s="26">
        <v>0</v>
      </c>
      <c r="AR30" s="26">
        <v>0</v>
      </c>
      <c r="AS30" s="32">
        <v>1</v>
      </c>
      <c r="AT30" s="34">
        <v>1</v>
      </c>
    </row>
    <row r="31" spans="2:54" x14ac:dyDescent="0.3">
      <c r="B31" s="8"/>
      <c r="C31" s="2" t="s">
        <v>718</v>
      </c>
      <c r="D31" s="26">
        <v>0</v>
      </c>
      <c r="E31" s="26">
        <v>0</v>
      </c>
      <c r="F31" s="27">
        <v>0</v>
      </c>
      <c r="G31" s="26">
        <v>0</v>
      </c>
      <c r="H31" s="26">
        <v>0</v>
      </c>
      <c r="I31" s="27">
        <v>0</v>
      </c>
      <c r="J31" s="26">
        <v>0</v>
      </c>
      <c r="K31" s="26">
        <v>0</v>
      </c>
      <c r="L31" s="67">
        <v>1</v>
      </c>
      <c r="N31" s="8"/>
      <c r="O31" s="2" t="s">
        <v>654</v>
      </c>
      <c r="P31" s="26">
        <v>0</v>
      </c>
      <c r="Q31" s="27">
        <v>0</v>
      </c>
      <c r="R31" s="30">
        <v>0</v>
      </c>
      <c r="S31" s="27">
        <v>0</v>
      </c>
      <c r="T31" s="30">
        <v>0</v>
      </c>
      <c r="U31" s="34">
        <v>1</v>
      </c>
      <c r="V31" s="34">
        <v>1</v>
      </c>
      <c r="X31" s="8"/>
      <c r="Y31" s="2"/>
      <c r="Z31" s="26"/>
      <c r="AA31" s="26"/>
      <c r="AB31" s="26"/>
      <c r="AC31" s="26"/>
      <c r="AD31" s="27"/>
      <c r="AE31" s="30"/>
      <c r="AF31" s="26"/>
      <c r="AG31" s="26"/>
      <c r="AH31" s="32"/>
      <c r="AJ31" s="8"/>
      <c r="AK31" s="2" t="s">
        <v>998</v>
      </c>
      <c r="AL31" s="26">
        <v>0</v>
      </c>
      <c r="AM31" s="26">
        <v>0</v>
      </c>
      <c r="AN31" s="26">
        <v>0</v>
      </c>
      <c r="AO31" s="27">
        <v>0</v>
      </c>
      <c r="AP31" s="30">
        <v>0</v>
      </c>
      <c r="AQ31" s="26">
        <v>0</v>
      </c>
      <c r="AR31" s="26">
        <v>0</v>
      </c>
      <c r="AS31" s="32">
        <v>1</v>
      </c>
      <c r="AT31" s="34">
        <v>1</v>
      </c>
    </row>
    <row r="32" spans="2:54" x14ac:dyDescent="0.3">
      <c r="B32" s="8"/>
      <c r="C32" s="2" t="s">
        <v>719</v>
      </c>
      <c r="D32" s="26">
        <v>0</v>
      </c>
      <c r="E32" s="26">
        <v>0</v>
      </c>
      <c r="F32" s="27">
        <v>0</v>
      </c>
      <c r="G32" s="26">
        <v>0</v>
      </c>
      <c r="H32" s="26">
        <v>0</v>
      </c>
      <c r="I32" s="27">
        <v>0</v>
      </c>
      <c r="J32" s="26">
        <v>0</v>
      </c>
      <c r="K32" s="26">
        <v>0</v>
      </c>
      <c r="L32" s="67">
        <v>1</v>
      </c>
      <c r="N32" s="8"/>
      <c r="O32" s="2" t="s">
        <v>655</v>
      </c>
      <c r="P32" s="26">
        <v>0</v>
      </c>
      <c r="Q32" s="27">
        <v>0</v>
      </c>
      <c r="R32" s="30">
        <v>0</v>
      </c>
      <c r="S32" s="27">
        <v>0</v>
      </c>
      <c r="T32" s="30">
        <v>0</v>
      </c>
      <c r="U32" s="34">
        <v>1</v>
      </c>
      <c r="V32" s="34">
        <v>1</v>
      </c>
      <c r="X32" s="8"/>
      <c r="Y32" s="2"/>
      <c r="Z32" s="26"/>
      <c r="AA32" s="26"/>
      <c r="AB32" s="26"/>
      <c r="AC32" s="26"/>
      <c r="AD32" s="27"/>
      <c r="AE32" s="30"/>
      <c r="AF32" s="26"/>
      <c r="AG32" s="26"/>
      <c r="AH32" s="32"/>
      <c r="AJ32" s="8"/>
      <c r="AK32" s="2" t="s">
        <v>999</v>
      </c>
      <c r="AL32" s="26">
        <v>0</v>
      </c>
      <c r="AM32" s="26">
        <v>0</v>
      </c>
      <c r="AN32" s="26">
        <v>0</v>
      </c>
      <c r="AO32" s="27">
        <v>0</v>
      </c>
      <c r="AP32" s="30">
        <v>0</v>
      </c>
      <c r="AQ32" s="26">
        <v>0</v>
      </c>
      <c r="AR32" s="26">
        <v>0</v>
      </c>
      <c r="AS32" s="32">
        <v>1</v>
      </c>
      <c r="AT32" s="34">
        <v>1</v>
      </c>
    </row>
    <row r="33" spans="2:46" x14ac:dyDescent="0.3">
      <c r="B33" s="8"/>
      <c r="C33" s="2" t="s">
        <v>720</v>
      </c>
      <c r="D33" s="26">
        <v>0</v>
      </c>
      <c r="E33" s="26">
        <v>0</v>
      </c>
      <c r="F33" s="27">
        <v>0</v>
      </c>
      <c r="G33" s="26">
        <v>0</v>
      </c>
      <c r="H33" s="26">
        <v>0</v>
      </c>
      <c r="I33" s="27">
        <v>0</v>
      </c>
      <c r="J33" s="26">
        <v>0</v>
      </c>
      <c r="K33" s="26">
        <v>0</v>
      </c>
      <c r="L33" s="67">
        <v>1</v>
      </c>
      <c r="N33" s="8"/>
      <c r="O33" s="2" t="s">
        <v>656</v>
      </c>
      <c r="P33" s="26">
        <v>0</v>
      </c>
      <c r="Q33" s="27">
        <v>0</v>
      </c>
      <c r="R33" s="30">
        <v>0</v>
      </c>
      <c r="S33" s="27">
        <v>0</v>
      </c>
      <c r="T33" s="30">
        <v>0</v>
      </c>
      <c r="U33" s="34">
        <v>1</v>
      </c>
      <c r="V33" s="34">
        <v>1</v>
      </c>
      <c r="X33" s="8"/>
      <c r="Y33" s="2"/>
      <c r="Z33" s="26"/>
      <c r="AA33" s="26"/>
      <c r="AB33" s="26"/>
      <c r="AC33" s="26"/>
      <c r="AD33" s="27"/>
      <c r="AE33" s="30"/>
      <c r="AF33" s="26"/>
      <c r="AG33" s="26"/>
      <c r="AH33" s="32"/>
      <c r="AJ33" s="8"/>
      <c r="AK33" s="2" t="s">
        <v>1000</v>
      </c>
      <c r="AL33" s="26">
        <v>0</v>
      </c>
      <c r="AM33" s="26">
        <v>0</v>
      </c>
      <c r="AN33" s="26">
        <v>0</v>
      </c>
      <c r="AO33" s="27">
        <v>0</v>
      </c>
      <c r="AP33" s="30">
        <v>0</v>
      </c>
      <c r="AQ33" s="26">
        <v>0</v>
      </c>
      <c r="AR33" s="26">
        <v>0</v>
      </c>
      <c r="AS33" s="32">
        <v>1</v>
      </c>
      <c r="AT33" s="34">
        <v>1</v>
      </c>
    </row>
    <row r="34" spans="2:46" x14ac:dyDescent="0.3">
      <c r="B34" s="8"/>
      <c r="C34" s="2" t="s">
        <v>721</v>
      </c>
      <c r="D34" s="26">
        <v>0</v>
      </c>
      <c r="E34" s="26">
        <v>0</v>
      </c>
      <c r="F34" s="27">
        <v>0</v>
      </c>
      <c r="G34" s="26">
        <v>0</v>
      </c>
      <c r="H34" s="26">
        <v>0</v>
      </c>
      <c r="I34" s="27">
        <v>0</v>
      </c>
      <c r="J34" s="26">
        <v>0</v>
      </c>
      <c r="K34" s="26">
        <v>0</v>
      </c>
      <c r="L34" s="67">
        <v>1</v>
      </c>
      <c r="N34" s="8"/>
      <c r="O34" s="2" t="s">
        <v>657</v>
      </c>
      <c r="P34" s="26">
        <v>0</v>
      </c>
      <c r="Q34" s="27">
        <v>0</v>
      </c>
      <c r="R34" s="30">
        <v>0</v>
      </c>
      <c r="S34" s="27">
        <v>0</v>
      </c>
      <c r="T34" s="30">
        <v>0</v>
      </c>
      <c r="U34" s="34">
        <v>1</v>
      </c>
      <c r="V34" s="34">
        <v>1</v>
      </c>
      <c r="X34" s="8"/>
      <c r="Y34" s="2"/>
      <c r="Z34" s="26"/>
      <c r="AA34" s="26"/>
      <c r="AB34" s="26"/>
      <c r="AC34" s="26"/>
      <c r="AD34" s="27"/>
      <c r="AE34" s="30"/>
      <c r="AF34" s="26"/>
      <c r="AG34" s="26"/>
      <c r="AH34" s="32"/>
      <c r="AJ34" s="8"/>
      <c r="AK34" s="2" t="s">
        <v>1001</v>
      </c>
      <c r="AL34" s="26">
        <v>0</v>
      </c>
      <c r="AM34" s="26">
        <v>0</v>
      </c>
      <c r="AN34" s="26">
        <v>0</v>
      </c>
      <c r="AO34" s="27">
        <v>0</v>
      </c>
      <c r="AP34" s="30">
        <v>0</v>
      </c>
      <c r="AQ34" s="26">
        <v>0</v>
      </c>
      <c r="AR34" s="26">
        <v>0</v>
      </c>
      <c r="AS34" s="32">
        <v>1</v>
      </c>
      <c r="AT34" s="34">
        <v>1</v>
      </c>
    </row>
    <row r="35" spans="2:46" x14ac:dyDescent="0.3">
      <c r="B35" s="8"/>
      <c r="C35" s="2" t="s">
        <v>979</v>
      </c>
      <c r="D35" s="26">
        <v>0</v>
      </c>
      <c r="E35" s="26">
        <v>0</v>
      </c>
      <c r="F35" s="27">
        <v>0</v>
      </c>
      <c r="G35" s="26">
        <v>0</v>
      </c>
      <c r="H35" s="26">
        <v>0</v>
      </c>
      <c r="I35" s="27">
        <v>0</v>
      </c>
      <c r="J35" s="26">
        <v>0</v>
      </c>
      <c r="K35" s="26">
        <v>0</v>
      </c>
      <c r="L35" s="67">
        <v>1</v>
      </c>
      <c r="N35" s="8"/>
      <c r="O35" s="2" t="s">
        <v>949</v>
      </c>
      <c r="P35" s="26">
        <v>0</v>
      </c>
      <c r="Q35" s="27">
        <v>0</v>
      </c>
      <c r="R35" s="30">
        <v>0</v>
      </c>
      <c r="S35" s="27">
        <v>0</v>
      </c>
      <c r="T35" s="30">
        <v>0</v>
      </c>
      <c r="U35" s="34">
        <v>1</v>
      </c>
      <c r="V35" s="34">
        <v>1</v>
      </c>
      <c r="X35" s="8"/>
      <c r="Y35" s="2"/>
      <c r="Z35" s="26"/>
      <c r="AA35" s="26"/>
      <c r="AB35" s="26"/>
      <c r="AC35" s="26"/>
      <c r="AD35" s="27"/>
      <c r="AE35" s="30"/>
      <c r="AF35" s="26"/>
      <c r="AG35" s="26"/>
      <c r="AH35" s="32"/>
      <c r="AJ35" s="8"/>
      <c r="AK35" s="2" t="s">
        <v>1002</v>
      </c>
      <c r="AL35" s="26">
        <v>0</v>
      </c>
      <c r="AM35" s="26">
        <v>0</v>
      </c>
      <c r="AN35" s="26">
        <v>0</v>
      </c>
      <c r="AO35" s="27">
        <v>0</v>
      </c>
      <c r="AP35" s="30">
        <v>0</v>
      </c>
      <c r="AQ35" s="26">
        <v>0</v>
      </c>
      <c r="AR35" s="26">
        <v>0</v>
      </c>
      <c r="AS35" s="32">
        <v>1</v>
      </c>
      <c r="AT35" s="34">
        <v>1</v>
      </c>
    </row>
    <row r="36" spans="2:46" x14ac:dyDescent="0.3">
      <c r="B36" s="8"/>
      <c r="C36" s="2" t="s">
        <v>772</v>
      </c>
      <c r="D36" s="26">
        <v>0</v>
      </c>
      <c r="E36" s="26">
        <v>0</v>
      </c>
      <c r="F36" s="27">
        <v>0</v>
      </c>
      <c r="G36" s="26">
        <v>0</v>
      </c>
      <c r="H36" s="26">
        <v>0</v>
      </c>
      <c r="I36" s="27">
        <v>0</v>
      </c>
      <c r="J36" s="26">
        <v>0</v>
      </c>
      <c r="K36" s="26">
        <v>0</v>
      </c>
      <c r="L36" s="67">
        <v>1</v>
      </c>
      <c r="N36" s="8"/>
      <c r="O36" s="2" t="s">
        <v>815</v>
      </c>
      <c r="P36" s="26">
        <v>0</v>
      </c>
      <c r="Q36" s="27">
        <v>0</v>
      </c>
      <c r="R36" s="30">
        <v>0</v>
      </c>
      <c r="S36" s="27">
        <v>0</v>
      </c>
      <c r="T36" s="30">
        <v>0</v>
      </c>
      <c r="U36" s="34">
        <v>1</v>
      </c>
      <c r="V36" s="34">
        <v>1</v>
      </c>
      <c r="X36" s="8"/>
      <c r="Y36" s="2"/>
      <c r="Z36" s="26"/>
      <c r="AA36" s="26"/>
      <c r="AB36" s="26"/>
      <c r="AC36" s="26"/>
      <c r="AD36" s="27"/>
      <c r="AE36" s="30"/>
      <c r="AF36" s="26"/>
      <c r="AG36" s="26"/>
      <c r="AH36" s="32"/>
      <c r="AJ36" s="8"/>
      <c r="AK36" s="2" t="s">
        <v>1003</v>
      </c>
      <c r="AL36" s="26">
        <v>0</v>
      </c>
      <c r="AM36" s="26">
        <v>0</v>
      </c>
      <c r="AN36" s="26">
        <v>0</v>
      </c>
      <c r="AO36" s="27">
        <v>0</v>
      </c>
      <c r="AP36" s="30">
        <v>0</v>
      </c>
      <c r="AQ36" s="26">
        <v>0</v>
      </c>
      <c r="AR36" s="26">
        <v>0</v>
      </c>
      <c r="AS36" s="32">
        <v>1</v>
      </c>
      <c r="AT36" s="34">
        <v>1</v>
      </c>
    </row>
    <row r="37" spans="2:46" x14ac:dyDescent="0.3">
      <c r="B37" s="8"/>
      <c r="C37" s="2" t="s">
        <v>773</v>
      </c>
      <c r="D37" s="26">
        <v>0</v>
      </c>
      <c r="E37" s="26">
        <v>0</v>
      </c>
      <c r="F37" s="27">
        <v>0</v>
      </c>
      <c r="G37" s="26">
        <v>0</v>
      </c>
      <c r="H37" s="26">
        <v>0</v>
      </c>
      <c r="I37" s="27">
        <v>0</v>
      </c>
      <c r="J37" s="26">
        <v>0</v>
      </c>
      <c r="K37" s="26">
        <v>0</v>
      </c>
      <c r="L37" s="67">
        <v>1</v>
      </c>
      <c r="N37" s="8"/>
      <c r="O37" s="2" t="s">
        <v>816</v>
      </c>
      <c r="P37" s="26">
        <v>0</v>
      </c>
      <c r="Q37" s="27">
        <v>0</v>
      </c>
      <c r="R37" s="30">
        <v>0</v>
      </c>
      <c r="S37" s="27">
        <v>0</v>
      </c>
      <c r="T37" s="30">
        <v>0</v>
      </c>
      <c r="U37" s="34">
        <v>1</v>
      </c>
      <c r="V37" s="34">
        <v>1</v>
      </c>
      <c r="X37" s="8"/>
      <c r="Y37" s="2"/>
      <c r="Z37" s="26"/>
      <c r="AA37" s="26"/>
      <c r="AB37" s="26"/>
      <c r="AC37" s="26"/>
      <c r="AD37" s="27"/>
      <c r="AE37" s="30"/>
      <c r="AF37" s="26"/>
      <c r="AG37" s="26"/>
      <c r="AH37" s="32"/>
      <c r="AJ37" s="8"/>
      <c r="AK37" s="2" t="s">
        <v>1004</v>
      </c>
      <c r="AL37" s="26">
        <v>0</v>
      </c>
      <c r="AM37" s="26">
        <v>0</v>
      </c>
      <c r="AN37" s="26">
        <v>0</v>
      </c>
      <c r="AO37" s="27">
        <v>0</v>
      </c>
      <c r="AP37" s="30">
        <v>0</v>
      </c>
      <c r="AQ37" s="26">
        <v>0</v>
      </c>
      <c r="AR37" s="26">
        <v>0</v>
      </c>
      <c r="AS37" s="32">
        <v>1</v>
      </c>
      <c r="AT37" s="34">
        <v>1</v>
      </c>
    </row>
    <row r="38" spans="2:46" x14ac:dyDescent="0.3">
      <c r="B38" s="8"/>
      <c r="C38" s="2" t="s">
        <v>722</v>
      </c>
      <c r="D38" s="26">
        <v>0</v>
      </c>
      <c r="E38" s="26">
        <v>0</v>
      </c>
      <c r="F38" s="27">
        <v>0</v>
      </c>
      <c r="G38" s="26">
        <v>0</v>
      </c>
      <c r="H38" s="26">
        <v>0</v>
      </c>
      <c r="I38" s="27">
        <v>0</v>
      </c>
      <c r="J38" s="26">
        <v>0</v>
      </c>
      <c r="K38" s="26">
        <v>0</v>
      </c>
      <c r="L38" s="67">
        <v>1</v>
      </c>
      <c r="N38" s="8"/>
      <c r="O38" s="2" t="s">
        <v>658</v>
      </c>
      <c r="P38" s="26">
        <v>0</v>
      </c>
      <c r="Q38" s="27">
        <v>0</v>
      </c>
      <c r="R38" s="30">
        <v>0</v>
      </c>
      <c r="S38" s="27">
        <v>0</v>
      </c>
      <c r="T38" s="30">
        <v>0</v>
      </c>
      <c r="U38" s="34">
        <v>1</v>
      </c>
      <c r="V38" s="34">
        <v>1</v>
      </c>
      <c r="X38" s="8"/>
      <c r="Y38" s="2"/>
      <c r="Z38" s="26"/>
      <c r="AA38" s="26"/>
      <c r="AB38" s="26"/>
      <c r="AC38" s="26"/>
      <c r="AD38" s="27"/>
      <c r="AE38" s="30"/>
      <c r="AF38" s="26"/>
      <c r="AG38" s="26"/>
      <c r="AH38" s="32"/>
      <c r="AJ38" s="8"/>
      <c r="AK38" s="2"/>
      <c r="AL38" s="26"/>
      <c r="AM38" s="26"/>
      <c r="AN38" s="26"/>
      <c r="AO38" s="27"/>
      <c r="AP38" s="30"/>
      <c r="AQ38" s="26"/>
      <c r="AR38" s="26"/>
      <c r="AS38" s="32"/>
      <c r="AT38" s="34"/>
    </row>
    <row r="39" spans="2:46" x14ac:dyDescent="0.3">
      <c r="B39" s="8"/>
      <c r="C39" s="2" t="s">
        <v>774</v>
      </c>
      <c r="D39" s="26">
        <v>0</v>
      </c>
      <c r="E39" s="26">
        <v>0</v>
      </c>
      <c r="F39" s="27">
        <v>0</v>
      </c>
      <c r="G39" s="26">
        <v>0</v>
      </c>
      <c r="H39" s="26">
        <v>0</v>
      </c>
      <c r="I39" s="27">
        <v>0</v>
      </c>
      <c r="J39" s="26">
        <v>0</v>
      </c>
      <c r="K39" s="26">
        <v>0</v>
      </c>
      <c r="L39" s="67">
        <v>1</v>
      </c>
      <c r="N39" s="8"/>
      <c r="O39" s="2" t="s">
        <v>817</v>
      </c>
      <c r="P39" s="26">
        <v>0</v>
      </c>
      <c r="Q39" s="27">
        <v>0</v>
      </c>
      <c r="R39" s="30">
        <v>0</v>
      </c>
      <c r="S39" s="27">
        <v>0</v>
      </c>
      <c r="T39" s="30">
        <v>0</v>
      </c>
      <c r="U39" s="34">
        <v>1</v>
      </c>
      <c r="V39" s="34">
        <v>1</v>
      </c>
      <c r="X39" s="8"/>
      <c r="Y39" s="2"/>
      <c r="Z39" s="26"/>
      <c r="AA39" s="26"/>
      <c r="AB39" s="26"/>
      <c r="AC39" s="26"/>
      <c r="AD39" s="27"/>
      <c r="AE39" s="30"/>
      <c r="AF39" s="26"/>
      <c r="AG39" s="26"/>
      <c r="AH39" s="32"/>
      <c r="AJ39" s="8"/>
      <c r="AK39" s="2"/>
      <c r="AL39" s="26"/>
      <c r="AM39" s="26"/>
      <c r="AN39" s="26"/>
      <c r="AO39" s="27"/>
      <c r="AP39" s="30"/>
      <c r="AQ39" s="26"/>
      <c r="AR39" s="26"/>
      <c r="AS39" s="32"/>
      <c r="AT39" s="34"/>
    </row>
    <row r="40" spans="2:46" x14ac:dyDescent="0.3">
      <c r="B40" s="8"/>
      <c r="C40" s="2" t="s">
        <v>723</v>
      </c>
      <c r="D40" s="26">
        <v>0</v>
      </c>
      <c r="E40" s="26">
        <v>0</v>
      </c>
      <c r="F40" s="27">
        <v>0</v>
      </c>
      <c r="G40" s="26">
        <v>0</v>
      </c>
      <c r="H40" s="26">
        <v>0</v>
      </c>
      <c r="I40" s="27">
        <v>0</v>
      </c>
      <c r="J40" s="26">
        <v>0</v>
      </c>
      <c r="K40" s="26">
        <v>0</v>
      </c>
      <c r="L40" s="67">
        <v>1</v>
      </c>
      <c r="N40" s="8"/>
      <c r="O40" s="2" t="s">
        <v>659</v>
      </c>
      <c r="P40" s="26">
        <v>0</v>
      </c>
      <c r="Q40" s="27">
        <v>0</v>
      </c>
      <c r="R40" s="30">
        <v>0</v>
      </c>
      <c r="S40" s="27">
        <v>0</v>
      </c>
      <c r="T40" s="30">
        <v>0</v>
      </c>
      <c r="U40" s="34">
        <v>1</v>
      </c>
      <c r="V40" s="34">
        <v>1</v>
      </c>
      <c r="X40" s="8"/>
      <c r="Y40" s="2"/>
      <c r="Z40" s="26"/>
      <c r="AA40" s="26"/>
      <c r="AB40" s="26"/>
      <c r="AC40" s="26"/>
      <c r="AD40" s="27"/>
      <c r="AE40" s="30"/>
      <c r="AF40" s="26"/>
      <c r="AG40" s="26"/>
      <c r="AH40" s="32"/>
      <c r="AJ40" s="8"/>
      <c r="AK40" s="2"/>
      <c r="AL40" s="26"/>
      <c r="AM40" s="26"/>
      <c r="AN40" s="26"/>
      <c r="AO40" s="27"/>
      <c r="AP40" s="30"/>
      <c r="AQ40" s="26"/>
      <c r="AR40" s="26"/>
      <c r="AS40" s="32"/>
      <c r="AT40" s="34"/>
    </row>
    <row r="41" spans="2:46" x14ac:dyDescent="0.3">
      <c r="B41" s="8"/>
      <c r="C41" s="2" t="s">
        <v>775</v>
      </c>
      <c r="D41" s="26">
        <v>0</v>
      </c>
      <c r="E41" s="26">
        <v>0</v>
      </c>
      <c r="F41" s="27">
        <v>0</v>
      </c>
      <c r="G41" s="26">
        <v>0</v>
      </c>
      <c r="H41" s="26">
        <v>0</v>
      </c>
      <c r="I41" s="27">
        <v>0</v>
      </c>
      <c r="J41" s="26">
        <v>0</v>
      </c>
      <c r="K41" s="26">
        <v>0</v>
      </c>
      <c r="L41" s="67">
        <v>1</v>
      </c>
      <c r="N41" s="8"/>
      <c r="O41" s="2" t="s">
        <v>818</v>
      </c>
      <c r="P41" s="26">
        <v>0</v>
      </c>
      <c r="Q41" s="27">
        <v>0</v>
      </c>
      <c r="R41" s="30">
        <v>0</v>
      </c>
      <c r="S41" s="27">
        <v>0</v>
      </c>
      <c r="T41" s="30">
        <v>0</v>
      </c>
      <c r="U41" s="34">
        <v>1</v>
      </c>
      <c r="V41" s="34">
        <v>1</v>
      </c>
      <c r="X41" s="8"/>
      <c r="Y41" s="2"/>
      <c r="Z41" s="26"/>
      <c r="AA41" s="26"/>
      <c r="AB41" s="26"/>
      <c r="AC41" s="26"/>
      <c r="AD41" s="27"/>
      <c r="AE41" s="30"/>
      <c r="AF41" s="26"/>
      <c r="AG41" s="26"/>
      <c r="AH41" s="32"/>
      <c r="AJ41" s="8"/>
      <c r="AK41" s="2"/>
      <c r="AL41" s="26"/>
      <c r="AM41" s="26"/>
      <c r="AN41" s="26"/>
      <c r="AO41" s="27"/>
      <c r="AP41" s="30"/>
      <c r="AQ41" s="26"/>
      <c r="AR41" s="26"/>
      <c r="AS41" s="32"/>
      <c r="AT41" s="34"/>
    </row>
    <row r="42" spans="2:46" x14ac:dyDescent="0.3">
      <c r="B42" s="8"/>
      <c r="C42" s="2" t="s">
        <v>776</v>
      </c>
      <c r="D42" s="26">
        <v>0</v>
      </c>
      <c r="E42" s="26">
        <v>0</v>
      </c>
      <c r="F42" s="27">
        <v>0</v>
      </c>
      <c r="G42" s="26">
        <v>0</v>
      </c>
      <c r="H42" s="26">
        <v>0</v>
      </c>
      <c r="I42" s="27">
        <v>0</v>
      </c>
      <c r="J42" s="26">
        <v>0</v>
      </c>
      <c r="K42" s="26">
        <v>0</v>
      </c>
      <c r="L42" s="67">
        <v>1</v>
      </c>
      <c r="N42" s="8"/>
      <c r="O42" s="2" t="s">
        <v>819</v>
      </c>
      <c r="P42" s="26">
        <v>0</v>
      </c>
      <c r="Q42" s="27">
        <v>0</v>
      </c>
      <c r="R42" s="30">
        <v>0</v>
      </c>
      <c r="S42" s="27">
        <v>0</v>
      </c>
      <c r="T42" s="30">
        <v>0</v>
      </c>
      <c r="U42" s="34">
        <v>1</v>
      </c>
      <c r="V42" s="34">
        <v>1</v>
      </c>
      <c r="X42" s="8"/>
      <c r="Y42" s="2"/>
      <c r="Z42" s="26"/>
      <c r="AA42" s="26"/>
      <c r="AB42" s="26"/>
      <c r="AC42" s="26"/>
      <c r="AD42" s="27"/>
      <c r="AE42" s="30"/>
      <c r="AF42" s="26"/>
      <c r="AG42" s="26"/>
      <c r="AH42" s="32"/>
      <c r="AJ42" s="8"/>
      <c r="AK42" s="2"/>
      <c r="AL42" s="26"/>
      <c r="AM42" s="26"/>
      <c r="AN42" s="26"/>
      <c r="AO42" s="27"/>
      <c r="AP42" s="30"/>
      <c r="AQ42" s="26"/>
      <c r="AR42" s="26"/>
      <c r="AS42" s="32"/>
      <c r="AT42" s="34"/>
    </row>
    <row r="43" spans="2:46" x14ac:dyDescent="0.3">
      <c r="B43" s="8"/>
      <c r="C43" s="2" t="s">
        <v>777</v>
      </c>
      <c r="D43" s="26">
        <v>0</v>
      </c>
      <c r="E43" s="26">
        <v>0</v>
      </c>
      <c r="F43" s="27">
        <v>0</v>
      </c>
      <c r="G43" s="26">
        <v>0</v>
      </c>
      <c r="H43" s="26">
        <v>0</v>
      </c>
      <c r="I43" s="27">
        <v>0</v>
      </c>
      <c r="J43" s="26">
        <v>0</v>
      </c>
      <c r="K43" s="26">
        <v>0</v>
      </c>
      <c r="L43" s="67">
        <v>1</v>
      </c>
      <c r="N43" s="8"/>
      <c r="O43" s="2" t="s">
        <v>820</v>
      </c>
      <c r="P43" s="26">
        <v>0</v>
      </c>
      <c r="Q43" s="27">
        <v>0</v>
      </c>
      <c r="R43" s="30">
        <v>0</v>
      </c>
      <c r="S43" s="27">
        <v>0</v>
      </c>
      <c r="T43" s="30">
        <v>0</v>
      </c>
      <c r="U43" s="34">
        <v>1</v>
      </c>
      <c r="V43" s="34">
        <v>1</v>
      </c>
      <c r="X43" s="8"/>
      <c r="Y43" s="2"/>
      <c r="Z43" s="26"/>
      <c r="AA43" s="26"/>
      <c r="AB43" s="26"/>
      <c r="AC43" s="26"/>
      <c r="AD43" s="27"/>
      <c r="AE43" s="30"/>
      <c r="AF43" s="26"/>
      <c r="AG43" s="26"/>
      <c r="AH43" s="32"/>
      <c r="AJ43" s="8"/>
      <c r="AK43" s="2"/>
      <c r="AL43" s="26"/>
      <c r="AM43" s="26"/>
      <c r="AN43" s="26"/>
      <c r="AO43" s="27"/>
      <c r="AP43" s="30"/>
      <c r="AQ43" s="26"/>
      <c r="AR43" s="26"/>
      <c r="AS43" s="32"/>
      <c r="AT43" s="34"/>
    </row>
    <row r="44" spans="2:46" x14ac:dyDescent="0.3">
      <c r="B44" s="8"/>
      <c r="C44" s="2" t="s">
        <v>724</v>
      </c>
      <c r="D44" s="26">
        <v>0</v>
      </c>
      <c r="E44" s="26">
        <v>0</v>
      </c>
      <c r="F44" s="27">
        <v>0</v>
      </c>
      <c r="G44" s="26">
        <v>0</v>
      </c>
      <c r="H44" s="26">
        <v>0</v>
      </c>
      <c r="I44" s="27">
        <v>0</v>
      </c>
      <c r="J44" s="26">
        <v>0</v>
      </c>
      <c r="K44" s="26">
        <v>0</v>
      </c>
      <c r="L44" s="67">
        <v>1</v>
      </c>
      <c r="N44" s="8"/>
      <c r="O44" s="2" t="s">
        <v>660</v>
      </c>
      <c r="P44" s="26">
        <v>0</v>
      </c>
      <c r="Q44" s="27">
        <v>0</v>
      </c>
      <c r="R44" s="30">
        <v>0</v>
      </c>
      <c r="S44" s="27">
        <v>0</v>
      </c>
      <c r="T44" s="30">
        <v>0</v>
      </c>
      <c r="U44" s="34">
        <v>1</v>
      </c>
      <c r="V44" s="34">
        <v>1</v>
      </c>
      <c r="X44" s="8"/>
      <c r="Y44" s="2"/>
      <c r="Z44" s="26"/>
      <c r="AA44" s="26"/>
      <c r="AB44" s="26"/>
      <c r="AC44" s="26"/>
      <c r="AD44" s="27"/>
      <c r="AE44" s="30"/>
      <c r="AF44" s="26"/>
      <c r="AG44" s="26"/>
      <c r="AH44" s="32"/>
      <c r="AJ44" s="8"/>
      <c r="AK44" s="2"/>
      <c r="AL44" s="26"/>
      <c r="AM44" s="26"/>
      <c r="AN44" s="26"/>
      <c r="AO44" s="27"/>
      <c r="AP44" s="30"/>
      <c r="AQ44" s="26"/>
      <c r="AR44" s="26"/>
      <c r="AS44" s="32"/>
      <c r="AT44" s="34"/>
    </row>
    <row r="45" spans="2:46" x14ac:dyDescent="0.3">
      <c r="B45" s="8"/>
      <c r="C45" s="2" t="s">
        <v>725</v>
      </c>
      <c r="D45" s="26">
        <v>0</v>
      </c>
      <c r="E45" s="26">
        <v>0</v>
      </c>
      <c r="F45" s="27">
        <v>0</v>
      </c>
      <c r="G45" s="26">
        <v>0</v>
      </c>
      <c r="H45" s="26">
        <v>0</v>
      </c>
      <c r="I45" s="27">
        <v>0</v>
      </c>
      <c r="J45" s="26">
        <v>0</v>
      </c>
      <c r="K45" s="26">
        <v>0</v>
      </c>
      <c r="L45" s="67">
        <v>1</v>
      </c>
      <c r="N45" s="8"/>
      <c r="O45" s="2" t="s">
        <v>661</v>
      </c>
      <c r="P45" s="26">
        <v>0</v>
      </c>
      <c r="Q45" s="27">
        <v>0</v>
      </c>
      <c r="R45" s="30">
        <v>0</v>
      </c>
      <c r="S45" s="27">
        <v>0</v>
      </c>
      <c r="T45" s="30">
        <v>0</v>
      </c>
      <c r="U45" s="34">
        <v>1</v>
      </c>
      <c r="V45" s="34">
        <v>1</v>
      </c>
      <c r="X45" s="8"/>
      <c r="Y45" s="2"/>
      <c r="Z45" s="26"/>
      <c r="AA45" s="26"/>
      <c r="AB45" s="26"/>
      <c r="AC45" s="26"/>
      <c r="AD45" s="27"/>
      <c r="AE45" s="30"/>
      <c r="AF45" s="26"/>
      <c r="AG45" s="26"/>
      <c r="AH45" s="32"/>
      <c r="AJ45" s="8"/>
      <c r="AK45" s="2"/>
      <c r="AL45" s="26"/>
      <c r="AM45" s="26"/>
      <c r="AN45" s="26"/>
      <c r="AO45" s="27"/>
      <c r="AP45" s="30"/>
      <c r="AQ45" s="26"/>
      <c r="AR45" s="26"/>
      <c r="AS45" s="32"/>
      <c r="AT45" s="34"/>
    </row>
    <row r="46" spans="2:46" x14ac:dyDescent="0.3">
      <c r="B46" s="8"/>
      <c r="C46" s="2" t="s">
        <v>778</v>
      </c>
      <c r="D46" s="26">
        <v>0</v>
      </c>
      <c r="E46" s="26">
        <v>0</v>
      </c>
      <c r="F46" s="27">
        <v>0</v>
      </c>
      <c r="G46" s="26">
        <v>0</v>
      </c>
      <c r="H46" s="26">
        <v>0</v>
      </c>
      <c r="I46" s="27">
        <v>0</v>
      </c>
      <c r="J46" s="26">
        <v>0</v>
      </c>
      <c r="K46" s="26">
        <v>0</v>
      </c>
      <c r="L46" s="67">
        <v>1</v>
      </c>
      <c r="N46" s="8"/>
      <c r="O46" s="2" t="s">
        <v>821</v>
      </c>
      <c r="P46" s="26">
        <v>0</v>
      </c>
      <c r="Q46" s="27">
        <v>0</v>
      </c>
      <c r="R46" s="30">
        <v>0</v>
      </c>
      <c r="S46" s="27">
        <v>0</v>
      </c>
      <c r="T46" s="30">
        <v>0</v>
      </c>
      <c r="U46" s="34">
        <v>1</v>
      </c>
      <c r="V46" s="34">
        <v>1</v>
      </c>
      <c r="X46" s="8"/>
      <c r="Y46" s="2"/>
      <c r="Z46" s="26"/>
      <c r="AA46" s="26"/>
      <c r="AB46" s="26"/>
      <c r="AC46" s="26"/>
      <c r="AD46" s="27"/>
      <c r="AE46" s="30"/>
      <c r="AF46" s="26"/>
      <c r="AG46" s="26"/>
      <c r="AH46" s="32"/>
      <c r="AJ46" s="8"/>
      <c r="AK46" s="2"/>
      <c r="AL46" s="26"/>
      <c r="AM46" s="26"/>
      <c r="AN46" s="26"/>
      <c r="AO46" s="27"/>
      <c r="AP46" s="30"/>
      <c r="AQ46" s="26"/>
      <c r="AR46" s="26"/>
      <c r="AS46" s="32"/>
      <c r="AT46" s="34"/>
    </row>
    <row r="47" spans="2:46" x14ac:dyDescent="0.3">
      <c r="B47" s="8"/>
      <c r="C47" s="2" t="s">
        <v>726</v>
      </c>
      <c r="D47" s="26">
        <v>0</v>
      </c>
      <c r="E47" s="26">
        <v>0</v>
      </c>
      <c r="F47" s="27">
        <v>0</v>
      </c>
      <c r="G47" s="26">
        <v>0</v>
      </c>
      <c r="H47" s="26">
        <v>0</v>
      </c>
      <c r="I47" s="27">
        <v>0</v>
      </c>
      <c r="J47" s="26">
        <v>0</v>
      </c>
      <c r="K47" s="26">
        <v>0</v>
      </c>
      <c r="L47" s="67">
        <v>1</v>
      </c>
      <c r="N47" s="8"/>
      <c r="O47" s="2" t="s">
        <v>662</v>
      </c>
      <c r="P47" s="26">
        <v>0</v>
      </c>
      <c r="Q47" s="27">
        <v>0</v>
      </c>
      <c r="R47" s="30">
        <v>0</v>
      </c>
      <c r="S47" s="27">
        <v>0</v>
      </c>
      <c r="T47" s="30">
        <v>0</v>
      </c>
      <c r="U47" s="34">
        <v>1</v>
      </c>
      <c r="V47" s="34">
        <v>1</v>
      </c>
      <c r="X47" s="8"/>
      <c r="Y47" s="2"/>
      <c r="Z47" s="26"/>
      <c r="AA47" s="26"/>
      <c r="AB47" s="26"/>
      <c r="AC47" s="26"/>
      <c r="AD47" s="27"/>
      <c r="AE47" s="30"/>
      <c r="AF47" s="26"/>
      <c r="AG47" s="26"/>
      <c r="AH47" s="32"/>
      <c r="AJ47" s="8"/>
      <c r="AK47" s="2"/>
      <c r="AL47" s="26"/>
      <c r="AM47" s="26"/>
      <c r="AN47" s="26"/>
      <c r="AO47" s="27"/>
      <c r="AP47" s="30"/>
      <c r="AQ47" s="26"/>
      <c r="AR47" s="26"/>
      <c r="AS47" s="32"/>
      <c r="AT47" s="34"/>
    </row>
    <row r="48" spans="2:46" x14ac:dyDescent="0.3">
      <c r="B48" s="8"/>
      <c r="C48" s="2" t="s">
        <v>779</v>
      </c>
      <c r="D48" s="26">
        <v>0</v>
      </c>
      <c r="E48" s="26">
        <v>0</v>
      </c>
      <c r="F48" s="27">
        <v>0</v>
      </c>
      <c r="G48" s="26">
        <v>0</v>
      </c>
      <c r="H48" s="26">
        <v>0</v>
      </c>
      <c r="I48" s="27">
        <v>0</v>
      </c>
      <c r="J48" s="26">
        <v>0</v>
      </c>
      <c r="K48" s="26">
        <v>0</v>
      </c>
      <c r="L48" s="67">
        <v>1</v>
      </c>
      <c r="N48" s="8"/>
      <c r="O48" s="2" t="s">
        <v>822</v>
      </c>
      <c r="P48" s="26">
        <v>0</v>
      </c>
      <c r="Q48" s="27">
        <v>0</v>
      </c>
      <c r="R48" s="30">
        <v>0</v>
      </c>
      <c r="S48" s="27">
        <v>0</v>
      </c>
      <c r="T48" s="30">
        <v>0</v>
      </c>
      <c r="U48" s="34">
        <v>1</v>
      </c>
      <c r="V48" s="34">
        <v>1</v>
      </c>
      <c r="X48" s="8"/>
      <c r="Y48" s="2"/>
      <c r="Z48" s="26"/>
      <c r="AA48" s="26"/>
      <c r="AB48" s="26"/>
      <c r="AC48" s="26"/>
      <c r="AD48" s="27"/>
      <c r="AE48" s="30"/>
      <c r="AF48" s="26"/>
      <c r="AG48" s="26"/>
      <c r="AH48" s="32"/>
      <c r="AJ48" s="8"/>
      <c r="AK48" s="2"/>
      <c r="AL48" s="26"/>
      <c r="AM48" s="26"/>
      <c r="AN48" s="26"/>
      <c r="AO48" s="27"/>
      <c r="AP48" s="30"/>
      <c r="AQ48" s="26"/>
      <c r="AR48" s="26"/>
      <c r="AS48" s="32"/>
      <c r="AT48" s="34"/>
    </row>
    <row r="49" spans="2:46" x14ac:dyDescent="0.3">
      <c r="B49" s="8"/>
      <c r="C49" s="2" t="s">
        <v>780</v>
      </c>
      <c r="D49" s="26">
        <v>0</v>
      </c>
      <c r="E49" s="26">
        <v>0</v>
      </c>
      <c r="F49" s="27">
        <v>0</v>
      </c>
      <c r="G49" s="26">
        <v>0</v>
      </c>
      <c r="H49" s="26">
        <v>0</v>
      </c>
      <c r="I49" s="27">
        <v>0</v>
      </c>
      <c r="J49" s="26">
        <v>0</v>
      </c>
      <c r="K49" s="26">
        <v>0</v>
      </c>
      <c r="L49" s="67">
        <v>1</v>
      </c>
      <c r="N49" s="8"/>
      <c r="O49" s="2" t="s">
        <v>823</v>
      </c>
      <c r="P49" s="26">
        <v>0</v>
      </c>
      <c r="Q49" s="27">
        <v>0</v>
      </c>
      <c r="R49" s="30">
        <v>0</v>
      </c>
      <c r="S49" s="27">
        <v>0</v>
      </c>
      <c r="T49" s="30">
        <v>0</v>
      </c>
      <c r="U49" s="34">
        <v>1</v>
      </c>
      <c r="V49" s="34">
        <v>1</v>
      </c>
      <c r="X49" s="8"/>
      <c r="Y49" s="2"/>
      <c r="Z49" s="26"/>
      <c r="AA49" s="26"/>
      <c r="AB49" s="26"/>
      <c r="AC49" s="26"/>
      <c r="AD49" s="27"/>
      <c r="AE49" s="30"/>
      <c r="AF49" s="26"/>
      <c r="AG49" s="26"/>
      <c r="AH49" s="32"/>
      <c r="AJ49" s="8"/>
      <c r="AK49" s="2"/>
      <c r="AL49" s="26"/>
      <c r="AM49" s="26"/>
      <c r="AN49" s="26"/>
      <c r="AO49" s="27"/>
      <c r="AP49" s="30"/>
      <c r="AQ49" s="26"/>
      <c r="AR49" s="26"/>
      <c r="AS49" s="32"/>
      <c r="AT49" s="34"/>
    </row>
    <row r="50" spans="2:46" x14ac:dyDescent="0.3">
      <c r="B50" s="8"/>
      <c r="C50" s="2" t="s">
        <v>727</v>
      </c>
      <c r="D50" s="26">
        <v>0</v>
      </c>
      <c r="E50" s="26">
        <v>0</v>
      </c>
      <c r="F50" s="27">
        <v>0</v>
      </c>
      <c r="G50" s="26">
        <v>0</v>
      </c>
      <c r="H50" s="26">
        <v>0</v>
      </c>
      <c r="I50" s="27">
        <v>0</v>
      </c>
      <c r="J50" s="26">
        <v>0</v>
      </c>
      <c r="K50" s="26">
        <v>0</v>
      </c>
      <c r="L50" s="67">
        <v>1</v>
      </c>
      <c r="N50" s="8"/>
      <c r="O50" s="2" t="s">
        <v>663</v>
      </c>
      <c r="P50" s="26">
        <v>0</v>
      </c>
      <c r="Q50" s="27">
        <v>0</v>
      </c>
      <c r="R50" s="30">
        <v>0</v>
      </c>
      <c r="S50" s="27">
        <v>0</v>
      </c>
      <c r="T50" s="30">
        <v>0</v>
      </c>
      <c r="U50" s="34">
        <v>1</v>
      </c>
      <c r="V50" s="34">
        <v>1</v>
      </c>
      <c r="X50" s="8"/>
      <c r="Y50" s="2"/>
      <c r="Z50" s="26"/>
      <c r="AA50" s="26"/>
      <c r="AB50" s="26"/>
      <c r="AC50" s="26"/>
      <c r="AD50" s="27"/>
      <c r="AE50" s="30"/>
      <c r="AF50" s="26"/>
      <c r="AG50" s="26"/>
      <c r="AH50" s="32"/>
      <c r="AJ50" s="8"/>
      <c r="AK50" s="2"/>
      <c r="AL50" s="26"/>
      <c r="AM50" s="26"/>
      <c r="AN50" s="26"/>
      <c r="AO50" s="27"/>
      <c r="AP50" s="30"/>
      <c r="AQ50" s="26"/>
      <c r="AR50" s="26"/>
      <c r="AS50" s="32"/>
      <c r="AT50" s="34"/>
    </row>
    <row r="51" spans="2:46" x14ac:dyDescent="0.3">
      <c r="B51" s="8"/>
      <c r="C51" s="2" t="s">
        <v>728</v>
      </c>
      <c r="D51" s="26">
        <v>0</v>
      </c>
      <c r="E51" s="26">
        <v>0</v>
      </c>
      <c r="F51" s="27">
        <v>0</v>
      </c>
      <c r="G51" s="26">
        <v>0</v>
      </c>
      <c r="H51" s="26">
        <v>0</v>
      </c>
      <c r="I51" s="27">
        <v>0</v>
      </c>
      <c r="J51" s="26">
        <v>0</v>
      </c>
      <c r="K51" s="26">
        <v>0</v>
      </c>
      <c r="L51" s="67">
        <v>1</v>
      </c>
      <c r="N51" s="8"/>
      <c r="O51" s="2" t="s">
        <v>664</v>
      </c>
      <c r="P51" s="26">
        <v>0</v>
      </c>
      <c r="Q51" s="27">
        <v>0</v>
      </c>
      <c r="R51" s="30">
        <v>0</v>
      </c>
      <c r="S51" s="27">
        <v>0</v>
      </c>
      <c r="T51" s="30">
        <v>0</v>
      </c>
      <c r="U51" s="34">
        <v>1</v>
      </c>
      <c r="V51" s="34">
        <v>1</v>
      </c>
      <c r="X51" s="8"/>
      <c r="Y51" s="2"/>
      <c r="Z51" s="26"/>
      <c r="AA51" s="26"/>
      <c r="AB51" s="26"/>
      <c r="AC51" s="26"/>
      <c r="AD51" s="27"/>
      <c r="AE51" s="30"/>
      <c r="AF51" s="26"/>
      <c r="AG51" s="26"/>
      <c r="AH51" s="32"/>
      <c r="AJ51" s="8"/>
      <c r="AK51" s="2"/>
      <c r="AL51" s="26"/>
      <c r="AM51" s="26"/>
      <c r="AN51" s="26"/>
      <c r="AO51" s="27"/>
      <c r="AP51" s="30"/>
      <c r="AQ51" s="26"/>
      <c r="AR51" s="26"/>
      <c r="AS51" s="32"/>
      <c r="AT51" s="34"/>
    </row>
    <row r="52" spans="2:46" x14ac:dyDescent="0.3">
      <c r="B52" s="8"/>
      <c r="C52" s="2" t="s">
        <v>781</v>
      </c>
      <c r="D52" s="26">
        <v>0</v>
      </c>
      <c r="E52" s="26">
        <v>0</v>
      </c>
      <c r="F52" s="27">
        <v>0</v>
      </c>
      <c r="G52" s="26">
        <v>0</v>
      </c>
      <c r="H52" s="26">
        <v>0</v>
      </c>
      <c r="I52" s="27">
        <v>0</v>
      </c>
      <c r="J52" s="26">
        <v>0</v>
      </c>
      <c r="K52" s="26">
        <v>0</v>
      </c>
      <c r="L52" s="67">
        <v>1</v>
      </c>
      <c r="N52" s="8"/>
      <c r="O52" s="2" t="s">
        <v>824</v>
      </c>
      <c r="P52" s="26">
        <v>0</v>
      </c>
      <c r="Q52" s="27">
        <v>0</v>
      </c>
      <c r="R52" s="30">
        <v>0</v>
      </c>
      <c r="S52" s="27">
        <v>0</v>
      </c>
      <c r="T52" s="30">
        <v>0</v>
      </c>
      <c r="U52" s="34">
        <v>1</v>
      </c>
      <c r="V52" s="34">
        <v>1</v>
      </c>
      <c r="X52" s="8"/>
      <c r="Y52" s="2"/>
      <c r="Z52" s="26"/>
      <c r="AA52" s="26"/>
      <c r="AB52" s="26"/>
      <c r="AC52" s="26"/>
      <c r="AD52" s="27"/>
      <c r="AE52" s="30"/>
      <c r="AF52" s="26"/>
      <c r="AG52" s="26"/>
      <c r="AH52" s="32"/>
      <c r="AJ52" s="8"/>
      <c r="AK52" s="2"/>
      <c r="AL52" s="26"/>
      <c r="AM52" s="26"/>
      <c r="AN52" s="26"/>
      <c r="AO52" s="27"/>
      <c r="AP52" s="30"/>
      <c r="AQ52" s="26"/>
      <c r="AR52" s="26"/>
      <c r="AS52" s="32"/>
      <c r="AT52" s="34"/>
    </row>
    <row r="53" spans="2:46" x14ac:dyDescent="0.3">
      <c r="B53" s="8"/>
      <c r="C53" s="2" t="s">
        <v>729</v>
      </c>
      <c r="D53" s="26">
        <v>0</v>
      </c>
      <c r="E53" s="26">
        <v>0</v>
      </c>
      <c r="F53" s="27">
        <v>0</v>
      </c>
      <c r="G53" s="26">
        <v>0</v>
      </c>
      <c r="H53" s="26">
        <v>0</v>
      </c>
      <c r="I53" s="27">
        <v>0</v>
      </c>
      <c r="J53" s="26">
        <v>0</v>
      </c>
      <c r="K53" s="26">
        <v>0</v>
      </c>
      <c r="L53" s="67">
        <v>1</v>
      </c>
      <c r="N53" s="8"/>
      <c r="O53" s="2" t="s">
        <v>665</v>
      </c>
      <c r="P53" s="26">
        <v>0</v>
      </c>
      <c r="Q53" s="27">
        <v>0</v>
      </c>
      <c r="R53" s="30">
        <v>0</v>
      </c>
      <c r="S53" s="27">
        <v>0</v>
      </c>
      <c r="T53" s="30">
        <v>0</v>
      </c>
      <c r="U53" s="34">
        <v>1</v>
      </c>
      <c r="V53" s="34">
        <v>1</v>
      </c>
      <c r="X53" s="8"/>
      <c r="Y53" s="2"/>
      <c r="Z53" s="26"/>
      <c r="AA53" s="26"/>
      <c r="AB53" s="26"/>
      <c r="AC53" s="26"/>
      <c r="AD53" s="27"/>
      <c r="AE53" s="30"/>
      <c r="AF53" s="26"/>
      <c r="AG53" s="26"/>
      <c r="AH53" s="32"/>
      <c r="AJ53" s="8"/>
      <c r="AK53" s="2"/>
      <c r="AL53" s="26"/>
      <c r="AM53" s="26"/>
      <c r="AN53" s="26"/>
      <c r="AO53" s="27"/>
      <c r="AP53" s="30"/>
      <c r="AQ53" s="26"/>
      <c r="AR53" s="26"/>
      <c r="AS53" s="32"/>
      <c r="AT53" s="34"/>
    </row>
    <row r="54" spans="2:46" x14ac:dyDescent="0.3">
      <c r="B54" s="8"/>
      <c r="C54" s="2" t="s">
        <v>782</v>
      </c>
      <c r="D54" s="26">
        <v>0</v>
      </c>
      <c r="E54" s="26">
        <v>0</v>
      </c>
      <c r="F54" s="27">
        <v>0</v>
      </c>
      <c r="G54" s="26">
        <v>0</v>
      </c>
      <c r="H54" s="26">
        <v>0</v>
      </c>
      <c r="I54" s="27">
        <v>0</v>
      </c>
      <c r="J54" s="26">
        <v>0</v>
      </c>
      <c r="K54" s="26">
        <v>0</v>
      </c>
      <c r="L54" s="67">
        <v>1</v>
      </c>
      <c r="N54" s="8"/>
      <c r="O54" s="2" t="s">
        <v>825</v>
      </c>
      <c r="P54" s="26">
        <v>0</v>
      </c>
      <c r="Q54" s="27">
        <v>0</v>
      </c>
      <c r="R54" s="30">
        <v>0</v>
      </c>
      <c r="S54" s="27">
        <v>0</v>
      </c>
      <c r="T54" s="30">
        <v>0</v>
      </c>
      <c r="U54" s="34">
        <v>1</v>
      </c>
      <c r="V54" s="34">
        <v>1</v>
      </c>
      <c r="X54" s="8"/>
      <c r="Y54" s="2"/>
      <c r="Z54" s="26"/>
      <c r="AA54" s="26"/>
      <c r="AB54" s="26"/>
      <c r="AC54" s="26"/>
      <c r="AD54" s="27"/>
      <c r="AE54" s="30"/>
      <c r="AF54" s="26"/>
      <c r="AG54" s="26"/>
      <c r="AH54" s="32"/>
      <c r="AJ54" s="8"/>
      <c r="AK54" s="2"/>
      <c r="AL54" s="26"/>
      <c r="AM54" s="26"/>
      <c r="AN54" s="26"/>
      <c r="AO54" s="27"/>
      <c r="AP54" s="30"/>
      <c r="AQ54" s="26"/>
      <c r="AR54" s="26"/>
      <c r="AS54" s="32"/>
      <c r="AT54" s="34"/>
    </row>
    <row r="55" spans="2:46" x14ac:dyDescent="0.3">
      <c r="B55" s="8"/>
      <c r="C55" s="2" t="s">
        <v>783</v>
      </c>
      <c r="D55" s="26">
        <v>0</v>
      </c>
      <c r="E55" s="26">
        <v>0</v>
      </c>
      <c r="F55" s="27">
        <v>0</v>
      </c>
      <c r="G55" s="26">
        <v>0</v>
      </c>
      <c r="H55" s="26">
        <v>0</v>
      </c>
      <c r="I55" s="27">
        <v>0</v>
      </c>
      <c r="J55" s="26">
        <v>0</v>
      </c>
      <c r="K55" s="26">
        <v>0</v>
      </c>
      <c r="L55" s="67">
        <v>1</v>
      </c>
      <c r="N55" s="8"/>
      <c r="O55" s="2" t="s">
        <v>826</v>
      </c>
      <c r="P55" s="26">
        <v>0</v>
      </c>
      <c r="Q55" s="27">
        <v>0</v>
      </c>
      <c r="R55" s="30">
        <v>0</v>
      </c>
      <c r="S55" s="27">
        <v>0</v>
      </c>
      <c r="T55" s="30">
        <v>0</v>
      </c>
      <c r="U55" s="34">
        <v>1</v>
      </c>
      <c r="V55" s="34">
        <v>1</v>
      </c>
      <c r="X55" s="8"/>
      <c r="Y55" s="2"/>
      <c r="Z55" s="26"/>
      <c r="AA55" s="26"/>
      <c r="AB55" s="26"/>
      <c r="AC55" s="26"/>
      <c r="AD55" s="27"/>
      <c r="AE55" s="30"/>
      <c r="AF55" s="26"/>
      <c r="AG55" s="26"/>
      <c r="AH55" s="32"/>
      <c r="AJ55" s="8"/>
      <c r="AK55" s="2"/>
      <c r="AL55" s="26"/>
      <c r="AM55" s="26"/>
      <c r="AN55" s="26"/>
      <c r="AO55" s="27"/>
      <c r="AP55" s="30"/>
      <c r="AQ55" s="26"/>
      <c r="AR55" s="26"/>
      <c r="AS55" s="32"/>
      <c r="AT55" s="34"/>
    </row>
    <row r="56" spans="2:46" x14ac:dyDescent="0.3">
      <c r="B56" s="8"/>
      <c r="C56" s="2" t="s">
        <v>784</v>
      </c>
      <c r="D56" s="26">
        <v>0</v>
      </c>
      <c r="E56" s="26">
        <v>0</v>
      </c>
      <c r="F56" s="27">
        <v>0</v>
      </c>
      <c r="G56" s="26">
        <v>0</v>
      </c>
      <c r="H56" s="26">
        <v>0</v>
      </c>
      <c r="I56" s="27">
        <v>0</v>
      </c>
      <c r="J56" s="26">
        <v>0</v>
      </c>
      <c r="K56" s="26">
        <v>0</v>
      </c>
      <c r="L56" s="67">
        <v>1</v>
      </c>
      <c r="N56" s="8"/>
      <c r="O56" s="2" t="s">
        <v>827</v>
      </c>
      <c r="P56" s="26">
        <v>0</v>
      </c>
      <c r="Q56" s="27">
        <v>0</v>
      </c>
      <c r="R56" s="30">
        <v>0</v>
      </c>
      <c r="S56" s="27">
        <v>0</v>
      </c>
      <c r="T56" s="30">
        <v>0</v>
      </c>
      <c r="U56" s="34">
        <v>1</v>
      </c>
      <c r="V56" s="34">
        <v>1</v>
      </c>
      <c r="X56" s="8"/>
      <c r="Y56" s="2"/>
      <c r="Z56" s="26"/>
      <c r="AA56" s="26"/>
      <c r="AB56" s="26"/>
      <c r="AC56" s="26"/>
      <c r="AD56" s="27"/>
      <c r="AE56" s="30"/>
      <c r="AF56" s="26"/>
      <c r="AG56" s="26"/>
      <c r="AH56" s="32"/>
      <c r="AJ56" s="8"/>
      <c r="AK56" s="2"/>
      <c r="AL56" s="26"/>
      <c r="AM56" s="26"/>
      <c r="AN56" s="26"/>
      <c r="AO56" s="27"/>
      <c r="AP56" s="30"/>
      <c r="AQ56" s="26"/>
      <c r="AR56" s="26"/>
      <c r="AS56" s="32"/>
      <c r="AT56" s="34"/>
    </row>
    <row r="57" spans="2:46" x14ac:dyDescent="0.3">
      <c r="B57" s="8"/>
      <c r="C57" s="2" t="s">
        <v>785</v>
      </c>
      <c r="D57" s="26">
        <v>0</v>
      </c>
      <c r="E57" s="26">
        <v>0</v>
      </c>
      <c r="F57" s="27">
        <v>0</v>
      </c>
      <c r="G57" s="26">
        <v>0</v>
      </c>
      <c r="H57" s="26">
        <v>0</v>
      </c>
      <c r="I57" s="27">
        <v>0</v>
      </c>
      <c r="J57" s="26">
        <v>0</v>
      </c>
      <c r="K57" s="26">
        <v>0</v>
      </c>
      <c r="L57" s="67">
        <v>1</v>
      </c>
      <c r="N57" s="8"/>
      <c r="O57" s="2" t="s">
        <v>828</v>
      </c>
      <c r="P57" s="26">
        <v>0</v>
      </c>
      <c r="Q57" s="27">
        <v>0</v>
      </c>
      <c r="R57" s="30">
        <v>0</v>
      </c>
      <c r="S57" s="27">
        <v>0</v>
      </c>
      <c r="T57" s="30">
        <v>0</v>
      </c>
      <c r="U57" s="34">
        <v>1</v>
      </c>
      <c r="V57" s="34">
        <v>1</v>
      </c>
      <c r="X57" s="8"/>
      <c r="Y57" s="2"/>
      <c r="Z57" s="26"/>
      <c r="AA57" s="26"/>
      <c r="AB57" s="26"/>
      <c r="AC57" s="26"/>
      <c r="AD57" s="27"/>
      <c r="AE57" s="30"/>
      <c r="AF57" s="26"/>
      <c r="AG57" s="26"/>
      <c r="AH57" s="32"/>
      <c r="AJ57" s="8"/>
      <c r="AK57" s="2"/>
      <c r="AL57" s="26"/>
      <c r="AM57" s="26"/>
      <c r="AN57" s="26"/>
      <c r="AO57" s="27"/>
      <c r="AP57" s="30"/>
      <c r="AQ57" s="26"/>
      <c r="AR57" s="26"/>
      <c r="AS57" s="32"/>
      <c r="AT57" s="34"/>
    </row>
    <row r="58" spans="2:46" x14ac:dyDescent="0.3">
      <c r="B58" s="8"/>
      <c r="C58" s="2" t="s">
        <v>786</v>
      </c>
      <c r="D58" s="26">
        <v>0</v>
      </c>
      <c r="E58" s="26">
        <v>0</v>
      </c>
      <c r="F58" s="27">
        <v>0</v>
      </c>
      <c r="G58" s="26">
        <v>0</v>
      </c>
      <c r="H58" s="26">
        <v>0</v>
      </c>
      <c r="I58" s="27">
        <v>0</v>
      </c>
      <c r="J58" s="26">
        <v>0</v>
      </c>
      <c r="K58" s="26">
        <v>0</v>
      </c>
      <c r="L58" s="67">
        <v>1</v>
      </c>
      <c r="N58" s="8"/>
      <c r="O58" s="2" t="s">
        <v>829</v>
      </c>
      <c r="P58" s="26">
        <v>0</v>
      </c>
      <c r="Q58" s="27">
        <v>0</v>
      </c>
      <c r="R58" s="30">
        <v>0</v>
      </c>
      <c r="S58" s="27">
        <v>0</v>
      </c>
      <c r="T58" s="30">
        <v>0</v>
      </c>
      <c r="U58" s="34">
        <v>1</v>
      </c>
      <c r="V58" s="34">
        <v>1</v>
      </c>
      <c r="X58" s="8"/>
      <c r="Y58" s="2"/>
      <c r="Z58" s="26"/>
      <c r="AA58" s="26"/>
      <c r="AB58" s="26"/>
      <c r="AC58" s="26"/>
      <c r="AD58" s="27"/>
      <c r="AE58" s="30"/>
      <c r="AF58" s="26"/>
      <c r="AG58" s="26"/>
      <c r="AH58" s="32"/>
      <c r="AJ58" s="8"/>
      <c r="AK58" s="2"/>
      <c r="AL58" s="26"/>
      <c r="AM58" s="26"/>
      <c r="AN58" s="26"/>
      <c r="AO58" s="27"/>
      <c r="AP58" s="30"/>
      <c r="AQ58" s="26"/>
      <c r="AR58" s="26"/>
      <c r="AS58" s="32"/>
      <c r="AT58" s="34"/>
    </row>
    <row r="59" spans="2:46" x14ac:dyDescent="0.3">
      <c r="B59" s="8"/>
      <c r="C59" s="2" t="s">
        <v>787</v>
      </c>
      <c r="D59" s="26">
        <v>0</v>
      </c>
      <c r="E59" s="26">
        <v>0</v>
      </c>
      <c r="F59" s="27">
        <v>0</v>
      </c>
      <c r="G59" s="26">
        <v>0</v>
      </c>
      <c r="H59" s="26">
        <v>0</v>
      </c>
      <c r="I59" s="27">
        <v>0</v>
      </c>
      <c r="J59" s="26">
        <v>0</v>
      </c>
      <c r="K59" s="26">
        <v>0</v>
      </c>
      <c r="L59" s="67">
        <v>1</v>
      </c>
      <c r="N59" s="8"/>
      <c r="O59" s="2" t="s">
        <v>830</v>
      </c>
      <c r="P59" s="26">
        <v>0</v>
      </c>
      <c r="Q59" s="27">
        <v>0</v>
      </c>
      <c r="R59" s="30">
        <v>0</v>
      </c>
      <c r="S59" s="27">
        <v>0</v>
      </c>
      <c r="T59" s="30">
        <v>0</v>
      </c>
      <c r="U59" s="34">
        <v>1</v>
      </c>
      <c r="V59" s="34">
        <v>1</v>
      </c>
      <c r="X59" s="8"/>
      <c r="Y59" s="2"/>
      <c r="Z59" s="26"/>
      <c r="AA59" s="26"/>
      <c r="AB59" s="26"/>
      <c r="AC59" s="26"/>
      <c r="AD59" s="27"/>
      <c r="AE59" s="30"/>
      <c r="AF59" s="26"/>
      <c r="AG59" s="26"/>
      <c r="AH59" s="32"/>
      <c r="AJ59" s="8"/>
      <c r="AK59" s="2"/>
      <c r="AL59" s="26"/>
      <c r="AM59" s="26"/>
      <c r="AN59" s="26"/>
      <c r="AO59" s="27"/>
      <c r="AP59" s="30"/>
      <c r="AQ59" s="26"/>
      <c r="AR59" s="26"/>
      <c r="AS59" s="32"/>
      <c r="AT59" s="34"/>
    </row>
    <row r="60" spans="2:46" x14ac:dyDescent="0.3">
      <c r="B60" s="8"/>
      <c r="C60" s="2" t="s">
        <v>788</v>
      </c>
      <c r="D60" s="26">
        <v>0</v>
      </c>
      <c r="E60" s="26">
        <v>0</v>
      </c>
      <c r="F60" s="27">
        <v>0</v>
      </c>
      <c r="G60" s="26">
        <v>0</v>
      </c>
      <c r="H60" s="26">
        <v>0</v>
      </c>
      <c r="I60" s="27">
        <v>0</v>
      </c>
      <c r="J60" s="26">
        <v>0</v>
      </c>
      <c r="K60" s="26">
        <v>0</v>
      </c>
      <c r="L60" s="67">
        <v>1</v>
      </c>
      <c r="N60" s="8"/>
      <c r="O60" s="2" t="s">
        <v>831</v>
      </c>
      <c r="P60" s="26">
        <v>0</v>
      </c>
      <c r="Q60" s="27">
        <v>0</v>
      </c>
      <c r="R60" s="30">
        <v>0</v>
      </c>
      <c r="S60" s="27">
        <v>0</v>
      </c>
      <c r="T60" s="30">
        <v>0</v>
      </c>
      <c r="U60" s="34">
        <v>1</v>
      </c>
      <c r="V60" s="34">
        <v>1</v>
      </c>
      <c r="X60" s="8"/>
      <c r="Y60" s="2"/>
      <c r="Z60" s="26"/>
      <c r="AA60" s="26"/>
      <c r="AB60" s="26"/>
      <c r="AC60" s="26"/>
      <c r="AD60" s="27"/>
      <c r="AE60" s="30"/>
      <c r="AF60" s="26"/>
      <c r="AG60" s="26"/>
      <c r="AH60" s="32"/>
      <c r="AJ60" s="8"/>
      <c r="AK60" s="2"/>
      <c r="AL60" s="26"/>
      <c r="AM60" s="26"/>
      <c r="AN60" s="26"/>
      <c r="AO60" s="27"/>
      <c r="AP60" s="30"/>
      <c r="AQ60" s="26"/>
      <c r="AR60" s="26"/>
      <c r="AS60" s="32"/>
      <c r="AT60" s="34"/>
    </row>
    <row r="61" spans="2:46" x14ac:dyDescent="0.3">
      <c r="B61" s="8"/>
      <c r="C61" s="2" t="s">
        <v>789</v>
      </c>
      <c r="D61" s="26">
        <v>0</v>
      </c>
      <c r="E61" s="26">
        <v>0</v>
      </c>
      <c r="F61" s="27">
        <v>0</v>
      </c>
      <c r="G61" s="26">
        <v>0</v>
      </c>
      <c r="H61" s="26">
        <v>0</v>
      </c>
      <c r="I61" s="27">
        <v>0</v>
      </c>
      <c r="J61" s="26">
        <v>0</v>
      </c>
      <c r="K61" s="26">
        <v>0</v>
      </c>
      <c r="L61" s="67">
        <v>1</v>
      </c>
      <c r="N61" s="8"/>
      <c r="O61" s="2" t="s">
        <v>832</v>
      </c>
      <c r="P61" s="26">
        <v>0</v>
      </c>
      <c r="Q61" s="27">
        <v>0</v>
      </c>
      <c r="R61" s="30">
        <v>0</v>
      </c>
      <c r="S61" s="27">
        <v>0</v>
      </c>
      <c r="T61" s="30">
        <v>0</v>
      </c>
      <c r="U61" s="34">
        <v>1</v>
      </c>
      <c r="V61" s="34">
        <v>1</v>
      </c>
      <c r="X61" s="8"/>
      <c r="Y61" s="2"/>
      <c r="Z61" s="26"/>
      <c r="AA61" s="26"/>
      <c r="AB61" s="26"/>
      <c r="AC61" s="26"/>
      <c r="AD61" s="27"/>
      <c r="AE61" s="30"/>
      <c r="AF61" s="26"/>
      <c r="AG61" s="26"/>
      <c r="AH61" s="32"/>
      <c r="AJ61" s="8"/>
      <c r="AK61" s="2"/>
      <c r="AL61" s="26"/>
      <c r="AM61" s="26"/>
      <c r="AN61" s="26"/>
      <c r="AO61" s="27"/>
      <c r="AP61" s="30"/>
      <c r="AQ61" s="26"/>
      <c r="AR61" s="26"/>
      <c r="AS61" s="32"/>
      <c r="AT61" s="34"/>
    </row>
    <row r="62" spans="2:46" x14ac:dyDescent="0.3">
      <c r="B62" s="8"/>
      <c r="C62" s="2" t="s">
        <v>790</v>
      </c>
      <c r="D62" s="26">
        <v>0</v>
      </c>
      <c r="E62" s="26">
        <v>0</v>
      </c>
      <c r="F62" s="27">
        <v>0</v>
      </c>
      <c r="G62" s="26">
        <v>0</v>
      </c>
      <c r="H62" s="26">
        <v>0</v>
      </c>
      <c r="I62" s="27">
        <v>0</v>
      </c>
      <c r="J62" s="26">
        <v>0</v>
      </c>
      <c r="K62" s="26">
        <v>0</v>
      </c>
      <c r="L62" s="67">
        <v>1</v>
      </c>
      <c r="N62" s="8"/>
      <c r="O62" s="2" t="s">
        <v>833</v>
      </c>
      <c r="P62" s="26">
        <v>0</v>
      </c>
      <c r="Q62" s="27">
        <v>0</v>
      </c>
      <c r="R62" s="30">
        <v>0</v>
      </c>
      <c r="S62" s="27">
        <v>0</v>
      </c>
      <c r="T62" s="30">
        <v>0</v>
      </c>
      <c r="U62" s="34">
        <v>1</v>
      </c>
      <c r="V62" s="34">
        <v>1</v>
      </c>
      <c r="X62" s="8"/>
      <c r="Y62" s="2"/>
      <c r="Z62" s="26"/>
      <c r="AA62" s="26"/>
      <c r="AB62" s="26"/>
      <c r="AC62" s="26"/>
      <c r="AD62" s="27"/>
      <c r="AE62" s="30"/>
      <c r="AF62" s="26"/>
      <c r="AG62" s="26"/>
      <c r="AH62" s="32"/>
      <c r="AJ62" s="8"/>
      <c r="AK62" s="2"/>
      <c r="AL62" s="26"/>
      <c r="AM62" s="26"/>
      <c r="AN62" s="26"/>
      <c r="AO62" s="27"/>
      <c r="AP62" s="30"/>
      <c r="AQ62" s="26"/>
      <c r="AR62" s="26"/>
      <c r="AS62" s="32"/>
      <c r="AT62" s="34"/>
    </row>
    <row r="63" spans="2:46" x14ac:dyDescent="0.3">
      <c r="B63" s="8"/>
      <c r="C63" s="2" t="s">
        <v>791</v>
      </c>
      <c r="D63" s="26">
        <v>0</v>
      </c>
      <c r="E63" s="26">
        <v>0</v>
      </c>
      <c r="F63" s="27">
        <v>0</v>
      </c>
      <c r="G63" s="26">
        <v>0</v>
      </c>
      <c r="H63" s="26">
        <v>0</v>
      </c>
      <c r="I63" s="27">
        <v>0</v>
      </c>
      <c r="J63" s="26">
        <v>0</v>
      </c>
      <c r="K63" s="26">
        <v>0</v>
      </c>
      <c r="L63" s="67">
        <v>1</v>
      </c>
      <c r="N63" s="8"/>
      <c r="O63" s="2" t="s">
        <v>834</v>
      </c>
      <c r="P63" s="26">
        <v>0</v>
      </c>
      <c r="Q63" s="27">
        <v>0</v>
      </c>
      <c r="R63" s="30">
        <v>0</v>
      </c>
      <c r="S63" s="27">
        <v>0</v>
      </c>
      <c r="T63" s="30">
        <v>0</v>
      </c>
      <c r="U63" s="34">
        <v>1</v>
      </c>
      <c r="V63" s="34">
        <v>1</v>
      </c>
      <c r="X63" s="8"/>
      <c r="Y63" s="2"/>
      <c r="Z63" s="26"/>
      <c r="AA63" s="26"/>
      <c r="AB63" s="26"/>
      <c r="AC63" s="26"/>
      <c r="AD63" s="27"/>
      <c r="AE63" s="30"/>
      <c r="AF63" s="26"/>
      <c r="AG63" s="26"/>
      <c r="AH63" s="32"/>
      <c r="AJ63" s="8"/>
      <c r="AK63" s="2"/>
      <c r="AL63" s="26"/>
      <c r="AM63" s="26"/>
      <c r="AN63" s="26"/>
      <c r="AO63" s="27"/>
      <c r="AP63" s="30"/>
      <c r="AQ63" s="26"/>
      <c r="AR63" s="26"/>
      <c r="AS63" s="32"/>
      <c r="AT63" s="34"/>
    </row>
    <row r="64" spans="2:46" x14ac:dyDescent="0.3">
      <c r="B64" s="8"/>
      <c r="C64" s="2" t="s">
        <v>792</v>
      </c>
      <c r="D64" s="26">
        <v>0</v>
      </c>
      <c r="E64" s="26">
        <v>0</v>
      </c>
      <c r="F64" s="27">
        <v>0</v>
      </c>
      <c r="G64" s="26">
        <v>0</v>
      </c>
      <c r="H64" s="26">
        <v>0</v>
      </c>
      <c r="I64" s="27">
        <v>0</v>
      </c>
      <c r="J64" s="26">
        <v>0</v>
      </c>
      <c r="K64" s="26">
        <v>0</v>
      </c>
      <c r="L64" s="67">
        <v>1</v>
      </c>
      <c r="N64" s="8"/>
      <c r="O64" s="2" t="s">
        <v>835</v>
      </c>
      <c r="P64" s="26">
        <v>0</v>
      </c>
      <c r="Q64" s="27">
        <v>0</v>
      </c>
      <c r="R64" s="30">
        <v>0</v>
      </c>
      <c r="S64" s="27">
        <v>0</v>
      </c>
      <c r="T64" s="30">
        <v>0</v>
      </c>
      <c r="U64" s="34">
        <v>1</v>
      </c>
      <c r="V64" s="34">
        <v>1</v>
      </c>
      <c r="X64" s="8"/>
      <c r="Y64" s="2"/>
      <c r="Z64" s="26"/>
      <c r="AA64" s="26"/>
      <c r="AB64" s="26"/>
      <c r="AC64" s="26"/>
      <c r="AD64" s="27"/>
      <c r="AE64" s="30"/>
      <c r="AF64" s="26"/>
      <c r="AG64" s="26"/>
      <c r="AH64" s="32"/>
      <c r="AJ64" s="8"/>
      <c r="AK64" s="2"/>
      <c r="AL64" s="26"/>
      <c r="AM64" s="26"/>
      <c r="AN64" s="26"/>
      <c r="AO64" s="27"/>
      <c r="AP64" s="30"/>
      <c r="AQ64" s="26"/>
      <c r="AR64" s="26"/>
      <c r="AS64" s="32"/>
      <c r="AT64" s="34"/>
    </row>
    <row r="65" spans="2:46" x14ac:dyDescent="0.3">
      <c r="B65" s="8"/>
      <c r="C65" s="2" t="s">
        <v>793</v>
      </c>
      <c r="D65" s="26">
        <v>0</v>
      </c>
      <c r="E65" s="26">
        <v>0</v>
      </c>
      <c r="F65" s="27">
        <v>0</v>
      </c>
      <c r="G65" s="26">
        <v>0</v>
      </c>
      <c r="H65" s="26">
        <v>0</v>
      </c>
      <c r="I65" s="27">
        <v>0</v>
      </c>
      <c r="J65" s="26">
        <v>0</v>
      </c>
      <c r="K65" s="26">
        <v>0</v>
      </c>
      <c r="L65" s="67">
        <v>1</v>
      </c>
      <c r="N65" s="8"/>
      <c r="O65" s="2" t="s">
        <v>836</v>
      </c>
      <c r="P65" s="26">
        <v>0</v>
      </c>
      <c r="Q65" s="27">
        <v>0</v>
      </c>
      <c r="R65" s="30">
        <v>0</v>
      </c>
      <c r="S65" s="27">
        <v>0</v>
      </c>
      <c r="T65" s="30">
        <v>0</v>
      </c>
      <c r="U65" s="34">
        <v>1</v>
      </c>
      <c r="V65" s="34">
        <v>1</v>
      </c>
      <c r="X65" s="8"/>
      <c r="Y65" s="2"/>
      <c r="Z65" s="26"/>
      <c r="AA65" s="26"/>
      <c r="AB65" s="26"/>
      <c r="AC65" s="26"/>
      <c r="AD65" s="27"/>
      <c r="AE65" s="30"/>
      <c r="AF65" s="26"/>
      <c r="AG65" s="26"/>
      <c r="AH65" s="32"/>
      <c r="AJ65" s="8"/>
      <c r="AK65" s="2"/>
      <c r="AL65" s="26"/>
      <c r="AM65" s="26"/>
      <c r="AN65" s="26"/>
      <c r="AO65" s="27"/>
      <c r="AP65" s="30"/>
      <c r="AQ65" s="26"/>
      <c r="AR65" s="26"/>
      <c r="AS65" s="32"/>
      <c r="AT65" s="34"/>
    </row>
    <row r="66" spans="2:46" x14ac:dyDescent="0.3">
      <c r="B66" s="8"/>
      <c r="C66" s="2" t="s">
        <v>980</v>
      </c>
      <c r="D66" s="26">
        <v>0</v>
      </c>
      <c r="E66" s="26">
        <v>0</v>
      </c>
      <c r="F66" s="27">
        <v>0</v>
      </c>
      <c r="G66" s="26">
        <v>0</v>
      </c>
      <c r="H66" s="26">
        <v>0</v>
      </c>
      <c r="I66" s="27">
        <v>0</v>
      </c>
      <c r="J66" s="26">
        <v>0</v>
      </c>
      <c r="K66" s="26">
        <v>0</v>
      </c>
      <c r="L66" s="67">
        <v>1</v>
      </c>
      <c r="N66" s="8"/>
      <c r="O66" s="2" t="s">
        <v>950</v>
      </c>
      <c r="P66" s="26">
        <v>0</v>
      </c>
      <c r="Q66" s="27">
        <v>0</v>
      </c>
      <c r="R66" s="30">
        <v>0</v>
      </c>
      <c r="S66" s="27">
        <v>0</v>
      </c>
      <c r="T66" s="30">
        <v>0</v>
      </c>
      <c r="U66" s="34">
        <v>1</v>
      </c>
      <c r="V66" s="34">
        <v>1</v>
      </c>
      <c r="X66" s="8"/>
      <c r="Y66" s="2"/>
      <c r="Z66" s="26"/>
      <c r="AA66" s="26"/>
      <c r="AB66" s="26"/>
      <c r="AC66" s="26"/>
      <c r="AD66" s="27"/>
      <c r="AE66" s="30"/>
      <c r="AF66" s="26"/>
      <c r="AG66" s="26"/>
      <c r="AH66" s="32"/>
      <c r="AJ66" s="8"/>
      <c r="AK66" s="2"/>
      <c r="AL66" s="26"/>
      <c r="AM66" s="26"/>
      <c r="AN66" s="26"/>
      <c r="AO66" s="27"/>
      <c r="AP66" s="30"/>
      <c r="AQ66" s="26"/>
      <c r="AR66" s="26"/>
      <c r="AS66" s="32"/>
      <c r="AT66" s="34"/>
    </row>
    <row r="67" spans="2:46" x14ac:dyDescent="0.3">
      <c r="B67" s="8"/>
      <c r="C67" s="2" t="s">
        <v>981</v>
      </c>
      <c r="D67" s="26">
        <v>0</v>
      </c>
      <c r="E67" s="26">
        <v>0</v>
      </c>
      <c r="F67" s="27">
        <v>0</v>
      </c>
      <c r="G67" s="26">
        <v>0</v>
      </c>
      <c r="H67" s="26">
        <v>0</v>
      </c>
      <c r="I67" s="27">
        <v>0</v>
      </c>
      <c r="J67" s="26">
        <v>0</v>
      </c>
      <c r="K67" s="26">
        <v>0</v>
      </c>
      <c r="L67" s="67">
        <v>1</v>
      </c>
      <c r="N67" s="8"/>
      <c r="O67" s="2" t="s">
        <v>951</v>
      </c>
      <c r="P67" s="26">
        <v>0</v>
      </c>
      <c r="Q67" s="27">
        <v>0</v>
      </c>
      <c r="R67" s="30">
        <v>0</v>
      </c>
      <c r="S67" s="27">
        <v>0</v>
      </c>
      <c r="T67" s="30">
        <v>0</v>
      </c>
      <c r="U67" s="34">
        <v>1</v>
      </c>
      <c r="V67" s="34">
        <v>1</v>
      </c>
      <c r="X67" s="8"/>
      <c r="Y67" s="2"/>
      <c r="Z67" s="26"/>
      <c r="AA67" s="26"/>
      <c r="AB67" s="26"/>
      <c r="AC67" s="26"/>
      <c r="AD67" s="27"/>
      <c r="AE67" s="30"/>
      <c r="AF67" s="26"/>
      <c r="AG67" s="26"/>
      <c r="AH67" s="32"/>
      <c r="AJ67" s="8"/>
      <c r="AK67" s="2"/>
      <c r="AL67" s="26"/>
      <c r="AM67" s="26"/>
      <c r="AN67" s="26"/>
      <c r="AO67" s="27"/>
      <c r="AP67" s="30"/>
      <c r="AQ67" s="26"/>
      <c r="AR67" s="26"/>
      <c r="AS67" s="32"/>
      <c r="AT67" s="34"/>
    </row>
    <row r="68" spans="2:46" x14ac:dyDescent="0.3">
      <c r="B68" s="8"/>
      <c r="C68" s="2" t="s">
        <v>794</v>
      </c>
      <c r="D68" s="26">
        <v>0</v>
      </c>
      <c r="E68" s="26">
        <v>0</v>
      </c>
      <c r="F68" s="27">
        <v>0</v>
      </c>
      <c r="G68" s="26">
        <v>0</v>
      </c>
      <c r="H68" s="26">
        <v>0</v>
      </c>
      <c r="I68" s="27">
        <v>0</v>
      </c>
      <c r="J68" s="26">
        <v>0</v>
      </c>
      <c r="K68" s="26">
        <v>0</v>
      </c>
      <c r="L68" s="67">
        <v>1</v>
      </c>
      <c r="N68" s="8"/>
      <c r="O68" s="2" t="s">
        <v>837</v>
      </c>
      <c r="P68" s="26">
        <v>0</v>
      </c>
      <c r="Q68" s="27">
        <v>0</v>
      </c>
      <c r="R68" s="30">
        <v>0</v>
      </c>
      <c r="S68" s="27">
        <v>0</v>
      </c>
      <c r="T68" s="30">
        <v>0</v>
      </c>
      <c r="U68" s="34">
        <v>1</v>
      </c>
      <c r="V68" s="34">
        <v>1</v>
      </c>
      <c r="X68" s="8"/>
      <c r="Y68" s="2"/>
      <c r="Z68" s="26"/>
      <c r="AA68" s="26"/>
      <c r="AB68" s="26"/>
      <c r="AC68" s="26"/>
      <c r="AD68" s="27"/>
      <c r="AE68" s="30"/>
      <c r="AF68" s="26"/>
      <c r="AG68" s="26"/>
      <c r="AH68" s="32"/>
      <c r="AJ68" s="8"/>
      <c r="AK68" s="2"/>
      <c r="AL68" s="26"/>
      <c r="AM68" s="26"/>
      <c r="AN68" s="26"/>
      <c r="AO68" s="27"/>
      <c r="AP68" s="30"/>
      <c r="AQ68" s="26"/>
      <c r="AR68" s="26"/>
      <c r="AS68" s="32"/>
      <c r="AT68" s="34"/>
    </row>
    <row r="69" spans="2:46" x14ac:dyDescent="0.3">
      <c r="B69" s="8"/>
      <c r="C69" s="2" t="s">
        <v>795</v>
      </c>
      <c r="D69" s="26">
        <v>0</v>
      </c>
      <c r="E69" s="26">
        <v>0</v>
      </c>
      <c r="F69" s="27">
        <v>0</v>
      </c>
      <c r="G69" s="26">
        <v>0</v>
      </c>
      <c r="H69" s="26">
        <v>0</v>
      </c>
      <c r="I69" s="27">
        <v>0</v>
      </c>
      <c r="J69" s="26">
        <v>0</v>
      </c>
      <c r="K69" s="26">
        <v>0</v>
      </c>
      <c r="L69" s="67">
        <v>1</v>
      </c>
      <c r="N69" s="8"/>
      <c r="O69" s="2" t="s">
        <v>838</v>
      </c>
      <c r="P69" s="26">
        <v>0</v>
      </c>
      <c r="Q69" s="27">
        <v>0</v>
      </c>
      <c r="R69" s="30">
        <v>0</v>
      </c>
      <c r="S69" s="27">
        <v>0</v>
      </c>
      <c r="T69" s="30">
        <v>0</v>
      </c>
      <c r="U69" s="34">
        <v>1</v>
      </c>
      <c r="V69" s="34">
        <v>1</v>
      </c>
      <c r="X69" s="8"/>
      <c r="Y69" s="2"/>
      <c r="Z69" s="26"/>
      <c r="AA69" s="26"/>
      <c r="AB69" s="26"/>
      <c r="AC69" s="26"/>
      <c r="AD69" s="27"/>
      <c r="AE69" s="30"/>
      <c r="AF69" s="26"/>
      <c r="AG69" s="26"/>
      <c r="AH69" s="32"/>
      <c r="AJ69" s="8"/>
      <c r="AK69" s="2"/>
      <c r="AL69" s="26"/>
      <c r="AM69" s="26"/>
      <c r="AN69" s="26"/>
      <c r="AO69" s="27"/>
      <c r="AP69" s="30"/>
      <c r="AQ69" s="26"/>
      <c r="AR69" s="26"/>
      <c r="AS69" s="32"/>
      <c r="AT69" s="34"/>
    </row>
    <row r="70" spans="2:46" x14ac:dyDescent="0.3">
      <c r="B70" s="8"/>
      <c r="C70" s="2" t="s">
        <v>796</v>
      </c>
      <c r="D70" s="26">
        <v>0</v>
      </c>
      <c r="E70" s="26">
        <v>0</v>
      </c>
      <c r="F70" s="27">
        <v>0</v>
      </c>
      <c r="G70" s="26">
        <v>0</v>
      </c>
      <c r="H70" s="26">
        <v>0</v>
      </c>
      <c r="I70" s="27">
        <v>0</v>
      </c>
      <c r="J70" s="26">
        <v>0</v>
      </c>
      <c r="K70" s="26">
        <v>0</v>
      </c>
      <c r="L70" s="67">
        <v>1</v>
      </c>
      <c r="N70" s="8"/>
      <c r="O70" s="2" t="s">
        <v>839</v>
      </c>
      <c r="P70" s="26">
        <v>0</v>
      </c>
      <c r="Q70" s="27">
        <v>0</v>
      </c>
      <c r="R70" s="30">
        <v>0</v>
      </c>
      <c r="S70" s="27">
        <v>0</v>
      </c>
      <c r="T70" s="30">
        <v>0</v>
      </c>
      <c r="U70" s="34">
        <v>1</v>
      </c>
      <c r="V70" s="34">
        <v>1</v>
      </c>
      <c r="X70" s="8"/>
      <c r="Y70" s="2"/>
      <c r="Z70" s="26"/>
      <c r="AA70" s="26"/>
      <c r="AB70" s="26"/>
      <c r="AC70" s="26"/>
      <c r="AD70" s="27"/>
      <c r="AE70" s="30"/>
      <c r="AF70" s="26"/>
      <c r="AG70" s="26"/>
      <c r="AH70" s="32"/>
      <c r="AJ70" s="8"/>
      <c r="AK70" s="2"/>
      <c r="AL70" s="26"/>
      <c r="AM70" s="26"/>
      <c r="AN70" s="26"/>
      <c r="AO70" s="27"/>
      <c r="AP70" s="30"/>
      <c r="AQ70" s="26"/>
      <c r="AR70" s="26"/>
      <c r="AS70" s="32"/>
      <c r="AT70" s="34"/>
    </row>
    <row r="71" spans="2:46" x14ac:dyDescent="0.3">
      <c r="B71" s="8"/>
      <c r="C71" s="2" t="s">
        <v>797</v>
      </c>
      <c r="D71" s="26">
        <v>0</v>
      </c>
      <c r="E71" s="26">
        <v>0</v>
      </c>
      <c r="F71" s="27">
        <v>0</v>
      </c>
      <c r="G71" s="26">
        <v>0</v>
      </c>
      <c r="H71" s="26">
        <v>0</v>
      </c>
      <c r="I71" s="27">
        <v>0</v>
      </c>
      <c r="J71" s="26">
        <v>0</v>
      </c>
      <c r="K71" s="26">
        <v>0</v>
      </c>
      <c r="L71" s="67">
        <v>1</v>
      </c>
      <c r="N71" s="8"/>
      <c r="O71" s="2" t="s">
        <v>840</v>
      </c>
      <c r="P71" s="26">
        <v>0</v>
      </c>
      <c r="Q71" s="27">
        <v>0</v>
      </c>
      <c r="R71" s="30">
        <v>0</v>
      </c>
      <c r="S71" s="27">
        <v>0</v>
      </c>
      <c r="T71" s="30">
        <v>0</v>
      </c>
      <c r="U71" s="34">
        <v>1</v>
      </c>
      <c r="V71" s="34">
        <v>1</v>
      </c>
      <c r="X71" s="8"/>
      <c r="Y71" s="2"/>
      <c r="Z71" s="26"/>
      <c r="AA71" s="26"/>
      <c r="AB71" s="26"/>
      <c r="AC71" s="26"/>
      <c r="AD71" s="27"/>
      <c r="AE71" s="30"/>
      <c r="AF71" s="26"/>
      <c r="AG71" s="26"/>
      <c r="AH71" s="32"/>
      <c r="AJ71" s="8"/>
      <c r="AK71" s="2"/>
      <c r="AL71" s="26"/>
      <c r="AM71" s="26"/>
      <c r="AN71" s="26"/>
      <c r="AO71" s="27"/>
      <c r="AP71" s="30"/>
      <c r="AQ71" s="26"/>
      <c r="AR71" s="26"/>
      <c r="AS71" s="32"/>
      <c r="AT71" s="34"/>
    </row>
    <row r="72" spans="2:46" x14ac:dyDescent="0.3">
      <c r="B72" s="8"/>
      <c r="C72" s="2" t="s">
        <v>798</v>
      </c>
      <c r="D72" s="26">
        <v>0</v>
      </c>
      <c r="E72" s="26">
        <v>0</v>
      </c>
      <c r="F72" s="27">
        <v>0</v>
      </c>
      <c r="G72" s="26">
        <v>0</v>
      </c>
      <c r="H72" s="26">
        <v>0</v>
      </c>
      <c r="I72" s="27">
        <v>0</v>
      </c>
      <c r="J72" s="26">
        <v>0</v>
      </c>
      <c r="K72" s="26">
        <v>0</v>
      </c>
      <c r="L72" s="67">
        <v>1</v>
      </c>
      <c r="N72" s="8"/>
      <c r="O72" s="2" t="s">
        <v>841</v>
      </c>
      <c r="P72" s="26">
        <v>0</v>
      </c>
      <c r="Q72" s="27">
        <v>0</v>
      </c>
      <c r="R72" s="30">
        <v>0</v>
      </c>
      <c r="S72" s="27">
        <v>0</v>
      </c>
      <c r="T72" s="30">
        <v>0</v>
      </c>
      <c r="U72" s="34">
        <v>1</v>
      </c>
      <c r="V72" s="34">
        <v>1</v>
      </c>
      <c r="X72" s="8"/>
      <c r="Y72" s="2"/>
      <c r="Z72" s="26"/>
      <c r="AA72" s="26"/>
      <c r="AB72" s="26"/>
      <c r="AC72" s="26"/>
      <c r="AD72" s="27"/>
      <c r="AE72" s="30"/>
      <c r="AF72" s="26"/>
      <c r="AG72" s="26"/>
      <c r="AH72" s="32"/>
      <c r="AJ72" s="8"/>
      <c r="AK72" s="2"/>
      <c r="AL72" s="26"/>
      <c r="AM72" s="26"/>
      <c r="AN72" s="26"/>
      <c r="AO72" s="27"/>
      <c r="AP72" s="30"/>
      <c r="AQ72" s="26"/>
      <c r="AR72" s="26"/>
      <c r="AS72" s="32"/>
      <c r="AT72" s="34"/>
    </row>
    <row r="73" spans="2:46" x14ac:dyDescent="0.3">
      <c r="B73" s="8"/>
      <c r="C73" s="2" t="s">
        <v>730</v>
      </c>
      <c r="D73" s="26">
        <v>0</v>
      </c>
      <c r="E73" s="26">
        <v>0</v>
      </c>
      <c r="F73" s="27">
        <v>0</v>
      </c>
      <c r="G73" s="26">
        <v>0</v>
      </c>
      <c r="H73" s="26">
        <v>0</v>
      </c>
      <c r="I73" s="27">
        <v>0</v>
      </c>
      <c r="J73" s="26">
        <v>0</v>
      </c>
      <c r="K73" s="26">
        <v>0</v>
      </c>
      <c r="L73" s="67">
        <v>1</v>
      </c>
      <c r="N73" s="8"/>
      <c r="O73" s="2" t="s">
        <v>666</v>
      </c>
      <c r="P73" s="26">
        <v>0</v>
      </c>
      <c r="Q73" s="27">
        <v>0</v>
      </c>
      <c r="R73" s="30">
        <v>0</v>
      </c>
      <c r="S73" s="27">
        <v>0</v>
      </c>
      <c r="T73" s="30">
        <v>0</v>
      </c>
      <c r="U73" s="34">
        <v>1</v>
      </c>
      <c r="V73" s="34">
        <v>1</v>
      </c>
      <c r="X73" s="8"/>
      <c r="Y73" s="2"/>
      <c r="Z73" s="26"/>
      <c r="AA73" s="26"/>
      <c r="AB73" s="26"/>
      <c r="AC73" s="26"/>
      <c r="AD73" s="27"/>
      <c r="AE73" s="30"/>
      <c r="AF73" s="26"/>
      <c r="AG73" s="26"/>
      <c r="AH73" s="32"/>
      <c r="AJ73" s="8"/>
      <c r="AK73" s="2"/>
      <c r="AL73" s="26"/>
      <c r="AM73" s="26"/>
      <c r="AN73" s="26"/>
      <c r="AO73" s="27"/>
      <c r="AP73" s="30"/>
      <c r="AQ73" s="26"/>
      <c r="AR73" s="26"/>
      <c r="AS73" s="32"/>
      <c r="AT73" s="34"/>
    </row>
    <row r="74" spans="2:46" x14ac:dyDescent="0.3">
      <c r="B74" s="8"/>
      <c r="C74" s="2" t="s">
        <v>799</v>
      </c>
      <c r="D74" s="26">
        <v>0</v>
      </c>
      <c r="E74" s="26">
        <v>0</v>
      </c>
      <c r="F74" s="27">
        <v>0</v>
      </c>
      <c r="G74" s="26">
        <v>0</v>
      </c>
      <c r="H74" s="26">
        <v>0</v>
      </c>
      <c r="I74" s="27">
        <v>0</v>
      </c>
      <c r="J74" s="26">
        <v>0</v>
      </c>
      <c r="K74" s="26">
        <v>0</v>
      </c>
      <c r="L74" s="67">
        <v>1</v>
      </c>
      <c r="N74" s="8"/>
      <c r="O74" s="2" t="s">
        <v>842</v>
      </c>
      <c r="P74" s="26">
        <v>0</v>
      </c>
      <c r="Q74" s="27">
        <v>0</v>
      </c>
      <c r="R74" s="30">
        <v>0</v>
      </c>
      <c r="S74" s="27">
        <v>0</v>
      </c>
      <c r="T74" s="30">
        <v>0</v>
      </c>
      <c r="U74" s="34">
        <v>1</v>
      </c>
      <c r="V74" s="34">
        <v>1</v>
      </c>
      <c r="X74" s="8"/>
      <c r="Y74" s="2"/>
      <c r="Z74" s="26"/>
      <c r="AA74" s="26"/>
      <c r="AB74" s="26"/>
      <c r="AC74" s="26"/>
      <c r="AD74" s="27"/>
      <c r="AE74" s="30"/>
      <c r="AF74" s="26"/>
      <c r="AG74" s="26"/>
      <c r="AH74" s="32"/>
      <c r="AJ74" s="8"/>
      <c r="AK74" s="2"/>
      <c r="AL74" s="26"/>
      <c r="AM74" s="26"/>
      <c r="AN74" s="26"/>
      <c r="AO74" s="27"/>
      <c r="AP74" s="30"/>
      <c r="AQ74" s="26"/>
      <c r="AR74" s="26"/>
      <c r="AS74" s="32"/>
      <c r="AT74" s="34"/>
    </row>
    <row r="75" spans="2:46" x14ac:dyDescent="0.3">
      <c r="B75" s="8"/>
      <c r="C75" s="2" t="s">
        <v>731</v>
      </c>
      <c r="D75" s="26">
        <v>0</v>
      </c>
      <c r="E75" s="26">
        <v>0</v>
      </c>
      <c r="F75" s="27">
        <v>0</v>
      </c>
      <c r="G75" s="26">
        <v>0</v>
      </c>
      <c r="H75" s="26">
        <v>0</v>
      </c>
      <c r="I75" s="27">
        <v>0</v>
      </c>
      <c r="J75" s="26">
        <v>0</v>
      </c>
      <c r="K75" s="26">
        <v>0</v>
      </c>
      <c r="L75" s="67">
        <v>1</v>
      </c>
      <c r="N75" s="8"/>
      <c r="O75" s="2" t="s">
        <v>667</v>
      </c>
      <c r="P75" s="26">
        <v>0</v>
      </c>
      <c r="Q75" s="27">
        <v>0</v>
      </c>
      <c r="R75" s="30">
        <v>0</v>
      </c>
      <c r="S75" s="27">
        <v>0</v>
      </c>
      <c r="T75" s="30">
        <v>0</v>
      </c>
      <c r="U75" s="34">
        <v>1</v>
      </c>
      <c r="V75" s="34">
        <v>1</v>
      </c>
      <c r="X75" s="8"/>
      <c r="Y75" s="2"/>
      <c r="Z75" s="26"/>
      <c r="AA75" s="26"/>
      <c r="AB75" s="26"/>
      <c r="AC75" s="26"/>
      <c r="AD75" s="27"/>
      <c r="AE75" s="30"/>
      <c r="AF75" s="26"/>
      <c r="AG75" s="26"/>
      <c r="AH75" s="32"/>
      <c r="AJ75" s="8"/>
      <c r="AK75" s="2"/>
      <c r="AL75" s="26"/>
      <c r="AM75" s="26"/>
      <c r="AN75" s="26"/>
      <c r="AO75" s="27"/>
      <c r="AP75" s="30"/>
      <c r="AQ75" s="26"/>
      <c r="AR75" s="26"/>
      <c r="AS75" s="32"/>
      <c r="AT75" s="34"/>
    </row>
    <row r="76" spans="2:46" x14ac:dyDescent="0.3">
      <c r="B76" s="8"/>
      <c r="C76" s="2" t="s">
        <v>800</v>
      </c>
      <c r="D76" s="26">
        <v>0</v>
      </c>
      <c r="E76" s="26">
        <v>0</v>
      </c>
      <c r="F76" s="27">
        <v>0</v>
      </c>
      <c r="G76" s="26">
        <v>0</v>
      </c>
      <c r="H76" s="26">
        <v>0</v>
      </c>
      <c r="I76" s="27">
        <v>0</v>
      </c>
      <c r="J76" s="26">
        <v>0</v>
      </c>
      <c r="K76" s="26">
        <v>0</v>
      </c>
      <c r="L76" s="67">
        <v>1</v>
      </c>
      <c r="N76" s="8"/>
      <c r="O76" s="2" t="s">
        <v>843</v>
      </c>
      <c r="P76" s="26">
        <v>0</v>
      </c>
      <c r="Q76" s="27">
        <v>0</v>
      </c>
      <c r="R76" s="30">
        <v>0</v>
      </c>
      <c r="S76" s="27">
        <v>0</v>
      </c>
      <c r="T76" s="30">
        <v>0</v>
      </c>
      <c r="U76" s="34">
        <v>1</v>
      </c>
      <c r="V76" s="34">
        <v>1</v>
      </c>
      <c r="X76" s="8"/>
      <c r="Y76" s="2"/>
      <c r="Z76" s="26"/>
      <c r="AA76" s="26"/>
      <c r="AB76" s="26"/>
      <c r="AC76" s="26"/>
      <c r="AD76" s="27"/>
      <c r="AE76" s="30"/>
      <c r="AF76" s="26"/>
      <c r="AG76" s="26"/>
      <c r="AH76" s="32"/>
      <c r="AJ76" s="8"/>
      <c r="AK76" s="2"/>
      <c r="AL76" s="26"/>
      <c r="AM76" s="26"/>
      <c r="AN76" s="26"/>
      <c r="AO76" s="27"/>
      <c r="AP76" s="30"/>
      <c r="AQ76" s="26"/>
      <c r="AR76" s="26"/>
      <c r="AS76" s="32"/>
      <c r="AT76" s="34"/>
    </row>
    <row r="77" spans="2:46" x14ac:dyDescent="0.3">
      <c r="B77" s="8"/>
      <c r="C77" s="2" t="s">
        <v>982</v>
      </c>
      <c r="D77" s="26">
        <v>0</v>
      </c>
      <c r="E77" s="26">
        <v>0</v>
      </c>
      <c r="F77" s="27">
        <v>0</v>
      </c>
      <c r="G77" s="26">
        <v>0</v>
      </c>
      <c r="H77" s="26">
        <v>0</v>
      </c>
      <c r="I77" s="27">
        <v>0</v>
      </c>
      <c r="J77" s="26">
        <v>0</v>
      </c>
      <c r="K77" s="26">
        <v>0</v>
      </c>
      <c r="L77" s="67">
        <v>1</v>
      </c>
      <c r="N77" s="8"/>
      <c r="O77" s="2" t="s">
        <v>952</v>
      </c>
      <c r="P77" s="26">
        <v>0</v>
      </c>
      <c r="Q77" s="27">
        <v>0</v>
      </c>
      <c r="R77" s="30">
        <v>0</v>
      </c>
      <c r="S77" s="27">
        <v>0</v>
      </c>
      <c r="T77" s="30">
        <v>0</v>
      </c>
      <c r="U77" s="34">
        <v>1</v>
      </c>
      <c r="V77" s="34">
        <v>1</v>
      </c>
      <c r="X77" s="8"/>
      <c r="Y77" s="2"/>
      <c r="Z77" s="26"/>
      <c r="AA77" s="26"/>
      <c r="AB77" s="26"/>
      <c r="AC77" s="26"/>
      <c r="AD77" s="27"/>
      <c r="AE77" s="30"/>
      <c r="AF77" s="26"/>
      <c r="AG77" s="26"/>
      <c r="AH77" s="32"/>
      <c r="AJ77" s="8"/>
      <c r="AK77" s="2"/>
      <c r="AL77" s="26"/>
      <c r="AM77" s="26"/>
      <c r="AN77" s="26"/>
      <c r="AO77" s="27"/>
      <c r="AP77" s="30"/>
      <c r="AQ77" s="26"/>
      <c r="AR77" s="26"/>
      <c r="AS77" s="32"/>
      <c r="AT77" s="34"/>
    </row>
    <row r="78" spans="2:46" x14ac:dyDescent="0.3">
      <c r="B78" s="8"/>
      <c r="C78" s="2" t="s">
        <v>983</v>
      </c>
      <c r="D78" s="26">
        <v>0</v>
      </c>
      <c r="E78" s="26">
        <v>0</v>
      </c>
      <c r="F78" s="27">
        <v>0</v>
      </c>
      <c r="G78" s="26">
        <v>0</v>
      </c>
      <c r="H78" s="26">
        <v>0</v>
      </c>
      <c r="I78" s="27">
        <v>0</v>
      </c>
      <c r="J78" s="26">
        <v>0</v>
      </c>
      <c r="K78" s="26">
        <v>0</v>
      </c>
      <c r="L78" s="67">
        <v>1</v>
      </c>
      <c r="N78" s="8"/>
      <c r="O78" s="2" t="s">
        <v>953</v>
      </c>
      <c r="P78" s="26">
        <v>0</v>
      </c>
      <c r="Q78" s="27">
        <v>0</v>
      </c>
      <c r="R78" s="30">
        <v>0</v>
      </c>
      <c r="S78" s="27">
        <v>0</v>
      </c>
      <c r="T78" s="30">
        <v>0</v>
      </c>
      <c r="U78" s="34">
        <v>1</v>
      </c>
      <c r="V78" s="34">
        <v>1</v>
      </c>
      <c r="X78" s="8"/>
      <c r="Y78" s="2"/>
      <c r="Z78" s="26"/>
      <c r="AA78" s="26"/>
      <c r="AB78" s="26"/>
      <c r="AC78" s="26"/>
      <c r="AD78" s="27"/>
      <c r="AE78" s="30"/>
      <c r="AF78" s="26"/>
      <c r="AG78" s="26"/>
      <c r="AH78" s="32"/>
      <c r="AJ78" s="8"/>
      <c r="AK78" s="2"/>
      <c r="AL78" s="26"/>
      <c r="AM78" s="26"/>
      <c r="AN78" s="26"/>
      <c r="AO78" s="27"/>
      <c r="AP78" s="30"/>
      <c r="AQ78" s="26"/>
      <c r="AR78" s="26"/>
      <c r="AS78" s="32"/>
      <c r="AT78" s="34"/>
    </row>
    <row r="79" spans="2:46" x14ac:dyDescent="0.3">
      <c r="B79" s="8"/>
      <c r="C79" s="2" t="s">
        <v>984</v>
      </c>
      <c r="D79" s="26">
        <v>0</v>
      </c>
      <c r="E79" s="26">
        <v>0</v>
      </c>
      <c r="F79" s="27">
        <v>0</v>
      </c>
      <c r="G79" s="26">
        <v>0</v>
      </c>
      <c r="H79" s="26">
        <v>0</v>
      </c>
      <c r="I79" s="27">
        <v>0</v>
      </c>
      <c r="J79" s="26">
        <v>0</v>
      </c>
      <c r="K79" s="26">
        <v>0</v>
      </c>
      <c r="L79" s="67">
        <v>1</v>
      </c>
      <c r="N79" s="8"/>
      <c r="O79" s="2" t="s">
        <v>954</v>
      </c>
      <c r="P79" s="26">
        <v>0</v>
      </c>
      <c r="Q79" s="27">
        <v>0</v>
      </c>
      <c r="R79" s="30">
        <v>0</v>
      </c>
      <c r="S79" s="27">
        <v>0</v>
      </c>
      <c r="T79" s="30">
        <v>0</v>
      </c>
      <c r="U79" s="34">
        <v>1</v>
      </c>
      <c r="V79" s="34">
        <v>1</v>
      </c>
      <c r="X79" s="8"/>
      <c r="Y79" s="2"/>
      <c r="Z79" s="26"/>
      <c r="AA79" s="26"/>
      <c r="AB79" s="26"/>
      <c r="AC79" s="26"/>
      <c r="AD79" s="27"/>
      <c r="AE79" s="30"/>
      <c r="AF79" s="26"/>
      <c r="AG79" s="26"/>
      <c r="AH79" s="32"/>
      <c r="AJ79" s="8"/>
      <c r="AK79" s="2"/>
      <c r="AL79" s="26"/>
      <c r="AM79" s="26"/>
      <c r="AN79" s="26"/>
      <c r="AO79" s="27"/>
      <c r="AP79" s="30"/>
      <c r="AQ79" s="26"/>
      <c r="AR79" s="26"/>
      <c r="AS79" s="32"/>
      <c r="AT79" s="34"/>
    </row>
    <row r="80" spans="2:46" x14ac:dyDescent="0.3">
      <c r="B80" s="8"/>
      <c r="C80" s="2" t="s">
        <v>732</v>
      </c>
      <c r="D80" s="26">
        <v>0</v>
      </c>
      <c r="E80" s="26">
        <v>0</v>
      </c>
      <c r="F80" s="27">
        <v>0</v>
      </c>
      <c r="G80" s="26">
        <v>0</v>
      </c>
      <c r="H80" s="26">
        <v>0</v>
      </c>
      <c r="I80" s="27">
        <v>0</v>
      </c>
      <c r="J80" s="26">
        <v>0</v>
      </c>
      <c r="K80" s="26">
        <v>0</v>
      </c>
      <c r="L80" s="67">
        <v>1</v>
      </c>
      <c r="N80" s="8"/>
      <c r="O80" s="2" t="s">
        <v>668</v>
      </c>
      <c r="P80" s="26">
        <v>0</v>
      </c>
      <c r="Q80" s="27">
        <v>0</v>
      </c>
      <c r="R80" s="30">
        <v>0</v>
      </c>
      <c r="S80" s="27">
        <v>0</v>
      </c>
      <c r="T80" s="30">
        <v>0</v>
      </c>
      <c r="U80" s="34">
        <v>1</v>
      </c>
      <c r="V80" s="34">
        <v>1</v>
      </c>
      <c r="X80" s="8"/>
      <c r="Y80" s="2"/>
      <c r="Z80" s="26"/>
      <c r="AA80" s="26"/>
      <c r="AB80" s="26"/>
      <c r="AC80" s="26"/>
      <c r="AD80" s="27"/>
      <c r="AE80" s="30"/>
      <c r="AF80" s="26"/>
      <c r="AG80" s="26"/>
      <c r="AH80" s="32"/>
      <c r="AJ80" s="8"/>
      <c r="AK80" s="2"/>
      <c r="AL80" s="26"/>
      <c r="AM80" s="26"/>
      <c r="AN80" s="26"/>
      <c r="AO80" s="27"/>
      <c r="AP80" s="30"/>
      <c r="AQ80" s="26"/>
      <c r="AR80" s="26"/>
      <c r="AS80" s="32"/>
      <c r="AT80" s="34"/>
    </row>
    <row r="81" spans="2:46" x14ac:dyDescent="0.3">
      <c r="B81" s="8"/>
      <c r="C81" s="2" t="s">
        <v>801</v>
      </c>
      <c r="D81" s="26">
        <v>0</v>
      </c>
      <c r="E81" s="26">
        <v>0</v>
      </c>
      <c r="F81" s="27">
        <v>0</v>
      </c>
      <c r="G81" s="26">
        <v>0</v>
      </c>
      <c r="H81" s="26">
        <v>0</v>
      </c>
      <c r="I81" s="27">
        <v>0</v>
      </c>
      <c r="J81" s="26">
        <v>0</v>
      </c>
      <c r="K81" s="26">
        <v>0</v>
      </c>
      <c r="L81" s="67">
        <v>1</v>
      </c>
      <c r="N81" s="8"/>
      <c r="O81" s="2" t="s">
        <v>844</v>
      </c>
      <c r="P81" s="26">
        <v>0</v>
      </c>
      <c r="Q81" s="27">
        <v>0</v>
      </c>
      <c r="R81" s="30">
        <v>0</v>
      </c>
      <c r="S81" s="27">
        <v>0</v>
      </c>
      <c r="T81" s="30">
        <v>0</v>
      </c>
      <c r="U81" s="34">
        <v>1</v>
      </c>
      <c r="V81" s="34">
        <v>1</v>
      </c>
      <c r="X81" s="8"/>
      <c r="Y81" s="2"/>
      <c r="Z81" s="26"/>
      <c r="AA81" s="26"/>
      <c r="AB81" s="26"/>
      <c r="AC81" s="26"/>
      <c r="AD81" s="27"/>
      <c r="AE81" s="30"/>
      <c r="AF81" s="26"/>
      <c r="AG81" s="26"/>
      <c r="AH81" s="32"/>
      <c r="AJ81" s="8"/>
      <c r="AK81" s="2"/>
      <c r="AL81" s="26"/>
      <c r="AM81" s="26"/>
      <c r="AN81" s="26"/>
      <c r="AO81" s="27"/>
      <c r="AP81" s="30"/>
      <c r="AQ81" s="26"/>
      <c r="AR81" s="26"/>
      <c r="AS81" s="32"/>
      <c r="AT81" s="34"/>
    </row>
    <row r="82" spans="2:46" x14ac:dyDescent="0.3">
      <c r="B82" s="8"/>
      <c r="C82" s="2" t="s">
        <v>802</v>
      </c>
      <c r="D82" s="26">
        <v>0</v>
      </c>
      <c r="E82" s="26">
        <v>0</v>
      </c>
      <c r="F82" s="27">
        <v>0</v>
      </c>
      <c r="G82" s="26">
        <v>0</v>
      </c>
      <c r="H82" s="26">
        <v>0</v>
      </c>
      <c r="I82" s="27">
        <v>0</v>
      </c>
      <c r="J82" s="26">
        <v>0</v>
      </c>
      <c r="K82" s="26">
        <v>0</v>
      </c>
      <c r="L82" s="67">
        <v>1</v>
      </c>
      <c r="N82" s="8"/>
      <c r="O82" s="2" t="s">
        <v>845</v>
      </c>
      <c r="P82" s="26">
        <v>0</v>
      </c>
      <c r="Q82" s="27">
        <v>0</v>
      </c>
      <c r="R82" s="30">
        <v>0</v>
      </c>
      <c r="S82" s="27">
        <v>0</v>
      </c>
      <c r="T82" s="30">
        <v>0</v>
      </c>
      <c r="U82" s="34">
        <v>1</v>
      </c>
      <c r="V82" s="34">
        <v>1</v>
      </c>
      <c r="X82" s="8"/>
      <c r="Y82" s="2"/>
      <c r="Z82" s="26"/>
      <c r="AA82" s="26"/>
      <c r="AB82" s="26"/>
      <c r="AC82" s="26"/>
      <c r="AD82" s="27"/>
      <c r="AE82" s="30"/>
      <c r="AF82" s="26"/>
      <c r="AG82" s="26"/>
      <c r="AH82" s="32"/>
      <c r="AJ82" s="8"/>
      <c r="AK82" s="2"/>
      <c r="AL82" s="26"/>
      <c r="AM82" s="26"/>
      <c r="AN82" s="26"/>
      <c r="AO82" s="27"/>
      <c r="AP82" s="30"/>
      <c r="AQ82" s="26"/>
      <c r="AR82" s="26"/>
      <c r="AS82" s="32"/>
      <c r="AT82" s="34"/>
    </row>
    <row r="83" spans="2:46" x14ac:dyDescent="0.3">
      <c r="B83" s="8"/>
      <c r="C83" s="2" t="s">
        <v>733</v>
      </c>
      <c r="D83" s="26">
        <v>0</v>
      </c>
      <c r="E83" s="26">
        <v>0</v>
      </c>
      <c r="F83" s="27">
        <v>0</v>
      </c>
      <c r="G83" s="26">
        <v>0</v>
      </c>
      <c r="H83" s="26">
        <v>0</v>
      </c>
      <c r="I83" s="27">
        <v>0</v>
      </c>
      <c r="J83" s="26">
        <v>0</v>
      </c>
      <c r="K83" s="26">
        <v>0</v>
      </c>
      <c r="L83" s="67">
        <v>1</v>
      </c>
      <c r="N83" s="8"/>
      <c r="O83" s="2" t="s">
        <v>669</v>
      </c>
      <c r="P83" s="26">
        <v>0</v>
      </c>
      <c r="Q83" s="27">
        <v>0</v>
      </c>
      <c r="R83" s="30">
        <v>0</v>
      </c>
      <c r="S83" s="27">
        <v>0</v>
      </c>
      <c r="T83" s="30">
        <v>0</v>
      </c>
      <c r="U83" s="34">
        <v>1</v>
      </c>
      <c r="V83" s="34">
        <v>1</v>
      </c>
      <c r="X83" s="8"/>
      <c r="Y83" s="2"/>
      <c r="Z83" s="26"/>
      <c r="AA83" s="26"/>
      <c r="AB83" s="26"/>
      <c r="AC83" s="26"/>
      <c r="AD83" s="27"/>
      <c r="AE83" s="30"/>
      <c r="AF83" s="26"/>
      <c r="AG83" s="26"/>
      <c r="AH83" s="32"/>
      <c r="AJ83" s="8"/>
      <c r="AK83" s="2"/>
      <c r="AL83" s="26"/>
      <c r="AM83" s="26"/>
      <c r="AN83" s="26"/>
      <c r="AO83" s="27"/>
      <c r="AP83" s="30"/>
      <c r="AQ83" s="26"/>
      <c r="AR83" s="26"/>
      <c r="AS83" s="32"/>
      <c r="AT83" s="34"/>
    </row>
    <row r="84" spans="2:46" x14ac:dyDescent="0.3">
      <c r="B84" s="8"/>
      <c r="C84" s="2" t="s">
        <v>803</v>
      </c>
      <c r="D84" s="26">
        <v>0</v>
      </c>
      <c r="E84" s="26">
        <v>0</v>
      </c>
      <c r="F84" s="27">
        <v>0</v>
      </c>
      <c r="G84" s="26">
        <v>0</v>
      </c>
      <c r="H84" s="26">
        <v>0</v>
      </c>
      <c r="I84" s="27">
        <v>0</v>
      </c>
      <c r="J84" s="26">
        <v>0</v>
      </c>
      <c r="K84" s="26">
        <v>0</v>
      </c>
      <c r="L84" s="67">
        <v>1</v>
      </c>
      <c r="N84" s="8"/>
      <c r="O84" s="2" t="s">
        <v>846</v>
      </c>
      <c r="P84" s="26">
        <v>0</v>
      </c>
      <c r="Q84" s="27">
        <v>0</v>
      </c>
      <c r="R84" s="30">
        <v>0</v>
      </c>
      <c r="S84" s="27">
        <v>0</v>
      </c>
      <c r="T84" s="30">
        <v>0</v>
      </c>
      <c r="U84" s="34">
        <v>1</v>
      </c>
      <c r="V84" s="34">
        <v>1</v>
      </c>
      <c r="X84" s="8"/>
      <c r="Y84" s="2"/>
      <c r="Z84" s="26"/>
      <c r="AA84" s="26"/>
      <c r="AB84" s="26"/>
      <c r="AC84" s="26"/>
      <c r="AD84" s="27"/>
      <c r="AE84" s="30"/>
      <c r="AF84" s="26"/>
      <c r="AG84" s="26"/>
      <c r="AH84" s="32"/>
      <c r="AJ84" s="8"/>
      <c r="AK84" s="2"/>
      <c r="AL84" s="26"/>
      <c r="AM84" s="26"/>
      <c r="AN84" s="26"/>
      <c r="AO84" s="27"/>
      <c r="AP84" s="30"/>
      <c r="AQ84" s="26"/>
      <c r="AR84" s="26"/>
      <c r="AS84" s="32"/>
      <c r="AT84" s="34"/>
    </row>
    <row r="85" spans="2:46" x14ac:dyDescent="0.3">
      <c r="B85" s="8"/>
      <c r="C85" s="2" t="s">
        <v>804</v>
      </c>
      <c r="D85" s="26">
        <v>0</v>
      </c>
      <c r="E85" s="26">
        <v>0</v>
      </c>
      <c r="F85" s="27">
        <v>0</v>
      </c>
      <c r="G85" s="26">
        <v>0</v>
      </c>
      <c r="H85" s="26">
        <v>0</v>
      </c>
      <c r="I85" s="27">
        <v>0</v>
      </c>
      <c r="J85" s="26">
        <v>0</v>
      </c>
      <c r="K85" s="26">
        <v>0</v>
      </c>
      <c r="L85" s="67">
        <v>1</v>
      </c>
      <c r="N85" s="8"/>
      <c r="O85" s="2" t="s">
        <v>847</v>
      </c>
      <c r="P85" s="26">
        <v>0</v>
      </c>
      <c r="Q85" s="27">
        <v>0</v>
      </c>
      <c r="R85" s="30">
        <v>0</v>
      </c>
      <c r="S85" s="27">
        <v>0</v>
      </c>
      <c r="T85" s="30">
        <v>0</v>
      </c>
      <c r="U85" s="34">
        <v>1</v>
      </c>
      <c r="V85" s="34">
        <v>1</v>
      </c>
      <c r="X85" s="8"/>
      <c r="Y85" s="2"/>
      <c r="Z85" s="26"/>
      <c r="AA85" s="26"/>
      <c r="AB85" s="26"/>
      <c r="AC85" s="26"/>
      <c r="AD85" s="27"/>
      <c r="AE85" s="30"/>
      <c r="AF85" s="26"/>
      <c r="AG85" s="26"/>
      <c r="AH85" s="32"/>
      <c r="AJ85" s="8"/>
      <c r="AK85" s="2"/>
      <c r="AL85" s="26"/>
      <c r="AM85" s="26"/>
      <c r="AN85" s="26"/>
      <c r="AO85" s="27"/>
      <c r="AP85" s="30"/>
      <c r="AQ85" s="26"/>
      <c r="AR85" s="26"/>
      <c r="AS85" s="32"/>
      <c r="AT85" s="34"/>
    </row>
    <row r="86" spans="2:46" x14ac:dyDescent="0.3">
      <c r="B86" s="8"/>
      <c r="C86" s="2" t="s">
        <v>805</v>
      </c>
      <c r="D86" s="26">
        <v>0</v>
      </c>
      <c r="E86" s="26">
        <v>0</v>
      </c>
      <c r="F86" s="27">
        <v>0</v>
      </c>
      <c r="G86" s="26">
        <v>0</v>
      </c>
      <c r="H86" s="26">
        <v>0</v>
      </c>
      <c r="I86" s="27">
        <v>0</v>
      </c>
      <c r="J86" s="26">
        <v>0</v>
      </c>
      <c r="K86" s="26">
        <v>0</v>
      </c>
      <c r="L86" s="67">
        <v>1</v>
      </c>
      <c r="N86" s="8"/>
      <c r="O86" s="2" t="s">
        <v>848</v>
      </c>
      <c r="P86" s="26">
        <v>0</v>
      </c>
      <c r="Q86" s="27">
        <v>0</v>
      </c>
      <c r="R86" s="30">
        <v>0</v>
      </c>
      <c r="S86" s="27">
        <v>0</v>
      </c>
      <c r="T86" s="30">
        <v>0</v>
      </c>
      <c r="U86" s="34">
        <v>1</v>
      </c>
      <c r="V86" s="34">
        <v>1</v>
      </c>
      <c r="X86" s="8"/>
      <c r="Y86" s="2"/>
      <c r="Z86" s="26"/>
      <c r="AA86" s="26"/>
      <c r="AB86" s="26"/>
      <c r="AC86" s="26"/>
      <c r="AD86" s="27"/>
      <c r="AE86" s="30"/>
      <c r="AF86" s="26"/>
      <c r="AG86" s="26"/>
      <c r="AH86" s="32"/>
      <c r="AJ86" s="8"/>
      <c r="AK86" s="2"/>
      <c r="AL86" s="26"/>
      <c r="AM86" s="26"/>
      <c r="AN86" s="26"/>
      <c r="AO86" s="27"/>
      <c r="AP86" s="30"/>
      <c r="AQ86" s="26"/>
      <c r="AR86" s="26"/>
      <c r="AS86" s="32"/>
      <c r="AT86" s="34"/>
    </row>
    <row r="87" spans="2:46" x14ac:dyDescent="0.3">
      <c r="B87" s="8"/>
      <c r="C87" s="2" t="s">
        <v>734</v>
      </c>
      <c r="D87" s="26">
        <v>0</v>
      </c>
      <c r="E87" s="26">
        <v>0</v>
      </c>
      <c r="F87" s="27">
        <v>0</v>
      </c>
      <c r="G87" s="26">
        <v>0</v>
      </c>
      <c r="H87" s="26">
        <v>0</v>
      </c>
      <c r="I87" s="27">
        <v>0</v>
      </c>
      <c r="J87" s="26">
        <v>0</v>
      </c>
      <c r="K87" s="26">
        <v>0</v>
      </c>
      <c r="L87" s="67">
        <v>1</v>
      </c>
      <c r="N87" s="8"/>
      <c r="O87" s="2" t="s">
        <v>670</v>
      </c>
      <c r="P87" s="26">
        <v>0</v>
      </c>
      <c r="Q87" s="27">
        <v>0</v>
      </c>
      <c r="R87" s="30">
        <v>0</v>
      </c>
      <c r="S87" s="27">
        <v>0</v>
      </c>
      <c r="T87" s="30">
        <v>0</v>
      </c>
      <c r="U87" s="34">
        <v>1</v>
      </c>
      <c r="V87" s="34">
        <v>1</v>
      </c>
      <c r="X87" s="8"/>
      <c r="Y87" s="2"/>
      <c r="Z87" s="26"/>
      <c r="AA87" s="26"/>
      <c r="AB87" s="26"/>
      <c r="AC87" s="26"/>
      <c r="AD87" s="27"/>
      <c r="AE87" s="30"/>
      <c r="AF87" s="26"/>
      <c r="AG87" s="26"/>
      <c r="AH87" s="32"/>
      <c r="AJ87" s="8"/>
      <c r="AK87" s="2"/>
      <c r="AL87" s="26"/>
      <c r="AM87" s="26"/>
      <c r="AN87" s="26"/>
      <c r="AO87" s="27"/>
      <c r="AP87" s="30"/>
      <c r="AQ87" s="26"/>
      <c r="AR87" s="26"/>
      <c r="AS87" s="32"/>
      <c r="AT87" s="34"/>
    </row>
    <row r="88" spans="2:46" x14ac:dyDescent="0.3">
      <c r="B88" s="8"/>
      <c r="C88" s="2" t="s">
        <v>735</v>
      </c>
      <c r="D88" s="26">
        <v>0</v>
      </c>
      <c r="E88" s="26">
        <v>0</v>
      </c>
      <c r="F88" s="27">
        <v>0</v>
      </c>
      <c r="G88" s="26">
        <v>0</v>
      </c>
      <c r="H88" s="26">
        <v>0</v>
      </c>
      <c r="I88" s="27">
        <v>0</v>
      </c>
      <c r="J88" s="26">
        <v>0</v>
      </c>
      <c r="K88" s="26">
        <v>0</v>
      </c>
      <c r="L88" s="67">
        <v>1</v>
      </c>
      <c r="N88" s="8"/>
      <c r="O88" s="2" t="s">
        <v>671</v>
      </c>
      <c r="P88" s="26">
        <v>0</v>
      </c>
      <c r="Q88" s="27">
        <v>0</v>
      </c>
      <c r="R88" s="30">
        <v>0</v>
      </c>
      <c r="S88" s="27">
        <v>0</v>
      </c>
      <c r="T88" s="30">
        <v>0</v>
      </c>
      <c r="U88" s="34">
        <v>1</v>
      </c>
      <c r="V88" s="34">
        <v>1</v>
      </c>
      <c r="X88" s="8"/>
      <c r="Y88" s="2"/>
      <c r="Z88" s="26"/>
      <c r="AA88" s="26"/>
      <c r="AB88" s="26"/>
      <c r="AC88" s="26"/>
      <c r="AD88" s="27"/>
      <c r="AE88" s="30"/>
      <c r="AF88" s="26"/>
      <c r="AG88" s="26"/>
      <c r="AH88" s="32"/>
      <c r="AJ88" s="8"/>
      <c r="AK88" s="2"/>
      <c r="AL88" s="26"/>
      <c r="AM88" s="26"/>
      <c r="AN88" s="26"/>
      <c r="AO88" s="27"/>
      <c r="AP88" s="30"/>
      <c r="AQ88" s="26"/>
      <c r="AR88" s="26"/>
      <c r="AS88" s="32"/>
      <c r="AT88" s="34"/>
    </row>
    <row r="89" spans="2:46" x14ac:dyDescent="0.3">
      <c r="B89" s="8"/>
      <c r="C89" s="2" t="s">
        <v>736</v>
      </c>
      <c r="D89" s="26">
        <v>0</v>
      </c>
      <c r="E89" s="26">
        <v>0</v>
      </c>
      <c r="F89" s="27">
        <v>0</v>
      </c>
      <c r="G89" s="26">
        <v>0</v>
      </c>
      <c r="H89" s="26">
        <v>0</v>
      </c>
      <c r="I89" s="27">
        <v>0</v>
      </c>
      <c r="J89" s="26">
        <v>0</v>
      </c>
      <c r="K89" s="26">
        <v>0</v>
      </c>
      <c r="L89" s="67">
        <v>1</v>
      </c>
      <c r="N89" s="8"/>
      <c r="O89" s="2" t="s">
        <v>672</v>
      </c>
      <c r="P89" s="26">
        <v>0</v>
      </c>
      <c r="Q89" s="27">
        <v>0</v>
      </c>
      <c r="R89" s="30">
        <v>0</v>
      </c>
      <c r="S89" s="27">
        <v>0</v>
      </c>
      <c r="T89" s="30">
        <v>0</v>
      </c>
      <c r="U89" s="34">
        <v>1</v>
      </c>
      <c r="V89" s="34">
        <v>1</v>
      </c>
      <c r="X89" s="8"/>
      <c r="Y89" s="2"/>
      <c r="Z89" s="26"/>
      <c r="AA89" s="26"/>
      <c r="AB89" s="26"/>
      <c r="AC89" s="26"/>
      <c r="AD89" s="27"/>
      <c r="AE89" s="30"/>
      <c r="AF89" s="26"/>
      <c r="AG89" s="26"/>
      <c r="AH89" s="32"/>
      <c r="AJ89" s="8"/>
      <c r="AK89" s="2"/>
      <c r="AL89" s="26"/>
      <c r="AM89" s="26"/>
      <c r="AN89" s="26"/>
      <c r="AO89" s="27"/>
      <c r="AP89" s="30"/>
      <c r="AQ89" s="26"/>
      <c r="AR89" s="26"/>
      <c r="AS89" s="32"/>
      <c r="AT89" s="34"/>
    </row>
    <row r="90" spans="2:46" x14ac:dyDescent="0.3">
      <c r="B90" s="8"/>
      <c r="C90" s="2" t="s">
        <v>737</v>
      </c>
      <c r="D90" s="26">
        <v>0</v>
      </c>
      <c r="E90" s="26">
        <v>0</v>
      </c>
      <c r="F90" s="27">
        <v>0</v>
      </c>
      <c r="G90" s="26">
        <v>0</v>
      </c>
      <c r="H90" s="26">
        <v>0</v>
      </c>
      <c r="I90" s="27">
        <v>0</v>
      </c>
      <c r="J90" s="26">
        <v>0</v>
      </c>
      <c r="K90" s="26">
        <v>0</v>
      </c>
      <c r="L90" s="67">
        <v>1</v>
      </c>
      <c r="N90" s="8"/>
      <c r="O90" s="2" t="s">
        <v>673</v>
      </c>
      <c r="P90" s="26">
        <v>0</v>
      </c>
      <c r="Q90" s="27">
        <v>0</v>
      </c>
      <c r="R90" s="30">
        <v>0</v>
      </c>
      <c r="S90" s="27">
        <v>0</v>
      </c>
      <c r="T90" s="30">
        <v>0</v>
      </c>
      <c r="U90" s="34">
        <v>1</v>
      </c>
      <c r="V90" s="34">
        <v>1</v>
      </c>
      <c r="X90" s="8"/>
      <c r="Y90" s="2"/>
      <c r="Z90" s="26"/>
      <c r="AA90" s="26"/>
      <c r="AB90" s="26"/>
      <c r="AC90" s="26"/>
      <c r="AD90" s="27"/>
      <c r="AE90" s="30"/>
      <c r="AF90" s="26"/>
      <c r="AG90" s="26"/>
      <c r="AH90" s="32"/>
      <c r="AJ90" s="8"/>
      <c r="AK90" s="2"/>
      <c r="AL90" s="26"/>
      <c r="AM90" s="26"/>
      <c r="AN90" s="26"/>
      <c r="AO90" s="27"/>
      <c r="AP90" s="30"/>
      <c r="AQ90" s="26"/>
      <c r="AR90" s="26"/>
      <c r="AS90" s="32"/>
      <c r="AT90" s="34"/>
    </row>
    <row r="91" spans="2:46" x14ac:dyDescent="0.3">
      <c r="B91" s="8"/>
      <c r="C91" s="2" t="s">
        <v>806</v>
      </c>
      <c r="D91" s="26">
        <v>0</v>
      </c>
      <c r="E91" s="26">
        <v>0</v>
      </c>
      <c r="F91" s="27">
        <v>0</v>
      </c>
      <c r="G91" s="26">
        <v>0</v>
      </c>
      <c r="H91" s="26">
        <v>0</v>
      </c>
      <c r="I91" s="27">
        <v>0</v>
      </c>
      <c r="J91" s="26">
        <v>0</v>
      </c>
      <c r="K91" s="26">
        <v>0</v>
      </c>
      <c r="L91" s="67">
        <v>1</v>
      </c>
      <c r="N91" s="8"/>
      <c r="O91" s="2" t="s">
        <v>849</v>
      </c>
      <c r="P91" s="26">
        <v>0</v>
      </c>
      <c r="Q91" s="27">
        <v>0</v>
      </c>
      <c r="R91" s="30">
        <v>0</v>
      </c>
      <c r="S91" s="27">
        <v>0</v>
      </c>
      <c r="T91" s="30">
        <v>0</v>
      </c>
      <c r="U91" s="34">
        <v>1</v>
      </c>
      <c r="V91" s="34">
        <v>1</v>
      </c>
      <c r="X91" s="8"/>
      <c r="Y91" s="2"/>
      <c r="Z91" s="26"/>
      <c r="AA91" s="26"/>
      <c r="AB91" s="26"/>
      <c r="AC91" s="26"/>
      <c r="AD91" s="27"/>
      <c r="AE91" s="30"/>
      <c r="AF91" s="26"/>
      <c r="AG91" s="26"/>
      <c r="AH91" s="32"/>
      <c r="AJ91" s="8"/>
      <c r="AK91" s="2"/>
      <c r="AL91" s="26"/>
      <c r="AM91" s="26"/>
      <c r="AN91" s="26"/>
      <c r="AO91" s="27"/>
      <c r="AP91" s="30"/>
      <c r="AQ91" s="26"/>
      <c r="AR91" s="26"/>
      <c r="AS91" s="32"/>
      <c r="AT91" s="34"/>
    </row>
    <row r="92" spans="2:46" x14ac:dyDescent="0.3">
      <c r="B92" s="8"/>
      <c r="C92" s="2" t="s">
        <v>807</v>
      </c>
      <c r="D92" s="26">
        <v>0</v>
      </c>
      <c r="E92" s="26">
        <v>0</v>
      </c>
      <c r="F92" s="27">
        <v>0</v>
      </c>
      <c r="G92" s="26">
        <v>0</v>
      </c>
      <c r="H92" s="26">
        <v>0</v>
      </c>
      <c r="I92" s="27">
        <v>0</v>
      </c>
      <c r="J92" s="26">
        <v>0</v>
      </c>
      <c r="K92" s="26">
        <v>0</v>
      </c>
      <c r="L92" s="67">
        <v>1</v>
      </c>
      <c r="N92" s="8"/>
      <c r="O92" s="2" t="s">
        <v>850</v>
      </c>
      <c r="P92" s="26">
        <v>0</v>
      </c>
      <c r="Q92" s="27">
        <v>0</v>
      </c>
      <c r="R92" s="30">
        <v>0</v>
      </c>
      <c r="S92" s="27">
        <v>0</v>
      </c>
      <c r="T92" s="30">
        <v>0</v>
      </c>
      <c r="U92" s="34">
        <v>1</v>
      </c>
      <c r="V92" s="34">
        <v>1</v>
      </c>
      <c r="X92" s="8"/>
      <c r="Y92" s="2"/>
      <c r="Z92" s="26"/>
      <c r="AA92" s="26"/>
      <c r="AB92" s="26"/>
      <c r="AC92" s="26"/>
      <c r="AD92" s="27"/>
      <c r="AE92" s="30"/>
      <c r="AF92" s="26"/>
      <c r="AG92" s="26"/>
      <c r="AH92" s="32"/>
      <c r="AJ92" s="8"/>
      <c r="AK92" s="2"/>
      <c r="AL92" s="26"/>
      <c r="AM92" s="26"/>
      <c r="AN92" s="26"/>
      <c r="AO92" s="27"/>
      <c r="AP92" s="30"/>
      <c r="AQ92" s="26"/>
      <c r="AR92" s="26"/>
      <c r="AS92" s="32"/>
      <c r="AT92" s="34"/>
    </row>
    <row r="93" spans="2:46" x14ac:dyDescent="0.3">
      <c r="B93" s="8"/>
      <c r="C93" s="2" t="s">
        <v>738</v>
      </c>
      <c r="D93" s="26">
        <v>0</v>
      </c>
      <c r="E93" s="26">
        <v>0</v>
      </c>
      <c r="F93" s="27">
        <v>0</v>
      </c>
      <c r="G93" s="26">
        <v>0</v>
      </c>
      <c r="H93" s="26">
        <v>0</v>
      </c>
      <c r="I93" s="27">
        <v>0</v>
      </c>
      <c r="J93" s="26">
        <v>0</v>
      </c>
      <c r="K93" s="26">
        <v>0</v>
      </c>
      <c r="L93" s="67">
        <v>1</v>
      </c>
      <c r="N93" s="8"/>
      <c r="O93" s="2" t="s">
        <v>674</v>
      </c>
      <c r="P93" s="26">
        <v>0</v>
      </c>
      <c r="Q93" s="27">
        <v>0</v>
      </c>
      <c r="R93" s="30">
        <v>0</v>
      </c>
      <c r="S93" s="27">
        <v>0</v>
      </c>
      <c r="T93" s="30">
        <v>0</v>
      </c>
      <c r="U93" s="34">
        <v>1</v>
      </c>
      <c r="V93" s="34">
        <v>1</v>
      </c>
      <c r="X93" s="8"/>
      <c r="Y93" s="2"/>
      <c r="Z93" s="26"/>
      <c r="AA93" s="26"/>
      <c r="AB93" s="26"/>
      <c r="AC93" s="26"/>
      <c r="AD93" s="27"/>
      <c r="AE93" s="30"/>
      <c r="AF93" s="26"/>
      <c r="AG93" s="26"/>
      <c r="AH93" s="32"/>
      <c r="AJ93" s="8"/>
      <c r="AK93" s="2"/>
      <c r="AL93" s="26"/>
      <c r="AM93" s="26"/>
      <c r="AN93" s="26"/>
      <c r="AO93" s="27"/>
      <c r="AP93" s="30"/>
      <c r="AQ93" s="26"/>
      <c r="AR93" s="26"/>
      <c r="AS93" s="32"/>
      <c r="AT93" s="34"/>
    </row>
    <row r="94" spans="2:46" x14ac:dyDescent="0.3">
      <c r="B94" s="8"/>
      <c r="C94" s="2" t="s">
        <v>739</v>
      </c>
      <c r="D94" s="26">
        <v>0</v>
      </c>
      <c r="E94" s="26">
        <v>0</v>
      </c>
      <c r="F94" s="27">
        <v>0</v>
      </c>
      <c r="G94" s="26">
        <v>0</v>
      </c>
      <c r="H94" s="26">
        <v>0</v>
      </c>
      <c r="I94" s="27">
        <v>0</v>
      </c>
      <c r="J94" s="26">
        <v>0</v>
      </c>
      <c r="K94" s="26">
        <v>0</v>
      </c>
      <c r="L94" s="67">
        <v>1</v>
      </c>
      <c r="N94" s="8"/>
      <c r="O94" s="2" t="s">
        <v>675</v>
      </c>
      <c r="P94" s="26">
        <v>0</v>
      </c>
      <c r="Q94" s="27">
        <v>0</v>
      </c>
      <c r="R94" s="30">
        <v>0</v>
      </c>
      <c r="S94" s="27">
        <v>0</v>
      </c>
      <c r="T94" s="30">
        <v>0</v>
      </c>
      <c r="U94" s="34">
        <v>1</v>
      </c>
      <c r="V94" s="34">
        <v>1</v>
      </c>
      <c r="X94" s="8"/>
      <c r="Y94" s="2"/>
      <c r="Z94" s="26"/>
      <c r="AA94" s="26"/>
      <c r="AB94" s="26"/>
      <c r="AC94" s="26"/>
      <c r="AD94" s="27"/>
      <c r="AE94" s="30"/>
      <c r="AF94" s="26"/>
      <c r="AG94" s="26"/>
      <c r="AH94" s="32"/>
      <c r="AJ94" s="8"/>
      <c r="AK94" s="2"/>
      <c r="AL94" s="26"/>
      <c r="AM94" s="26"/>
      <c r="AN94" s="26"/>
      <c r="AO94" s="27"/>
      <c r="AP94" s="30"/>
      <c r="AQ94" s="26"/>
      <c r="AR94" s="26"/>
      <c r="AS94" s="32"/>
      <c r="AT94" s="34"/>
    </row>
    <row r="95" spans="2:46" x14ac:dyDescent="0.3">
      <c r="B95" s="8"/>
      <c r="C95" s="2" t="s">
        <v>740</v>
      </c>
      <c r="D95" s="26">
        <v>0</v>
      </c>
      <c r="E95" s="26">
        <v>0</v>
      </c>
      <c r="F95" s="27">
        <v>0</v>
      </c>
      <c r="G95" s="26">
        <v>0</v>
      </c>
      <c r="H95" s="26">
        <v>0</v>
      </c>
      <c r="I95" s="27">
        <v>0</v>
      </c>
      <c r="J95" s="26">
        <v>0</v>
      </c>
      <c r="K95" s="26">
        <v>0</v>
      </c>
      <c r="L95" s="67">
        <v>1</v>
      </c>
      <c r="N95" s="8"/>
      <c r="O95" s="2" t="s">
        <v>676</v>
      </c>
      <c r="P95" s="26">
        <v>0</v>
      </c>
      <c r="Q95" s="27">
        <v>0</v>
      </c>
      <c r="R95" s="30">
        <v>0</v>
      </c>
      <c r="S95" s="27">
        <v>0</v>
      </c>
      <c r="T95" s="30">
        <v>0</v>
      </c>
      <c r="U95" s="34">
        <v>1</v>
      </c>
      <c r="V95" s="34">
        <v>1</v>
      </c>
      <c r="X95" s="8"/>
      <c r="Y95" s="2"/>
      <c r="Z95" s="26"/>
      <c r="AA95" s="26"/>
      <c r="AB95" s="26"/>
      <c r="AC95" s="26"/>
      <c r="AD95" s="27"/>
      <c r="AE95" s="30"/>
      <c r="AF95" s="26"/>
      <c r="AG95" s="26"/>
      <c r="AH95" s="32"/>
      <c r="AJ95" s="8"/>
      <c r="AK95" s="2"/>
      <c r="AL95" s="26"/>
      <c r="AM95" s="26"/>
      <c r="AN95" s="26"/>
      <c r="AO95" s="27"/>
      <c r="AP95" s="30"/>
      <c r="AQ95" s="26"/>
      <c r="AR95" s="26"/>
      <c r="AS95" s="32"/>
      <c r="AT95" s="34"/>
    </row>
    <row r="96" spans="2:46" x14ac:dyDescent="0.3">
      <c r="B96" s="8"/>
      <c r="C96" s="2" t="s">
        <v>741</v>
      </c>
      <c r="D96" s="26">
        <v>0</v>
      </c>
      <c r="E96" s="26">
        <v>0</v>
      </c>
      <c r="F96" s="27">
        <v>0</v>
      </c>
      <c r="G96" s="26">
        <v>0</v>
      </c>
      <c r="H96" s="26">
        <v>0</v>
      </c>
      <c r="I96" s="27">
        <v>0</v>
      </c>
      <c r="J96" s="26">
        <v>0</v>
      </c>
      <c r="K96" s="26">
        <v>0</v>
      </c>
      <c r="L96" s="67">
        <v>1</v>
      </c>
      <c r="N96" s="8"/>
      <c r="O96" s="2" t="s">
        <v>677</v>
      </c>
      <c r="P96" s="26">
        <v>0</v>
      </c>
      <c r="Q96" s="27">
        <v>0</v>
      </c>
      <c r="R96" s="30">
        <v>0</v>
      </c>
      <c r="S96" s="27">
        <v>0</v>
      </c>
      <c r="T96" s="30">
        <v>0</v>
      </c>
      <c r="U96" s="34">
        <v>1</v>
      </c>
      <c r="V96" s="34">
        <v>1</v>
      </c>
      <c r="X96" s="8"/>
      <c r="Y96" s="2"/>
      <c r="Z96" s="26"/>
      <c r="AA96" s="26"/>
      <c r="AB96" s="26"/>
      <c r="AC96" s="26"/>
      <c r="AD96" s="27"/>
      <c r="AE96" s="30"/>
      <c r="AF96" s="26"/>
      <c r="AG96" s="26"/>
      <c r="AH96" s="32"/>
      <c r="AJ96" s="8"/>
      <c r="AK96" s="2"/>
      <c r="AL96" s="26"/>
      <c r="AM96" s="26"/>
      <c r="AN96" s="26"/>
      <c r="AO96" s="27"/>
      <c r="AP96" s="30"/>
      <c r="AQ96" s="26"/>
      <c r="AR96" s="26"/>
      <c r="AS96" s="32"/>
      <c r="AT96" s="34"/>
    </row>
    <row r="97" spans="2:46" x14ac:dyDescent="0.3">
      <c r="B97" s="8"/>
      <c r="C97" s="2" t="s">
        <v>742</v>
      </c>
      <c r="D97" s="26">
        <v>0</v>
      </c>
      <c r="E97" s="26">
        <v>0</v>
      </c>
      <c r="F97" s="27">
        <v>0</v>
      </c>
      <c r="G97" s="26">
        <v>0</v>
      </c>
      <c r="H97" s="26">
        <v>0</v>
      </c>
      <c r="I97" s="27">
        <v>0</v>
      </c>
      <c r="J97" s="26">
        <v>0</v>
      </c>
      <c r="K97" s="26">
        <v>0</v>
      </c>
      <c r="L97" s="67">
        <v>1</v>
      </c>
      <c r="N97" s="8"/>
      <c r="O97" s="2" t="s">
        <v>678</v>
      </c>
      <c r="P97" s="26">
        <v>0</v>
      </c>
      <c r="Q97" s="27">
        <v>0</v>
      </c>
      <c r="R97" s="30">
        <v>0</v>
      </c>
      <c r="S97" s="27">
        <v>0</v>
      </c>
      <c r="T97" s="30">
        <v>0</v>
      </c>
      <c r="U97" s="34">
        <v>1</v>
      </c>
      <c r="V97" s="34">
        <v>1</v>
      </c>
      <c r="X97" s="8"/>
      <c r="Y97" s="2"/>
      <c r="Z97" s="26"/>
      <c r="AA97" s="26"/>
      <c r="AB97" s="26"/>
      <c r="AC97" s="26"/>
      <c r="AD97" s="27"/>
      <c r="AE97" s="30"/>
      <c r="AF97" s="26"/>
      <c r="AG97" s="26"/>
      <c r="AH97" s="32"/>
      <c r="AJ97" s="8"/>
      <c r="AK97" s="2"/>
      <c r="AL97" s="26"/>
      <c r="AM97" s="26"/>
      <c r="AN97" s="26"/>
      <c r="AO97" s="27"/>
      <c r="AP97" s="30"/>
      <c r="AQ97" s="26"/>
      <c r="AR97" s="26"/>
      <c r="AS97" s="32"/>
      <c r="AT97" s="34"/>
    </row>
    <row r="98" spans="2:46" x14ac:dyDescent="0.3">
      <c r="B98" s="8"/>
      <c r="C98" s="2" t="s">
        <v>743</v>
      </c>
      <c r="D98" s="26">
        <v>0</v>
      </c>
      <c r="E98" s="26">
        <v>0</v>
      </c>
      <c r="F98" s="27">
        <v>0</v>
      </c>
      <c r="G98" s="26">
        <v>0</v>
      </c>
      <c r="H98" s="26">
        <v>0</v>
      </c>
      <c r="I98" s="27">
        <v>0</v>
      </c>
      <c r="J98" s="26">
        <v>0</v>
      </c>
      <c r="K98" s="26">
        <v>0</v>
      </c>
      <c r="L98" s="67">
        <v>1</v>
      </c>
      <c r="N98" s="8"/>
      <c r="O98" s="2" t="s">
        <v>679</v>
      </c>
      <c r="P98" s="26">
        <v>0</v>
      </c>
      <c r="Q98" s="27">
        <v>0</v>
      </c>
      <c r="R98" s="30">
        <v>0</v>
      </c>
      <c r="S98" s="27">
        <v>0</v>
      </c>
      <c r="T98" s="30">
        <v>0</v>
      </c>
      <c r="U98" s="34">
        <v>1</v>
      </c>
      <c r="V98" s="34">
        <v>1</v>
      </c>
      <c r="X98" s="8"/>
      <c r="Y98" s="2"/>
      <c r="Z98" s="26"/>
      <c r="AA98" s="26"/>
      <c r="AB98" s="26"/>
      <c r="AC98" s="26"/>
      <c r="AD98" s="27"/>
      <c r="AE98" s="30"/>
      <c r="AF98" s="26"/>
      <c r="AG98" s="26"/>
      <c r="AH98" s="32"/>
      <c r="AJ98" s="8"/>
      <c r="AK98" s="2"/>
      <c r="AL98" s="26"/>
      <c r="AM98" s="26"/>
      <c r="AN98" s="26"/>
      <c r="AO98" s="27"/>
      <c r="AP98" s="30"/>
      <c r="AQ98" s="26"/>
      <c r="AR98" s="26"/>
      <c r="AS98" s="32"/>
      <c r="AT98" s="34"/>
    </row>
    <row r="99" spans="2:46" x14ac:dyDescent="0.3">
      <c r="B99" s="8"/>
      <c r="C99" s="2" t="s">
        <v>744</v>
      </c>
      <c r="D99" s="26">
        <v>0</v>
      </c>
      <c r="E99" s="26">
        <v>0</v>
      </c>
      <c r="F99" s="27">
        <v>0</v>
      </c>
      <c r="G99" s="26">
        <v>0</v>
      </c>
      <c r="H99" s="26">
        <v>0</v>
      </c>
      <c r="I99" s="27">
        <v>0</v>
      </c>
      <c r="J99" s="26">
        <v>0</v>
      </c>
      <c r="K99" s="26">
        <v>0</v>
      </c>
      <c r="L99" s="67">
        <v>1</v>
      </c>
      <c r="N99" s="8"/>
      <c r="O99" s="2" t="s">
        <v>680</v>
      </c>
      <c r="P99" s="26">
        <v>0</v>
      </c>
      <c r="Q99" s="27">
        <v>0</v>
      </c>
      <c r="R99" s="30">
        <v>0</v>
      </c>
      <c r="S99" s="27">
        <v>0</v>
      </c>
      <c r="T99" s="30">
        <v>0</v>
      </c>
      <c r="U99" s="34">
        <v>1</v>
      </c>
      <c r="V99" s="34">
        <v>1</v>
      </c>
      <c r="X99" s="8"/>
      <c r="Y99" s="2"/>
      <c r="Z99" s="26"/>
      <c r="AA99" s="26"/>
      <c r="AB99" s="26"/>
      <c r="AC99" s="26"/>
      <c r="AD99" s="27"/>
      <c r="AE99" s="30"/>
      <c r="AF99" s="26"/>
      <c r="AG99" s="26"/>
      <c r="AH99" s="32"/>
      <c r="AJ99" s="8"/>
      <c r="AK99" s="2"/>
      <c r="AL99" s="26"/>
      <c r="AM99" s="26"/>
      <c r="AN99" s="26"/>
      <c r="AO99" s="27"/>
      <c r="AP99" s="30"/>
      <c r="AQ99" s="26"/>
      <c r="AR99" s="26"/>
      <c r="AS99" s="32"/>
      <c r="AT99" s="34"/>
    </row>
    <row r="100" spans="2:46" x14ac:dyDescent="0.3">
      <c r="B100" s="8"/>
      <c r="C100" s="2" t="s">
        <v>808</v>
      </c>
      <c r="D100" s="26">
        <v>0</v>
      </c>
      <c r="E100" s="26">
        <v>0</v>
      </c>
      <c r="F100" s="27">
        <v>0</v>
      </c>
      <c r="G100" s="26">
        <v>0</v>
      </c>
      <c r="H100" s="26">
        <v>0</v>
      </c>
      <c r="I100" s="27">
        <v>0</v>
      </c>
      <c r="J100" s="26">
        <v>0</v>
      </c>
      <c r="K100" s="26">
        <v>0</v>
      </c>
      <c r="L100" s="67">
        <v>1</v>
      </c>
      <c r="N100" s="8"/>
      <c r="O100" s="2" t="s">
        <v>851</v>
      </c>
      <c r="P100" s="26">
        <v>0</v>
      </c>
      <c r="Q100" s="27">
        <v>0</v>
      </c>
      <c r="R100" s="30">
        <v>0</v>
      </c>
      <c r="S100" s="27">
        <v>0</v>
      </c>
      <c r="T100" s="30">
        <v>0</v>
      </c>
      <c r="U100" s="34">
        <v>1</v>
      </c>
      <c r="V100" s="34">
        <v>1</v>
      </c>
      <c r="X100" s="8"/>
      <c r="Y100" s="2"/>
      <c r="Z100" s="26"/>
      <c r="AA100" s="26"/>
      <c r="AB100" s="26"/>
      <c r="AC100" s="26"/>
      <c r="AD100" s="27"/>
      <c r="AE100" s="30"/>
      <c r="AF100" s="26"/>
      <c r="AG100" s="26"/>
      <c r="AH100" s="32"/>
      <c r="AJ100" s="8"/>
      <c r="AK100" s="2"/>
      <c r="AL100" s="26"/>
      <c r="AM100" s="26"/>
      <c r="AN100" s="26"/>
      <c r="AO100" s="27"/>
      <c r="AP100" s="30"/>
      <c r="AQ100" s="26"/>
      <c r="AR100" s="26"/>
      <c r="AS100" s="32"/>
      <c r="AT100" s="34"/>
    </row>
    <row r="101" spans="2:46" x14ac:dyDescent="0.3">
      <c r="B101" s="8"/>
      <c r="C101" s="2" t="s">
        <v>745</v>
      </c>
      <c r="D101" s="26">
        <v>0</v>
      </c>
      <c r="E101" s="26">
        <v>0</v>
      </c>
      <c r="F101" s="27">
        <v>0</v>
      </c>
      <c r="G101" s="26">
        <v>0</v>
      </c>
      <c r="H101" s="26">
        <v>0</v>
      </c>
      <c r="I101" s="27">
        <v>0</v>
      </c>
      <c r="J101" s="26">
        <v>0</v>
      </c>
      <c r="K101" s="26">
        <v>0</v>
      </c>
      <c r="L101" s="67">
        <v>1</v>
      </c>
      <c r="N101" s="8"/>
      <c r="O101" s="2" t="s">
        <v>681</v>
      </c>
      <c r="P101" s="26">
        <v>0</v>
      </c>
      <c r="Q101" s="27">
        <v>0</v>
      </c>
      <c r="R101" s="30">
        <v>0</v>
      </c>
      <c r="S101" s="27">
        <v>0</v>
      </c>
      <c r="T101" s="30">
        <v>0</v>
      </c>
      <c r="U101" s="34">
        <v>1</v>
      </c>
      <c r="V101" s="34">
        <v>1</v>
      </c>
      <c r="X101" s="8"/>
      <c r="Y101" s="2"/>
      <c r="Z101" s="26"/>
      <c r="AA101" s="26"/>
      <c r="AB101" s="26"/>
      <c r="AC101" s="26"/>
      <c r="AD101" s="27"/>
      <c r="AE101" s="30"/>
      <c r="AF101" s="26"/>
      <c r="AG101" s="26"/>
      <c r="AH101" s="32"/>
      <c r="AJ101" s="8"/>
      <c r="AK101" s="2"/>
      <c r="AL101" s="26"/>
      <c r="AM101" s="26"/>
      <c r="AN101" s="26"/>
      <c r="AO101" s="27"/>
      <c r="AP101" s="30"/>
      <c r="AQ101" s="26"/>
      <c r="AR101" s="26"/>
      <c r="AS101" s="32"/>
      <c r="AT101" s="34"/>
    </row>
    <row r="102" spans="2:46" x14ac:dyDescent="0.3">
      <c r="B102" s="8"/>
      <c r="C102" s="2" t="s">
        <v>746</v>
      </c>
      <c r="D102" s="26">
        <v>0</v>
      </c>
      <c r="E102" s="26">
        <v>0</v>
      </c>
      <c r="F102" s="27">
        <v>0</v>
      </c>
      <c r="G102" s="26">
        <v>0</v>
      </c>
      <c r="H102" s="26">
        <v>0</v>
      </c>
      <c r="I102" s="27">
        <v>0</v>
      </c>
      <c r="J102" s="26">
        <v>0</v>
      </c>
      <c r="K102" s="26">
        <v>0</v>
      </c>
      <c r="L102" s="67">
        <v>1</v>
      </c>
      <c r="N102" s="8"/>
      <c r="O102" s="2" t="s">
        <v>682</v>
      </c>
      <c r="P102" s="26">
        <v>0</v>
      </c>
      <c r="Q102" s="27">
        <v>0</v>
      </c>
      <c r="R102" s="30">
        <v>0</v>
      </c>
      <c r="S102" s="27">
        <v>0</v>
      </c>
      <c r="T102" s="30">
        <v>0</v>
      </c>
      <c r="U102" s="34">
        <v>1</v>
      </c>
      <c r="V102" s="34">
        <v>1</v>
      </c>
      <c r="X102" s="8"/>
      <c r="Y102" s="2"/>
      <c r="Z102" s="26"/>
      <c r="AA102" s="26"/>
      <c r="AB102" s="26"/>
      <c r="AC102" s="26"/>
      <c r="AD102" s="27"/>
      <c r="AE102" s="30"/>
      <c r="AF102" s="26"/>
      <c r="AG102" s="26"/>
      <c r="AH102" s="32"/>
      <c r="AJ102" s="8"/>
      <c r="AK102" s="2"/>
      <c r="AL102" s="26"/>
      <c r="AM102" s="26"/>
      <c r="AN102" s="26"/>
      <c r="AO102" s="27"/>
      <c r="AP102" s="30"/>
      <c r="AQ102" s="26"/>
      <c r="AR102" s="26"/>
      <c r="AS102" s="32"/>
      <c r="AT102" s="34"/>
    </row>
    <row r="103" spans="2:46" x14ac:dyDescent="0.3">
      <c r="B103" s="8"/>
      <c r="C103" s="2" t="s">
        <v>747</v>
      </c>
      <c r="D103" s="26">
        <v>0</v>
      </c>
      <c r="E103" s="26">
        <v>0</v>
      </c>
      <c r="F103" s="27">
        <v>0</v>
      </c>
      <c r="G103" s="26">
        <v>0</v>
      </c>
      <c r="H103" s="26">
        <v>0</v>
      </c>
      <c r="I103" s="27">
        <v>0</v>
      </c>
      <c r="J103" s="26">
        <v>0</v>
      </c>
      <c r="K103" s="26">
        <v>0</v>
      </c>
      <c r="L103" s="67">
        <v>1</v>
      </c>
      <c r="N103" s="8"/>
      <c r="O103" s="2" t="s">
        <v>683</v>
      </c>
      <c r="P103" s="26">
        <v>0</v>
      </c>
      <c r="Q103" s="27">
        <v>0</v>
      </c>
      <c r="R103" s="30">
        <v>0</v>
      </c>
      <c r="S103" s="27">
        <v>0</v>
      </c>
      <c r="T103" s="30">
        <v>0</v>
      </c>
      <c r="U103" s="34">
        <v>1</v>
      </c>
      <c r="V103" s="34">
        <v>1</v>
      </c>
      <c r="X103" s="8"/>
      <c r="Y103" s="2"/>
      <c r="Z103" s="26"/>
      <c r="AA103" s="26"/>
      <c r="AB103" s="26"/>
      <c r="AC103" s="26"/>
      <c r="AD103" s="27"/>
      <c r="AE103" s="30"/>
      <c r="AF103" s="26"/>
      <c r="AG103" s="26"/>
      <c r="AH103" s="32"/>
      <c r="AJ103" s="8"/>
      <c r="AK103" s="2"/>
      <c r="AL103" s="26"/>
      <c r="AM103" s="26"/>
      <c r="AN103" s="26"/>
      <c r="AO103" s="27"/>
      <c r="AP103" s="30"/>
      <c r="AQ103" s="26"/>
      <c r="AR103" s="26"/>
      <c r="AS103" s="32"/>
      <c r="AT103" s="34"/>
    </row>
    <row r="104" spans="2:46" x14ac:dyDescent="0.3">
      <c r="B104" s="8"/>
      <c r="C104" s="2" t="s">
        <v>748</v>
      </c>
      <c r="D104" s="26">
        <v>0</v>
      </c>
      <c r="E104" s="26">
        <v>0</v>
      </c>
      <c r="F104" s="27">
        <v>0</v>
      </c>
      <c r="G104" s="26">
        <v>0</v>
      </c>
      <c r="H104" s="26">
        <v>0</v>
      </c>
      <c r="I104" s="27">
        <v>0</v>
      </c>
      <c r="J104" s="26">
        <v>0</v>
      </c>
      <c r="K104" s="26">
        <v>0</v>
      </c>
      <c r="L104" s="67">
        <v>1</v>
      </c>
      <c r="N104" s="8"/>
      <c r="O104" s="2" t="s">
        <v>684</v>
      </c>
      <c r="P104" s="26">
        <v>0</v>
      </c>
      <c r="Q104" s="27">
        <v>0</v>
      </c>
      <c r="R104" s="30">
        <v>0</v>
      </c>
      <c r="S104" s="27">
        <v>0</v>
      </c>
      <c r="T104" s="30">
        <v>0</v>
      </c>
      <c r="U104" s="34">
        <v>1</v>
      </c>
      <c r="V104" s="34">
        <v>1</v>
      </c>
      <c r="X104" s="8"/>
      <c r="Y104" s="2"/>
      <c r="Z104" s="26"/>
      <c r="AA104" s="26"/>
      <c r="AB104" s="26"/>
      <c r="AC104" s="26"/>
      <c r="AD104" s="27"/>
      <c r="AE104" s="30"/>
      <c r="AF104" s="26"/>
      <c r="AG104" s="26"/>
      <c r="AH104" s="32"/>
      <c r="AJ104" s="8"/>
      <c r="AK104" s="2"/>
      <c r="AL104" s="26"/>
      <c r="AM104" s="26"/>
      <c r="AN104" s="26"/>
      <c r="AO104" s="27"/>
      <c r="AP104" s="30"/>
      <c r="AQ104" s="26"/>
      <c r="AR104" s="26"/>
      <c r="AS104" s="32"/>
      <c r="AT104" s="34"/>
    </row>
    <row r="105" spans="2:46" x14ac:dyDescent="0.3">
      <c r="B105" s="8"/>
      <c r="C105" s="2" t="s">
        <v>749</v>
      </c>
      <c r="D105" s="26">
        <v>0</v>
      </c>
      <c r="E105" s="26">
        <v>0</v>
      </c>
      <c r="F105" s="27">
        <v>0</v>
      </c>
      <c r="G105" s="26">
        <v>0</v>
      </c>
      <c r="H105" s="26">
        <v>0</v>
      </c>
      <c r="I105" s="27">
        <v>0</v>
      </c>
      <c r="J105" s="26">
        <v>0</v>
      </c>
      <c r="K105" s="26">
        <v>0</v>
      </c>
      <c r="L105" s="67">
        <v>1</v>
      </c>
      <c r="N105" s="8"/>
      <c r="O105" s="2" t="s">
        <v>685</v>
      </c>
      <c r="P105" s="26">
        <v>0</v>
      </c>
      <c r="Q105" s="27">
        <v>0</v>
      </c>
      <c r="R105" s="30">
        <v>0</v>
      </c>
      <c r="S105" s="27">
        <v>0</v>
      </c>
      <c r="T105" s="30">
        <v>0</v>
      </c>
      <c r="U105" s="34">
        <v>1</v>
      </c>
      <c r="V105" s="34">
        <v>1</v>
      </c>
      <c r="X105" s="8"/>
      <c r="Y105" s="2"/>
      <c r="Z105" s="26"/>
      <c r="AA105" s="26"/>
      <c r="AB105" s="26"/>
      <c r="AC105" s="26"/>
      <c r="AD105" s="27"/>
      <c r="AE105" s="30"/>
      <c r="AF105" s="26"/>
      <c r="AG105" s="26"/>
      <c r="AH105" s="32"/>
      <c r="AJ105" s="8"/>
      <c r="AK105" s="2"/>
      <c r="AL105" s="26"/>
      <c r="AM105" s="26"/>
      <c r="AN105" s="26"/>
      <c r="AO105" s="27"/>
      <c r="AP105" s="30"/>
      <c r="AQ105" s="26"/>
      <c r="AR105" s="26"/>
      <c r="AS105" s="32"/>
      <c r="AT105" s="34"/>
    </row>
    <row r="106" spans="2:46" x14ac:dyDescent="0.3">
      <c r="B106" s="8"/>
      <c r="C106" s="2" t="s">
        <v>750</v>
      </c>
      <c r="D106" s="26">
        <v>0</v>
      </c>
      <c r="E106" s="26">
        <v>0</v>
      </c>
      <c r="F106" s="27">
        <v>0</v>
      </c>
      <c r="G106" s="26">
        <v>0</v>
      </c>
      <c r="H106" s="26">
        <v>0</v>
      </c>
      <c r="I106" s="27">
        <v>0</v>
      </c>
      <c r="J106" s="26">
        <v>0</v>
      </c>
      <c r="K106" s="26">
        <v>0</v>
      </c>
      <c r="L106" s="67">
        <v>1</v>
      </c>
      <c r="N106" s="8"/>
      <c r="O106" s="2" t="s">
        <v>686</v>
      </c>
      <c r="P106" s="26">
        <v>0</v>
      </c>
      <c r="Q106" s="27">
        <v>0</v>
      </c>
      <c r="R106" s="30">
        <v>0</v>
      </c>
      <c r="S106" s="27">
        <v>0</v>
      </c>
      <c r="T106" s="30">
        <v>0</v>
      </c>
      <c r="U106" s="34">
        <v>1</v>
      </c>
      <c r="V106" s="34">
        <v>1</v>
      </c>
      <c r="X106" s="8"/>
      <c r="Y106" s="2"/>
      <c r="Z106" s="26"/>
      <c r="AA106" s="26"/>
      <c r="AB106" s="26"/>
      <c r="AC106" s="26"/>
      <c r="AD106" s="27"/>
      <c r="AE106" s="30"/>
      <c r="AF106" s="26"/>
      <c r="AG106" s="26"/>
      <c r="AH106" s="32"/>
      <c r="AJ106" s="8"/>
      <c r="AK106" s="2"/>
      <c r="AL106" s="26"/>
      <c r="AM106" s="26"/>
      <c r="AN106" s="26"/>
      <c r="AO106" s="27"/>
      <c r="AP106" s="30"/>
      <c r="AQ106" s="26"/>
      <c r="AR106" s="26"/>
      <c r="AS106" s="32"/>
      <c r="AT106" s="34"/>
    </row>
    <row r="107" spans="2:46" x14ac:dyDescent="0.3">
      <c r="B107" s="8"/>
      <c r="C107" s="2" t="s">
        <v>751</v>
      </c>
      <c r="D107" s="26">
        <v>0</v>
      </c>
      <c r="E107" s="26">
        <v>0</v>
      </c>
      <c r="F107" s="27">
        <v>0</v>
      </c>
      <c r="G107" s="26">
        <v>0</v>
      </c>
      <c r="H107" s="26">
        <v>0</v>
      </c>
      <c r="I107" s="27">
        <v>0</v>
      </c>
      <c r="J107" s="26">
        <v>0</v>
      </c>
      <c r="K107" s="26">
        <v>0</v>
      </c>
      <c r="L107" s="67">
        <v>1</v>
      </c>
      <c r="N107" s="8"/>
      <c r="O107" s="2" t="s">
        <v>687</v>
      </c>
      <c r="P107" s="26">
        <v>0</v>
      </c>
      <c r="Q107" s="27">
        <v>0</v>
      </c>
      <c r="R107" s="30">
        <v>0</v>
      </c>
      <c r="S107" s="27">
        <v>0</v>
      </c>
      <c r="T107" s="30">
        <v>0</v>
      </c>
      <c r="U107" s="34">
        <v>1</v>
      </c>
      <c r="V107" s="34">
        <v>1</v>
      </c>
      <c r="X107" s="8"/>
      <c r="Y107" s="2"/>
      <c r="Z107" s="26"/>
      <c r="AA107" s="26"/>
      <c r="AB107" s="26"/>
      <c r="AC107" s="26"/>
      <c r="AD107" s="27"/>
      <c r="AE107" s="30"/>
      <c r="AF107" s="26"/>
      <c r="AG107" s="26"/>
      <c r="AH107" s="32"/>
      <c r="AJ107" s="8"/>
      <c r="AK107" s="2"/>
      <c r="AL107" s="26"/>
      <c r="AM107" s="26"/>
      <c r="AN107" s="26"/>
      <c r="AO107" s="27"/>
      <c r="AP107" s="30"/>
      <c r="AQ107" s="26"/>
      <c r="AR107" s="26"/>
      <c r="AS107" s="32"/>
      <c r="AT107" s="34"/>
    </row>
    <row r="108" spans="2:46" x14ac:dyDescent="0.3">
      <c r="B108" s="8"/>
      <c r="C108" s="2" t="s">
        <v>752</v>
      </c>
      <c r="D108" s="26">
        <v>0</v>
      </c>
      <c r="E108" s="26">
        <v>0</v>
      </c>
      <c r="F108" s="27">
        <v>0</v>
      </c>
      <c r="G108" s="26">
        <v>0</v>
      </c>
      <c r="H108" s="26">
        <v>0</v>
      </c>
      <c r="I108" s="27">
        <v>0</v>
      </c>
      <c r="J108" s="26">
        <v>0</v>
      </c>
      <c r="K108" s="26">
        <v>0</v>
      </c>
      <c r="L108" s="67">
        <v>1</v>
      </c>
      <c r="N108" s="8"/>
      <c r="O108" s="2" t="s">
        <v>688</v>
      </c>
      <c r="P108" s="26">
        <v>0</v>
      </c>
      <c r="Q108" s="27">
        <v>0</v>
      </c>
      <c r="R108" s="30">
        <v>0</v>
      </c>
      <c r="S108" s="27">
        <v>0</v>
      </c>
      <c r="T108" s="30">
        <v>0</v>
      </c>
      <c r="U108" s="34">
        <v>1</v>
      </c>
      <c r="V108" s="34">
        <v>1</v>
      </c>
      <c r="X108" s="8"/>
      <c r="Y108" s="2"/>
      <c r="Z108" s="26"/>
      <c r="AA108" s="26"/>
      <c r="AB108" s="26"/>
      <c r="AC108" s="26"/>
      <c r="AD108" s="27"/>
      <c r="AE108" s="30"/>
      <c r="AF108" s="26"/>
      <c r="AG108" s="26"/>
      <c r="AH108" s="32"/>
      <c r="AJ108" s="8"/>
      <c r="AK108" s="2"/>
      <c r="AL108" s="26"/>
      <c r="AM108" s="26"/>
      <c r="AN108" s="26"/>
      <c r="AO108" s="27"/>
      <c r="AP108" s="30"/>
      <c r="AQ108" s="26"/>
      <c r="AR108" s="26"/>
      <c r="AS108" s="32"/>
      <c r="AT108" s="34"/>
    </row>
    <row r="109" spans="2:46" x14ac:dyDescent="0.3">
      <c r="B109" s="8"/>
      <c r="C109" s="2"/>
      <c r="D109" s="26"/>
      <c r="E109" s="26"/>
      <c r="F109" s="27"/>
      <c r="G109" s="26"/>
      <c r="H109" s="26"/>
      <c r="I109" s="27"/>
      <c r="J109" s="26"/>
      <c r="K109" s="26"/>
      <c r="L109" s="67"/>
      <c r="N109" s="8"/>
      <c r="O109" s="2"/>
      <c r="P109" s="26"/>
      <c r="Q109" s="27"/>
      <c r="R109" s="30"/>
      <c r="S109" s="27"/>
      <c r="T109" s="30"/>
      <c r="U109" s="34"/>
      <c r="V109" s="34"/>
      <c r="X109" s="8"/>
      <c r="Y109" s="2"/>
      <c r="Z109" s="26"/>
      <c r="AA109" s="26"/>
      <c r="AB109" s="26"/>
      <c r="AC109" s="26"/>
      <c r="AD109" s="27"/>
      <c r="AE109" s="30"/>
      <c r="AF109" s="26"/>
      <c r="AG109" s="26"/>
      <c r="AH109" s="32"/>
      <c r="AJ109" s="8"/>
      <c r="AK109" s="2"/>
      <c r="AL109" s="26"/>
      <c r="AM109" s="26"/>
      <c r="AN109" s="26"/>
      <c r="AO109" s="27"/>
      <c r="AP109" s="30"/>
      <c r="AQ109" s="26"/>
      <c r="AR109" s="26"/>
      <c r="AS109" s="32"/>
      <c r="AT109" s="34"/>
    </row>
    <row r="110" spans="2:46" x14ac:dyDescent="0.3">
      <c r="B110" s="8"/>
      <c r="C110" s="2"/>
      <c r="D110" s="26"/>
      <c r="E110" s="26"/>
      <c r="F110" s="27"/>
      <c r="G110" s="26"/>
      <c r="H110" s="26"/>
      <c r="I110" s="27"/>
      <c r="J110" s="26"/>
      <c r="K110" s="26"/>
      <c r="L110" s="67"/>
      <c r="N110" s="8"/>
      <c r="O110" s="2"/>
      <c r="P110" s="26"/>
      <c r="Q110" s="27"/>
      <c r="R110" s="30"/>
      <c r="S110" s="27"/>
      <c r="T110" s="30"/>
      <c r="U110" s="34"/>
      <c r="V110" s="34"/>
      <c r="X110" s="8"/>
      <c r="Y110" s="2"/>
      <c r="Z110" s="26"/>
      <c r="AA110" s="26"/>
      <c r="AB110" s="26"/>
      <c r="AC110" s="26"/>
      <c r="AD110" s="27"/>
      <c r="AE110" s="30"/>
      <c r="AF110" s="26"/>
      <c r="AG110" s="26"/>
      <c r="AH110" s="32"/>
      <c r="AJ110" s="8"/>
      <c r="AK110" s="2"/>
      <c r="AL110" s="26"/>
      <c r="AM110" s="26"/>
      <c r="AN110" s="26"/>
      <c r="AO110" s="27"/>
      <c r="AP110" s="30"/>
      <c r="AQ110" s="26"/>
      <c r="AR110" s="26"/>
      <c r="AS110" s="32"/>
      <c r="AT110" s="34"/>
    </row>
    <row r="111" spans="2:46" x14ac:dyDescent="0.3">
      <c r="B111" s="8"/>
      <c r="C111" s="2"/>
      <c r="D111" s="26"/>
      <c r="E111" s="26"/>
      <c r="F111" s="27"/>
      <c r="G111" s="26"/>
      <c r="H111" s="26"/>
      <c r="I111" s="27"/>
      <c r="J111" s="26"/>
      <c r="K111" s="26"/>
      <c r="L111" s="67"/>
      <c r="N111" s="8"/>
      <c r="O111" s="2"/>
      <c r="P111" s="26"/>
      <c r="Q111" s="27"/>
      <c r="R111" s="30"/>
      <c r="S111" s="27"/>
      <c r="T111" s="30"/>
      <c r="U111" s="34"/>
      <c r="V111" s="34"/>
      <c r="X111" s="8"/>
      <c r="Y111" s="2"/>
      <c r="Z111" s="26"/>
      <c r="AA111" s="26"/>
      <c r="AB111" s="26"/>
      <c r="AC111" s="26"/>
      <c r="AD111" s="27"/>
      <c r="AE111" s="30"/>
      <c r="AF111" s="26"/>
      <c r="AG111" s="26"/>
      <c r="AH111" s="32"/>
      <c r="AJ111" s="8"/>
      <c r="AK111" s="2"/>
      <c r="AL111" s="26"/>
      <c r="AM111" s="26"/>
      <c r="AN111" s="26"/>
      <c r="AO111" s="27"/>
      <c r="AP111" s="30"/>
      <c r="AQ111" s="26"/>
      <c r="AR111" s="26"/>
      <c r="AS111" s="32"/>
      <c r="AT111" s="34"/>
    </row>
    <row r="112" spans="2:46" x14ac:dyDescent="0.3">
      <c r="B112" s="8"/>
      <c r="C112" s="2"/>
      <c r="D112" s="26"/>
      <c r="E112" s="26"/>
      <c r="F112" s="27"/>
      <c r="G112" s="26"/>
      <c r="H112" s="26"/>
      <c r="I112" s="27"/>
      <c r="J112" s="26"/>
      <c r="K112" s="26"/>
      <c r="L112" s="67"/>
      <c r="N112" s="8"/>
      <c r="O112" s="2"/>
      <c r="P112" s="26"/>
      <c r="Q112" s="27"/>
      <c r="R112" s="30"/>
      <c r="S112" s="27"/>
      <c r="T112" s="30"/>
      <c r="U112" s="34"/>
      <c r="V112" s="34"/>
      <c r="X112" s="8"/>
      <c r="Y112" s="2"/>
      <c r="Z112" s="26"/>
      <c r="AA112" s="26"/>
      <c r="AB112" s="26"/>
      <c r="AC112" s="26"/>
      <c r="AD112" s="27"/>
      <c r="AE112" s="30"/>
      <c r="AF112" s="26"/>
      <c r="AG112" s="26"/>
      <c r="AH112" s="32"/>
      <c r="AJ112" s="8"/>
      <c r="AK112" s="2"/>
      <c r="AL112" s="26"/>
      <c r="AM112" s="26"/>
      <c r="AN112" s="26"/>
      <c r="AO112" s="27"/>
      <c r="AP112" s="30"/>
      <c r="AQ112" s="26"/>
      <c r="AR112" s="26"/>
      <c r="AS112" s="32"/>
      <c r="AT112" s="34"/>
    </row>
    <row r="113" spans="2:46" x14ac:dyDescent="0.3">
      <c r="B113" s="8"/>
      <c r="C113" s="2"/>
      <c r="D113" s="26"/>
      <c r="E113" s="26"/>
      <c r="F113" s="27"/>
      <c r="G113" s="26"/>
      <c r="H113" s="26"/>
      <c r="I113" s="27"/>
      <c r="J113" s="26"/>
      <c r="K113" s="26"/>
      <c r="L113" s="67"/>
      <c r="N113" s="8"/>
      <c r="O113" s="2"/>
      <c r="P113" s="26"/>
      <c r="Q113" s="27"/>
      <c r="R113" s="30"/>
      <c r="S113" s="27"/>
      <c r="T113" s="30"/>
      <c r="U113" s="34"/>
      <c r="V113" s="34"/>
      <c r="X113" s="8"/>
      <c r="Y113" s="2"/>
      <c r="Z113" s="26"/>
      <c r="AA113" s="26"/>
      <c r="AB113" s="26"/>
      <c r="AC113" s="26"/>
      <c r="AD113" s="27"/>
      <c r="AE113" s="30"/>
      <c r="AF113" s="26"/>
      <c r="AG113" s="26"/>
      <c r="AH113" s="32"/>
      <c r="AJ113" s="8"/>
      <c r="AK113" s="2"/>
      <c r="AL113" s="26"/>
      <c r="AM113" s="26"/>
      <c r="AN113" s="26"/>
      <c r="AO113" s="27"/>
      <c r="AP113" s="30"/>
      <c r="AQ113" s="26"/>
      <c r="AR113" s="26"/>
      <c r="AS113" s="32"/>
      <c r="AT113" s="34"/>
    </row>
    <row r="114" spans="2:46" x14ac:dyDescent="0.3">
      <c r="B114" s="8"/>
      <c r="C114" s="2"/>
      <c r="D114" s="26"/>
      <c r="E114" s="26"/>
      <c r="F114" s="27"/>
      <c r="G114" s="26"/>
      <c r="H114" s="26"/>
      <c r="I114" s="27"/>
      <c r="J114" s="26"/>
      <c r="K114" s="26"/>
      <c r="L114" s="67"/>
      <c r="N114" s="8"/>
      <c r="O114" s="2"/>
      <c r="P114" s="26"/>
      <c r="Q114" s="27"/>
      <c r="R114" s="30"/>
      <c r="S114" s="27"/>
      <c r="T114" s="30"/>
      <c r="U114" s="34"/>
      <c r="V114" s="34"/>
      <c r="X114" s="8"/>
      <c r="Y114" s="2"/>
      <c r="Z114" s="26"/>
      <c r="AA114" s="26"/>
      <c r="AB114" s="26"/>
      <c r="AC114" s="26"/>
      <c r="AD114" s="27"/>
      <c r="AE114" s="30"/>
      <c r="AF114" s="26"/>
      <c r="AG114" s="26"/>
      <c r="AH114" s="32"/>
      <c r="AJ114" s="8"/>
      <c r="AK114" s="2"/>
      <c r="AL114" s="26"/>
      <c r="AM114" s="26"/>
      <c r="AN114" s="26"/>
      <c r="AO114" s="27"/>
      <c r="AP114" s="30"/>
      <c r="AQ114" s="26"/>
      <c r="AR114" s="26"/>
      <c r="AS114" s="32"/>
      <c r="AT114" s="34"/>
    </row>
    <row r="115" spans="2:46" x14ac:dyDescent="0.3">
      <c r="B115" s="8"/>
      <c r="C115" s="2"/>
      <c r="D115" s="26"/>
      <c r="E115" s="26"/>
      <c r="F115" s="27"/>
      <c r="G115" s="26"/>
      <c r="H115" s="26"/>
      <c r="I115" s="27"/>
      <c r="J115" s="26"/>
      <c r="K115" s="26"/>
      <c r="L115" s="67"/>
      <c r="N115" s="8"/>
      <c r="O115" s="2"/>
      <c r="P115" s="26"/>
      <c r="Q115" s="27"/>
      <c r="R115" s="30"/>
      <c r="S115" s="27"/>
      <c r="T115" s="30"/>
      <c r="U115" s="34"/>
      <c r="V115" s="34"/>
      <c r="X115" s="8"/>
      <c r="Y115" s="2"/>
      <c r="Z115" s="26"/>
      <c r="AA115" s="26"/>
      <c r="AB115" s="26"/>
      <c r="AC115" s="26"/>
      <c r="AD115" s="27"/>
      <c r="AE115" s="30"/>
      <c r="AF115" s="26"/>
      <c r="AG115" s="26"/>
      <c r="AH115" s="32"/>
      <c r="AJ115" s="8"/>
      <c r="AK115" s="2"/>
      <c r="AL115" s="26"/>
      <c r="AM115" s="26"/>
      <c r="AN115" s="26"/>
      <c r="AO115" s="27"/>
      <c r="AP115" s="30"/>
      <c r="AQ115" s="26"/>
      <c r="AR115" s="26"/>
      <c r="AS115" s="32"/>
      <c r="AT115" s="34"/>
    </row>
    <row r="116" spans="2:46" x14ac:dyDescent="0.3">
      <c r="B116" s="8"/>
      <c r="C116" s="2"/>
      <c r="D116" s="26"/>
      <c r="E116" s="26"/>
      <c r="F116" s="27"/>
      <c r="G116" s="26"/>
      <c r="H116" s="26"/>
      <c r="I116" s="27"/>
      <c r="J116" s="26"/>
      <c r="K116" s="26"/>
      <c r="L116" s="67"/>
      <c r="N116" s="8"/>
      <c r="O116" s="2"/>
      <c r="P116" s="26"/>
      <c r="Q116" s="27"/>
      <c r="R116" s="30"/>
      <c r="S116" s="27"/>
      <c r="T116" s="30"/>
      <c r="U116" s="34"/>
      <c r="V116" s="34"/>
      <c r="X116" s="8"/>
      <c r="Y116" s="2"/>
      <c r="Z116" s="26"/>
      <c r="AA116" s="26"/>
      <c r="AB116" s="26"/>
      <c r="AC116" s="26"/>
      <c r="AD116" s="27"/>
      <c r="AE116" s="30"/>
      <c r="AF116" s="26"/>
      <c r="AG116" s="26"/>
      <c r="AH116" s="32"/>
      <c r="AJ116" s="8"/>
      <c r="AK116" s="2"/>
      <c r="AL116" s="26"/>
      <c r="AM116" s="26"/>
      <c r="AN116" s="26"/>
      <c r="AO116" s="27"/>
      <c r="AP116" s="30"/>
      <c r="AQ116" s="26"/>
      <c r="AR116" s="26"/>
      <c r="AS116" s="32"/>
      <c r="AT116" s="34"/>
    </row>
    <row r="117" spans="2:46" x14ac:dyDescent="0.3">
      <c r="B117" s="8"/>
      <c r="C117" s="2"/>
      <c r="D117" s="26"/>
      <c r="E117" s="26"/>
      <c r="F117" s="27"/>
      <c r="G117" s="26"/>
      <c r="H117" s="26"/>
      <c r="I117" s="27"/>
      <c r="J117" s="26"/>
      <c r="K117" s="26"/>
      <c r="L117" s="67"/>
      <c r="N117" s="8"/>
      <c r="O117" s="2"/>
      <c r="P117" s="26"/>
      <c r="Q117" s="27"/>
      <c r="R117" s="30"/>
      <c r="S117" s="27"/>
      <c r="T117" s="30"/>
      <c r="U117" s="34"/>
      <c r="V117" s="34"/>
      <c r="X117" s="8"/>
      <c r="Y117" s="2"/>
      <c r="Z117" s="26"/>
      <c r="AA117" s="26"/>
      <c r="AB117" s="26"/>
      <c r="AC117" s="26"/>
      <c r="AD117" s="27"/>
      <c r="AE117" s="30"/>
      <c r="AF117" s="26"/>
      <c r="AG117" s="26"/>
      <c r="AH117" s="32"/>
      <c r="AJ117" s="8"/>
      <c r="AK117" s="2"/>
      <c r="AL117" s="26"/>
      <c r="AM117" s="26"/>
      <c r="AN117" s="26"/>
      <c r="AO117" s="27"/>
      <c r="AP117" s="30"/>
      <c r="AQ117" s="26"/>
      <c r="AR117" s="26"/>
      <c r="AS117" s="32"/>
      <c r="AT117" s="34"/>
    </row>
    <row r="118" spans="2:46" x14ac:dyDescent="0.3">
      <c r="B118" s="8"/>
      <c r="C118" s="2"/>
      <c r="D118" s="26"/>
      <c r="E118" s="26"/>
      <c r="F118" s="27"/>
      <c r="G118" s="26"/>
      <c r="H118" s="26"/>
      <c r="I118" s="27"/>
      <c r="J118" s="26"/>
      <c r="K118" s="26"/>
      <c r="L118" s="67"/>
      <c r="N118" s="8"/>
      <c r="O118" s="2"/>
      <c r="P118" s="26"/>
      <c r="Q118" s="27"/>
      <c r="R118" s="30"/>
      <c r="S118" s="27"/>
      <c r="T118" s="30"/>
      <c r="U118" s="34"/>
      <c r="V118" s="34"/>
      <c r="X118" s="8"/>
      <c r="Y118" s="2"/>
      <c r="Z118" s="26"/>
      <c r="AA118" s="26"/>
      <c r="AB118" s="26"/>
      <c r="AC118" s="26"/>
      <c r="AD118" s="27"/>
      <c r="AE118" s="30"/>
      <c r="AF118" s="26"/>
      <c r="AG118" s="26"/>
      <c r="AH118" s="32"/>
      <c r="AJ118" s="8"/>
      <c r="AK118" s="2"/>
      <c r="AL118" s="26"/>
      <c r="AM118" s="26"/>
      <c r="AN118" s="26"/>
      <c r="AO118" s="27"/>
      <c r="AP118" s="30"/>
      <c r="AQ118" s="26"/>
      <c r="AR118" s="26"/>
      <c r="AS118" s="32"/>
      <c r="AT118" s="34"/>
    </row>
    <row r="119" spans="2:46" x14ac:dyDescent="0.3">
      <c r="B119" s="8"/>
      <c r="C119" s="2"/>
      <c r="D119" s="26"/>
      <c r="E119" s="26"/>
      <c r="F119" s="27"/>
      <c r="G119" s="26"/>
      <c r="H119" s="26"/>
      <c r="I119" s="27"/>
      <c r="J119" s="26"/>
      <c r="K119" s="26"/>
      <c r="L119" s="67"/>
      <c r="N119" s="8"/>
      <c r="O119" s="2"/>
      <c r="P119" s="26"/>
      <c r="Q119" s="27"/>
      <c r="R119" s="30"/>
      <c r="S119" s="27"/>
      <c r="T119" s="30"/>
      <c r="U119" s="34"/>
      <c r="V119" s="34"/>
      <c r="X119" s="8"/>
      <c r="Y119" s="2"/>
      <c r="Z119" s="26"/>
      <c r="AA119" s="26"/>
      <c r="AB119" s="26"/>
      <c r="AC119" s="26"/>
      <c r="AD119" s="27"/>
      <c r="AE119" s="30"/>
      <c r="AF119" s="26"/>
      <c r="AG119" s="26"/>
      <c r="AH119" s="32"/>
      <c r="AJ119" s="8"/>
      <c r="AK119" s="2"/>
      <c r="AL119" s="26"/>
      <c r="AM119" s="26"/>
      <c r="AN119" s="26"/>
      <c r="AO119" s="27"/>
      <c r="AP119" s="30"/>
      <c r="AQ119" s="26"/>
      <c r="AR119" s="26"/>
      <c r="AS119" s="32"/>
      <c r="AT119" s="34"/>
    </row>
    <row r="120" spans="2:46" x14ac:dyDescent="0.3">
      <c r="B120" s="8"/>
      <c r="C120" s="2"/>
      <c r="D120" s="26"/>
      <c r="E120" s="26"/>
      <c r="F120" s="27"/>
      <c r="G120" s="26"/>
      <c r="H120" s="26"/>
      <c r="I120" s="27"/>
      <c r="J120" s="26"/>
      <c r="K120" s="26"/>
      <c r="L120" s="67"/>
      <c r="N120" s="8"/>
      <c r="O120" s="2"/>
      <c r="P120" s="26"/>
      <c r="Q120" s="27"/>
      <c r="R120" s="30"/>
      <c r="S120" s="27"/>
      <c r="T120" s="30"/>
      <c r="U120" s="34"/>
      <c r="V120" s="34"/>
      <c r="X120" s="8"/>
      <c r="Y120" s="2"/>
      <c r="Z120" s="26"/>
      <c r="AA120" s="26"/>
      <c r="AB120" s="26"/>
      <c r="AC120" s="26"/>
      <c r="AD120" s="27"/>
      <c r="AE120" s="30"/>
      <c r="AF120" s="26"/>
      <c r="AG120" s="26"/>
      <c r="AH120" s="32"/>
      <c r="AJ120" s="8"/>
      <c r="AK120" s="2"/>
      <c r="AL120" s="26"/>
      <c r="AM120" s="26"/>
      <c r="AN120" s="26"/>
      <c r="AO120" s="27"/>
      <c r="AP120" s="30"/>
      <c r="AQ120" s="26"/>
      <c r="AR120" s="26"/>
      <c r="AS120" s="32"/>
      <c r="AT120" s="34"/>
    </row>
    <row r="121" spans="2:46" x14ac:dyDescent="0.3">
      <c r="B121" s="8"/>
      <c r="C121" s="2"/>
      <c r="D121" s="26"/>
      <c r="E121" s="26"/>
      <c r="F121" s="27"/>
      <c r="G121" s="26"/>
      <c r="H121" s="26"/>
      <c r="I121" s="27"/>
      <c r="J121" s="26"/>
      <c r="K121" s="26"/>
      <c r="L121" s="67"/>
      <c r="N121" s="8"/>
      <c r="O121" s="2"/>
      <c r="P121" s="26"/>
      <c r="Q121" s="27"/>
      <c r="R121" s="30"/>
      <c r="S121" s="27"/>
      <c r="T121" s="30"/>
      <c r="U121" s="34"/>
      <c r="V121" s="34"/>
      <c r="X121" s="8"/>
      <c r="Y121" s="2"/>
      <c r="Z121" s="26"/>
      <c r="AA121" s="26"/>
      <c r="AB121" s="26"/>
      <c r="AC121" s="26"/>
      <c r="AD121" s="27"/>
      <c r="AE121" s="30"/>
      <c r="AF121" s="26"/>
      <c r="AG121" s="26"/>
      <c r="AH121" s="32"/>
      <c r="AJ121" s="8"/>
      <c r="AK121" s="2"/>
      <c r="AL121" s="26"/>
      <c r="AM121" s="26"/>
      <c r="AN121" s="26"/>
      <c r="AO121" s="27"/>
      <c r="AP121" s="30"/>
      <c r="AQ121" s="26"/>
      <c r="AR121" s="26"/>
      <c r="AS121" s="32"/>
      <c r="AT121" s="34"/>
    </row>
    <row r="122" spans="2:46" x14ac:dyDescent="0.3">
      <c r="B122" s="8"/>
      <c r="C122" s="2"/>
      <c r="D122" s="26"/>
      <c r="E122" s="26"/>
      <c r="F122" s="27"/>
      <c r="G122" s="26"/>
      <c r="H122" s="26"/>
      <c r="I122" s="27"/>
      <c r="J122" s="26"/>
      <c r="K122" s="26"/>
      <c r="L122" s="67"/>
      <c r="N122" s="8"/>
      <c r="O122" s="2"/>
      <c r="P122" s="26"/>
      <c r="Q122" s="27"/>
      <c r="R122" s="30"/>
      <c r="S122" s="27"/>
      <c r="T122" s="30"/>
      <c r="U122" s="34"/>
      <c r="V122" s="34"/>
      <c r="X122" s="8"/>
      <c r="Y122" s="2"/>
      <c r="Z122" s="26"/>
      <c r="AA122" s="26"/>
      <c r="AB122" s="26"/>
      <c r="AC122" s="26"/>
      <c r="AD122" s="27"/>
      <c r="AE122" s="30"/>
      <c r="AF122" s="26"/>
      <c r="AG122" s="26"/>
      <c r="AH122" s="32"/>
      <c r="AJ122" s="8"/>
      <c r="AK122" s="2"/>
      <c r="AL122" s="26"/>
      <c r="AM122" s="26"/>
      <c r="AN122" s="26"/>
      <c r="AO122" s="27"/>
      <c r="AP122" s="30"/>
      <c r="AQ122" s="26"/>
      <c r="AR122" s="26"/>
      <c r="AS122" s="32"/>
      <c r="AT122" s="34"/>
    </row>
    <row r="123" spans="2:46" x14ac:dyDescent="0.3">
      <c r="B123" s="8"/>
      <c r="C123" s="2"/>
      <c r="D123" s="26"/>
      <c r="E123" s="26"/>
      <c r="F123" s="27"/>
      <c r="G123" s="26"/>
      <c r="H123" s="26"/>
      <c r="I123" s="27"/>
      <c r="J123" s="26"/>
      <c r="K123" s="26"/>
      <c r="L123" s="67"/>
      <c r="N123" s="8"/>
      <c r="O123" s="2"/>
      <c r="P123" s="26"/>
      <c r="Q123" s="27"/>
      <c r="R123" s="30"/>
      <c r="S123" s="27"/>
      <c r="T123" s="30"/>
      <c r="U123" s="34"/>
      <c r="V123" s="34"/>
      <c r="X123" s="8"/>
      <c r="Y123" s="2"/>
      <c r="Z123" s="26"/>
      <c r="AA123" s="26"/>
      <c r="AB123" s="26"/>
      <c r="AC123" s="26"/>
      <c r="AD123" s="27"/>
      <c r="AE123" s="30"/>
      <c r="AF123" s="26"/>
      <c r="AG123" s="26"/>
      <c r="AH123" s="32"/>
      <c r="AJ123" s="8"/>
      <c r="AK123" s="2"/>
      <c r="AL123" s="26"/>
      <c r="AM123" s="26"/>
      <c r="AN123" s="26"/>
      <c r="AO123" s="27"/>
      <c r="AP123" s="30"/>
      <c r="AQ123" s="26"/>
      <c r="AR123" s="26"/>
      <c r="AS123" s="32"/>
      <c r="AT123" s="34"/>
    </row>
    <row r="124" spans="2:46" x14ac:dyDescent="0.3">
      <c r="B124" s="8"/>
      <c r="C124" s="2"/>
      <c r="D124" s="26"/>
      <c r="E124" s="26"/>
      <c r="F124" s="27"/>
      <c r="G124" s="26"/>
      <c r="H124" s="26"/>
      <c r="I124" s="27"/>
      <c r="J124" s="26"/>
      <c r="K124" s="26"/>
      <c r="L124" s="67"/>
      <c r="N124" s="8"/>
      <c r="O124" s="2"/>
      <c r="P124" s="26"/>
      <c r="Q124" s="27"/>
      <c r="R124" s="30"/>
      <c r="S124" s="27"/>
      <c r="T124" s="30"/>
      <c r="U124" s="34"/>
      <c r="V124" s="34"/>
      <c r="X124" s="8"/>
      <c r="Y124" s="2"/>
      <c r="Z124" s="26"/>
      <c r="AA124" s="26"/>
      <c r="AB124" s="26"/>
      <c r="AC124" s="26"/>
      <c r="AD124" s="27"/>
      <c r="AE124" s="30"/>
      <c r="AF124" s="26"/>
      <c r="AG124" s="26"/>
      <c r="AH124" s="32"/>
      <c r="AJ124" s="8"/>
      <c r="AK124" s="2"/>
      <c r="AL124" s="26"/>
      <c r="AM124" s="26"/>
      <c r="AN124" s="26"/>
      <c r="AO124" s="27"/>
      <c r="AP124" s="30"/>
      <c r="AQ124" s="26"/>
      <c r="AR124" s="26"/>
      <c r="AS124" s="32"/>
      <c r="AT124" s="34"/>
    </row>
    <row r="125" spans="2:46" x14ac:dyDescent="0.3">
      <c r="B125" s="8"/>
      <c r="C125" s="2"/>
      <c r="D125" s="26"/>
      <c r="E125" s="26"/>
      <c r="F125" s="27"/>
      <c r="G125" s="26"/>
      <c r="H125" s="26"/>
      <c r="I125" s="27"/>
      <c r="J125" s="26"/>
      <c r="K125" s="26"/>
      <c r="L125" s="67"/>
      <c r="N125" s="8"/>
      <c r="O125" s="2"/>
      <c r="P125" s="26"/>
      <c r="Q125" s="27"/>
      <c r="R125" s="30"/>
      <c r="S125" s="27"/>
      <c r="T125" s="30"/>
      <c r="U125" s="34"/>
      <c r="V125" s="34"/>
      <c r="X125" s="8"/>
      <c r="Y125" s="2"/>
      <c r="Z125" s="26"/>
      <c r="AA125" s="26"/>
      <c r="AB125" s="26"/>
      <c r="AC125" s="26"/>
      <c r="AD125" s="27"/>
      <c r="AE125" s="30"/>
      <c r="AF125" s="26"/>
      <c r="AG125" s="26"/>
      <c r="AH125" s="32"/>
      <c r="AJ125" s="8"/>
      <c r="AK125" s="2"/>
      <c r="AL125" s="26"/>
      <c r="AM125" s="26"/>
      <c r="AN125" s="26"/>
      <c r="AO125" s="27"/>
      <c r="AP125" s="30"/>
      <c r="AQ125" s="26"/>
      <c r="AR125" s="26"/>
      <c r="AS125" s="32"/>
      <c r="AT125" s="34"/>
    </row>
    <row r="126" spans="2:46" x14ac:dyDescent="0.3">
      <c r="B126" s="8"/>
      <c r="C126" s="2"/>
      <c r="D126" s="26"/>
      <c r="E126" s="26"/>
      <c r="F126" s="27"/>
      <c r="G126" s="26"/>
      <c r="H126" s="26"/>
      <c r="I126" s="27"/>
      <c r="J126" s="26"/>
      <c r="K126" s="26"/>
      <c r="L126" s="67"/>
      <c r="N126" s="8"/>
      <c r="O126" s="2"/>
      <c r="P126" s="26"/>
      <c r="Q126" s="27"/>
      <c r="R126" s="30"/>
      <c r="S126" s="27"/>
      <c r="T126" s="30"/>
      <c r="U126" s="34"/>
      <c r="V126" s="34"/>
      <c r="X126" s="8"/>
      <c r="Y126" s="2"/>
      <c r="Z126" s="26"/>
      <c r="AA126" s="26"/>
      <c r="AB126" s="26"/>
      <c r="AC126" s="26"/>
      <c r="AD126" s="27"/>
      <c r="AE126" s="30"/>
      <c r="AF126" s="26"/>
      <c r="AG126" s="26"/>
      <c r="AH126" s="32"/>
      <c r="AJ126" s="8"/>
      <c r="AK126" s="2"/>
      <c r="AL126" s="26"/>
      <c r="AM126" s="26"/>
      <c r="AN126" s="26"/>
      <c r="AO126" s="27"/>
      <c r="AP126" s="30"/>
      <c r="AQ126" s="26"/>
      <c r="AR126" s="26"/>
      <c r="AS126" s="32"/>
      <c r="AT126" s="34"/>
    </row>
    <row r="127" spans="2:46" x14ac:dyDescent="0.3">
      <c r="B127" s="8"/>
      <c r="C127" s="2"/>
      <c r="D127" s="26"/>
      <c r="E127" s="26"/>
      <c r="F127" s="27"/>
      <c r="G127" s="26"/>
      <c r="H127" s="26"/>
      <c r="I127" s="27"/>
      <c r="J127" s="26"/>
      <c r="K127" s="26"/>
      <c r="L127" s="67"/>
      <c r="N127" s="8"/>
      <c r="O127" s="2"/>
      <c r="P127" s="26"/>
      <c r="Q127" s="27"/>
      <c r="R127" s="30"/>
      <c r="S127" s="27"/>
      <c r="T127" s="30"/>
      <c r="U127" s="34"/>
      <c r="V127" s="34"/>
      <c r="X127" s="8"/>
      <c r="Y127" s="2"/>
      <c r="Z127" s="26"/>
      <c r="AA127" s="26"/>
      <c r="AB127" s="26"/>
      <c r="AC127" s="26"/>
      <c r="AD127" s="27"/>
      <c r="AE127" s="30"/>
      <c r="AF127" s="26"/>
      <c r="AG127" s="26"/>
      <c r="AH127" s="32"/>
      <c r="AJ127" s="8"/>
      <c r="AK127" s="2"/>
      <c r="AL127" s="26"/>
      <c r="AM127" s="26"/>
      <c r="AN127" s="26"/>
      <c r="AO127" s="27"/>
      <c r="AP127" s="30"/>
      <c r="AQ127" s="26"/>
      <c r="AR127" s="26"/>
      <c r="AS127" s="32"/>
      <c r="AT127" s="34"/>
    </row>
    <row r="128" spans="2:46" x14ac:dyDescent="0.3">
      <c r="B128" s="8"/>
      <c r="C128" s="2"/>
      <c r="D128" s="26"/>
      <c r="E128" s="26"/>
      <c r="F128" s="27"/>
      <c r="G128" s="26"/>
      <c r="H128" s="26"/>
      <c r="I128" s="27"/>
      <c r="J128" s="26"/>
      <c r="K128" s="26"/>
      <c r="L128" s="67"/>
      <c r="N128" s="8"/>
      <c r="O128" s="2"/>
      <c r="P128" s="26"/>
      <c r="Q128" s="27"/>
      <c r="R128" s="30"/>
      <c r="S128" s="27"/>
      <c r="T128" s="30"/>
      <c r="U128" s="34"/>
      <c r="V128" s="34"/>
      <c r="X128" s="8"/>
      <c r="Y128" s="2"/>
      <c r="Z128" s="26"/>
      <c r="AA128" s="26"/>
      <c r="AB128" s="26"/>
      <c r="AC128" s="26"/>
      <c r="AD128" s="27"/>
      <c r="AE128" s="30"/>
      <c r="AF128" s="26"/>
      <c r="AG128" s="26"/>
      <c r="AH128" s="32"/>
      <c r="AJ128" s="8"/>
      <c r="AK128" s="2"/>
      <c r="AL128" s="26"/>
      <c r="AM128" s="26"/>
      <c r="AN128" s="26"/>
      <c r="AO128" s="27"/>
      <c r="AP128" s="30"/>
      <c r="AQ128" s="26"/>
      <c r="AR128" s="26"/>
      <c r="AS128" s="32"/>
      <c r="AT128" s="34"/>
    </row>
    <row r="129" spans="2:46" x14ac:dyDescent="0.3">
      <c r="B129" s="8"/>
      <c r="C129" s="2"/>
      <c r="D129" s="26"/>
      <c r="E129" s="26"/>
      <c r="F129" s="27"/>
      <c r="G129" s="26"/>
      <c r="H129" s="26"/>
      <c r="I129" s="27"/>
      <c r="J129" s="26"/>
      <c r="K129" s="26"/>
      <c r="L129" s="67"/>
      <c r="N129" s="8"/>
      <c r="O129" s="2"/>
      <c r="P129" s="26"/>
      <c r="Q129" s="27"/>
      <c r="R129" s="30"/>
      <c r="S129" s="27"/>
      <c r="T129" s="30"/>
      <c r="U129" s="34"/>
      <c r="V129" s="34"/>
      <c r="X129" s="8"/>
      <c r="Y129" s="2"/>
      <c r="Z129" s="26"/>
      <c r="AA129" s="26"/>
      <c r="AB129" s="26"/>
      <c r="AC129" s="26"/>
      <c r="AD129" s="27"/>
      <c r="AE129" s="30"/>
      <c r="AF129" s="26"/>
      <c r="AG129" s="26"/>
      <c r="AH129" s="32"/>
      <c r="AJ129" s="8"/>
      <c r="AK129" s="2"/>
      <c r="AL129" s="26"/>
      <c r="AM129" s="26"/>
      <c r="AN129" s="26"/>
      <c r="AO129" s="27"/>
      <c r="AP129" s="30"/>
      <c r="AQ129" s="26"/>
      <c r="AR129" s="26"/>
      <c r="AS129" s="32"/>
      <c r="AT129" s="34"/>
    </row>
    <row r="130" spans="2:46" x14ac:dyDescent="0.3">
      <c r="B130" s="8"/>
      <c r="C130" s="2"/>
      <c r="D130" s="26"/>
      <c r="E130" s="26"/>
      <c r="F130" s="27"/>
      <c r="G130" s="26"/>
      <c r="H130" s="26"/>
      <c r="I130" s="27"/>
      <c r="J130" s="26"/>
      <c r="K130" s="26"/>
      <c r="L130" s="67"/>
      <c r="N130" s="8"/>
      <c r="O130" s="2"/>
      <c r="P130" s="26"/>
      <c r="Q130" s="27"/>
      <c r="R130" s="30"/>
      <c r="S130" s="27"/>
      <c r="T130" s="30"/>
      <c r="U130" s="34"/>
      <c r="V130" s="34"/>
      <c r="X130" s="8"/>
      <c r="Y130" s="2"/>
      <c r="Z130" s="26"/>
      <c r="AA130" s="26"/>
      <c r="AB130" s="26"/>
      <c r="AC130" s="26"/>
      <c r="AD130" s="27"/>
      <c r="AE130" s="30"/>
      <c r="AF130" s="26"/>
      <c r="AG130" s="26"/>
      <c r="AH130" s="32"/>
      <c r="AJ130" s="8"/>
      <c r="AK130" s="2"/>
      <c r="AL130" s="26"/>
      <c r="AM130" s="26"/>
      <c r="AN130" s="26"/>
      <c r="AO130" s="27"/>
      <c r="AP130" s="30"/>
      <c r="AQ130" s="26"/>
      <c r="AR130" s="26"/>
      <c r="AS130" s="32"/>
      <c r="AT130" s="34"/>
    </row>
    <row r="131" spans="2:46" x14ac:dyDescent="0.3">
      <c r="B131" s="8"/>
      <c r="C131" s="2"/>
      <c r="D131" s="26"/>
      <c r="E131" s="26"/>
      <c r="F131" s="27"/>
      <c r="G131" s="26"/>
      <c r="H131" s="26"/>
      <c r="I131" s="27"/>
      <c r="J131" s="26"/>
      <c r="K131" s="26"/>
      <c r="L131" s="67"/>
      <c r="N131" s="8"/>
      <c r="O131" s="2"/>
      <c r="P131" s="26"/>
      <c r="Q131" s="27"/>
      <c r="R131" s="30"/>
      <c r="S131" s="27"/>
      <c r="T131" s="30"/>
      <c r="U131" s="34"/>
      <c r="V131" s="34"/>
      <c r="X131" s="8"/>
      <c r="Y131" s="2"/>
      <c r="Z131" s="26"/>
      <c r="AA131" s="26"/>
      <c r="AB131" s="26"/>
      <c r="AC131" s="26"/>
      <c r="AD131" s="27"/>
      <c r="AE131" s="30"/>
      <c r="AF131" s="26"/>
      <c r="AG131" s="26"/>
      <c r="AH131" s="32"/>
      <c r="AJ131" s="8"/>
      <c r="AK131" s="2"/>
      <c r="AL131" s="26"/>
      <c r="AM131" s="26"/>
      <c r="AN131" s="26"/>
      <c r="AO131" s="27"/>
      <c r="AP131" s="30"/>
      <c r="AQ131" s="26"/>
      <c r="AR131" s="26"/>
      <c r="AS131" s="32"/>
      <c r="AT131" s="34"/>
    </row>
    <row r="132" spans="2:46" x14ac:dyDescent="0.3">
      <c r="B132" s="8"/>
      <c r="C132" s="2"/>
      <c r="D132" s="26"/>
      <c r="E132" s="26"/>
      <c r="F132" s="27"/>
      <c r="G132" s="26"/>
      <c r="H132" s="26"/>
      <c r="I132" s="27"/>
      <c r="J132" s="26"/>
      <c r="K132" s="26"/>
      <c r="L132" s="67"/>
      <c r="N132" s="8"/>
      <c r="O132" s="2"/>
      <c r="P132" s="26"/>
      <c r="Q132" s="27"/>
      <c r="R132" s="30"/>
      <c r="S132" s="27"/>
      <c r="T132" s="30"/>
      <c r="U132" s="34"/>
      <c r="V132" s="34"/>
      <c r="X132" s="8"/>
      <c r="Y132" s="2"/>
      <c r="Z132" s="26"/>
      <c r="AA132" s="26"/>
      <c r="AB132" s="26"/>
      <c r="AC132" s="26"/>
      <c r="AD132" s="27"/>
      <c r="AE132" s="30"/>
      <c r="AF132" s="26"/>
      <c r="AG132" s="26"/>
      <c r="AH132" s="32"/>
      <c r="AJ132" s="8"/>
      <c r="AK132" s="2"/>
      <c r="AL132" s="26"/>
      <c r="AM132" s="26"/>
      <c r="AN132" s="26"/>
      <c r="AO132" s="27"/>
      <c r="AP132" s="30"/>
      <c r="AQ132" s="26"/>
      <c r="AR132" s="26"/>
      <c r="AS132" s="32"/>
      <c r="AT132" s="34"/>
    </row>
    <row r="133" spans="2:46" x14ac:dyDescent="0.3">
      <c r="B133" s="8"/>
      <c r="C133" s="2"/>
      <c r="D133" s="26"/>
      <c r="E133" s="26"/>
      <c r="F133" s="27"/>
      <c r="G133" s="26"/>
      <c r="H133" s="26"/>
      <c r="I133" s="27"/>
      <c r="J133" s="26"/>
      <c r="K133" s="26"/>
      <c r="L133" s="67"/>
      <c r="N133" s="8"/>
      <c r="O133" s="2"/>
      <c r="P133" s="26"/>
      <c r="Q133" s="27"/>
      <c r="R133" s="30"/>
      <c r="S133" s="27"/>
      <c r="T133" s="30"/>
      <c r="U133" s="34"/>
      <c r="V133" s="34"/>
      <c r="X133" s="8"/>
      <c r="Y133" s="2"/>
      <c r="Z133" s="26"/>
      <c r="AA133" s="26"/>
      <c r="AB133" s="26"/>
      <c r="AC133" s="26"/>
      <c r="AD133" s="27"/>
      <c r="AE133" s="30"/>
      <c r="AF133" s="26"/>
      <c r="AG133" s="26"/>
      <c r="AH133" s="32"/>
      <c r="AJ133" s="8"/>
      <c r="AK133" s="2"/>
      <c r="AL133" s="26"/>
      <c r="AM133" s="26"/>
      <c r="AN133" s="26"/>
      <c r="AO133" s="27"/>
      <c r="AP133" s="30"/>
      <c r="AQ133" s="26"/>
      <c r="AR133" s="26"/>
      <c r="AS133" s="32"/>
      <c r="AT133" s="34"/>
    </row>
    <row r="134" spans="2:46" x14ac:dyDescent="0.3">
      <c r="B134" s="8"/>
      <c r="C134" s="2"/>
      <c r="D134" s="26"/>
      <c r="E134" s="26"/>
      <c r="F134" s="27"/>
      <c r="G134" s="26"/>
      <c r="H134" s="26"/>
      <c r="I134" s="27"/>
      <c r="J134" s="26"/>
      <c r="K134" s="26"/>
      <c r="L134" s="67"/>
      <c r="N134" s="8"/>
      <c r="O134" s="2"/>
      <c r="P134" s="26"/>
      <c r="Q134" s="27"/>
      <c r="R134" s="30"/>
      <c r="S134" s="27"/>
      <c r="T134" s="30"/>
      <c r="U134" s="34"/>
      <c r="V134" s="34"/>
      <c r="X134" s="8"/>
      <c r="Y134" s="2"/>
      <c r="Z134" s="26"/>
      <c r="AA134" s="26"/>
      <c r="AB134" s="26"/>
      <c r="AC134" s="26"/>
      <c r="AD134" s="27"/>
      <c r="AE134" s="30"/>
      <c r="AF134" s="26"/>
      <c r="AG134" s="26"/>
      <c r="AH134" s="32"/>
      <c r="AJ134" s="8"/>
      <c r="AK134" s="2"/>
      <c r="AL134" s="26"/>
      <c r="AM134" s="26"/>
      <c r="AN134" s="26"/>
      <c r="AO134" s="27"/>
      <c r="AP134" s="30"/>
      <c r="AQ134" s="26"/>
      <c r="AR134" s="26"/>
      <c r="AS134" s="32"/>
      <c r="AT134" s="34"/>
    </row>
    <row r="135" spans="2:46" x14ac:dyDescent="0.3">
      <c r="B135" s="8"/>
      <c r="C135" s="2"/>
      <c r="D135" s="26"/>
      <c r="E135" s="26"/>
      <c r="F135" s="27"/>
      <c r="G135" s="26"/>
      <c r="H135" s="26"/>
      <c r="I135" s="27"/>
      <c r="J135" s="26"/>
      <c r="K135" s="26"/>
      <c r="L135" s="67"/>
      <c r="N135" s="8"/>
      <c r="O135" s="2"/>
      <c r="P135" s="26"/>
      <c r="Q135" s="27"/>
      <c r="R135" s="30"/>
      <c r="S135" s="27"/>
      <c r="T135" s="30"/>
      <c r="U135" s="34"/>
      <c r="V135" s="34"/>
      <c r="X135" s="8"/>
      <c r="Y135" s="2"/>
      <c r="Z135" s="26"/>
      <c r="AA135" s="26"/>
      <c r="AB135" s="26"/>
      <c r="AC135" s="26"/>
      <c r="AD135" s="27"/>
      <c r="AE135" s="30"/>
      <c r="AF135" s="26"/>
      <c r="AG135" s="26"/>
      <c r="AH135" s="32"/>
      <c r="AJ135" s="8"/>
      <c r="AK135" s="2"/>
      <c r="AL135" s="26"/>
      <c r="AM135" s="26"/>
      <c r="AN135" s="26"/>
      <c r="AO135" s="27"/>
      <c r="AP135" s="30"/>
      <c r="AQ135" s="26"/>
      <c r="AR135" s="26"/>
      <c r="AS135" s="32"/>
      <c r="AT135" s="34"/>
    </row>
    <row r="136" spans="2:46" x14ac:dyDescent="0.3">
      <c r="B136" s="8"/>
      <c r="C136" s="2"/>
      <c r="D136" s="26"/>
      <c r="E136" s="26"/>
      <c r="F136" s="27"/>
      <c r="G136" s="26"/>
      <c r="H136" s="26"/>
      <c r="I136" s="27"/>
      <c r="J136" s="26"/>
      <c r="K136" s="26"/>
      <c r="L136" s="67"/>
      <c r="N136" s="8"/>
      <c r="O136" s="2"/>
      <c r="P136" s="26"/>
      <c r="Q136" s="27"/>
      <c r="R136" s="30"/>
      <c r="S136" s="27"/>
      <c r="T136" s="30"/>
      <c r="U136" s="34"/>
      <c r="V136" s="34"/>
      <c r="X136" s="8"/>
      <c r="Y136" s="2"/>
      <c r="Z136" s="26"/>
      <c r="AA136" s="26"/>
      <c r="AB136" s="26"/>
      <c r="AC136" s="26"/>
      <c r="AD136" s="27"/>
      <c r="AE136" s="30"/>
      <c r="AF136" s="26"/>
      <c r="AG136" s="26"/>
      <c r="AH136" s="32"/>
      <c r="AJ136" s="8"/>
      <c r="AK136" s="2"/>
      <c r="AL136" s="26"/>
      <c r="AM136" s="26"/>
      <c r="AN136" s="26"/>
      <c r="AO136" s="27"/>
      <c r="AP136" s="30"/>
      <c r="AQ136" s="26"/>
      <c r="AR136" s="26"/>
      <c r="AS136" s="32"/>
      <c r="AT136" s="34"/>
    </row>
    <row r="137" spans="2:46" x14ac:dyDescent="0.3">
      <c r="B137" s="8"/>
      <c r="C137" s="2"/>
      <c r="D137" s="26"/>
      <c r="E137" s="26"/>
      <c r="F137" s="27"/>
      <c r="G137" s="26"/>
      <c r="H137" s="26"/>
      <c r="I137" s="27"/>
      <c r="J137" s="26"/>
      <c r="K137" s="26"/>
      <c r="L137" s="67"/>
      <c r="N137" s="8"/>
      <c r="O137" s="2"/>
      <c r="P137" s="26"/>
      <c r="Q137" s="27"/>
      <c r="R137" s="30"/>
      <c r="S137" s="27"/>
      <c r="T137" s="30"/>
      <c r="U137" s="34"/>
      <c r="V137" s="34"/>
      <c r="X137" s="8"/>
      <c r="Y137" s="2"/>
      <c r="Z137" s="26"/>
      <c r="AA137" s="26"/>
      <c r="AB137" s="26"/>
      <c r="AC137" s="26"/>
      <c r="AD137" s="27"/>
      <c r="AE137" s="30"/>
      <c r="AF137" s="26"/>
      <c r="AG137" s="26"/>
      <c r="AH137" s="32"/>
      <c r="AJ137" s="8"/>
      <c r="AK137" s="2"/>
      <c r="AL137" s="26"/>
      <c r="AM137" s="26"/>
      <c r="AN137" s="26"/>
      <c r="AO137" s="27"/>
      <c r="AP137" s="30"/>
      <c r="AQ137" s="26"/>
      <c r="AR137" s="26"/>
      <c r="AS137" s="32"/>
      <c r="AT137" s="34"/>
    </row>
    <row r="138" spans="2:46" x14ac:dyDescent="0.3">
      <c r="B138" s="8"/>
      <c r="C138" s="2"/>
      <c r="D138" s="26"/>
      <c r="E138" s="26"/>
      <c r="F138" s="27"/>
      <c r="G138" s="26"/>
      <c r="H138" s="26"/>
      <c r="I138" s="27"/>
      <c r="J138" s="26"/>
      <c r="K138" s="26"/>
      <c r="L138" s="67"/>
      <c r="N138" s="8"/>
      <c r="O138" s="2"/>
      <c r="P138" s="26"/>
      <c r="Q138" s="27"/>
      <c r="R138" s="30"/>
      <c r="S138" s="27"/>
      <c r="T138" s="30"/>
      <c r="U138" s="34"/>
      <c r="V138" s="34"/>
      <c r="X138" s="8"/>
      <c r="Y138" s="2"/>
      <c r="Z138" s="26"/>
      <c r="AA138" s="26"/>
      <c r="AB138" s="26"/>
      <c r="AC138" s="26"/>
      <c r="AD138" s="27"/>
      <c r="AE138" s="30"/>
      <c r="AF138" s="26"/>
      <c r="AG138" s="26"/>
      <c r="AH138" s="32"/>
      <c r="AJ138" s="8"/>
      <c r="AK138" s="2"/>
      <c r="AL138" s="26"/>
      <c r="AM138" s="26"/>
      <c r="AN138" s="26"/>
      <c r="AO138" s="27"/>
      <c r="AP138" s="30"/>
      <c r="AQ138" s="26"/>
      <c r="AR138" s="26"/>
      <c r="AS138" s="32"/>
      <c r="AT138" s="34"/>
    </row>
    <row r="139" spans="2:46" x14ac:dyDescent="0.3">
      <c r="B139" s="8"/>
      <c r="C139" s="2"/>
      <c r="D139" s="26"/>
      <c r="E139" s="26"/>
      <c r="F139" s="27"/>
      <c r="G139" s="26"/>
      <c r="H139" s="26"/>
      <c r="I139" s="27"/>
      <c r="J139" s="26"/>
      <c r="K139" s="26"/>
      <c r="L139" s="67"/>
      <c r="N139" s="8"/>
      <c r="O139" s="2"/>
      <c r="P139" s="26"/>
      <c r="Q139" s="27"/>
      <c r="R139" s="30"/>
      <c r="S139" s="27"/>
      <c r="T139" s="30"/>
      <c r="U139" s="34"/>
      <c r="V139" s="34"/>
      <c r="X139" s="8"/>
      <c r="Y139" s="2"/>
      <c r="Z139" s="26"/>
      <c r="AA139" s="26"/>
      <c r="AB139" s="26"/>
      <c r="AC139" s="26"/>
      <c r="AD139" s="27"/>
      <c r="AE139" s="30"/>
      <c r="AF139" s="26"/>
      <c r="AG139" s="26"/>
      <c r="AH139" s="32"/>
      <c r="AJ139" s="8"/>
      <c r="AK139" s="2"/>
      <c r="AL139" s="26"/>
      <c r="AM139" s="26"/>
      <c r="AN139" s="26"/>
      <c r="AO139" s="27"/>
      <c r="AP139" s="30"/>
      <c r="AQ139" s="26"/>
      <c r="AR139" s="26"/>
      <c r="AS139" s="32"/>
      <c r="AT139" s="34"/>
    </row>
    <row r="140" spans="2:46" x14ac:dyDescent="0.3">
      <c r="B140" s="8"/>
      <c r="C140" s="2"/>
      <c r="D140" s="26"/>
      <c r="E140" s="26"/>
      <c r="F140" s="27"/>
      <c r="G140" s="26"/>
      <c r="H140" s="26"/>
      <c r="I140" s="27"/>
      <c r="J140" s="26"/>
      <c r="K140" s="26"/>
      <c r="L140" s="67"/>
      <c r="N140" s="8"/>
      <c r="O140" s="2"/>
      <c r="P140" s="26"/>
      <c r="Q140" s="27"/>
      <c r="R140" s="30"/>
      <c r="S140" s="27"/>
      <c r="T140" s="30"/>
      <c r="U140" s="34"/>
      <c r="V140" s="34"/>
      <c r="X140" s="8"/>
      <c r="Y140" s="2"/>
      <c r="Z140" s="26"/>
      <c r="AA140" s="26"/>
      <c r="AB140" s="26"/>
      <c r="AC140" s="26"/>
      <c r="AD140" s="27"/>
      <c r="AE140" s="30"/>
      <c r="AF140" s="26"/>
      <c r="AG140" s="26"/>
      <c r="AH140" s="32"/>
      <c r="AJ140" s="8"/>
      <c r="AK140" s="2"/>
      <c r="AL140" s="26"/>
      <c r="AM140" s="26"/>
      <c r="AN140" s="26"/>
      <c r="AO140" s="27"/>
      <c r="AP140" s="30"/>
      <c r="AQ140" s="26"/>
      <c r="AR140" s="26"/>
      <c r="AS140" s="32"/>
      <c r="AT140" s="34"/>
    </row>
    <row r="141" spans="2:46" x14ac:dyDescent="0.3">
      <c r="B141" s="8"/>
      <c r="C141" s="2"/>
      <c r="D141" s="26"/>
      <c r="E141" s="26"/>
      <c r="F141" s="27"/>
      <c r="G141" s="26"/>
      <c r="H141" s="26"/>
      <c r="I141" s="27"/>
      <c r="J141" s="26"/>
      <c r="K141" s="26"/>
      <c r="L141" s="67"/>
      <c r="N141" s="8"/>
      <c r="O141" s="2"/>
      <c r="P141" s="26"/>
      <c r="Q141" s="27"/>
      <c r="R141" s="30"/>
      <c r="S141" s="27"/>
      <c r="T141" s="30"/>
      <c r="U141" s="34"/>
      <c r="V141" s="34"/>
      <c r="X141" s="8"/>
      <c r="Y141" s="2"/>
      <c r="Z141" s="26"/>
      <c r="AA141" s="26"/>
      <c r="AB141" s="26"/>
      <c r="AC141" s="26"/>
      <c r="AD141" s="27"/>
      <c r="AE141" s="30"/>
      <c r="AF141" s="26"/>
      <c r="AG141" s="26"/>
      <c r="AH141" s="32"/>
      <c r="AJ141" s="8"/>
      <c r="AK141" s="2"/>
      <c r="AL141" s="26"/>
      <c r="AM141" s="26"/>
      <c r="AN141" s="26"/>
      <c r="AO141" s="27"/>
      <c r="AP141" s="30"/>
      <c r="AQ141" s="26"/>
      <c r="AR141" s="26"/>
      <c r="AS141" s="32"/>
      <c r="AT141" s="34"/>
    </row>
    <row r="142" spans="2:46" x14ac:dyDescent="0.3">
      <c r="B142" s="8"/>
      <c r="C142" s="2"/>
      <c r="D142" s="26"/>
      <c r="E142" s="26"/>
      <c r="F142" s="27"/>
      <c r="G142" s="26"/>
      <c r="H142" s="26"/>
      <c r="I142" s="27"/>
      <c r="J142" s="26"/>
      <c r="K142" s="26"/>
      <c r="L142" s="67"/>
      <c r="N142" s="8"/>
      <c r="O142" s="2"/>
      <c r="P142" s="26"/>
      <c r="Q142" s="27"/>
      <c r="R142" s="30"/>
      <c r="S142" s="27"/>
      <c r="T142" s="30"/>
      <c r="U142" s="34"/>
      <c r="V142" s="34"/>
      <c r="X142" s="8"/>
      <c r="Y142" s="2"/>
      <c r="Z142" s="26"/>
      <c r="AA142" s="26"/>
      <c r="AB142" s="26"/>
      <c r="AC142" s="26"/>
      <c r="AD142" s="27"/>
      <c r="AE142" s="30"/>
      <c r="AF142" s="26"/>
      <c r="AG142" s="26"/>
      <c r="AH142" s="32"/>
      <c r="AJ142" s="8"/>
      <c r="AK142" s="2"/>
      <c r="AL142" s="26"/>
      <c r="AM142" s="26"/>
      <c r="AN142" s="26"/>
      <c r="AO142" s="27"/>
      <c r="AP142" s="30"/>
      <c r="AQ142" s="26"/>
      <c r="AR142" s="26"/>
      <c r="AS142" s="32"/>
      <c r="AT142" s="34"/>
    </row>
    <row r="143" spans="2:46" x14ac:dyDescent="0.3">
      <c r="B143" s="8"/>
      <c r="C143" s="2"/>
      <c r="D143" s="26"/>
      <c r="E143" s="26"/>
      <c r="F143" s="27"/>
      <c r="G143" s="26"/>
      <c r="H143" s="26"/>
      <c r="I143" s="27"/>
      <c r="J143" s="26"/>
      <c r="K143" s="26"/>
      <c r="L143" s="67"/>
      <c r="N143" s="8"/>
      <c r="O143" s="2"/>
      <c r="P143" s="26"/>
      <c r="Q143" s="27"/>
      <c r="R143" s="30"/>
      <c r="S143" s="27"/>
      <c r="T143" s="30"/>
      <c r="U143" s="34"/>
      <c r="V143" s="34"/>
      <c r="X143" s="8"/>
      <c r="Y143" s="2"/>
      <c r="Z143" s="26"/>
      <c r="AA143" s="26"/>
      <c r="AB143" s="26"/>
      <c r="AC143" s="26"/>
      <c r="AD143" s="27"/>
      <c r="AE143" s="30"/>
      <c r="AF143" s="26"/>
      <c r="AG143" s="26"/>
      <c r="AH143" s="32"/>
      <c r="AJ143" s="8"/>
      <c r="AK143" s="2"/>
      <c r="AL143" s="26"/>
      <c r="AM143" s="26"/>
      <c r="AN143" s="26"/>
      <c r="AO143" s="27"/>
      <c r="AP143" s="30"/>
      <c r="AQ143" s="26"/>
      <c r="AR143" s="26"/>
      <c r="AS143" s="32"/>
      <c r="AT143" s="34"/>
    </row>
    <row r="144" spans="2:46" x14ac:dyDescent="0.3">
      <c r="B144" s="8"/>
      <c r="C144" s="2"/>
      <c r="D144" s="26"/>
      <c r="E144" s="26"/>
      <c r="F144" s="27"/>
      <c r="G144" s="26"/>
      <c r="H144" s="26"/>
      <c r="I144" s="27"/>
      <c r="J144" s="26"/>
      <c r="K144" s="26"/>
      <c r="L144" s="67"/>
      <c r="N144" s="8"/>
      <c r="O144" s="2"/>
      <c r="P144" s="26"/>
      <c r="Q144" s="27"/>
      <c r="R144" s="30"/>
      <c r="S144" s="27"/>
      <c r="T144" s="30"/>
      <c r="U144" s="34"/>
      <c r="V144" s="34"/>
      <c r="X144" s="8"/>
      <c r="Y144" s="2"/>
      <c r="Z144" s="26"/>
      <c r="AA144" s="26"/>
      <c r="AB144" s="26"/>
      <c r="AC144" s="26"/>
      <c r="AD144" s="27"/>
      <c r="AE144" s="30"/>
      <c r="AF144" s="26"/>
      <c r="AG144" s="26"/>
      <c r="AH144" s="32"/>
      <c r="AJ144" s="8"/>
      <c r="AK144" s="2"/>
      <c r="AL144" s="26"/>
      <c r="AM144" s="26"/>
      <c r="AN144" s="26"/>
      <c r="AO144" s="27"/>
      <c r="AP144" s="30"/>
      <c r="AQ144" s="26"/>
      <c r="AR144" s="26"/>
      <c r="AS144" s="32"/>
      <c r="AT144" s="34"/>
    </row>
    <row r="145" spans="2:46" x14ac:dyDescent="0.3">
      <c r="B145" s="8"/>
      <c r="C145" s="2"/>
      <c r="D145" s="26"/>
      <c r="E145" s="26"/>
      <c r="F145" s="27"/>
      <c r="G145" s="26"/>
      <c r="H145" s="26"/>
      <c r="I145" s="27"/>
      <c r="J145" s="26"/>
      <c r="K145" s="26"/>
      <c r="L145" s="67"/>
      <c r="N145" s="8"/>
      <c r="O145" s="2"/>
      <c r="P145" s="26"/>
      <c r="Q145" s="27"/>
      <c r="R145" s="30"/>
      <c r="S145" s="27"/>
      <c r="T145" s="30"/>
      <c r="U145" s="34"/>
      <c r="V145" s="34"/>
      <c r="X145" s="8"/>
      <c r="Y145" s="2"/>
      <c r="Z145" s="26"/>
      <c r="AA145" s="26"/>
      <c r="AB145" s="26"/>
      <c r="AC145" s="26"/>
      <c r="AD145" s="27"/>
      <c r="AE145" s="30"/>
      <c r="AF145" s="26"/>
      <c r="AG145" s="26"/>
      <c r="AH145" s="32"/>
      <c r="AJ145" s="8"/>
      <c r="AK145" s="2"/>
      <c r="AL145" s="26"/>
      <c r="AM145" s="26"/>
      <c r="AN145" s="26"/>
      <c r="AO145" s="27"/>
      <c r="AP145" s="30"/>
      <c r="AQ145" s="26"/>
      <c r="AR145" s="26"/>
      <c r="AS145" s="32"/>
      <c r="AT145" s="34"/>
    </row>
    <row r="146" spans="2:46" x14ac:dyDescent="0.3">
      <c r="B146" s="8"/>
      <c r="C146" s="2"/>
      <c r="D146" s="26"/>
      <c r="E146" s="26"/>
      <c r="F146" s="27"/>
      <c r="G146" s="26"/>
      <c r="H146" s="26"/>
      <c r="I146" s="27"/>
      <c r="J146" s="26"/>
      <c r="K146" s="26"/>
      <c r="L146" s="67"/>
      <c r="N146" s="8"/>
      <c r="O146" s="2"/>
      <c r="P146" s="26"/>
      <c r="Q146" s="27"/>
      <c r="R146" s="30"/>
      <c r="S146" s="27"/>
      <c r="T146" s="30"/>
      <c r="U146" s="34"/>
      <c r="V146" s="34"/>
      <c r="X146" s="8"/>
      <c r="Y146" s="2"/>
      <c r="Z146" s="26"/>
      <c r="AA146" s="26"/>
      <c r="AB146" s="26"/>
      <c r="AC146" s="26"/>
      <c r="AD146" s="27"/>
      <c r="AE146" s="30"/>
      <c r="AF146" s="26"/>
      <c r="AG146" s="26"/>
      <c r="AH146" s="32"/>
      <c r="AJ146" s="8"/>
      <c r="AK146" s="2"/>
      <c r="AL146" s="26"/>
      <c r="AM146" s="26"/>
      <c r="AN146" s="26"/>
      <c r="AO146" s="27"/>
      <c r="AP146" s="30"/>
      <c r="AQ146" s="26"/>
      <c r="AR146" s="26"/>
      <c r="AS146" s="32"/>
      <c r="AT146" s="34"/>
    </row>
    <row r="147" spans="2:46" x14ac:dyDescent="0.3">
      <c r="B147" s="8"/>
      <c r="C147" s="2"/>
      <c r="D147" s="26"/>
      <c r="E147" s="26"/>
      <c r="F147" s="27"/>
      <c r="G147" s="26"/>
      <c r="H147" s="26"/>
      <c r="I147" s="27"/>
      <c r="J147" s="26"/>
      <c r="K147" s="26"/>
      <c r="L147" s="67"/>
      <c r="N147" s="8"/>
      <c r="O147" s="2"/>
      <c r="P147" s="26"/>
      <c r="Q147" s="27"/>
      <c r="R147" s="30"/>
      <c r="S147" s="27"/>
      <c r="T147" s="30"/>
      <c r="U147" s="34"/>
      <c r="V147" s="34"/>
      <c r="X147" s="8"/>
      <c r="Y147" s="2"/>
      <c r="Z147" s="26"/>
      <c r="AA147" s="26"/>
      <c r="AB147" s="26"/>
      <c r="AC147" s="26"/>
      <c r="AD147" s="27"/>
      <c r="AE147" s="30"/>
      <c r="AF147" s="26"/>
      <c r="AG147" s="26"/>
      <c r="AH147" s="32"/>
      <c r="AJ147" s="8"/>
      <c r="AK147" s="2"/>
      <c r="AL147" s="26"/>
      <c r="AM147" s="26"/>
      <c r="AN147" s="26"/>
      <c r="AO147" s="27"/>
      <c r="AP147" s="30"/>
      <c r="AQ147" s="26"/>
      <c r="AR147" s="26"/>
      <c r="AS147" s="32"/>
      <c r="AT147" s="34"/>
    </row>
    <row r="148" spans="2:46" x14ac:dyDescent="0.3">
      <c r="B148" s="8"/>
      <c r="C148" s="2"/>
      <c r="D148" s="26"/>
      <c r="E148" s="26"/>
      <c r="F148" s="27"/>
      <c r="G148" s="26"/>
      <c r="H148" s="26"/>
      <c r="I148" s="27"/>
      <c r="J148" s="26"/>
      <c r="K148" s="26"/>
      <c r="L148" s="67"/>
      <c r="N148" s="8"/>
      <c r="O148" s="2"/>
      <c r="P148" s="26"/>
      <c r="Q148" s="27"/>
      <c r="R148" s="30"/>
      <c r="S148" s="27"/>
      <c r="T148" s="30"/>
      <c r="U148" s="34"/>
      <c r="V148" s="34"/>
      <c r="X148" s="8"/>
      <c r="Y148" s="2"/>
      <c r="Z148" s="26"/>
      <c r="AA148" s="26"/>
      <c r="AB148" s="26"/>
      <c r="AC148" s="26"/>
      <c r="AD148" s="27"/>
      <c r="AE148" s="30"/>
      <c r="AF148" s="26"/>
      <c r="AG148" s="26"/>
      <c r="AH148" s="32"/>
      <c r="AJ148" s="8"/>
      <c r="AK148" s="2"/>
      <c r="AL148" s="26"/>
      <c r="AM148" s="26"/>
      <c r="AN148" s="26"/>
      <c r="AO148" s="27"/>
      <c r="AP148" s="30"/>
      <c r="AQ148" s="26"/>
      <c r="AR148" s="26"/>
      <c r="AS148" s="32"/>
      <c r="AT148" s="34"/>
    </row>
    <row r="149" spans="2:46" x14ac:dyDescent="0.3">
      <c r="B149" s="8"/>
      <c r="C149" s="2"/>
      <c r="D149" s="26"/>
      <c r="E149" s="26"/>
      <c r="F149" s="27"/>
      <c r="G149" s="26"/>
      <c r="H149" s="26"/>
      <c r="I149" s="27"/>
      <c r="J149" s="26"/>
      <c r="K149" s="26"/>
      <c r="L149" s="67"/>
      <c r="N149" s="8"/>
      <c r="O149" s="2"/>
      <c r="P149" s="26"/>
      <c r="Q149" s="27"/>
      <c r="R149" s="30"/>
      <c r="S149" s="27"/>
      <c r="T149" s="30"/>
      <c r="U149" s="34"/>
      <c r="V149" s="34"/>
      <c r="X149" s="8"/>
      <c r="Y149" s="2"/>
      <c r="Z149" s="26"/>
      <c r="AA149" s="26"/>
      <c r="AB149" s="26"/>
      <c r="AC149" s="26"/>
      <c r="AD149" s="27"/>
      <c r="AE149" s="30"/>
      <c r="AF149" s="26"/>
      <c r="AG149" s="26"/>
      <c r="AH149" s="32"/>
      <c r="AJ149" s="8"/>
      <c r="AK149" s="2"/>
      <c r="AL149" s="26"/>
      <c r="AM149" s="26"/>
      <c r="AN149" s="26"/>
      <c r="AO149" s="27"/>
      <c r="AP149" s="30"/>
      <c r="AQ149" s="26"/>
      <c r="AR149" s="26"/>
      <c r="AS149" s="32"/>
      <c r="AT149" s="34"/>
    </row>
    <row r="150" spans="2:46" x14ac:dyDescent="0.3">
      <c r="B150" s="8"/>
      <c r="C150" s="2"/>
      <c r="D150" s="26"/>
      <c r="E150" s="26"/>
      <c r="F150" s="27"/>
      <c r="G150" s="26"/>
      <c r="H150" s="26"/>
      <c r="I150" s="27"/>
      <c r="J150" s="26"/>
      <c r="K150" s="26"/>
      <c r="L150" s="67"/>
      <c r="N150" s="8"/>
      <c r="O150" s="2"/>
      <c r="P150" s="26"/>
      <c r="Q150" s="27"/>
      <c r="R150" s="30"/>
      <c r="S150" s="27"/>
      <c r="T150" s="30"/>
      <c r="U150" s="34"/>
      <c r="V150" s="34"/>
      <c r="X150" s="8"/>
      <c r="Y150" s="2"/>
      <c r="Z150" s="26"/>
      <c r="AA150" s="26"/>
      <c r="AB150" s="26"/>
      <c r="AC150" s="26"/>
      <c r="AD150" s="27"/>
      <c r="AE150" s="30"/>
      <c r="AF150" s="26"/>
      <c r="AG150" s="26"/>
      <c r="AH150" s="32"/>
      <c r="AJ150" s="8"/>
      <c r="AK150" s="2"/>
      <c r="AL150" s="26"/>
      <c r="AM150" s="26"/>
      <c r="AN150" s="26"/>
      <c r="AO150" s="27"/>
      <c r="AP150" s="30"/>
      <c r="AQ150" s="26"/>
      <c r="AR150" s="26"/>
      <c r="AS150" s="32"/>
      <c r="AT150" s="34"/>
    </row>
    <row r="151" spans="2:46" x14ac:dyDescent="0.3">
      <c r="B151" s="8"/>
      <c r="C151" s="2"/>
      <c r="D151" s="26"/>
      <c r="E151" s="26"/>
      <c r="F151" s="27"/>
      <c r="G151" s="26"/>
      <c r="H151" s="26"/>
      <c r="I151" s="27"/>
      <c r="J151" s="26"/>
      <c r="K151" s="26"/>
      <c r="L151" s="67"/>
      <c r="N151" s="8"/>
      <c r="O151" s="2"/>
      <c r="P151" s="26"/>
      <c r="Q151" s="27"/>
      <c r="R151" s="30"/>
      <c r="S151" s="27"/>
      <c r="T151" s="30"/>
      <c r="U151" s="34"/>
      <c r="V151" s="34"/>
      <c r="X151" s="8"/>
      <c r="Y151" s="2"/>
      <c r="Z151" s="26"/>
      <c r="AA151" s="26"/>
      <c r="AB151" s="26"/>
      <c r="AC151" s="26"/>
      <c r="AD151" s="27"/>
      <c r="AE151" s="30"/>
      <c r="AF151" s="26"/>
      <c r="AG151" s="26"/>
      <c r="AH151" s="32"/>
      <c r="AJ151" s="8"/>
      <c r="AK151" s="2"/>
      <c r="AL151" s="26"/>
      <c r="AM151" s="26"/>
      <c r="AN151" s="26"/>
      <c r="AO151" s="27"/>
      <c r="AP151" s="30"/>
      <c r="AQ151" s="26"/>
      <c r="AR151" s="26"/>
      <c r="AS151" s="32"/>
      <c r="AT151" s="34"/>
    </row>
    <row r="152" spans="2:46" x14ac:dyDescent="0.3">
      <c r="B152" s="8"/>
      <c r="C152" s="2"/>
      <c r="D152" s="26"/>
      <c r="E152" s="26"/>
      <c r="F152" s="27"/>
      <c r="G152" s="26"/>
      <c r="H152" s="26"/>
      <c r="I152" s="27"/>
      <c r="J152" s="26"/>
      <c r="K152" s="26"/>
      <c r="L152" s="67"/>
      <c r="N152" s="8"/>
      <c r="O152" s="2"/>
      <c r="P152" s="26"/>
      <c r="Q152" s="27"/>
      <c r="R152" s="30"/>
      <c r="S152" s="27"/>
      <c r="T152" s="30"/>
      <c r="U152" s="34"/>
      <c r="V152" s="34"/>
      <c r="X152" s="8"/>
      <c r="Y152" s="2"/>
      <c r="Z152" s="26"/>
      <c r="AA152" s="26"/>
      <c r="AB152" s="26"/>
      <c r="AC152" s="26"/>
      <c r="AD152" s="27"/>
      <c r="AE152" s="30"/>
      <c r="AF152" s="26"/>
      <c r="AG152" s="26"/>
      <c r="AH152" s="32"/>
      <c r="AJ152" s="8"/>
      <c r="AK152" s="2"/>
      <c r="AL152" s="26"/>
      <c r="AM152" s="26"/>
      <c r="AN152" s="26"/>
      <c r="AO152" s="27"/>
      <c r="AP152" s="30"/>
      <c r="AQ152" s="26"/>
      <c r="AR152" s="26"/>
      <c r="AS152" s="32"/>
      <c r="AT152" s="34"/>
    </row>
    <row r="153" spans="2:46" x14ac:dyDescent="0.3">
      <c r="B153" s="8"/>
      <c r="C153" s="2"/>
      <c r="D153" s="26"/>
      <c r="E153" s="26"/>
      <c r="F153" s="27"/>
      <c r="G153" s="26"/>
      <c r="H153" s="26"/>
      <c r="I153" s="27"/>
      <c r="J153" s="26"/>
      <c r="K153" s="26"/>
      <c r="L153" s="67"/>
      <c r="N153" s="8"/>
      <c r="O153" s="2"/>
      <c r="P153" s="26"/>
      <c r="Q153" s="27"/>
      <c r="R153" s="30"/>
      <c r="S153" s="27"/>
      <c r="T153" s="30"/>
      <c r="U153" s="34"/>
      <c r="V153" s="34"/>
      <c r="X153" s="8"/>
      <c r="Y153" s="2"/>
      <c r="Z153" s="26"/>
      <c r="AA153" s="26"/>
      <c r="AB153" s="26"/>
      <c r="AC153" s="26"/>
      <c r="AD153" s="27"/>
      <c r="AE153" s="30"/>
      <c r="AF153" s="26"/>
      <c r="AG153" s="26"/>
      <c r="AH153" s="32"/>
      <c r="AJ153" s="8"/>
      <c r="AK153" s="2"/>
      <c r="AL153" s="26"/>
      <c r="AM153" s="26"/>
      <c r="AN153" s="26"/>
      <c r="AO153" s="27"/>
      <c r="AP153" s="30"/>
      <c r="AQ153" s="26"/>
      <c r="AR153" s="26"/>
      <c r="AS153" s="32"/>
      <c r="AT153" s="34"/>
    </row>
    <row r="154" spans="2:46" x14ac:dyDescent="0.3">
      <c r="B154" s="8"/>
      <c r="C154" s="2"/>
      <c r="D154" s="26"/>
      <c r="E154" s="26"/>
      <c r="F154" s="27"/>
      <c r="G154" s="26"/>
      <c r="H154" s="26"/>
      <c r="I154" s="27"/>
      <c r="J154" s="26"/>
      <c r="K154" s="26"/>
      <c r="L154" s="67"/>
      <c r="N154" s="8"/>
      <c r="O154" s="2"/>
      <c r="P154" s="26"/>
      <c r="Q154" s="27"/>
      <c r="R154" s="30"/>
      <c r="S154" s="27"/>
      <c r="T154" s="30"/>
      <c r="U154" s="34"/>
      <c r="V154" s="34"/>
      <c r="X154" s="8"/>
      <c r="Y154" s="2"/>
      <c r="Z154" s="26"/>
      <c r="AA154" s="26"/>
      <c r="AB154" s="26"/>
      <c r="AC154" s="26"/>
      <c r="AD154" s="27"/>
      <c r="AE154" s="30"/>
      <c r="AF154" s="26"/>
      <c r="AG154" s="26"/>
      <c r="AH154" s="32"/>
      <c r="AJ154" s="8"/>
      <c r="AK154" s="2"/>
      <c r="AL154" s="26"/>
      <c r="AM154" s="26"/>
      <c r="AN154" s="26"/>
      <c r="AO154" s="27"/>
      <c r="AP154" s="30"/>
      <c r="AQ154" s="26"/>
      <c r="AR154" s="26"/>
      <c r="AS154" s="32"/>
      <c r="AT154" s="34"/>
    </row>
    <row r="155" spans="2:46" x14ac:dyDescent="0.3">
      <c r="B155" s="8"/>
      <c r="C155" s="2"/>
      <c r="D155" s="26"/>
      <c r="E155" s="26"/>
      <c r="F155" s="27"/>
      <c r="G155" s="26"/>
      <c r="H155" s="26"/>
      <c r="I155" s="27"/>
      <c r="J155" s="26"/>
      <c r="K155" s="26"/>
      <c r="L155" s="67"/>
      <c r="N155" s="8"/>
      <c r="O155" s="2"/>
      <c r="P155" s="26"/>
      <c r="Q155" s="27"/>
      <c r="R155" s="30"/>
      <c r="S155" s="27"/>
      <c r="T155" s="30"/>
      <c r="U155" s="34"/>
      <c r="V155" s="34"/>
      <c r="X155" s="8"/>
      <c r="Y155" s="2"/>
      <c r="Z155" s="26"/>
      <c r="AA155" s="26"/>
      <c r="AB155" s="26"/>
      <c r="AC155" s="26"/>
      <c r="AD155" s="27"/>
      <c r="AE155" s="30"/>
      <c r="AF155" s="26"/>
      <c r="AG155" s="26"/>
      <c r="AH155" s="32"/>
      <c r="AJ155" s="8"/>
      <c r="AK155" s="2"/>
      <c r="AL155" s="26"/>
      <c r="AM155" s="26"/>
      <c r="AN155" s="26"/>
      <c r="AO155" s="27"/>
      <c r="AP155" s="30"/>
      <c r="AQ155" s="26"/>
      <c r="AR155" s="26"/>
      <c r="AS155" s="32"/>
      <c r="AT155" s="34"/>
    </row>
    <row r="156" spans="2:46" x14ac:dyDescent="0.3">
      <c r="B156" s="8"/>
      <c r="C156" s="2"/>
      <c r="D156" s="26"/>
      <c r="E156" s="26"/>
      <c r="F156" s="27"/>
      <c r="G156" s="26"/>
      <c r="H156" s="26"/>
      <c r="I156" s="27"/>
      <c r="J156" s="26"/>
      <c r="K156" s="26"/>
      <c r="L156" s="67"/>
      <c r="N156" s="8"/>
      <c r="O156" s="2"/>
      <c r="P156" s="26"/>
      <c r="Q156" s="27"/>
      <c r="R156" s="30"/>
      <c r="S156" s="27"/>
      <c r="T156" s="30"/>
      <c r="U156" s="34"/>
      <c r="V156" s="34"/>
      <c r="X156" s="8"/>
      <c r="Y156" s="2"/>
      <c r="Z156" s="26"/>
      <c r="AA156" s="26"/>
      <c r="AB156" s="26"/>
      <c r="AC156" s="26"/>
      <c r="AD156" s="27"/>
      <c r="AE156" s="30"/>
      <c r="AF156" s="26"/>
      <c r="AG156" s="26"/>
      <c r="AH156" s="32"/>
      <c r="AJ156" s="8"/>
      <c r="AK156" s="2"/>
      <c r="AL156" s="26"/>
      <c r="AM156" s="26"/>
      <c r="AN156" s="26"/>
      <c r="AO156" s="27"/>
      <c r="AP156" s="30"/>
      <c r="AQ156" s="26"/>
      <c r="AR156" s="26"/>
      <c r="AS156" s="32"/>
      <c r="AT156" s="34"/>
    </row>
    <row r="157" spans="2:46" x14ac:dyDescent="0.3">
      <c r="B157" s="8"/>
      <c r="C157" s="2"/>
      <c r="D157" s="26"/>
      <c r="E157" s="26"/>
      <c r="F157" s="27"/>
      <c r="G157" s="26"/>
      <c r="H157" s="26"/>
      <c r="I157" s="27"/>
      <c r="J157" s="26"/>
      <c r="K157" s="26"/>
      <c r="L157" s="67"/>
      <c r="N157" s="8"/>
      <c r="O157" s="2"/>
      <c r="P157" s="26"/>
      <c r="Q157" s="27"/>
      <c r="R157" s="30"/>
      <c r="S157" s="27"/>
      <c r="T157" s="30"/>
      <c r="U157" s="34"/>
      <c r="V157" s="34"/>
      <c r="X157" s="8"/>
      <c r="Y157" s="2"/>
      <c r="Z157" s="26"/>
      <c r="AA157" s="26"/>
      <c r="AB157" s="26"/>
      <c r="AC157" s="26"/>
      <c r="AD157" s="27"/>
      <c r="AE157" s="30"/>
      <c r="AF157" s="26"/>
      <c r="AG157" s="26"/>
      <c r="AH157" s="32"/>
      <c r="AJ157" s="8"/>
      <c r="AK157" s="2"/>
      <c r="AL157" s="26"/>
      <c r="AM157" s="26"/>
      <c r="AN157" s="26"/>
      <c r="AO157" s="27"/>
      <c r="AP157" s="30"/>
      <c r="AQ157" s="26"/>
      <c r="AR157" s="26"/>
      <c r="AS157" s="32"/>
      <c r="AT157" s="34"/>
    </row>
    <row r="158" spans="2:46" x14ac:dyDescent="0.3">
      <c r="B158" s="8"/>
      <c r="C158" s="2"/>
      <c r="D158" s="26"/>
      <c r="E158" s="26"/>
      <c r="F158" s="27"/>
      <c r="G158" s="26"/>
      <c r="H158" s="26"/>
      <c r="I158" s="27"/>
      <c r="J158" s="26"/>
      <c r="K158" s="26"/>
      <c r="L158" s="67"/>
      <c r="N158" s="8"/>
      <c r="O158" s="2"/>
      <c r="P158" s="26"/>
      <c r="Q158" s="27"/>
      <c r="R158" s="30"/>
      <c r="S158" s="27"/>
      <c r="T158" s="30"/>
      <c r="U158" s="34"/>
      <c r="V158" s="34"/>
      <c r="X158" s="8"/>
      <c r="Y158" s="2"/>
      <c r="Z158" s="26"/>
      <c r="AA158" s="26"/>
      <c r="AB158" s="26"/>
      <c r="AC158" s="26"/>
      <c r="AD158" s="27"/>
      <c r="AE158" s="30"/>
      <c r="AF158" s="26"/>
      <c r="AG158" s="26"/>
      <c r="AH158" s="32"/>
      <c r="AJ158" s="8"/>
      <c r="AK158" s="2"/>
      <c r="AL158" s="26"/>
      <c r="AM158" s="26"/>
      <c r="AN158" s="26"/>
      <c r="AO158" s="27"/>
      <c r="AP158" s="30"/>
      <c r="AQ158" s="26"/>
      <c r="AR158" s="26"/>
      <c r="AS158" s="32"/>
      <c r="AT158" s="34"/>
    </row>
    <row r="159" spans="2:46" x14ac:dyDescent="0.3">
      <c r="B159" s="8"/>
      <c r="C159" s="2"/>
      <c r="D159" s="26"/>
      <c r="E159" s="26"/>
      <c r="F159" s="27"/>
      <c r="G159" s="26"/>
      <c r="H159" s="26"/>
      <c r="I159" s="27"/>
      <c r="J159" s="26"/>
      <c r="K159" s="26"/>
      <c r="L159" s="67"/>
      <c r="N159" s="8"/>
      <c r="O159" s="2"/>
      <c r="P159" s="26"/>
      <c r="Q159" s="27"/>
      <c r="R159" s="30"/>
      <c r="S159" s="27"/>
      <c r="T159" s="30"/>
      <c r="U159" s="34"/>
      <c r="V159" s="34"/>
      <c r="X159" s="8"/>
      <c r="Y159" s="2"/>
      <c r="Z159" s="26"/>
      <c r="AA159" s="26"/>
      <c r="AB159" s="26"/>
      <c r="AC159" s="26"/>
      <c r="AD159" s="27"/>
      <c r="AE159" s="30"/>
      <c r="AF159" s="26"/>
      <c r="AG159" s="26"/>
      <c r="AH159" s="32"/>
      <c r="AJ159" s="8"/>
      <c r="AK159" s="2"/>
      <c r="AL159" s="26"/>
      <c r="AM159" s="26"/>
      <c r="AN159" s="26"/>
      <c r="AO159" s="27"/>
      <c r="AP159" s="30"/>
      <c r="AQ159" s="26"/>
      <c r="AR159" s="26"/>
      <c r="AS159" s="32"/>
      <c r="AT159" s="34"/>
    </row>
    <row r="160" spans="2:46" x14ac:dyDescent="0.3">
      <c r="B160" s="8"/>
      <c r="C160" s="2"/>
      <c r="D160" s="26"/>
      <c r="E160" s="26"/>
      <c r="F160" s="27"/>
      <c r="G160" s="26"/>
      <c r="H160" s="26"/>
      <c r="I160" s="27"/>
      <c r="J160" s="26"/>
      <c r="K160" s="26"/>
      <c r="L160" s="67"/>
      <c r="N160" s="8"/>
      <c r="O160" s="2"/>
      <c r="P160" s="26"/>
      <c r="Q160" s="27"/>
      <c r="R160" s="30"/>
      <c r="S160" s="27"/>
      <c r="T160" s="30"/>
      <c r="U160" s="34"/>
      <c r="V160" s="34"/>
      <c r="X160" s="8"/>
      <c r="Y160" s="2"/>
      <c r="Z160" s="26"/>
      <c r="AA160" s="26"/>
      <c r="AB160" s="26"/>
      <c r="AC160" s="26"/>
      <c r="AD160" s="27"/>
      <c r="AE160" s="30"/>
      <c r="AF160" s="26"/>
      <c r="AG160" s="26"/>
      <c r="AH160" s="32"/>
      <c r="AJ160" s="8"/>
      <c r="AK160" s="2"/>
      <c r="AL160" s="26"/>
      <c r="AM160" s="26"/>
      <c r="AN160" s="26"/>
      <c r="AO160" s="27"/>
      <c r="AP160" s="30"/>
      <c r="AQ160" s="26"/>
      <c r="AR160" s="26"/>
      <c r="AS160" s="32"/>
      <c r="AT160" s="34"/>
    </row>
    <row r="161" spans="2:46" x14ac:dyDescent="0.3">
      <c r="B161" s="8"/>
      <c r="C161" s="2"/>
      <c r="D161" s="26"/>
      <c r="E161" s="26"/>
      <c r="F161" s="27"/>
      <c r="G161" s="26"/>
      <c r="H161" s="26"/>
      <c r="I161" s="27"/>
      <c r="J161" s="26"/>
      <c r="K161" s="26"/>
      <c r="L161" s="67"/>
      <c r="N161" s="8"/>
      <c r="O161" s="2"/>
      <c r="P161" s="26"/>
      <c r="Q161" s="27"/>
      <c r="R161" s="30"/>
      <c r="S161" s="27"/>
      <c r="T161" s="30"/>
      <c r="U161" s="34"/>
      <c r="V161" s="34"/>
      <c r="X161" s="8"/>
      <c r="Y161" s="2"/>
      <c r="Z161" s="26"/>
      <c r="AA161" s="26"/>
      <c r="AB161" s="26"/>
      <c r="AC161" s="26"/>
      <c r="AD161" s="27"/>
      <c r="AE161" s="30"/>
      <c r="AF161" s="26"/>
      <c r="AG161" s="26"/>
      <c r="AH161" s="32"/>
      <c r="AJ161" s="8"/>
      <c r="AK161" s="2"/>
      <c r="AL161" s="26"/>
      <c r="AM161" s="26"/>
      <c r="AN161" s="26"/>
      <c r="AO161" s="27"/>
      <c r="AP161" s="30"/>
      <c r="AQ161" s="26"/>
      <c r="AR161" s="26"/>
      <c r="AS161" s="32"/>
      <c r="AT161" s="34"/>
    </row>
    <row r="162" spans="2:46" x14ac:dyDescent="0.3">
      <c r="B162" s="8"/>
      <c r="C162" s="2"/>
      <c r="D162" s="26"/>
      <c r="E162" s="26"/>
      <c r="F162" s="27"/>
      <c r="G162" s="26"/>
      <c r="H162" s="26"/>
      <c r="I162" s="27"/>
      <c r="J162" s="26"/>
      <c r="K162" s="26"/>
      <c r="L162" s="67"/>
      <c r="N162" s="8"/>
      <c r="O162" s="2"/>
      <c r="P162" s="26"/>
      <c r="Q162" s="27"/>
      <c r="R162" s="30"/>
      <c r="S162" s="27"/>
      <c r="T162" s="30"/>
      <c r="U162" s="34"/>
      <c r="V162" s="34"/>
      <c r="X162" s="8"/>
      <c r="Y162" s="2"/>
      <c r="Z162" s="26"/>
      <c r="AA162" s="26"/>
      <c r="AB162" s="26"/>
      <c r="AC162" s="26"/>
      <c r="AD162" s="27"/>
      <c r="AE162" s="30"/>
      <c r="AF162" s="26"/>
      <c r="AG162" s="26"/>
      <c r="AH162" s="32"/>
      <c r="AJ162" s="8"/>
      <c r="AK162" s="2"/>
      <c r="AL162" s="26"/>
      <c r="AM162" s="26"/>
      <c r="AN162" s="26"/>
      <c r="AO162" s="27"/>
      <c r="AP162" s="30"/>
      <c r="AQ162" s="26"/>
      <c r="AR162" s="26"/>
      <c r="AS162" s="32"/>
      <c r="AT162" s="34"/>
    </row>
    <row r="163" spans="2:46" x14ac:dyDescent="0.3">
      <c r="B163" s="8"/>
      <c r="C163" s="2"/>
      <c r="D163" s="26"/>
      <c r="E163" s="26"/>
      <c r="F163" s="27"/>
      <c r="G163" s="26"/>
      <c r="H163" s="26"/>
      <c r="I163" s="27"/>
      <c r="J163" s="26"/>
      <c r="K163" s="26"/>
      <c r="L163" s="67"/>
      <c r="N163" s="8"/>
      <c r="O163" s="2"/>
      <c r="P163" s="26"/>
      <c r="Q163" s="27"/>
      <c r="R163" s="30"/>
      <c r="S163" s="27"/>
      <c r="T163" s="30"/>
      <c r="U163" s="34"/>
      <c r="V163" s="34"/>
      <c r="X163" s="8"/>
      <c r="Y163" s="2"/>
      <c r="Z163" s="26"/>
      <c r="AA163" s="26"/>
      <c r="AB163" s="26"/>
      <c r="AC163" s="26"/>
      <c r="AD163" s="27"/>
      <c r="AE163" s="30"/>
      <c r="AF163" s="26"/>
      <c r="AG163" s="26"/>
      <c r="AH163" s="32"/>
      <c r="AJ163" s="8"/>
      <c r="AK163" s="2"/>
      <c r="AL163" s="26"/>
      <c r="AM163" s="26"/>
      <c r="AN163" s="26"/>
      <c r="AO163" s="27"/>
      <c r="AP163" s="30"/>
      <c r="AQ163" s="26"/>
      <c r="AR163" s="26"/>
      <c r="AS163" s="32"/>
      <c r="AT163" s="34"/>
    </row>
    <row r="164" spans="2:46" x14ac:dyDescent="0.3">
      <c r="B164" s="8"/>
      <c r="C164" s="2"/>
      <c r="D164" s="26"/>
      <c r="E164" s="26"/>
      <c r="F164" s="27"/>
      <c r="G164" s="26"/>
      <c r="H164" s="26"/>
      <c r="I164" s="27"/>
      <c r="J164" s="26"/>
      <c r="K164" s="26"/>
      <c r="L164" s="67"/>
      <c r="N164" s="8"/>
      <c r="O164" s="2"/>
      <c r="P164" s="26"/>
      <c r="Q164" s="27"/>
      <c r="R164" s="30"/>
      <c r="S164" s="27"/>
      <c r="T164" s="30"/>
      <c r="U164" s="34"/>
      <c r="V164" s="34"/>
      <c r="X164" s="8"/>
      <c r="Y164" s="2"/>
      <c r="Z164" s="26"/>
      <c r="AA164" s="26"/>
      <c r="AB164" s="26"/>
      <c r="AC164" s="26"/>
      <c r="AD164" s="27"/>
      <c r="AE164" s="30"/>
      <c r="AF164" s="26"/>
      <c r="AG164" s="26"/>
      <c r="AH164" s="32"/>
      <c r="AJ164" s="8"/>
      <c r="AK164" s="2"/>
      <c r="AL164" s="26"/>
      <c r="AM164" s="26"/>
      <c r="AN164" s="26"/>
      <c r="AO164" s="27"/>
      <c r="AP164" s="30"/>
      <c r="AQ164" s="26"/>
      <c r="AR164" s="26"/>
      <c r="AS164" s="32"/>
      <c r="AT164" s="34"/>
    </row>
    <row r="165" spans="2:46" x14ac:dyDescent="0.3">
      <c r="B165" s="8"/>
      <c r="C165" s="2"/>
      <c r="D165" s="26"/>
      <c r="E165" s="26"/>
      <c r="F165" s="27"/>
      <c r="G165" s="26"/>
      <c r="H165" s="26"/>
      <c r="I165" s="27"/>
      <c r="J165" s="26"/>
      <c r="K165" s="26"/>
      <c r="L165" s="67"/>
      <c r="N165" s="8"/>
      <c r="O165" s="2"/>
      <c r="P165" s="26"/>
      <c r="Q165" s="27"/>
      <c r="R165" s="30"/>
      <c r="S165" s="27"/>
      <c r="T165" s="30"/>
      <c r="U165" s="34"/>
      <c r="V165" s="34"/>
      <c r="X165" s="8"/>
      <c r="Y165" s="2"/>
      <c r="Z165" s="26"/>
      <c r="AA165" s="26"/>
      <c r="AB165" s="26"/>
      <c r="AC165" s="26"/>
      <c r="AD165" s="27"/>
      <c r="AE165" s="30"/>
      <c r="AF165" s="26"/>
      <c r="AG165" s="26"/>
      <c r="AH165" s="32"/>
      <c r="AJ165" s="8"/>
      <c r="AK165" s="2"/>
      <c r="AL165" s="26"/>
      <c r="AM165" s="26"/>
      <c r="AN165" s="26"/>
      <c r="AO165" s="27"/>
      <c r="AP165" s="30"/>
      <c r="AQ165" s="26"/>
      <c r="AR165" s="26"/>
      <c r="AS165" s="32"/>
      <c r="AT165" s="34"/>
    </row>
    <row r="166" spans="2:46" x14ac:dyDescent="0.3">
      <c r="B166" s="8"/>
      <c r="C166" s="2"/>
      <c r="D166" s="26"/>
      <c r="E166" s="26"/>
      <c r="F166" s="28"/>
      <c r="G166" s="29"/>
      <c r="H166" s="29"/>
      <c r="I166" s="28"/>
      <c r="J166" s="29"/>
      <c r="K166" s="29"/>
      <c r="L166" s="68"/>
      <c r="N166" s="8"/>
      <c r="O166" s="2"/>
      <c r="P166" s="26"/>
      <c r="Q166" s="28"/>
      <c r="R166" s="31"/>
      <c r="S166" s="28"/>
      <c r="T166" s="31"/>
      <c r="U166" s="34"/>
      <c r="V166" s="34"/>
      <c r="X166" s="8"/>
      <c r="Y166" s="2"/>
      <c r="Z166" s="26"/>
      <c r="AA166" s="26"/>
      <c r="AB166" s="26"/>
      <c r="AC166" s="26"/>
      <c r="AD166" s="28"/>
      <c r="AE166" s="31"/>
      <c r="AF166" s="26"/>
      <c r="AG166" s="26"/>
      <c r="AH166" s="33"/>
      <c r="AJ166" s="8"/>
      <c r="AK166" s="2"/>
      <c r="AL166" s="26"/>
      <c r="AM166" s="26"/>
      <c r="AN166" s="26"/>
      <c r="AO166" s="28"/>
      <c r="AP166" s="31"/>
      <c r="AQ166" s="26"/>
      <c r="AR166" s="26"/>
      <c r="AS166" s="32"/>
      <c r="AT166" s="34"/>
    </row>
    <row r="167" spans="2:46" x14ac:dyDescent="0.3">
      <c r="B167" s="22"/>
      <c r="C167" s="22"/>
      <c r="D167" s="22"/>
      <c r="E167" s="22"/>
      <c r="F167" s="22"/>
      <c r="G167" s="22"/>
      <c r="H167" s="22"/>
      <c r="I167" s="22"/>
      <c r="J167" s="22"/>
      <c r="K167" s="22"/>
      <c r="L167" s="22"/>
      <c r="N167" s="22"/>
      <c r="O167" s="22"/>
      <c r="P167" s="22"/>
      <c r="Q167" s="22"/>
      <c r="R167" s="22"/>
      <c r="S167" s="22"/>
      <c r="T167" s="22"/>
      <c r="U167" s="22"/>
      <c r="V167" s="22"/>
      <c r="X167" s="22"/>
      <c r="Y167" s="22"/>
      <c r="Z167" s="22"/>
      <c r="AA167" s="22"/>
      <c r="AB167" s="22"/>
      <c r="AC167" s="22"/>
      <c r="AD167" s="22"/>
      <c r="AE167" s="22"/>
      <c r="AF167" s="22"/>
      <c r="AG167" s="22"/>
      <c r="AH167" s="22"/>
      <c r="AJ167" s="22"/>
      <c r="AK167" s="22"/>
      <c r="AL167" s="22"/>
      <c r="AM167" s="22"/>
      <c r="AN167" s="22"/>
      <c r="AO167" s="22"/>
      <c r="AP167" s="22"/>
      <c r="AQ167" s="22"/>
      <c r="AR167" s="22"/>
      <c r="AS167" s="22"/>
      <c r="AT167" s="22"/>
    </row>
  </sheetData>
  <mergeCells count="11">
    <mergeCell ref="AF4:AG4"/>
    <mergeCell ref="AO4:AP4"/>
    <mergeCell ref="AQ4:AR4"/>
    <mergeCell ref="AS4:AT4"/>
    <mergeCell ref="D4:E4"/>
    <mergeCell ref="F4:H4"/>
    <mergeCell ref="I4:K4"/>
    <mergeCell ref="Q4:R4"/>
    <mergeCell ref="AD4:AE4"/>
    <mergeCell ref="S4:T4"/>
    <mergeCell ref="U4:V4"/>
  </mergeCells>
  <conditionalFormatting sqref="D13:K13 P13:R13 Z13:AG13 AL13:AR13">
    <cfRule type="cellIs" dxfId="98" priority="13" operator="greaterThan">
      <formula>1</formula>
    </cfRule>
  </conditionalFormatting>
  <conditionalFormatting sqref="D17:K166 Z17:AG166 AL17:AR166">
    <cfRule type="cellIs" dxfId="97" priority="14" operator="lessThan">
      <formula>0</formula>
    </cfRule>
    <cfRule type="cellIs" dxfId="96" priority="15" operator="greaterThan">
      <formula>0</formula>
    </cfRule>
  </conditionalFormatting>
  <conditionalFormatting sqref="U17:V166">
    <cfRule type="cellIs" dxfId="95" priority="11" operator="greaterThan">
      <formula>1</formula>
    </cfRule>
  </conditionalFormatting>
  <conditionalFormatting sqref="AH17:AH166">
    <cfRule type="cellIs" dxfId="94" priority="10" operator="greaterThan">
      <formula>1</formula>
    </cfRule>
  </conditionalFormatting>
  <conditionalFormatting sqref="AS17:AT166">
    <cfRule type="cellIs" dxfId="93" priority="8" operator="greaterThan">
      <formula>1</formula>
    </cfRule>
  </conditionalFormatting>
  <conditionalFormatting sqref="BA7:BA24 P17:T166">
    <cfRule type="cellIs" dxfId="90" priority="1" operator="lessThan">
      <formula>0</formula>
    </cfRule>
    <cfRule type="cellIs" dxfId="89" priority="2" operator="greaterThan">
      <formula>0</formula>
    </cfRule>
  </conditionalFormatting>
  <conditionalFormatting sqref="BB7:BB24 L17:L166">
    <cfRule type="cellIs" dxfId="88" priority="7" operator="greaterThan">
      <formula>1</formula>
    </cfRule>
  </conditionalFormatting>
  <dataValidations count="4">
    <dataValidation type="whole" errorStyle="information" allowBlank="1" showInputMessage="1" showErrorMessage="1" errorTitle="Must select 1 or 2" error="1 = Included in closure_x000a_2 = Excluded" sqref="V17:V166 AH17:AH166 L17:L166 AS17:AT166" xr:uid="{D5FE2E4D-F412-4730-B61A-59B15C891ED7}">
      <formula1>1</formula1>
      <formula2>2</formula2>
    </dataValidation>
    <dataValidation type="whole" errorStyle="information" allowBlank="1" showInputMessage="1" showErrorMessage="1" errorTitle="Must select 1 or 2" error="1 = Included in shock_x000a_2 = Excluded" sqref="U17:U166" xr:uid="{8C9961CA-0262-47A5-8772-D35FBD2FA30E}">
      <formula1>1</formula1>
      <formula2>2</formula2>
    </dataValidation>
    <dataValidation type="decimal" errorStyle="information" allowBlank="1" showInputMessage="1" showErrorMessage="1" errorTitle="Must select a number" error="Cannot choose letters or special characters." sqref="D17:K166 BA7:BA24 P17:T166 Z17:AG166 AO17:AR166 AL17:AN37" xr:uid="{6A2BBC88-6D88-4078-8052-196624DA3F7B}">
      <formula1>-1000000000</formula1>
      <formula2>1000000000</formula2>
    </dataValidation>
    <dataValidation type="whole" errorStyle="information" allowBlank="1" showInputMessage="1" showErrorMessage="1" errorTitle="Must select 1 or 2" error="1 = Multiplicative_x000a_2 = Additive" sqref="AL13:AR13 Z13:AG13 P13:R13 D13:K13 BB7:BB24" xr:uid="{9DB5C63D-E6A1-4E2F-8DCC-5FF2C426D413}">
      <formula1>1</formula1>
      <formula2>2</formula2>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ellIs" priority="17" operator="equal" id="{30686F24-7B8F-4CCF-9871-AF7FA094154F}">
            <xm:f>Notes!$L$4</xm:f>
            <x14:dxf>
              <font>
                <b val="0"/>
                <i val="0"/>
                <strike val="0"/>
                <color theme="0" tint="-0.34998626667073579"/>
              </font>
              <fill>
                <patternFill patternType="none">
                  <bgColor auto="1"/>
                </patternFill>
              </fill>
            </x14:dxf>
          </x14:cfRule>
          <xm:sqref>AY7:AY24 D8:K8 P8:T8 Z8:AG8 AL8:AR8</xm:sqref>
        </x14:conditionalFormatting>
        <x14:conditionalFormatting xmlns:xm="http://schemas.microsoft.com/office/excel/2006/main">
          <x14:cfRule type="cellIs" priority="16" operator="equal" id="{2F8DDBEF-6523-4BEE-928D-A374E3149780}">
            <xm:f>Notes!$L$5</xm:f>
            <x14:dxf>
              <font>
                <b val="0"/>
                <i val="0"/>
                <strike val="0"/>
                <color theme="0" tint="-0.34998626667073579"/>
              </font>
              <fill>
                <patternFill patternType="none">
                  <bgColor auto="1"/>
                </patternFill>
              </fill>
            </x14:dxf>
          </x14:cfRule>
          <xm:sqref>AZ7:AZ24 D9:K9 P9:T9 Z9:AG9 AL9:AR9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Out of range" error="Time periods must fall within the range specified on the &quot;Base&quot; worksheet." xr:uid="{8947708A-898E-455C-A9EC-7055039CFFEA}">
          <x14:formula1>
            <xm:f>Main!$H$5:$H$58</xm:f>
          </x14:formula1>
          <xm:sqref>D8:K9 AY7:AZ24 AL8:AR9 P8:T9</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1DAC0-AC74-4A52-B9DE-82C7F474C543}">
  <sheetPr>
    <tabColor theme="8" tint="-0.499984740745262"/>
  </sheetPr>
  <dimension ref="A1:BE167"/>
  <sheetViews>
    <sheetView zoomScale="55" zoomScaleNormal="55" workbookViewId="0">
      <pane ySplit="16" topLeftCell="A17" activePane="bottomLeft" state="frozen"/>
      <selection activeCell="V17" sqref="V17"/>
      <selection pane="bottomLeft" activeCell="V17" sqref="V17"/>
    </sheetView>
  </sheetViews>
  <sheetFormatPr defaultColWidth="0" defaultRowHeight="14.4" zeroHeight="1" x14ac:dyDescent="0.3"/>
  <cols>
    <col min="1" max="2" width="2.44140625" customWidth="1"/>
    <col min="3" max="12" width="9.109375" customWidth="1"/>
    <col min="13" max="14" width="2.44140625" customWidth="1"/>
    <col min="15" max="22" width="9.109375" customWidth="1"/>
    <col min="23" max="24" width="2.44140625" customWidth="1"/>
    <col min="25" max="34" width="9.109375" customWidth="1"/>
    <col min="35" max="36" width="2.44140625" customWidth="1"/>
    <col min="37" max="37" width="11.77734375" customWidth="1"/>
    <col min="38" max="46" width="9.109375" customWidth="1"/>
    <col min="47" max="48" width="2.44140625" customWidth="1"/>
    <col min="49" max="49" width="18.88671875" bestFit="1" customWidth="1"/>
    <col min="50" max="54" width="9.109375" customWidth="1"/>
    <col min="55" max="55" width="2.44140625" customWidth="1"/>
    <col min="56" max="57" width="0" hidden="1" customWidth="1"/>
    <col min="58" max="16384" width="9.109375" hidden="1"/>
  </cols>
  <sheetData>
    <row r="1" spans="1:55" ht="18" x14ac:dyDescent="0.35">
      <c r="A1" s="6" t="str">
        <f>"Simulation "&amp;AC1&amp;IF(AD1&lt;&gt;""," : "&amp;AD1,"")</f>
        <v>Simulation sim8</v>
      </c>
      <c r="B1" s="6"/>
      <c r="C1" s="4"/>
      <c r="D1" s="4"/>
      <c r="E1" s="4"/>
      <c r="F1" s="4"/>
      <c r="G1" s="4"/>
      <c r="H1" s="4"/>
      <c r="I1" s="4"/>
      <c r="J1" s="4"/>
      <c r="K1" s="4"/>
      <c r="L1" s="4"/>
      <c r="M1" s="4"/>
      <c r="N1" s="4"/>
      <c r="O1" s="4"/>
      <c r="P1" s="4"/>
      <c r="Q1" s="4"/>
      <c r="R1" s="4"/>
      <c r="S1" s="4"/>
      <c r="T1" s="4"/>
      <c r="U1" s="4"/>
      <c r="V1" s="4"/>
      <c r="W1" s="4"/>
      <c r="X1" s="4"/>
      <c r="Y1" s="4"/>
      <c r="Z1" s="4"/>
      <c r="AA1" s="4"/>
      <c r="AB1" s="4"/>
      <c r="AC1" s="4" t="str">
        <f>Main!C14</f>
        <v>sim8</v>
      </c>
      <c r="AD1" s="4" t="str">
        <f>IF(Main!E14&lt;&gt;"",Main!E14,"")</f>
        <v/>
      </c>
      <c r="AE1" s="4"/>
      <c r="AF1" s="4"/>
      <c r="AG1" s="4"/>
      <c r="AH1" s="4"/>
      <c r="AI1" s="4"/>
      <c r="AJ1" s="4"/>
      <c r="AK1" s="4"/>
      <c r="AL1" s="4"/>
      <c r="AM1" s="4"/>
      <c r="AN1" s="4"/>
      <c r="AO1" s="4"/>
      <c r="AP1" s="4"/>
      <c r="AQ1" s="4"/>
      <c r="AR1" s="4"/>
      <c r="AS1" s="4"/>
      <c r="AT1" s="4"/>
      <c r="AU1" s="4"/>
      <c r="AV1" s="4"/>
      <c r="AW1" s="4"/>
      <c r="AX1" s="4"/>
      <c r="AY1" s="4"/>
      <c r="AZ1" s="4"/>
      <c r="BA1" s="4"/>
      <c r="BB1" s="4"/>
      <c r="BC1" s="4"/>
    </row>
    <row r="2" spans="1:55" x14ac:dyDescent="0.3"/>
    <row r="3" spans="1:55" ht="15.6" x14ac:dyDescent="0.3">
      <c r="B3" s="7"/>
      <c r="C3" s="17" t="s">
        <v>55</v>
      </c>
      <c r="D3" s="36"/>
      <c r="E3" s="36"/>
      <c r="F3" s="36"/>
      <c r="G3" s="36"/>
      <c r="H3" s="36"/>
      <c r="I3" s="36"/>
      <c r="J3" s="36"/>
      <c r="K3" s="36"/>
      <c r="L3" s="36"/>
      <c r="N3" s="7"/>
      <c r="O3" s="17" t="s">
        <v>56</v>
      </c>
      <c r="P3" s="36"/>
      <c r="Q3" s="36"/>
      <c r="R3" s="36"/>
      <c r="S3" s="36"/>
      <c r="T3" s="36"/>
      <c r="U3" s="36"/>
      <c r="V3" s="36"/>
      <c r="X3" s="7"/>
      <c r="Y3" s="17" t="s">
        <v>57</v>
      </c>
      <c r="Z3" s="36"/>
      <c r="AA3" s="36"/>
      <c r="AB3" s="36"/>
      <c r="AC3" s="36"/>
      <c r="AD3" s="36"/>
      <c r="AE3" s="36"/>
      <c r="AF3" s="36"/>
      <c r="AG3" s="36"/>
      <c r="AH3" s="36"/>
      <c r="AJ3" s="7"/>
      <c r="AK3" s="17" t="s">
        <v>283</v>
      </c>
      <c r="AL3" s="36"/>
      <c r="AM3" s="36"/>
      <c r="AN3" s="36"/>
      <c r="AO3" s="36"/>
      <c r="AP3" s="36"/>
      <c r="AQ3" s="36"/>
      <c r="AR3" s="36"/>
      <c r="AS3" s="36"/>
      <c r="AT3" s="36"/>
      <c r="AV3" s="7"/>
      <c r="AW3" s="17" t="s">
        <v>125</v>
      </c>
      <c r="AX3" s="36"/>
      <c r="AY3" s="36"/>
      <c r="AZ3" s="36"/>
      <c r="BA3" s="36"/>
      <c r="BB3" s="36"/>
    </row>
    <row r="4" spans="1:55" x14ac:dyDescent="0.3">
      <c r="B4" s="14"/>
      <c r="C4" s="9"/>
      <c r="D4" s="74" t="s">
        <v>58</v>
      </c>
      <c r="E4" s="74"/>
      <c r="F4" s="75" t="s">
        <v>59</v>
      </c>
      <c r="G4" s="74"/>
      <c r="H4" s="74"/>
      <c r="I4" s="75" t="s">
        <v>7</v>
      </c>
      <c r="J4" s="74"/>
      <c r="K4" s="74"/>
      <c r="L4" s="37" t="s">
        <v>103</v>
      </c>
      <c r="N4" s="14"/>
      <c r="O4" s="9"/>
      <c r="P4" s="38" t="s">
        <v>60</v>
      </c>
      <c r="Q4" s="75" t="s">
        <v>61</v>
      </c>
      <c r="R4" s="76"/>
      <c r="S4" s="75" t="s">
        <v>646</v>
      </c>
      <c r="T4" s="74"/>
      <c r="U4" s="75" t="s">
        <v>103</v>
      </c>
      <c r="V4" s="74"/>
      <c r="X4" s="14"/>
      <c r="Y4" s="9"/>
      <c r="Z4" s="38" t="s">
        <v>63</v>
      </c>
      <c r="AA4" s="38" t="s">
        <v>62</v>
      </c>
      <c r="AB4" s="38" t="s">
        <v>311</v>
      </c>
      <c r="AC4" s="38" t="s">
        <v>62</v>
      </c>
      <c r="AD4" s="75" t="s">
        <v>126</v>
      </c>
      <c r="AE4" s="76"/>
      <c r="AF4" s="74" t="s">
        <v>127</v>
      </c>
      <c r="AG4" s="74"/>
      <c r="AH4" s="37" t="s">
        <v>103</v>
      </c>
      <c r="AJ4" s="14"/>
      <c r="AK4" s="9"/>
      <c r="AL4" s="38" t="s">
        <v>132</v>
      </c>
      <c r="AM4" s="38" t="s">
        <v>99</v>
      </c>
      <c r="AN4" s="38" t="s">
        <v>289</v>
      </c>
      <c r="AO4" s="75" t="s">
        <v>126</v>
      </c>
      <c r="AP4" s="76"/>
      <c r="AQ4" s="74" t="s">
        <v>127</v>
      </c>
      <c r="AR4" s="74"/>
      <c r="AS4" s="75" t="s">
        <v>103</v>
      </c>
      <c r="AT4" s="74"/>
      <c r="AV4" s="8"/>
      <c r="AY4" s="39" t="s">
        <v>335</v>
      </c>
      <c r="AZ4" s="39" t="s">
        <v>336</v>
      </c>
      <c r="BA4" s="39" t="s">
        <v>300</v>
      </c>
      <c r="BB4" s="39" t="s">
        <v>304</v>
      </c>
    </row>
    <row r="5" spans="1:55" x14ac:dyDescent="0.3">
      <c r="B5" s="14"/>
      <c r="C5" s="9"/>
      <c r="D5" s="40" t="s">
        <v>64</v>
      </c>
      <c r="E5" s="40" t="s">
        <v>65</v>
      </c>
      <c r="F5" s="41" t="s">
        <v>64</v>
      </c>
      <c r="G5" s="40" t="s">
        <v>65</v>
      </c>
      <c r="H5" s="40" t="s">
        <v>66</v>
      </c>
      <c r="I5" s="41" t="s">
        <v>64</v>
      </c>
      <c r="J5" s="40" t="s">
        <v>65</v>
      </c>
      <c r="K5" s="40" t="s">
        <v>67</v>
      </c>
      <c r="L5" s="41" t="s">
        <v>100</v>
      </c>
      <c r="N5" s="14"/>
      <c r="O5" s="9"/>
      <c r="P5" s="40"/>
      <c r="Q5" s="41" t="s">
        <v>68</v>
      </c>
      <c r="R5" s="42" t="s">
        <v>124</v>
      </c>
      <c r="S5" s="40" t="s">
        <v>284</v>
      </c>
      <c r="T5" s="40" t="s">
        <v>286</v>
      </c>
      <c r="U5" s="69" t="s">
        <v>313</v>
      </c>
      <c r="V5" s="40" t="s">
        <v>100</v>
      </c>
      <c r="X5" s="14"/>
      <c r="Y5" s="9"/>
      <c r="Z5" s="38" t="s">
        <v>70</v>
      </c>
      <c r="AA5" s="38" t="s">
        <v>71</v>
      </c>
      <c r="AB5" s="38" t="s">
        <v>312</v>
      </c>
      <c r="AC5" s="38" t="s">
        <v>69</v>
      </c>
      <c r="AD5" s="41" t="s">
        <v>86</v>
      </c>
      <c r="AE5" s="42" t="s">
        <v>87</v>
      </c>
      <c r="AF5" s="40" t="s">
        <v>86</v>
      </c>
      <c r="AG5" s="40" t="s">
        <v>87</v>
      </c>
      <c r="AH5" s="41" t="s">
        <v>100</v>
      </c>
      <c r="AJ5" s="14"/>
      <c r="AK5" s="9"/>
      <c r="AL5" s="38" t="s">
        <v>134</v>
      </c>
      <c r="AM5" s="38" t="s">
        <v>70</v>
      </c>
      <c r="AN5" s="38" t="s">
        <v>123</v>
      </c>
      <c r="AO5" s="41" t="s">
        <v>86</v>
      </c>
      <c r="AP5" s="42" t="s">
        <v>87</v>
      </c>
      <c r="AQ5" s="40" t="s">
        <v>86</v>
      </c>
      <c r="AR5" s="40" t="s">
        <v>87</v>
      </c>
      <c r="AS5" s="41" t="s">
        <v>99</v>
      </c>
      <c r="AT5" s="40" t="s">
        <v>100</v>
      </c>
      <c r="AV5" s="8"/>
      <c r="BA5" s="43"/>
      <c r="BB5" s="44" t="s">
        <v>305</v>
      </c>
    </row>
    <row r="6" spans="1:55" x14ac:dyDescent="0.3">
      <c r="B6" s="8"/>
      <c r="F6" s="45"/>
      <c r="I6" s="45"/>
      <c r="L6" s="45"/>
      <c r="N6" s="8"/>
      <c r="Q6" s="45"/>
      <c r="R6" s="46"/>
      <c r="U6" s="70"/>
      <c r="X6" s="8"/>
      <c r="AD6" s="45"/>
      <c r="AE6" s="46"/>
      <c r="AH6" s="45"/>
      <c r="AJ6" s="8"/>
      <c r="AO6" s="45"/>
      <c r="AP6" s="46"/>
      <c r="AS6" s="45"/>
      <c r="AV6" s="8"/>
      <c r="AW6" s="47" t="s">
        <v>303</v>
      </c>
      <c r="AX6" s="48"/>
      <c r="AY6" s="49" t="s">
        <v>337</v>
      </c>
      <c r="AZ6" s="49" t="s">
        <v>338</v>
      </c>
      <c r="BA6" s="49" t="s">
        <v>206</v>
      </c>
      <c r="BB6" s="49" t="s">
        <v>207</v>
      </c>
    </row>
    <row r="7" spans="1:55" x14ac:dyDescent="0.3">
      <c r="B7" s="8"/>
      <c r="D7" s="50" t="s">
        <v>72</v>
      </c>
      <c r="E7" s="50" t="s">
        <v>73</v>
      </c>
      <c r="F7" s="51" t="s">
        <v>74</v>
      </c>
      <c r="G7" s="50" t="s">
        <v>75</v>
      </c>
      <c r="H7" s="50" t="s">
        <v>76</v>
      </c>
      <c r="I7" s="51" t="s">
        <v>77</v>
      </c>
      <c r="J7" s="50" t="s">
        <v>78</v>
      </c>
      <c r="K7" s="50" t="s">
        <v>79</v>
      </c>
      <c r="L7" s="45"/>
      <c r="N7" s="8"/>
      <c r="P7" s="50" t="s">
        <v>81</v>
      </c>
      <c r="Q7" s="51" t="s">
        <v>82</v>
      </c>
      <c r="R7" s="52" t="s">
        <v>621</v>
      </c>
      <c r="S7" s="50" t="s">
        <v>80</v>
      </c>
      <c r="T7" s="50" t="s">
        <v>285</v>
      </c>
      <c r="U7" s="70"/>
      <c r="X7" s="8"/>
      <c r="Z7" s="50" t="s">
        <v>84</v>
      </c>
      <c r="AA7" s="50" t="s">
        <v>85</v>
      </c>
      <c r="AB7" s="50" t="s">
        <v>310</v>
      </c>
      <c r="AC7" s="50" t="s">
        <v>83</v>
      </c>
      <c r="AD7" s="51" t="s">
        <v>130</v>
      </c>
      <c r="AE7" s="52" t="s">
        <v>131</v>
      </c>
      <c r="AF7" s="50" t="s">
        <v>128</v>
      </c>
      <c r="AG7" s="50" t="s">
        <v>129</v>
      </c>
      <c r="AH7" s="45"/>
      <c r="AJ7" s="8"/>
      <c r="AL7" s="50" t="s">
        <v>133</v>
      </c>
      <c r="AM7" s="50" t="s">
        <v>101</v>
      </c>
      <c r="AN7" s="50" t="s">
        <v>622</v>
      </c>
      <c r="AO7" s="51" t="s">
        <v>130</v>
      </c>
      <c r="AP7" s="52" t="s">
        <v>131</v>
      </c>
      <c r="AQ7" s="50" t="s">
        <v>128</v>
      </c>
      <c r="AR7" s="50" t="s">
        <v>129</v>
      </c>
      <c r="AS7" s="45"/>
      <c r="AV7" s="8"/>
      <c r="AW7" s="9" t="s">
        <v>88</v>
      </c>
      <c r="AX7" s="53" t="s">
        <v>89</v>
      </c>
      <c r="AY7" s="63">
        <f>Notes!$L$4</f>
        <v>2024</v>
      </c>
      <c r="AZ7" s="63">
        <f>Notes!$L$5</f>
        <v>2040</v>
      </c>
      <c r="BA7" s="26">
        <v>0</v>
      </c>
      <c r="BB7" s="34">
        <v>1</v>
      </c>
    </row>
    <row r="8" spans="1:55" x14ac:dyDescent="0.3">
      <c r="B8" s="8"/>
      <c r="C8" s="1" t="s">
        <v>339</v>
      </c>
      <c r="D8" s="63">
        <f>Notes!$L4</f>
        <v>2024</v>
      </c>
      <c r="E8" s="63">
        <f>Notes!$L4</f>
        <v>2024</v>
      </c>
      <c r="F8" s="64">
        <f>Notes!$L4</f>
        <v>2024</v>
      </c>
      <c r="G8" s="63">
        <f>Notes!$L4</f>
        <v>2024</v>
      </c>
      <c r="H8" s="63">
        <f>Notes!$L4</f>
        <v>2024</v>
      </c>
      <c r="I8" s="64">
        <f>Notes!$L4</f>
        <v>2024</v>
      </c>
      <c r="J8" s="63">
        <f>Notes!$L4</f>
        <v>2024</v>
      </c>
      <c r="K8" s="63">
        <f>Notes!$L4</f>
        <v>2024</v>
      </c>
      <c r="L8" s="45"/>
      <c r="N8" s="8"/>
      <c r="O8" s="1" t="s">
        <v>339</v>
      </c>
      <c r="P8" s="63">
        <f>Notes!$L4</f>
        <v>2024</v>
      </c>
      <c r="Q8" s="64">
        <f>Notes!$L4</f>
        <v>2024</v>
      </c>
      <c r="R8" s="63">
        <f>Notes!$L4</f>
        <v>2024</v>
      </c>
      <c r="S8" s="64">
        <f>Notes!$L4</f>
        <v>2024</v>
      </c>
      <c r="T8" s="63">
        <f>Notes!$L4</f>
        <v>2024</v>
      </c>
      <c r="U8" s="70"/>
      <c r="X8" s="8"/>
      <c r="Y8" s="1" t="s">
        <v>339</v>
      </c>
      <c r="Z8" s="63">
        <f>Notes!$L4</f>
        <v>2024</v>
      </c>
      <c r="AA8" s="63">
        <f>Notes!$L4</f>
        <v>2024</v>
      </c>
      <c r="AB8" s="63">
        <f>Notes!$L4</f>
        <v>2024</v>
      </c>
      <c r="AC8" s="63">
        <f>Notes!$L4</f>
        <v>2024</v>
      </c>
      <c r="AD8" s="64">
        <f>Notes!$L4</f>
        <v>2024</v>
      </c>
      <c r="AE8" s="63">
        <f>Notes!$L4</f>
        <v>2024</v>
      </c>
      <c r="AF8" s="64">
        <f>Notes!$L4</f>
        <v>2024</v>
      </c>
      <c r="AG8" s="63">
        <f>Notes!$L4</f>
        <v>2024</v>
      </c>
      <c r="AH8" s="45"/>
      <c r="AJ8" s="8"/>
      <c r="AK8" s="1" t="s">
        <v>339</v>
      </c>
      <c r="AL8" s="63">
        <f>Notes!$L4</f>
        <v>2024</v>
      </c>
      <c r="AM8" s="63">
        <f>Notes!$L4</f>
        <v>2024</v>
      </c>
      <c r="AN8" s="63">
        <f>Notes!$L4</f>
        <v>2024</v>
      </c>
      <c r="AO8" s="64">
        <f>Notes!$L4</f>
        <v>2024</v>
      </c>
      <c r="AP8" s="63">
        <f>Notes!$L4</f>
        <v>2024</v>
      </c>
      <c r="AQ8" s="64">
        <f>Notes!$L$4</f>
        <v>2024</v>
      </c>
      <c r="AR8" s="63">
        <f>Notes!$L4</f>
        <v>2024</v>
      </c>
      <c r="AS8" s="45"/>
      <c r="AV8" s="8"/>
      <c r="AW8" s="9" t="s">
        <v>92</v>
      </c>
      <c r="AX8" s="53" t="s">
        <v>93</v>
      </c>
      <c r="AY8" s="63">
        <f>Notes!$L$4</f>
        <v>2024</v>
      </c>
      <c r="AZ8" s="63">
        <f>Notes!$L$5</f>
        <v>2040</v>
      </c>
      <c r="BA8" s="26">
        <v>0</v>
      </c>
      <c r="BB8" s="34">
        <v>1</v>
      </c>
    </row>
    <row r="9" spans="1:55" x14ac:dyDescent="0.3">
      <c r="B9" s="8"/>
      <c r="C9" s="1" t="s">
        <v>340</v>
      </c>
      <c r="D9" s="63">
        <f>Notes!$L5</f>
        <v>2040</v>
      </c>
      <c r="E9" s="63">
        <f>Notes!$L5</f>
        <v>2040</v>
      </c>
      <c r="F9" s="64">
        <f>Notes!$L5</f>
        <v>2040</v>
      </c>
      <c r="G9" s="63">
        <f>Notes!$L5</f>
        <v>2040</v>
      </c>
      <c r="H9" s="63">
        <f>Notes!$L5</f>
        <v>2040</v>
      </c>
      <c r="I9" s="64">
        <f>Notes!$L5</f>
        <v>2040</v>
      </c>
      <c r="J9" s="63">
        <f>Notes!$L5</f>
        <v>2040</v>
      </c>
      <c r="K9" s="63">
        <f>Notes!$L5</f>
        <v>2040</v>
      </c>
      <c r="L9" s="45"/>
      <c r="N9" s="8"/>
      <c r="O9" s="1" t="s">
        <v>340</v>
      </c>
      <c r="P9" s="63">
        <f>Notes!$L5</f>
        <v>2040</v>
      </c>
      <c r="Q9" s="64">
        <f>Notes!$L5</f>
        <v>2040</v>
      </c>
      <c r="R9" s="63">
        <f>Notes!$L5</f>
        <v>2040</v>
      </c>
      <c r="S9" s="64">
        <f>Notes!$L5</f>
        <v>2040</v>
      </c>
      <c r="T9" s="63">
        <f>Notes!$L5</f>
        <v>2040</v>
      </c>
      <c r="U9" s="70"/>
      <c r="X9" s="8"/>
      <c r="Y9" s="1" t="s">
        <v>340</v>
      </c>
      <c r="Z9" s="63">
        <f>Notes!$L5</f>
        <v>2040</v>
      </c>
      <c r="AA9" s="63">
        <f>Notes!$L5</f>
        <v>2040</v>
      </c>
      <c r="AB9" s="63">
        <f>Notes!$L5</f>
        <v>2040</v>
      </c>
      <c r="AC9" s="63">
        <f>Notes!$L5</f>
        <v>2040</v>
      </c>
      <c r="AD9" s="64">
        <f>Notes!$L5</f>
        <v>2040</v>
      </c>
      <c r="AE9" s="63">
        <f>Notes!$L5</f>
        <v>2040</v>
      </c>
      <c r="AF9" s="64">
        <f>Notes!$L5</f>
        <v>2040</v>
      </c>
      <c r="AG9" s="63">
        <f>Notes!$L5</f>
        <v>2040</v>
      </c>
      <c r="AH9" s="45"/>
      <c r="AJ9" s="8"/>
      <c r="AK9" s="1" t="s">
        <v>340</v>
      </c>
      <c r="AL9" s="63">
        <f>Notes!$L5</f>
        <v>2040</v>
      </c>
      <c r="AM9" s="63">
        <f>Notes!$L5</f>
        <v>2040</v>
      </c>
      <c r="AN9" s="63">
        <f>Notes!$L5</f>
        <v>2040</v>
      </c>
      <c r="AO9" s="64">
        <f>Notes!$L5</f>
        <v>2040</v>
      </c>
      <c r="AP9" s="63">
        <f>Notes!$L5</f>
        <v>2040</v>
      </c>
      <c r="AQ9" s="64">
        <f>Notes!$L5</f>
        <v>2040</v>
      </c>
      <c r="AR9" s="63">
        <f>Notes!$L5</f>
        <v>2040</v>
      </c>
      <c r="AS9" s="45"/>
      <c r="AV9" s="8"/>
      <c r="AW9" s="9" t="s">
        <v>90</v>
      </c>
      <c r="AX9" s="53" t="s">
        <v>91</v>
      </c>
      <c r="AY9" s="63">
        <f>Notes!$L$4</f>
        <v>2024</v>
      </c>
      <c r="AZ9" s="63">
        <f>Notes!$L$5</f>
        <v>2040</v>
      </c>
      <c r="BA9" s="26">
        <v>0</v>
      </c>
      <c r="BB9" s="34">
        <v>1</v>
      </c>
    </row>
    <row r="10" spans="1:55" x14ac:dyDescent="0.3">
      <c r="B10" s="8"/>
      <c r="F10" s="45"/>
      <c r="I10" s="45"/>
      <c r="L10" s="45"/>
      <c r="N10" s="8"/>
      <c r="Q10" s="45"/>
      <c r="R10" s="46"/>
      <c r="U10" s="70"/>
      <c r="X10" s="8"/>
      <c r="AD10" s="45"/>
      <c r="AE10" s="46"/>
      <c r="AH10" s="45"/>
      <c r="AJ10" s="8"/>
      <c r="AO10" s="45"/>
      <c r="AP10" s="46"/>
      <c r="AS10" s="45"/>
      <c r="AV10" s="8"/>
      <c r="AW10" s="9" t="s">
        <v>298</v>
      </c>
      <c r="AX10" s="53" t="s">
        <v>299</v>
      </c>
      <c r="AY10" s="63">
        <f>Notes!$L$4</f>
        <v>2024</v>
      </c>
      <c r="AZ10" s="63">
        <f>Notes!$L$5</f>
        <v>2040</v>
      </c>
      <c r="BA10" s="26">
        <v>0</v>
      </c>
      <c r="BB10" s="34">
        <v>1</v>
      </c>
    </row>
    <row r="11" spans="1:55" x14ac:dyDescent="0.3">
      <c r="B11" s="8"/>
      <c r="C11" s="54" t="s">
        <v>302</v>
      </c>
      <c r="D11" s="55"/>
      <c r="E11" s="55"/>
      <c r="F11" s="56"/>
      <c r="G11" s="55"/>
      <c r="H11" s="55"/>
      <c r="I11" s="56"/>
      <c r="J11" s="55"/>
      <c r="K11" s="55"/>
      <c r="L11" s="56"/>
      <c r="N11" s="8"/>
      <c r="O11" s="54" t="s">
        <v>302</v>
      </c>
      <c r="P11" s="53"/>
      <c r="Q11" s="57"/>
      <c r="R11" s="58"/>
      <c r="S11" s="53"/>
      <c r="T11" s="53"/>
      <c r="U11" s="71"/>
      <c r="V11" s="53"/>
      <c r="X11" s="8"/>
      <c r="Y11" s="54" t="s">
        <v>302</v>
      </c>
      <c r="Z11" s="53"/>
      <c r="AA11" s="53"/>
      <c r="AB11" s="53"/>
      <c r="AC11" s="53"/>
      <c r="AD11" s="57"/>
      <c r="AE11" s="58"/>
      <c r="AF11" s="53"/>
      <c r="AG11" s="53"/>
      <c r="AH11" s="56"/>
      <c r="AJ11" s="8"/>
      <c r="AK11" s="54" t="s">
        <v>302</v>
      </c>
      <c r="AL11" s="54"/>
      <c r="AM11" s="59"/>
      <c r="AN11" s="53"/>
      <c r="AO11" s="57"/>
      <c r="AP11" s="58"/>
      <c r="AQ11" s="53"/>
      <c r="AR11" s="53"/>
      <c r="AS11" s="57"/>
      <c r="AT11" s="53"/>
      <c r="AV11" s="8"/>
      <c r="AW11" s="9" t="s">
        <v>98</v>
      </c>
      <c r="AX11" s="53" t="s">
        <v>101</v>
      </c>
      <c r="AY11" s="63">
        <f>Notes!$L$4</f>
        <v>2024</v>
      </c>
      <c r="AZ11" s="63">
        <f>Notes!$L$5</f>
        <v>2040</v>
      </c>
      <c r="BA11" s="26">
        <v>0</v>
      </c>
      <c r="BB11" s="34">
        <v>1</v>
      </c>
    </row>
    <row r="12" spans="1:55" x14ac:dyDescent="0.3">
      <c r="B12" s="8"/>
      <c r="C12" s="54"/>
      <c r="D12" s="50" t="s">
        <v>72</v>
      </c>
      <c r="E12" s="50" t="s">
        <v>73</v>
      </c>
      <c r="F12" s="51" t="s">
        <v>74</v>
      </c>
      <c r="G12" s="50" t="s">
        <v>75</v>
      </c>
      <c r="H12" s="50" t="s">
        <v>76</v>
      </c>
      <c r="I12" s="51" t="s">
        <v>77</v>
      </c>
      <c r="J12" s="50" t="s">
        <v>78</v>
      </c>
      <c r="K12" s="50" t="s">
        <v>79</v>
      </c>
      <c r="L12" s="56"/>
      <c r="N12" s="8"/>
      <c r="O12" s="54"/>
      <c r="P12" s="50" t="s">
        <v>81</v>
      </c>
      <c r="Q12" s="51" t="s">
        <v>82</v>
      </c>
      <c r="R12" s="52" t="s">
        <v>621</v>
      </c>
      <c r="S12" s="53"/>
      <c r="T12" s="53"/>
      <c r="U12" s="71"/>
      <c r="V12" s="53"/>
      <c r="X12" s="8"/>
      <c r="Y12" s="54"/>
      <c r="Z12" s="50" t="s">
        <v>84</v>
      </c>
      <c r="AA12" s="50" t="s">
        <v>85</v>
      </c>
      <c r="AB12" s="50" t="s">
        <v>310</v>
      </c>
      <c r="AC12" s="50" t="s">
        <v>83</v>
      </c>
      <c r="AD12" s="51" t="s">
        <v>130</v>
      </c>
      <c r="AE12" s="52" t="s">
        <v>131</v>
      </c>
      <c r="AF12" s="50" t="s">
        <v>128</v>
      </c>
      <c r="AG12" s="50" t="s">
        <v>129</v>
      </c>
      <c r="AH12" s="56"/>
      <c r="AJ12" s="8"/>
      <c r="AK12" s="54"/>
      <c r="AL12" s="50" t="s">
        <v>133</v>
      </c>
      <c r="AM12" s="50" t="s">
        <v>101</v>
      </c>
      <c r="AN12" s="50" t="s">
        <v>622</v>
      </c>
      <c r="AO12" s="51" t="s">
        <v>130</v>
      </c>
      <c r="AP12" s="52" t="s">
        <v>131</v>
      </c>
      <c r="AQ12" s="50" t="s">
        <v>128</v>
      </c>
      <c r="AR12" s="50" t="s">
        <v>129</v>
      </c>
      <c r="AS12" s="57"/>
      <c r="AT12" s="53"/>
      <c r="AV12" s="8"/>
      <c r="AW12" s="9" t="s">
        <v>94</v>
      </c>
      <c r="AX12" s="53" t="s">
        <v>95</v>
      </c>
      <c r="AY12" s="63">
        <f>Notes!$L$4</f>
        <v>2024</v>
      </c>
      <c r="AZ12" s="63">
        <f>Notes!$L$5</f>
        <v>2040</v>
      </c>
      <c r="BA12" s="26">
        <v>0</v>
      </c>
      <c r="BB12" s="34">
        <v>1</v>
      </c>
    </row>
    <row r="13" spans="1:55" x14ac:dyDescent="0.3">
      <c r="B13" s="8"/>
      <c r="C13" s="55"/>
      <c r="D13" s="34">
        <v>1</v>
      </c>
      <c r="E13" s="34">
        <v>1</v>
      </c>
      <c r="F13" s="32">
        <v>1</v>
      </c>
      <c r="G13" s="34">
        <v>1</v>
      </c>
      <c r="H13" s="34">
        <v>1</v>
      </c>
      <c r="I13" s="32">
        <v>1</v>
      </c>
      <c r="J13" s="34">
        <v>1</v>
      </c>
      <c r="K13" s="34">
        <v>1</v>
      </c>
      <c r="L13" s="56"/>
      <c r="N13" s="8"/>
      <c r="O13" s="55"/>
      <c r="P13" s="34">
        <v>1</v>
      </c>
      <c r="Q13" s="32">
        <v>1</v>
      </c>
      <c r="R13" s="35">
        <v>1</v>
      </c>
      <c r="S13" s="55"/>
      <c r="T13" s="55"/>
      <c r="U13" s="72"/>
      <c r="V13" s="55"/>
      <c r="X13" s="8"/>
      <c r="Y13" s="55"/>
      <c r="Z13" s="34">
        <v>1</v>
      </c>
      <c r="AA13" s="34">
        <v>1</v>
      </c>
      <c r="AB13" s="34">
        <v>1</v>
      </c>
      <c r="AC13" s="34">
        <v>1</v>
      </c>
      <c r="AD13" s="32">
        <v>1</v>
      </c>
      <c r="AE13" s="35">
        <v>1</v>
      </c>
      <c r="AF13" s="34">
        <v>1</v>
      </c>
      <c r="AG13" s="34">
        <v>1</v>
      </c>
      <c r="AH13" s="56"/>
      <c r="AJ13" s="8"/>
      <c r="AK13" s="55"/>
      <c r="AL13" s="34">
        <v>1</v>
      </c>
      <c r="AM13" s="34">
        <v>1</v>
      </c>
      <c r="AN13" s="34">
        <v>1</v>
      </c>
      <c r="AO13" s="32">
        <v>1</v>
      </c>
      <c r="AP13" s="35">
        <v>1</v>
      </c>
      <c r="AQ13" s="34">
        <v>1</v>
      </c>
      <c r="AR13" s="34">
        <v>1</v>
      </c>
      <c r="AS13" s="56"/>
      <c r="AT13" s="55"/>
      <c r="AV13" s="8"/>
      <c r="AW13" s="9" t="s">
        <v>96</v>
      </c>
      <c r="AX13" s="53" t="s">
        <v>97</v>
      </c>
      <c r="AY13" s="63">
        <f>Notes!$L$4</f>
        <v>2024</v>
      </c>
      <c r="AZ13" s="63">
        <f>Notes!$L$5</f>
        <v>2040</v>
      </c>
      <c r="BA13" s="26">
        <v>0</v>
      </c>
      <c r="BB13" s="34">
        <v>1</v>
      </c>
    </row>
    <row r="14" spans="1:55" x14ac:dyDescent="0.3">
      <c r="B14" s="8"/>
      <c r="C14" s="55"/>
      <c r="F14" s="45"/>
      <c r="I14" s="45"/>
      <c r="L14" s="45"/>
      <c r="N14" s="8"/>
      <c r="O14" s="55"/>
      <c r="Q14" s="45"/>
      <c r="R14" s="46"/>
      <c r="U14" s="70"/>
      <c r="X14" s="8"/>
      <c r="Y14" s="55"/>
      <c r="AD14" s="45"/>
      <c r="AE14" s="46"/>
      <c r="AH14" s="45"/>
      <c r="AJ14" s="8"/>
      <c r="AK14" s="55"/>
      <c r="AL14" s="55"/>
      <c r="AO14" s="45"/>
      <c r="AP14" s="46"/>
      <c r="AS14" s="45"/>
      <c r="AV14" s="8"/>
      <c r="AW14" s="9" t="s">
        <v>297</v>
      </c>
      <c r="AX14" s="53" t="s">
        <v>296</v>
      </c>
      <c r="AY14" s="63">
        <f>Notes!$L$4</f>
        <v>2024</v>
      </c>
      <c r="AZ14" s="63">
        <f>Notes!$L$5</f>
        <v>2040</v>
      </c>
      <c r="BA14" s="26">
        <v>0</v>
      </c>
      <c r="BB14" s="34">
        <v>1</v>
      </c>
    </row>
    <row r="15" spans="1:55" x14ac:dyDescent="0.3">
      <c r="B15" s="8"/>
      <c r="C15" s="54" t="s">
        <v>301</v>
      </c>
      <c r="F15" s="45"/>
      <c r="I15" s="45"/>
      <c r="L15" s="45"/>
      <c r="N15" s="8"/>
      <c r="O15" s="54" t="s">
        <v>301</v>
      </c>
      <c r="P15" s="60"/>
      <c r="Q15" s="45"/>
      <c r="R15" s="46"/>
      <c r="U15" s="70"/>
      <c r="X15" s="8"/>
      <c r="Y15" s="54" t="s">
        <v>301</v>
      </c>
      <c r="Z15" s="60"/>
      <c r="AD15" s="45"/>
      <c r="AE15" s="46"/>
      <c r="AH15" s="45"/>
      <c r="AJ15" s="8"/>
      <c r="AK15" s="54" t="s">
        <v>301</v>
      </c>
      <c r="AL15" s="54"/>
      <c r="AO15" s="45"/>
      <c r="AP15" s="46"/>
      <c r="AS15" s="45"/>
      <c r="AV15" s="8"/>
      <c r="AW15" s="9" t="s">
        <v>762</v>
      </c>
      <c r="AX15" s="53" t="s">
        <v>131</v>
      </c>
      <c r="AY15" s="63">
        <f>Notes!$L$4</f>
        <v>2024</v>
      </c>
      <c r="AZ15" s="63">
        <f>Notes!$L$5</f>
        <v>2040</v>
      </c>
      <c r="BA15" s="26">
        <v>0</v>
      </c>
      <c r="BB15" s="34">
        <v>1</v>
      </c>
    </row>
    <row r="16" spans="1:55" x14ac:dyDescent="0.3">
      <c r="B16" s="8"/>
      <c r="D16" s="50" t="s">
        <v>72</v>
      </c>
      <c r="E16" s="50" t="s">
        <v>73</v>
      </c>
      <c r="F16" s="51" t="s">
        <v>74</v>
      </c>
      <c r="G16" s="50" t="s">
        <v>75</v>
      </c>
      <c r="H16" s="50" t="s">
        <v>76</v>
      </c>
      <c r="I16" s="51" t="s">
        <v>77</v>
      </c>
      <c r="J16" s="50" t="s">
        <v>78</v>
      </c>
      <c r="K16" s="50" t="s">
        <v>79</v>
      </c>
      <c r="L16" s="51" t="s">
        <v>123</v>
      </c>
      <c r="N16" s="8"/>
      <c r="P16" s="50" t="s">
        <v>81</v>
      </c>
      <c r="Q16" s="51" t="s">
        <v>82</v>
      </c>
      <c r="R16" s="52" t="s">
        <v>621</v>
      </c>
      <c r="S16" s="50" t="s">
        <v>80</v>
      </c>
      <c r="T16" s="50" t="s">
        <v>285</v>
      </c>
      <c r="U16" s="73" t="s">
        <v>310</v>
      </c>
      <c r="V16" s="50" t="s">
        <v>123</v>
      </c>
      <c r="X16" s="8"/>
      <c r="Z16" s="50" t="s">
        <v>84</v>
      </c>
      <c r="AA16" s="50" t="s">
        <v>85</v>
      </c>
      <c r="AB16" s="50" t="s">
        <v>310</v>
      </c>
      <c r="AC16" s="50" t="s">
        <v>83</v>
      </c>
      <c r="AD16" s="51" t="s">
        <v>130</v>
      </c>
      <c r="AE16" s="52" t="s">
        <v>131</v>
      </c>
      <c r="AF16" s="50" t="s">
        <v>128</v>
      </c>
      <c r="AG16" s="61" t="s">
        <v>129</v>
      </c>
      <c r="AH16" s="51" t="s">
        <v>123</v>
      </c>
      <c r="AJ16" s="8"/>
      <c r="AL16" s="50" t="s">
        <v>133</v>
      </c>
      <c r="AM16" s="50" t="s">
        <v>101</v>
      </c>
      <c r="AN16" s="50" t="s">
        <v>622</v>
      </c>
      <c r="AO16" s="51" t="s">
        <v>130</v>
      </c>
      <c r="AP16" s="62" t="s">
        <v>131</v>
      </c>
      <c r="AQ16" s="50" t="s">
        <v>128</v>
      </c>
      <c r="AR16" s="61" t="s">
        <v>129</v>
      </c>
      <c r="AS16" s="51" t="s">
        <v>288</v>
      </c>
      <c r="AT16" s="50" t="s">
        <v>123</v>
      </c>
      <c r="AV16" s="8"/>
      <c r="AW16" s="9" t="s">
        <v>763</v>
      </c>
      <c r="AX16" s="53" t="s">
        <v>129</v>
      </c>
      <c r="AY16" s="63">
        <f>Notes!$L$4</f>
        <v>2024</v>
      </c>
      <c r="AZ16" s="63">
        <f>Notes!$L$5</f>
        <v>2040</v>
      </c>
      <c r="BA16" s="26">
        <v>0</v>
      </c>
      <c r="BB16" s="34">
        <v>1</v>
      </c>
    </row>
    <row r="17" spans="2:54" x14ac:dyDescent="0.3">
      <c r="B17" s="8"/>
      <c r="C17" s="2" t="s">
        <v>713</v>
      </c>
      <c r="D17" s="26">
        <v>0</v>
      </c>
      <c r="E17" s="26">
        <v>0</v>
      </c>
      <c r="F17" s="27">
        <v>0</v>
      </c>
      <c r="G17" s="26">
        <v>0</v>
      </c>
      <c r="H17" s="26">
        <v>0</v>
      </c>
      <c r="I17" s="27">
        <v>0</v>
      </c>
      <c r="J17" s="26">
        <v>0</v>
      </c>
      <c r="K17" s="26">
        <v>0</v>
      </c>
      <c r="L17" s="67">
        <v>1</v>
      </c>
      <c r="N17" s="8"/>
      <c r="O17" s="2" t="s">
        <v>649</v>
      </c>
      <c r="P17" s="26">
        <v>0</v>
      </c>
      <c r="Q17" s="27">
        <v>0</v>
      </c>
      <c r="R17" s="30">
        <v>0</v>
      </c>
      <c r="S17" s="27">
        <v>0</v>
      </c>
      <c r="T17" s="30">
        <v>0</v>
      </c>
      <c r="U17" s="34">
        <v>1</v>
      </c>
      <c r="V17" s="34">
        <v>1</v>
      </c>
      <c r="X17" s="8"/>
      <c r="Y17" s="2" t="s">
        <v>852</v>
      </c>
      <c r="Z17" s="26">
        <v>0</v>
      </c>
      <c r="AA17" s="26">
        <v>0</v>
      </c>
      <c r="AB17" s="26">
        <v>0</v>
      </c>
      <c r="AC17" s="26">
        <v>0</v>
      </c>
      <c r="AD17" s="27">
        <v>0</v>
      </c>
      <c r="AE17" s="30">
        <v>0</v>
      </c>
      <c r="AF17" s="26">
        <v>0</v>
      </c>
      <c r="AG17" s="26">
        <v>0</v>
      </c>
      <c r="AH17" s="32">
        <v>1</v>
      </c>
      <c r="AJ17" s="8"/>
      <c r="AK17" s="2" t="s">
        <v>8</v>
      </c>
      <c r="AL17" s="26">
        <v>0</v>
      </c>
      <c r="AM17" s="26">
        <v>0</v>
      </c>
      <c r="AN17" s="26">
        <v>0</v>
      </c>
      <c r="AO17" s="27">
        <v>0</v>
      </c>
      <c r="AP17" s="30">
        <v>0</v>
      </c>
      <c r="AQ17" s="26">
        <v>0</v>
      </c>
      <c r="AR17" s="26">
        <v>0</v>
      </c>
      <c r="AS17" s="32">
        <v>1</v>
      </c>
      <c r="AT17" s="34">
        <v>1</v>
      </c>
      <c r="AV17" s="8"/>
      <c r="AW17" s="9" t="s">
        <v>290</v>
      </c>
      <c r="AX17" s="53" t="s">
        <v>74</v>
      </c>
      <c r="AY17" s="63">
        <f>Notes!$L$4</f>
        <v>2024</v>
      </c>
      <c r="AZ17" s="63">
        <f>Notes!$L$5</f>
        <v>2040</v>
      </c>
      <c r="BA17" s="26">
        <v>0</v>
      </c>
      <c r="BB17" s="34">
        <v>1</v>
      </c>
    </row>
    <row r="18" spans="2:54" x14ac:dyDescent="0.3">
      <c r="B18" s="8"/>
      <c r="C18" s="2" t="s">
        <v>766</v>
      </c>
      <c r="D18" s="26">
        <v>0</v>
      </c>
      <c r="E18" s="26">
        <v>0</v>
      </c>
      <c r="F18" s="27">
        <v>0</v>
      </c>
      <c r="G18" s="26">
        <v>0</v>
      </c>
      <c r="H18" s="26">
        <v>0</v>
      </c>
      <c r="I18" s="27">
        <v>0</v>
      </c>
      <c r="J18" s="26">
        <v>0</v>
      </c>
      <c r="K18" s="26">
        <v>0</v>
      </c>
      <c r="L18" s="67">
        <v>1</v>
      </c>
      <c r="N18" s="8"/>
      <c r="O18" s="2" t="s">
        <v>809</v>
      </c>
      <c r="P18" s="26">
        <v>0</v>
      </c>
      <c r="Q18" s="27">
        <v>0</v>
      </c>
      <c r="R18" s="30">
        <v>0</v>
      </c>
      <c r="S18" s="27">
        <v>0</v>
      </c>
      <c r="T18" s="30">
        <v>0</v>
      </c>
      <c r="U18" s="34">
        <v>1</v>
      </c>
      <c r="V18" s="34">
        <v>1</v>
      </c>
      <c r="X18" s="8"/>
      <c r="Y18" s="2" t="s">
        <v>853</v>
      </c>
      <c r="Z18" s="26">
        <v>0</v>
      </c>
      <c r="AA18" s="26">
        <v>0</v>
      </c>
      <c r="AB18" s="26">
        <v>0</v>
      </c>
      <c r="AC18" s="26">
        <v>0</v>
      </c>
      <c r="AD18" s="27">
        <v>0</v>
      </c>
      <c r="AE18" s="30">
        <v>0</v>
      </c>
      <c r="AF18" s="26">
        <v>0</v>
      </c>
      <c r="AG18" s="26">
        <v>0</v>
      </c>
      <c r="AH18" s="32">
        <v>1</v>
      </c>
      <c r="AJ18" s="8"/>
      <c r="AK18" s="2" t="s">
        <v>985</v>
      </c>
      <c r="AL18" s="26">
        <v>0</v>
      </c>
      <c r="AM18" s="26">
        <v>0</v>
      </c>
      <c r="AN18" s="26">
        <v>0</v>
      </c>
      <c r="AO18" s="27">
        <v>0</v>
      </c>
      <c r="AP18" s="30">
        <v>0</v>
      </c>
      <c r="AQ18" s="26">
        <v>0</v>
      </c>
      <c r="AR18" s="26">
        <v>0</v>
      </c>
      <c r="AS18" s="32">
        <v>1</v>
      </c>
      <c r="AT18" s="34">
        <v>1</v>
      </c>
      <c r="AV18" s="8"/>
      <c r="AW18" s="9" t="s">
        <v>291</v>
      </c>
      <c r="AX18" s="53" t="s">
        <v>75</v>
      </c>
      <c r="AY18" s="63">
        <f>Notes!$L$4</f>
        <v>2024</v>
      </c>
      <c r="AZ18" s="63">
        <f>Notes!$L$5</f>
        <v>2040</v>
      </c>
      <c r="BA18" s="26">
        <v>0</v>
      </c>
      <c r="BB18" s="34">
        <v>1</v>
      </c>
    </row>
    <row r="19" spans="2:54" x14ac:dyDescent="0.3">
      <c r="B19" s="8"/>
      <c r="C19" s="2" t="s">
        <v>976</v>
      </c>
      <c r="D19" s="26">
        <v>0</v>
      </c>
      <c r="E19" s="26">
        <v>0</v>
      </c>
      <c r="F19" s="27">
        <v>0</v>
      </c>
      <c r="G19" s="26">
        <v>0</v>
      </c>
      <c r="H19" s="26">
        <v>0</v>
      </c>
      <c r="I19" s="27">
        <v>0</v>
      </c>
      <c r="J19" s="26">
        <v>0</v>
      </c>
      <c r="K19" s="26">
        <v>0</v>
      </c>
      <c r="L19" s="67">
        <v>1</v>
      </c>
      <c r="N19" s="8"/>
      <c r="O19" s="2" t="s">
        <v>946</v>
      </c>
      <c r="P19" s="26">
        <v>0</v>
      </c>
      <c r="Q19" s="27">
        <v>0</v>
      </c>
      <c r="R19" s="30">
        <v>0</v>
      </c>
      <c r="S19" s="27">
        <v>0</v>
      </c>
      <c r="T19" s="30">
        <v>0</v>
      </c>
      <c r="U19" s="34">
        <v>1</v>
      </c>
      <c r="V19" s="34">
        <v>1</v>
      </c>
      <c r="X19" s="8"/>
      <c r="Y19" s="2" t="s">
        <v>854</v>
      </c>
      <c r="Z19" s="26">
        <v>0</v>
      </c>
      <c r="AA19" s="26">
        <v>0</v>
      </c>
      <c r="AB19" s="26">
        <v>0</v>
      </c>
      <c r="AC19" s="26">
        <v>0</v>
      </c>
      <c r="AD19" s="27">
        <v>0</v>
      </c>
      <c r="AE19" s="30">
        <v>0</v>
      </c>
      <c r="AF19" s="26">
        <v>0</v>
      </c>
      <c r="AG19" s="26">
        <v>0</v>
      </c>
      <c r="AH19" s="32">
        <v>1</v>
      </c>
      <c r="AJ19" s="8"/>
      <c r="AK19" s="2" t="s">
        <v>986</v>
      </c>
      <c r="AL19" s="26">
        <v>0</v>
      </c>
      <c r="AM19" s="26">
        <v>0</v>
      </c>
      <c r="AN19" s="26">
        <v>0</v>
      </c>
      <c r="AO19" s="27">
        <v>0</v>
      </c>
      <c r="AP19" s="30">
        <v>0</v>
      </c>
      <c r="AQ19" s="26">
        <v>0</v>
      </c>
      <c r="AR19" s="26">
        <v>0</v>
      </c>
      <c r="AS19" s="32">
        <v>1</v>
      </c>
      <c r="AT19" s="34">
        <v>1</v>
      </c>
      <c r="AV19" s="8"/>
      <c r="AW19" s="9" t="s">
        <v>292</v>
      </c>
      <c r="AX19" s="53" t="s">
        <v>76</v>
      </c>
      <c r="AY19" s="63">
        <f>Notes!$L$4</f>
        <v>2024</v>
      </c>
      <c r="AZ19" s="63">
        <f>Notes!$L$5</f>
        <v>2040</v>
      </c>
      <c r="BA19" s="26">
        <v>0</v>
      </c>
      <c r="BB19" s="34">
        <v>1</v>
      </c>
    </row>
    <row r="20" spans="2:54" x14ac:dyDescent="0.3">
      <c r="B20" s="8"/>
      <c r="C20" s="2" t="s">
        <v>977</v>
      </c>
      <c r="D20" s="26">
        <v>0</v>
      </c>
      <c r="E20" s="26">
        <v>0</v>
      </c>
      <c r="F20" s="27">
        <v>0</v>
      </c>
      <c r="G20" s="26">
        <v>0</v>
      </c>
      <c r="H20" s="26">
        <v>0</v>
      </c>
      <c r="I20" s="27">
        <v>0</v>
      </c>
      <c r="J20" s="26">
        <v>0</v>
      </c>
      <c r="K20" s="26">
        <v>0</v>
      </c>
      <c r="L20" s="67">
        <v>1</v>
      </c>
      <c r="N20" s="8"/>
      <c r="O20" s="2" t="s">
        <v>947</v>
      </c>
      <c r="P20" s="26">
        <v>0</v>
      </c>
      <c r="Q20" s="27">
        <v>0</v>
      </c>
      <c r="R20" s="30">
        <v>0</v>
      </c>
      <c r="S20" s="27">
        <v>0</v>
      </c>
      <c r="T20" s="30">
        <v>0</v>
      </c>
      <c r="U20" s="34">
        <v>1</v>
      </c>
      <c r="V20" s="34">
        <v>1</v>
      </c>
      <c r="X20" s="8"/>
      <c r="Y20" s="2" t="s">
        <v>855</v>
      </c>
      <c r="Z20" s="26">
        <v>0</v>
      </c>
      <c r="AA20" s="26">
        <v>0</v>
      </c>
      <c r="AB20" s="26">
        <v>0</v>
      </c>
      <c r="AC20" s="26">
        <v>0</v>
      </c>
      <c r="AD20" s="27">
        <v>0</v>
      </c>
      <c r="AE20" s="30">
        <v>0</v>
      </c>
      <c r="AF20" s="26">
        <v>0</v>
      </c>
      <c r="AG20" s="26">
        <v>0</v>
      </c>
      <c r="AH20" s="32">
        <v>1</v>
      </c>
      <c r="AJ20" s="8"/>
      <c r="AK20" s="2" t="s">
        <v>987</v>
      </c>
      <c r="AL20" s="26">
        <v>0</v>
      </c>
      <c r="AM20" s="26">
        <v>0</v>
      </c>
      <c r="AN20" s="26">
        <v>0</v>
      </c>
      <c r="AO20" s="27">
        <v>0</v>
      </c>
      <c r="AP20" s="30">
        <v>0</v>
      </c>
      <c r="AQ20" s="26">
        <v>0</v>
      </c>
      <c r="AR20" s="26">
        <v>0</v>
      </c>
      <c r="AS20" s="32">
        <v>1</v>
      </c>
      <c r="AT20" s="34">
        <v>1</v>
      </c>
      <c r="AV20" s="8"/>
      <c r="AW20" s="9" t="s">
        <v>61</v>
      </c>
      <c r="AX20" s="53" t="s">
        <v>82</v>
      </c>
      <c r="AY20" s="63">
        <f>Notes!$L$4</f>
        <v>2024</v>
      </c>
      <c r="AZ20" s="63">
        <f>Notes!$L$5</f>
        <v>2040</v>
      </c>
      <c r="BA20" s="26">
        <v>0</v>
      </c>
      <c r="BB20" s="34">
        <v>1</v>
      </c>
    </row>
    <row r="21" spans="2:54" x14ac:dyDescent="0.3">
      <c r="B21" s="8"/>
      <c r="C21" s="2" t="s">
        <v>767</v>
      </c>
      <c r="D21" s="26">
        <v>0</v>
      </c>
      <c r="E21" s="26">
        <v>0</v>
      </c>
      <c r="F21" s="27">
        <v>0</v>
      </c>
      <c r="G21" s="26">
        <v>0</v>
      </c>
      <c r="H21" s="26">
        <v>0</v>
      </c>
      <c r="I21" s="27">
        <v>0</v>
      </c>
      <c r="J21" s="26">
        <v>0</v>
      </c>
      <c r="K21" s="26">
        <v>0</v>
      </c>
      <c r="L21" s="67">
        <v>1</v>
      </c>
      <c r="N21" s="8"/>
      <c r="O21" s="2" t="s">
        <v>810</v>
      </c>
      <c r="P21" s="26">
        <v>0</v>
      </c>
      <c r="Q21" s="27">
        <v>0</v>
      </c>
      <c r="R21" s="30">
        <v>0</v>
      </c>
      <c r="S21" s="27">
        <v>0</v>
      </c>
      <c r="T21" s="30">
        <v>0</v>
      </c>
      <c r="U21" s="34">
        <v>1</v>
      </c>
      <c r="V21" s="34">
        <v>1</v>
      </c>
      <c r="X21" s="8"/>
      <c r="Y21" s="2" t="s">
        <v>856</v>
      </c>
      <c r="Z21" s="26">
        <v>0</v>
      </c>
      <c r="AA21" s="26">
        <v>0</v>
      </c>
      <c r="AB21" s="26">
        <v>0</v>
      </c>
      <c r="AC21" s="26">
        <v>0</v>
      </c>
      <c r="AD21" s="27">
        <v>0</v>
      </c>
      <c r="AE21" s="30">
        <v>0</v>
      </c>
      <c r="AF21" s="26">
        <v>0</v>
      </c>
      <c r="AG21" s="26">
        <v>0</v>
      </c>
      <c r="AH21" s="32">
        <v>1</v>
      </c>
      <c r="AJ21" s="8"/>
      <c r="AK21" s="2" t="s">
        <v>988</v>
      </c>
      <c r="AL21" s="26">
        <v>0</v>
      </c>
      <c r="AM21" s="26">
        <v>0</v>
      </c>
      <c r="AN21" s="26">
        <v>0</v>
      </c>
      <c r="AO21" s="27">
        <v>0</v>
      </c>
      <c r="AP21" s="30">
        <v>0</v>
      </c>
      <c r="AQ21" s="26">
        <v>0</v>
      </c>
      <c r="AR21" s="26">
        <v>0</v>
      </c>
      <c r="AS21" s="32">
        <v>1</v>
      </c>
      <c r="AT21" s="34">
        <v>1</v>
      </c>
      <c r="AV21" s="8"/>
      <c r="AW21" s="9" t="s">
        <v>293</v>
      </c>
      <c r="AX21" s="53" t="s">
        <v>621</v>
      </c>
      <c r="AY21" s="63">
        <f>Notes!$L$4</f>
        <v>2024</v>
      </c>
      <c r="AZ21" s="63">
        <f>Notes!$L$5</f>
        <v>2040</v>
      </c>
      <c r="BA21" s="26">
        <v>0</v>
      </c>
      <c r="BB21" s="34">
        <v>1</v>
      </c>
    </row>
    <row r="22" spans="2:54" x14ac:dyDescent="0.3">
      <c r="B22" s="8"/>
      <c r="C22" s="2" t="s">
        <v>714</v>
      </c>
      <c r="D22" s="26">
        <v>0</v>
      </c>
      <c r="E22" s="26">
        <v>0</v>
      </c>
      <c r="F22" s="27">
        <v>0</v>
      </c>
      <c r="G22" s="26">
        <v>0</v>
      </c>
      <c r="H22" s="26">
        <v>0</v>
      </c>
      <c r="I22" s="27">
        <v>0</v>
      </c>
      <c r="J22" s="26">
        <v>0</v>
      </c>
      <c r="K22" s="26">
        <v>0</v>
      </c>
      <c r="L22" s="67">
        <v>1</v>
      </c>
      <c r="N22" s="8"/>
      <c r="O22" s="2" t="s">
        <v>650</v>
      </c>
      <c r="P22" s="26">
        <v>0</v>
      </c>
      <c r="Q22" s="27">
        <v>0</v>
      </c>
      <c r="R22" s="30">
        <v>0</v>
      </c>
      <c r="S22" s="27">
        <v>0</v>
      </c>
      <c r="T22" s="30">
        <v>0</v>
      </c>
      <c r="U22" s="34">
        <v>1</v>
      </c>
      <c r="V22" s="34">
        <v>1</v>
      </c>
      <c r="X22" s="8"/>
      <c r="Y22" s="2" t="s">
        <v>857</v>
      </c>
      <c r="Z22" s="26">
        <v>0</v>
      </c>
      <c r="AA22" s="26">
        <v>0</v>
      </c>
      <c r="AB22" s="26">
        <v>0</v>
      </c>
      <c r="AC22" s="26">
        <v>0</v>
      </c>
      <c r="AD22" s="27">
        <v>0</v>
      </c>
      <c r="AE22" s="30">
        <v>0</v>
      </c>
      <c r="AF22" s="26">
        <v>0</v>
      </c>
      <c r="AG22" s="26">
        <v>0</v>
      </c>
      <c r="AH22" s="32">
        <v>1</v>
      </c>
      <c r="AJ22" s="8"/>
      <c r="AK22" s="2" t="s">
        <v>989</v>
      </c>
      <c r="AL22" s="26">
        <v>0</v>
      </c>
      <c r="AM22" s="26">
        <v>0</v>
      </c>
      <c r="AN22" s="26">
        <v>0</v>
      </c>
      <c r="AO22" s="27">
        <v>0</v>
      </c>
      <c r="AP22" s="30">
        <v>0</v>
      </c>
      <c r="AQ22" s="26">
        <v>0</v>
      </c>
      <c r="AR22" s="26">
        <v>0</v>
      </c>
      <c r="AS22" s="32">
        <v>1</v>
      </c>
      <c r="AT22" s="34">
        <v>1</v>
      </c>
      <c r="AV22" s="8"/>
      <c r="AW22" s="9" t="s">
        <v>294</v>
      </c>
      <c r="AX22" s="53" t="s">
        <v>83</v>
      </c>
      <c r="AY22" s="63">
        <f>Notes!$L$4</f>
        <v>2024</v>
      </c>
      <c r="AZ22" s="63">
        <f>Notes!$L$5</f>
        <v>2040</v>
      </c>
      <c r="BA22" s="26">
        <v>0</v>
      </c>
      <c r="BB22" s="34">
        <v>1</v>
      </c>
    </row>
    <row r="23" spans="2:54" x14ac:dyDescent="0.3">
      <c r="B23" s="8"/>
      <c r="C23" s="2" t="s">
        <v>715</v>
      </c>
      <c r="D23" s="26">
        <v>0</v>
      </c>
      <c r="E23" s="26">
        <v>0</v>
      </c>
      <c r="F23" s="27">
        <v>0</v>
      </c>
      <c r="G23" s="26">
        <v>0</v>
      </c>
      <c r="H23" s="26">
        <v>0</v>
      </c>
      <c r="I23" s="27">
        <v>0</v>
      </c>
      <c r="J23" s="26">
        <v>0</v>
      </c>
      <c r="K23" s="26">
        <v>0</v>
      </c>
      <c r="L23" s="67">
        <v>1</v>
      </c>
      <c r="N23" s="8"/>
      <c r="O23" s="2" t="s">
        <v>651</v>
      </c>
      <c r="P23" s="26">
        <v>0</v>
      </c>
      <c r="Q23" s="27">
        <v>0</v>
      </c>
      <c r="R23" s="30">
        <v>0</v>
      </c>
      <c r="S23" s="27">
        <v>0</v>
      </c>
      <c r="T23" s="30">
        <v>0</v>
      </c>
      <c r="U23" s="34">
        <v>1</v>
      </c>
      <c r="V23" s="34">
        <v>1</v>
      </c>
      <c r="X23" s="8"/>
      <c r="Y23" s="2" t="s">
        <v>858</v>
      </c>
      <c r="Z23" s="26">
        <v>0</v>
      </c>
      <c r="AA23" s="26">
        <v>0</v>
      </c>
      <c r="AB23" s="26">
        <v>0</v>
      </c>
      <c r="AC23" s="26">
        <v>0</v>
      </c>
      <c r="AD23" s="27">
        <v>0</v>
      </c>
      <c r="AE23" s="30">
        <v>0</v>
      </c>
      <c r="AF23" s="26">
        <v>0</v>
      </c>
      <c r="AG23" s="26">
        <v>0</v>
      </c>
      <c r="AH23" s="32">
        <v>1</v>
      </c>
      <c r="AJ23" s="8"/>
      <c r="AK23" s="2" t="s">
        <v>990</v>
      </c>
      <c r="AL23" s="26">
        <v>0</v>
      </c>
      <c r="AM23" s="26">
        <v>0</v>
      </c>
      <c r="AN23" s="26">
        <v>0</v>
      </c>
      <c r="AO23" s="27">
        <v>0</v>
      </c>
      <c r="AP23" s="30">
        <v>0</v>
      </c>
      <c r="AQ23" s="26">
        <v>0</v>
      </c>
      <c r="AR23" s="26">
        <v>0</v>
      </c>
      <c r="AS23" s="32">
        <v>1</v>
      </c>
      <c r="AT23" s="34">
        <v>1</v>
      </c>
      <c r="AV23" s="8"/>
      <c r="AW23" s="9" t="s">
        <v>295</v>
      </c>
      <c r="AX23" s="53" t="s">
        <v>622</v>
      </c>
      <c r="AY23" s="63">
        <f>Notes!$L$4</f>
        <v>2024</v>
      </c>
      <c r="AZ23" s="63">
        <f>Notes!$L$5</f>
        <v>2040</v>
      </c>
      <c r="BA23" s="26">
        <v>0</v>
      </c>
      <c r="BB23" s="34">
        <v>1</v>
      </c>
    </row>
    <row r="24" spans="2:54" x14ac:dyDescent="0.3">
      <c r="B24" s="8"/>
      <c r="C24" s="2" t="s">
        <v>768</v>
      </c>
      <c r="D24" s="26">
        <v>0</v>
      </c>
      <c r="E24" s="26">
        <v>0</v>
      </c>
      <c r="F24" s="27">
        <v>0</v>
      </c>
      <c r="G24" s="26">
        <v>0</v>
      </c>
      <c r="H24" s="26">
        <v>0</v>
      </c>
      <c r="I24" s="27">
        <v>0</v>
      </c>
      <c r="J24" s="26">
        <v>0</v>
      </c>
      <c r="K24" s="26">
        <v>0</v>
      </c>
      <c r="L24" s="67">
        <v>1</v>
      </c>
      <c r="N24" s="8"/>
      <c r="O24" s="2" t="s">
        <v>811</v>
      </c>
      <c r="P24" s="26">
        <v>0</v>
      </c>
      <c r="Q24" s="27">
        <v>0</v>
      </c>
      <c r="R24" s="30">
        <v>0</v>
      </c>
      <c r="S24" s="27">
        <v>0</v>
      </c>
      <c r="T24" s="30">
        <v>0</v>
      </c>
      <c r="U24" s="34">
        <v>1</v>
      </c>
      <c r="V24" s="34">
        <v>1</v>
      </c>
      <c r="X24" s="8"/>
      <c r="Y24" s="2" t="s">
        <v>859</v>
      </c>
      <c r="Z24" s="26">
        <v>0</v>
      </c>
      <c r="AA24" s="26">
        <v>0</v>
      </c>
      <c r="AB24" s="26">
        <v>0</v>
      </c>
      <c r="AC24" s="26">
        <v>0</v>
      </c>
      <c r="AD24" s="27">
        <v>0</v>
      </c>
      <c r="AE24" s="30">
        <v>0</v>
      </c>
      <c r="AF24" s="26">
        <v>0</v>
      </c>
      <c r="AG24" s="26">
        <v>0</v>
      </c>
      <c r="AH24" s="32">
        <v>1</v>
      </c>
      <c r="AJ24" s="8"/>
      <c r="AK24" s="2" t="s">
        <v>991</v>
      </c>
      <c r="AL24" s="26">
        <v>0</v>
      </c>
      <c r="AM24" s="26">
        <v>0</v>
      </c>
      <c r="AN24" s="26">
        <v>0</v>
      </c>
      <c r="AO24" s="27">
        <v>0</v>
      </c>
      <c r="AP24" s="30">
        <v>0</v>
      </c>
      <c r="AQ24" s="26">
        <v>0</v>
      </c>
      <c r="AR24" s="26">
        <v>0</v>
      </c>
      <c r="AS24" s="32">
        <v>1</v>
      </c>
      <c r="AT24" s="34">
        <v>1</v>
      </c>
      <c r="AV24" s="8"/>
      <c r="AW24" s="9" t="s">
        <v>647</v>
      </c>
      <c r="AX24" s="53" t="s">
        <v>648</v>
      </c>
      <c r="AY24" s="63">
        <f>Notes!$L$4</f>
        <v>2024</v>
      </c>
      <c r="AZ24" s="63">
        <f>Notes!$L$5</f>
        <v>2040</v>
      </c>
      <c r="BA24" s="26">
        <v>0</v>
      </c>
      <c r="BB24" s="34">
        <v>1</v>
      </c>
    </row>
    <row r="25" spans="2:54" x14ac:dyDescent="0.3">
      <c r="B25" s="8"/>
      <c r="C25" s="2" t="s">
        <v>716</v>
      </c>
      <c r="D25" s="26">
        <v>0</v>
      </c>
      <c r="E25" s="26">
        <v>0</v>
      </c>
      <c r="F25" s="27">
        <v>0</v>
      </c>
      <c r="G25" s="26">
        <v>0</v>
      </c>
      <c r="H25" s="26">
        <v>0</v>
      </c>
      <c r="I25" s="27">
        <v>0</v>
      </c>
      <c r="J25" s="26">
        <v>0</v>
      </c>
      <c r="K25" s="26">
        <v>0</v>
      </c>
      <c r="L25" s="67">
        <v>1</v>
      </c>
      <c r="N25" s="8"/>
      <c r="O25" s="2" t="s">
        <v>652</v>
      </c>
      <c r="P25" s="26">
        <v>0</v>
      </c>
      <c r="Q25" s="27">
        <v>0</v>
      </c>
      <c r="R25" s="30">
        <v>0</v>
      </c>
      <c r="S25" s="27">
        <v>0</v>
      </c>
      <c r="T25" s="30">
        <v>0</v>
      </c>
      <c r="U25" s="34">
        <v>1</v>
      </c>
      <c r="V25" s="34">
        <v>1</v>
      </c>
      <c r="X25" s="8"/>
      <c r="Y25" s="2" t="s">
        <v>10</v>
      </c>
      <c r="Z25" s="26">
        <v>0</v>
      </c>
      <c r="AA25" s="26">
        <v>0</v>
      </c>
      <c r="AB25" s="26">
        <v>0</v>
      </c>
      <c r="AC25" s="26">
        <v>0</v>
      </c>
      <c r="AD25" s="27">
        <v>0</v>
      </c>
      <c r="AE25" s="30">
        <v>0</v>
      </c>
      <c r="AF25" s="26">
        <v>0</v>
      </c>
      <c r="AG25" s="26">
        <v>0</v>
      </c>
      <c r="AH25" s="32">
        <v>1</v>
      </c>
      <c r="AJ25" s="8"/>
      <c r="AK25" s="2" t="s">
        <v>992</v>
      </c>
      <c r="AL25" s="26">
        <v>0</v>
      </c>
      <c r="AM25" s="26">
        <v>0</v>
      </c>
      <c r="AN25" s="26">
        <v>0</v>
      </c>
      <c r="AO25" s="27">
        <v>0</v>
      </c>
      <c r="AP25" s="30">
        <v>0</v>
      </c>
      <c r="AQ25" s="26">
        <v>0</v>
      </c>
      <c r="AR25" s="26">
        <v>0</v>
      </c>
      <c r="AS25" s="32">
        <v>1</v>
      </c>
      <c r="AT25" s="34">
        <v>1</v>
      </c>
      <c r="AV25" s="8"/>
    </row>
    <row r="26" spans="2:54" x14ac:dyDescent="0.3">
      <c r="B26" s="8"/>
      <c r="C26" s="2" t="s">
        <v>769</v>
      </c>
      <c r="D26" s="26">
        <v>0</v>
      </c>
      <c r="E26" s="26">
        <v>0</v>
      </c>
      <c r="F26" s="27">
        <v>0</v>
      </c>
      <c r="G26" s="26">
        <v>0</v>
      </c>
      <c r="H26" s="26">
        <v>0</v>
      </c>
      <c r="I26" s="27">
        <v>0</v>
      </c>
      <c r="J26" s="26">
        <v>0</v>
      </c>
      <c r="K26" s="26">
        <v>0</v>
      </c>
      <c r="L26" s="67">
        <v>1</v>
      </c>
      <c r="N26" s="8"/>
      <c r="O26" s="2" t="s">
        <v>812</v>
      </c>
      <c r="P26" s="26">
        <v>0</v>
      </c>
      <c r="Q26" s="27">
        <v>0</v>
      </c>
      <c r="R26" s="30">
        <v>0</v>
      </c>
      <c r="S26" s="27">
        <v>0</v>
      </c>
      <c r="T26" s="30">
        <v>0</v>
      </c>
      <c r="U26" s="34">
        <v>1</v>
      </c>
      <c r="V26" s="34">
        <v>1</v>
      </c>
      <c r="X26" s="8"/>
      <c r="Y26" s="2" t="s">
        <v>860</v>
      </c>
      <c r="Z26" s="26">
        <v>0</v>
      </c>
      <c r="AA26" s="26">
        <v>0</v>
      </c>
      <c r="AB26" s="26">
        <v>0</v>
      </c>
      <c r="AC26" s="26">
        <v>0</v>
      </c>
      <c r="AD26" s="27">
        <v>0</v>
      </c>
      <c r="AE26" s="30">
        <v>0</v>
      </c>
      <c r="AF26" s="26">
        <v>0</v>
      </c>
      <c r="AG26" s="26">
        <v>0</v>
      </c>
      <c r="AH26" s="32">
        <v>1</v>
      </c>
      <c r="AJ26" s="8"/>
      <c r="AK26" s="2" t="s">
        <v>993</v>
      </c>
      <c r="AL26" s="26">
        <v>0</v>
      </c>
      <c r="AM26" s="26">
        <v>0</v>
      </c>
      <c r="AN26" s="26">
        <v>0</v>
      </c>
      <c r="AO26" s="27">
        <v>0</v>
      </c>
      <c r="AP26" s="30">
        <v>0</v>
      </c>
      <c r="AQ26" s="26">
        <v>0</v>
      </c>
      <c r="AR26" s="26">
        <v>0</v>
      </c>
      <c r="AS26" s="32">
        <v>1</v>
      </c>
      <c r="AT26" s="34">
        <v>1</v>
      </c>
    </row>
    <row r="27" spans="2:54" x14ac:dyDescent="0.3">
      <c r="B27" s="8"/>
      <c r="C27" s="2" t="s">
        <v>770</v>
      </c>
      <c r="D27" s="26">
        <v>0</v>
      </c>
      <c r="E27" s="26">
        <v>0</v>
      </c>
      <c r="F27" s="27">
        <v>0</v>
      </c>
      <c r="G27" s="26">
        <v>0</v>
      </c>
      <c r="H27" s="26">
        <v>0</v>
      </c>
      <c r="I27" s="27">
        <v>0</v>
      </c>
      <c r="J27" s="26">
        <v>0</v>
      </c>
      <c r="K27" s="26">
        <v>0</v>
      </c>
      <c r="L27" s="67">
        <v>1</v>
      </c>
      <c r="N27" s="8"/>
      <c r="O27" s="2" t="s">
        <v>813</v>
      </c>
      <c r="P27" s="26">
        <v>0</v>
      </c>
      <c r="Q27" s="27">
        <v>0</v>
      </c>
      <c r="R27" s="30">
        <v>0</v>
      </c>
      <c r="S27" s="27">
        <v>0</v>
      </c>
      <c r="T27" s="30">
        <v>0</v>
      </c>
      <c r="U27" s="34">
        <v>1</v>
      </c>
      <c r="V27" s="34">
        <v>1</v>
      </c>
      <c r="X27" s="8"/>
      <c r="Y27" s="2" t="s">
        <v>861</v>
      </c>
      <c r="Z27" s="26">
        <v>0</v>
      </c>
      <c r="AA27" s="26">
        <v>0</v>
      </c>
      <c r="AB27" s="26">
        <v>0</v>
      </c>
      <c r="AC27" s="26">
        <v>0</v>
      </c>
      <c r="AD27" s="27">
        <v>0</v>
      </c>
      <c r="AE27" s="30">
        <v>0</v>
      </c>
      <c r="AF27" s="26">
        <v>0</v>
      </c>
      <c r="AG27" s="26">
        <v>0</v>
      </c>
      <c r="AH27" s="32">
        <v>1</v>
      </c>
      <c r="AJ27" s="8"/>
      <c r="AK27" s="2" t="s">
        <v>994</v>
      </c>
      <c r="AL27" s="26">
        <v>0</v>
      </c>
      <c r="AM27" s="26">
        <v>0</v>
      </c>
      <c r="AN27" s="26">
        <v>0</v>
      </c>
      <c r="AO27" s="27">
        <v>0</v>
      </c>
      <c r="AP27" s="30">
        <v>0</v>
      </c>
      <c r="AQ27" s="26">
        <v>0</v>
      </c>
      <c r="AR27" s="26">
        <v>0</v>
      </c>
      <c r="AS27" s="32">
        <v>1</v>
      </c>
      <c r="AT27" s="34">
        <v>1</v>
      </c>
    </row>
    <row r="28" spans="2:54" x14ac:dyDescent="0.3">
      <c r="B28" s="8"/>
      <c r="C28" s="2" t="s">
        <v>771</v>
      </c>
      <c r="D28" s="26">
        <v>0</v>
      </c>
      <c r="E28" s="26">
        <v>0</v>
      </c>
      <c r="F28" s="27">
        <v>0</v>
      </c>
      <c r="G28" s="26">
        <v>0</v>
      </c>
      <c r="H28" s="26">
        <v>0</v>
      </c>
      <c r="I28" s="27">
        <v>0</v>
      </c>
      <c r="J28" s="26">
        <v>0</v>
      </c>
      <c r="K28" s="26">
        <v>0</v>
      </c>
      <c r="L28" s="67">
        <v>1</v>
      </c>
      <c r="N28" s="8"/>
      <c r="O28" s="2" t="s">
        <v>814</v>
      </c>
      <c r="P28" s="26">
        <v>0</v>
      </c>
      <c r="Q28" s="27">
        <v>0</v>
      </c>
      <c r="R28" s="30">
        <v>0</v>
      </c>
      <c r="S28" s="27">
        <v>0</v>
      </c>
      <c r="T28" s="30">
        <v>0</v>
      </c>
      <c r="U28" s="34">
        <v>1</v>
      </c>
      <c r="V28" s="34">
        <v>1</v>
      </c>
      <c r="X28" s="8"/>
      <c r="Y28" s="2" t="s">
        <v>862</v>
      </c>
      <c r="Z28" s="26">
        <v>0</v>
      </c>
      <c r="AA28" s="26">
        <v>0</v>
      </c>
      <c r="AB28" s="26">
        <v>0</v>
      </c>
      <c r="AC28" s="26">
        <v>0</v>
      </c>
      <c r="AD28" s="27">
        <v>0</v>
      </c>
      <c r="AE28" s="30">
        <v>0</v>
      </c>
      <c r="AF28" s="26">
        <v>0</v>
      </c>
      <c r="AG28" s="26">
        <v>0</v>
      </c>
      <c r="AH28" s="32">
        <v>1</v>
      </c>
      <c r="AJ28" s="8"/>
      <c r="AK28" s="2" t="s">
        <v>995</v>
      </c>
      <c r="AL28" s="26">
        <v>0</v>
      </c>
      <c r="AM28" s="26">
        <v>0</v>
      </c>
      <c r="AN28" s="26">
        <v>0</v>
      </c>
      <c r="AO28" s="27">
        <v>0</v>
      </c>
      <c r="AP28" s="30">
        <v>0</v>
      </c>
      <c r="AQ28" s="26">
        <v>0</v>
      </c>
      <c r="AR28" s="26">
        <v>0</v>
      </c>
      <c r="AS28" s="32">
        <v>1</v>
      </c>
      <c r="AT28" s="34">
        <v>1</v>
      </c>
    </row>
    <row r="29" spans="2:54" x14ac:dyDescent="0.3">
      <c r="B29" s="8"/>
      <c r="C29" s="2" t="s">
        <v>717</v>
      </c>
      <c r="D29" s="26">
        <v>0</v>
      </c>
      <c r="E29" s="26">
        <v>0</v>
      </c>
      <c r="F29" s="27">
        <v>0</v>
      </c>
      <c r="G29" s="26">
        <v>0</v>
      </c>
      <c r="H29" s="26">
        <v>0</v>
      </c>
      <c r="I29" s="27">
        <v>0</v>
      </c>
      <c r="J29" s="26">
        <v>0</v>
      </c>
      <c r="K29" s="26">
        <v>0</v>
      </c>
      <c r="L29" s="67">
        <v>1</v>
      </c>
      <c r="N29" s="8"/>
      <c r="O29" s="2" t="s">
        <v>653</v>
      </c>
      <c r="P29" s="26">
        <v>0</v>
      </c>
      <c r="Q29" s="27">
        <v>0</v>
      </c>
      <c r="R29" s="30">
        <v>0</v>
      </c>
      <c r="S29" s="27">
        <v>0</v>
      </c>
      <c r="T29" s="30">
        <v>0</v>
      </c>
      <c r="U29" s="34">
        <v>1</v>
      </c>
      <c r="V29" s="34">
        <v>1</v>
      </c>
      <c r="X29" s="8"/>
      <c r="Y29" s="2" t="s">
        <v>863</v>
      </c>
      <c r="Z29" s="26">
        <v>0</v>
      </c>
      <c r="AA29" s="26">
        <v>0</v>
      </c>
      <c r="AB29" s="26">
        <v>0</v>
      </c>
      <c r="AC29" s="26">
        <v>0</v>
      </c>
      <c r="AD29" s="27">
        <v>0</v>
      </c>
      <c r="AE29" s="30">
        <v>0</v>
      </c>
      <c r="AF29" s="26">
        <v>0</v>
      </c>
      <c r="AG29" s="26">
        <v>0</v>
      </c>
      <c r="AH29" s="32">
        <v>1</v>
      </c>
      <c r="AJ29" s="8"/>
      <c r="AK29" s="2" t="s">
        <v>996</v>
      </c>
      <c r="AL29" s="26">
        <v>0</v>
      </c>
      <c r="AM29" s="26">
        <v>0</v>
      </c>
      <c r="AN29" s="26">
        <v>0</v>
      </c>
      <c r="AO29" s="27">
        <v>0</v>
      </c>
      <c r="AP29" s="30">
        <v>0</v>
      </c>
      <c r="AQ29" s="26">
        <v>0</v>
      </c>
      <c r="AR29" s="26">
        <v>0</v>
      </c>
      <c r="AS29" s="32">
        <v>1</v>
      </c>
      <c r="AT29" s="34">
        <v>1</v>
      </c>
    </row>
    <row r="30" spans="2:54" x14ac:dyDescent="0.3">
      <c r="B30" s="8"/>
      <c r="C30" s="2" t="s">
        <v>978</v>
      </c>
      <c r="D30" s="26">
        <v>0</v>
      </c>
      <c r="E30" s="26">
        <v>0</v>
      </c>
      <c r="F30" s="27">
        <v>0</v>
      </c>
      <c r="G30" s="26">
        <v>0</v>
      </c>
      <c r="H30" s="26">
        <v>0</v>
      </c>
      <c r="I30" s="27">
        <v>0</v>
      </c>
      <c r="J30" s="26">
        <v>0</v>
      </c>
      <c r="K30" s="26">
        <v>0</v>
      </c>
      <c r="L30" s="67">
        <v>1</v>
      </c>
      <c r="N30" s="8"/>
      <c r="O30" s="2" t="s">
        <v>948</v>
      </c>
      <c r="P30" s="26">
        <v>0</v>
      </c>
      <c r="Q30" s="27">
        <v>0</v>
      </c>
      <c r="R30" s="30">
        <v>0</v>
      </c>
      <c r="S30" s="27">
        <v>0</v>
      </c>
      <c r="T30" s="30">
        <v>0</v>
      </c>
      <c r="U30" s="34">
        <v>1</v>
      </c>
      <c r="V30" s="34">
        <v>1</v>
      </c>
      <c r="X30" s="8"/>
      <c r="Y30" s="2"/>
      <c r="Z30" s="26"/>
      <c r="AA30" s="26"/>
      <c r="AB30" s="26"/>
      <c r="AC30" s="26"/>
      <c r="AD30" s="27"/>
      <c r="AE30" s="30"/>
      <c r="AF30" s="26"/>
      <c r="AG30" s="26"/>
      <c r="AH30" s="32"/>
      <c r="AJ30" s="8"/>
      <c r="AK30" s="2" t="s">
        <v>997</v>
      </c>
      <c r="AL30" s="26">
        <v>0</v>
      </c>
      <c r="AM30" s="26">
        <v>0</v>
      </c>
      <c r="AN30" s="26">
        <v>0</v>
      </c>
      <c r="AO30" s="27">
        <v>0</v>
      </c>
      <c r="AP30" s="30">
        <v>0</v>
      </c>
      <c r="AQ30" s="26">
        <v>0</v>
      </c>
      <c r="AR30" s="26">
        <v>0</v>
      </c>
      <c r="AS30" s="32">
        <v>1</v>
      </c>
      <c r="AT30" s="34">
        <v>1</v>
      </c>
    </row>
    <row r="31" spans="2:54" x14ac:dyDescent="0.3">
      <c r="B31" s="8"/>
      <c r="C31" s="2" t="s">
        <v>718</v>
      </c>
      <c r="D31" s="26">
        <v>0</v>
      </c>
      <c r="E31" s="26">
        <v>0</v>
      </c>
      <c r="F31" s="27">
        <v>0</v>
      </c>
      <c r="G31" s="26">
        <v>0</v>
      </c>
      <c r="H31" s="26">
        <v>0</v>
      </c>
      <c r="I31" s="27">
        <v>0</v>
      </c>
      <c r="J31" s="26">
        <v>0</v>
      </c>
      <c r="K31" s="26">
        <v>0</v>
      </c>
      <c r="L31" s="67">
        <v>1</v>
      </c>
      <c r="N31" s="8"/>
      <c r="O31" s="2" t="s">
        <v>654</v>
      </c>
      <c r="P31" s="26">
        <v>0</v>
      </c>
      <c r="Q31" s="27">
        <v>0</v>
      </c>
      <c r="R31" s="30">
        <v>0</v>
      </c>
      <c r="S31" s="27">
        <v>0</v>
      </c>
      <c r="T31" s="30">
        <v>0</v>
      </c>
      <c r="U31" s="34">
        <v>1</v>
      </c>
      <c r="V31" s="34">
        <v>1</v>
      </c>
      <c r="X31" s="8"/>
      <c r="Y31" s="2"/>
      <c r="Z31" s="26"/>
      <c r="AA31" s="26"/>
      <c r="AB31" s="26"/>
      <c r="AC31" s="26"/>
      <c r="AD31" s="27"/>
      <c r="AE31" s="30"/>
      <c r="AF31" s="26"/>
      <c r="AG31" s="26"/>
      <c r="AH31" s="32"/>
      <c r="AJ31" s="8"/>
      <c r="AK31" s="2" t="s">
        <v>998</v>
      </c>
      <c r="AL31" s="26">
        <v>0</v>
      </c>
      <c r="AM31" s="26">
        <v>0</v>
      </c>
      <c r="AN31" s="26">
        <v>0</v>
      </c>
      <c r="AO31" s="27">
        <v>0</v>
      </c>
      <c r="AP31" s="30">
        <v>0</v>
      </c>
      <c r="AQ31" s="26">
        <v>0</v>
      </c>
      <c r="AR31" s="26">
        <v>0</v>
      </c>
      <c r="AS31" s="32">
        <v>1</v>
      </c>
      <c r="AT31" s="34">
        <v>1</v>
      </c>
    </row>
    <row r="32" spans="2:54" x14ac:dyDescent="0.3">
      <c r="B32" s="8"/>
      <c r="C32" s="2" t="s">
        <v>719</v>
      </c>
      <c r="D32" s="26">
        <v>0</v>
      </c>
      <c r="E32" s="26">
        <v>0</v>
      </c>
      <c r="F32" s="27">
        <v>0</v>
      </c>
      <c r="G32" s="26">
        <v>0</v>
      </c>
      <c r="H32" s="26">
        <v>0</v>
      </c>
      <c r="I32" s="27">
        <v>0</v>
      </c>
      <c r="J32" s="26">
        <v>0</v>
      </c>
      <c r="K32" s="26">
        <v>0</v>
      </c>
      <c r="L32" s="67">
        <v>1</v>
      </c>
      <c r="N32" s="8"/>
      <c r="O32" s="2" t="s">
        <v>655</v>
      </c>
      <c r="P32" s="26">
        <v>0</v>
      </c>
      <c r="Q32" s="27">
        <v>0</v>
      </c>
      <c r="R32" s="30">
        <v>0</v>
      </c>
      <c r="S32" s="27">
        <v>0</v>
      </c>
      <c r="T32" s="30">
        <v>0</v>
      </c>
      <c r="U32" s="34">
        <v>1</v>
      </c>
      <c r="V32" s="34">
        <v>1</v>
      </c>
      <c r="X32" s="8"/>
      <c r="Y32" s="2"/>
      <c r="Z32" s="26"/>
      <c r="AA32" s="26"/>
      <c r="AB32" s="26"/>
      <c r="AC32" s="26"/>
      <c r="AD32" s="27"/>
      <c r="AE32" s="30"/>
      <c r="AF32" s="26"/>
      <c r="AG32" s="26"/>
      <c r="AH32" s="32"/>
      <c r="AJ32" s="8"/>
      <c r="AK32" s="2" t="s">
        <v>999</v>
      </c>
      <c r="AL32" s="26">
        <v>0</v>
      </c>
      <c r="AM32" s="26">
        <v>0</v>
      </c>
      <c r="AN32" s="26">
        <v>0</v>
      </c>
      <c r="AO32" s="27">
        <v>0</v>
      </c>
      <c r="AP32" s="30">
        <v>0</v>
      </c>
      <c r="AQ32" s="26">
        <v>0</v>
      </c>
      <c r="AR32" s="26">
        <v>0</v>
      </c>
      <c r="AS32" s="32">
        <v>1</v>
      </c>
      <c r="AT32" s="34">
        <v>1</v>
      </c>
    </row>
    <row r="33" spans="2:46" x14ac:dyDescent="0.3">
      <c r="B33" s="8"/>
      <c r="C33" s="2" t="s">
        <v>720</v>
      </c>
      <c r="D33" s="26">
        <v>0</v>
      </c>
      <c r="E33" s="26">
        <v>0</v>
      </c>
      <c r="F33" s="27">
        <v>0</v>
      </c>
      <c r="G33" s="26">
        <v>0</v>
      </c>
      <c r="H33" s="26">
        <v>0</v>
      </c>
      <c r="I33" s="27">
        <v>0</v>
      </c>
      <c r="J33" s="26">
        <v>0</v>
      </c>
      <c r="K33" s="26">
        <v>0</v>
      </c>
      <c r="L33" s="67">
        <v>1</v>
      </c>
      <c r="N33" s="8"/>
      <c r="O33" s="2" t="s">
        <v>656</v>
      </c>
      <c r="P33" s="26">
        <v>0</v>
      </c>
      <c r="Q33" s="27">
        <v>0</v>
      </c>
      <c r="R33" s="30">
        <v>0</v>
      </c>
      <c r="S33" s="27">
        <v>0</v>
      </c>
      <c r="T33" s="30">
        <v>0</v>
      </c>
      <c r="U33" s="34">
        <v>1</v>
      </c>
      <c r="V33" s="34">
        <v>1</v>
      </c>
      <c r="X33" s="8"/>
      <c r="Y33" s="2"/>
      <c r="Z33" s="26"/>
      <c r="AA33" s="26"/>
      <c r="AB33" s="26"/>
      <c r="AC33" s="26"/>
      <c r="AD33" s="27"/>
      <c r="AE33" s="30"/>
      <c r="AF33" s="26"/>
      <c r="AG33" s="26"/>
      <c r="AH33" s="32"/>
      <c r="AJ33" s="8"/>
      <c r="AK33" s="2" t="s">
        <v>1000</v>
      </c>
      <c r="AL33" s="26">
        <v>0</v>
      </c>
      <c r="AM33" s="26">
        <v>0</v>
      </c>
      <c r="AN33" s="26">
        <v>0</v>
      </c>
      <c r="AO33" s="27">
        <v>0</v>
      </c>
      <c r="AP33" s="30">
        <v>0</v>
      </c>
      <c r="AQ33" s="26">
        <v>0</v>
      </c>
      <c r="AR33" s="26">
        <v>0</v>
      </c>
      <c r="AS33" s="32">
        <v>1</v>
      </c>
      <c r="AT33" s="34">
        <v>1</v>
      </c>
    </row>
    <row r="34" spans="2:46" x14ac:dyDescent="0.3">
      <c r="B34" s="8"/>
      <c r="C34" s="2" t="s">
        <v>721</v>
      </c>
      <c r="D34" s="26">
        <v>0</v>
      </c>
      <c r="E34" s="26">
        <v>0</v>
      </c>
      <c r="F34" s="27">
        <v>0</v>
      </c>
      <c r="G34" s="26">
        <v>0</v>
      </c>
      <c r="H34" s="26">
        <v>0</v>
      </c>
      <c r="I34" s="27">
        <v>0</v>
      </c>
      <c r="J34" s="26">
        <v>0</v>
      </c>
      <c r="K34" s="26">
        <v>0</v>
      </c>
      <c r="L34" s="67">
        <v>1</v>
      </c>
      <c r="N34" s="8"/>
      <c r="O34" s="2" t="s">
        <v>657</v>
      </c>
      <c r="P34" s="26">
        <v>0</v>
      </c>
      <c r="Q34" s="27">
        <v>0</v>
      </c>
      <c r="R34" s="30">
        <v>0</v>
      </c>
      <c r="S34" s="27">
        <v>0</v>
      </c>
      <c r="T34" s="30">
        <v>0</v>
      </c>
      <c r="U34" s="34">
        <v>1</v>
      </c>
      <c r="V34" s="34">
        <v>1</v>
      </c>
      <c r="X34" s="8"/>
      <c r="Y34" s="2"/>
      <c r="Z34" s="26"/>
      <c r="AA34" s="26"/>
      <c r="AB34" s="26"/>
      <c r="AC34" s="26"/>
      <c r="AD34" s="27"/>
      <c r="AE34" s="30"/>
      <c r="AF34" s="26"/>
      <c r="AG34" s="26"/>
      <c r="AH34" s="32"/>
      <c r="AJ34" s="8"/>
      <c r="AK34" s="2" t="s">
        <v>1001</v>
      </c>
      <c r="AL34" s="26">
        <v>0</v>
      </c>
      <c r="AM34" s="26">
        <v>0</v>
      </c>
      <c r="AN34" s="26">
        <v>0</v>
      </c>
      <c r="AO34" s="27">
        <v>0</v>
      </c>
      <c r="AP34" s="30">
        <v>0</v>
      </c>
      <c r="AQ34" s="26">
        <v>0</v>
      </c>
      <c r="AR34" s="26">
        <v>0</v>
      </c>
      <c r="AS34" s="32">
        <v>1</v>
      </c>
      <c r="AT34" s="34">
        <v>1</v>
      </c>
    </row>
    <row r="35" spans="2:46" x14ac:dyDescent="0.3">
      <c r="B35" s="8"/>
      <c r="C35" s="2" t="s">
        <v>979</v>
      </c>
      <c r="D35" s="26">
        <v>0</v>
      </c>
      <c r="E35" s="26">
        <v>0</v>
      </c>
      <c r="F35" s="27">
        <v>0</v>
      </c>
      <c r="G35" s="26">
        <v>0</v>
      </c>
      <c r="H35" s="26">
        <v>0</v>
      </c>
      <c r="I35" s="27">
        <v>0</v>
      </c>
      <c r="J35" s="26">
        <v>0</v>
      </c>
      <c r="K35" s="26">
        <v>0</v>
      </c>
      <c r="L35" s="67">
        <v>1</v>
      </c>
      <c r="N35" s="8"/>
      <c r="O35" s="2" t="s">
        <v>949</v>
      </c>
      <c r="P35" s="26">
        <v>0</v>
      </c>
      <c r="Q35" s="27">
        <v>0</v>
      </c>
      <c r="R35" s="30">
        <v>0</v>
      </c>
      <c r="S35" s="27">
        <v>0</v>
      </c>
      <c r="T35" s="30">
        <v>0</v>
      </c>
      <c r="U35" s="34">
        <v>1</v>
      </c>
      <c r="V35" s="34">
        <v>1</v>
      </c>
      <c r="X35" s="8"/>
      <c r="Y35" s="2"/>
      <c r="Z35" s="26"/>
      <c r="AA35" s="26"/>
      <c r="AB35" s="26"/>
      <c r="AC35" s="26"/>
      <c r="AD35" s="27"/>
      <c r="AE35" s="30"/>
      <c r="AF35" s="26"/>
      <c r="AG35" s="26"/>
      <c r="AH35" s="32"/>
      <c r="AJ35" s="8"/>
      <c r="AK35" s="2" t="s">
        <v>1002</v>
      </c>
      <c r="AL35" s="26">
        <v>0</v>
      </c>
      <c r="AM35" s="26">
        <v>0</v>
      </c>
      <c r="AN35" s="26">
        <v>0</v>
      </c>
      <c r="AO35" s="27">
        <v>0</v>
      </c>
      <c r="AP35" s="30">
        <v>0</v>
      </c>
      <c r="AQ35" s="26">
        <v>0</v>
      </c>
      <c r="AR35" s="26">
        <v>0</v>
      </c>
      <c r="AS35" s="32">
        <v>1</v>
      </c>
      <c r="AT35" s="34">
        <v>1</v>
      </c>
    </row>
    <row r="36" spans="2:46" x14ac:dyDescent="0.3">
      <c r="B36" s="8"/>
      <c r="C36" s="2" t="s">
        <v>772</v>
      </c>
      <c r="D36" s="26">
        <v>0</v>
      </c>
      <c r="E36" s="26">
        <v>0</v>
      </c>
      <c r="F36" s="27">
        <v>0</v>
      </c>
      <c r="G36" s="26">
        <v>0</v>
      </c>
      <c r="H36" s="26">
        <v>0</v>
      </c>
      <c r="I36" s="27">
        <v>0</v>
      </c>
      <c r="J36" s="26">
        <v>0</v>
      </c>
      <c r="K36" s="26">
        <v>0</v>
      </c>
      <c r="L36" s="67">
        <v>1</v>
      </c>
      <c r="N36" s="8"/>
      <c r="O36" s="2" t="s">
        <v>815</v>
      </c>
      <c r="P36" s="26">
        <v>0</v>
      </c>
      <c r="Q36" s="27">
        <v>0</v>
      </c>
      <c r="R36" s="30">
        <v>0</v>
      </c>
      <c r="S36" s="27">
        <v>0</v>
      </c>
      <c r="T36" s="30">
        <v>0</v>
      </c>
      <c r="U36" s="34">
        <v>1</v>
      </c>
      <c r="V36" s="34">
        <v>1</v>
      </c>
      <c r="X36" s="8"/>
      <c r="Y36" s="2"/>
      <c r="Z36" s="26"/>
      <c r="AA36" s="26"/>
      <c r="AB36" s="26"/>
      <c r="AC36" s="26"/>
      <c r="AD36" s="27"/>
      <c r="AE36" s="30"/>
      <c r="AF36" s="26"/>
      <c r="AG36" s="26"/>
      <c r="AH36" s="32"/>
      <c r="AJ36" s="8"/>
      <c r="AK36" s="2" t="s">
        <v>1003</v>
      </c>
      <c r="AL36" s="26">
        <v>0</v>
      </c>
      <c r="AM36" s="26">
        <v>0</v>
      </c>
      <c r="AN36" s="26">
        <v>0</v>
      </c>
      <c r="AO36" s="27">
        <v>0</v>
      </c>
      <c r="AP36" s="30">
        <v>0</v>
      </c>
      <c r="AQ36" s="26">
        <v>0</v>
      </c>
      <c r="AR36" s="26">
        <v>0</v>
      </c>
      <c r="AS36" s="32">
        <v>1</v>
      </c>
      <c r="AT36" s="34">
        <v>1</v>
      </c>
    </row>
    <row r="37" spans="2:46" x14ac:dyDescent="0.3">
      <c r="B37" s="8"/>
      <c r="C37" s="2" t="s">
        <v>773</v>
      </c>
      <c r="D37" s="26">
        <v>0</v>
      </c>
      <c r="E37" s="26">
        <v>0</v>
      </c>
      <c r="F37" s="27">
        <v>0</v>
      </c>
      <c r="G37" s="26">
        <v>0</v>
      </c>
      <c r="H37" s="26">
        <v>0</v>
      </c>
      <c r="I37" s="27">
        <v>0</v>
      </c>
      <c r="J37" s="26">
        <v>0</v>
      </c>
      <c r="K37" s="26">
        <v>0</v>
      </c>
      <c r="L37" s="67">
        <v>1</v>
      </c>
      <c r="N37" s="8"/>
      <c r="O37" s="2" t="s">
        <v>816</v>
      </c>
      <c r="P37" s="26">
        <v>0</v>
      </c>
      <c r="Q37" s="27">
        <v>0</v>
      </c>
      <c r="R37" s="30">
        <v>0</v>
      </c>
      <c r="S37" s="27">
        <v>0</v>
      </c>
      <c r="T37" s="30">
        <v>0</v>
      </c>
      <c r="U37" s="34">
        <v>1</v>
      </c>
      <c r="V37" s="34">
        <v>1</v>
      </c>
      <c r="X37" s="8"/>
      <c r="Y37" s="2"/>
      <c r="Z37" s="26"/>
      <c r="AA37" s="26"/>
      <c r="AB37" s="26"/>
      <c r="AC37" s="26"/>
      <c r="AD37" s="27"/>
      <c r="AE37" s="30"/>
      <c r="AF37" s="26"/>
      <c r="AG37" s="26"/>
      <c r="AH37" s="32"/>
      <c r="AJ37" s="8"/>
      <c r="AK37" s="2" t="s">
        <v>1004</v>
      </c>
      <c r="AL37" s="26">
        <v>0</v>
      </c>
      <c r="AM37" s="26">
        <v>0</v>
      </c>
      <c r="AN37" s="26">
        <v>0</v>
      </c>
      <c r="AO37" s="27">
        <v>0</v>
      </c>
      <c r="AP37" s="30">
        <v>0</v>
      </c>
      <c r="AQ37" s="26">
        <v>0</v>
      </c>
      <c r="AR37" s="26">
        <v>0</v>
      </c>
      <c r="AS37" s="32">
        <v>1</v>
      </c>
      <c r="AT37" s="34">
        <v>1</v>
      </c>
    </row>
    <row r="38" spans="2:46" x14ac:dyDescent="0.3">
      <c r="B38" s="8"/>
      <c r="C38" s="2" t="s">
        <v>722</v>
      </c>
      <c r="D38" s="26">
        <v>0</v>
      </c>
      <c r="E38" s="26">
        <v>0</v>
      </c>
      <c r="F38" s="27">
        <v>0</v>
      </c>
      <c r="G38" s="26">
        <v>0</v>
      </c>
      <c r="H38" s="26">
        <v>0</v>
      </c>
      <c r="I38" s="27">
        <v>0</v>
      </c>
      <c r="J38" s="26">
        <v>0</v>
      </c>
      <c r="K38" s="26">
        <v>0</v>
      </c>
      <c r="L38" s="67">
        <v>1</v>
      </c>
      <c r="N38" s="8"/>
      <c r="O38" s="2" t="s">
        <v>658</v>
      </c>
      <c r="P38" s="26">
        <v>0</v>
      </c>
      <c r="Q38" s="27">
        <v>0</v>
      </c>
      <c r="R38" s="30">
        <v>0</v>
      </c>
      <c r="S38" s="27">
        <v>0</v>
      </c>
      <c r="T38" s="30">
        <v>0</v>
      </c>
      <c r="U38" s="34">
        <v>1</v>
      </c>
      <c r="V38" s="34">
        <v>1</v>
      </c>
      <c r="X38" s="8"/>
      <c r="Y38" s="2"/>
      <c r="Z38" s="26"/>
      <c r="AA38" s="26"/>
      <c r="AB38" s="26"/>
      <c r="AC38" s="26"/>
      <c r="AD38" s="27"/>
      <c r="AE38" s="30"/>
      <c r="AF38" s="26"/>
      <c r="AG38" s="26"/>
      <c r="AH38" s="32"/>
      <c r="AJ38" s="8"/>
      <c r="AK38" s="2"/>
      <c r="AL38" s="26"/>
      <c r="AM38" s="26"/>
      <c r="AN38" s="26"/>
      <c r="AO38" s="27"/>
      <c r="AP38" s="30"/>
      <c r="AQ38" s="26"/>
      <c r="AR38" s="26"/>
      <c r="AS38" s="32"/>
      <c r="AT38" s="34"/>
    </row>
    <row r="39" spans="2:46" x14ac:dyDescent="0.3">
      <c r="B39" s="8"/>
      <c r="C39" s="2" t="s">
        <v>774</v>
      </c>
      <c r="D39" s="26">
        <v>0</v>
      </c>
      <c r="E39" s="26">
        <v>0</v>
      </c>
      <c r="F39" s="27">
        <v>0</v>
      </c>
      <c r="G39" s="26">
        <v>0</v>
      </c>
      <c r="H39" s="26">
        <v>0</v>
      </c>
      <c r="I39" s="27">
        <v>0</v>
      </c>
      <c r="J39" s="26">
        <v>0</v>
      </c>
      <c r="K39" s="26">
        <v>0</v>
      </c>
      <c r="L39" s="67">
        <v>1</v>
      </c>
      <c r="N39" s="8"/>
      <c r="O39" s="2" t="s">
        <v>817</v>
      </c>
      <c r="P39" s="26">
        <v>0</v>
      </c>
      <c r="Q39" s="27">
        <v>0</v>
      </c>
      <c r="R39" s="30">
        <v>0</v>
      </c>
      <c r="S39" s="27">
        <v>0</v>
      </c>
      <c r="T39" s="30">
        <v>0</v>
      </c>
      <c r="U39" s="34">
        <v>1</v>
      </c>
      <c r="V39" s="34">
        <v>1</v>
      </c>
      <c r="X39" s="8"/>
      <c r="Y39" s="2"/>
      <c r="Z39" s="26"/>
      <c r="AA39" s="26"/>
      <c r="AB39" s="26"/>
      <c r="AC39" s="26"/>
      <c r="AD39" s="27"/>
      <c r="AE39" s="30"/>
      <c r="AF39" s="26"/>
      <c r="AG39" s="26"/>
      <c r="AH39" s="32"/>
      <c r="AJ39" s="8"/>
      <c r="AK39" s="2"/>
      <c r="AL39" s="26"/>
      <c r="AM39" s="26"/>
      <c r="AN39" s="26"/>
      <c r="AO39" s="27"/>
      <c r="AP39" s="30"/>
      <c r="AQ39" s="26"/>
      <c r="AR39" s="26"/>
      <c r="AS39" s="32"/>
      <c r="AT39" s="34"/>
    </row>
    <row r="40" spans="2:46" x14ac:dyDescent="0.3">
      <c r="B40" s="8"/>
      <c r="C40" s="2" t="s">
        <v>723</v>
      </c>
      <c r="D40" s="26">
        <v>0</v>
      </c>
      <c r="E40" s="26">
        <v>0</v>
      </c>
      <c r="F40" s="27">
        <v>0</v>
      </c>
      <c r="G40" s="26">
        <v>0</v>
      </c>
      <c r="H40" s="26">
        <v>0</v>
      </c>
      <c r="I40" s="27">
        <v>0</v>
      </c>
      <c r="J40" s="26">
        <v>0</v>
      </c>
      <c r="K40" s="26">
        <v>0</v>
      </c>
      <c r="L40" s="67">
        <v>1</v>
      </c>
      <c r="N40" s="8"/>
      <c r="O40" s="2" t="s">
        <v>659</v>
      </c>
      <c r="P40" s="26">
        <v>0</v>
      </c>
      <c r="Q40" s="27">
        <v>0</v>
      </c>
      <c r="R40" s="30">
        <v>0</v>
      </c>
      <c r="S40" s="27">
        <v>0</v>
      </c>
      <c r="T40" s="30">
        <v>0</v>
      </c>
      <c r="U40" s="34">
        <v>1</v>
      </c>
      <c r="V40" s="34">
        <v>1</v>
      </c>
      <c r="X40" s="8"/>
      <c r="Y40" s="2"/>
      <c r="Z40" s="26"/>
      <c r="AA40" s="26"/>
      <c r="AB40" s="26"/>
      <c r="AC40" s="26"/>
      <c r="AD40" s="27"/>
      <c r="AE40" s="30"/>
      <c r="AF40" s="26"/>
      <c r="AG40" s="26"/>
      <c r="AH40" s="32"/>
      <c r="AJ40" s="8"/>
      <c r="AK40" s="2"/>
      <c r="AL40" s="26"/>
      <c r="AM40" s="26"/>
      <c r="AN40" s="26"/>
      <c r="AO40" s="27"/>
      <c r="AP40" s="30"/>
      <c r="AQ40" s="26"/>
      <c r="AR40" s="26"/>
      <c r="AS40" s="32"/>
      <c r="AT40" s="34"/>
    </row>
    <row r="41" spans="2:46" x14ac:dyDescent="0.3">
      <c r="B41" s="8"/>
      <c r="C41" s="2" t="s">
        <v>775</v>
      </c>
      <c r="D41" s="26">
        <v>0</v>
      </c>
      <c r="E41" s="26">
        <v>0</v>
      </c>
      <c r="F41" s="27">
        <v>0</v>
      </c>
      <c r="G41" s="26">
        <v>0</v>
      </c>
      <c r="H41" s="26">
        <v>0</v>
      </c>
      <c r="I41" s="27">
        <v>0</v>
      </c>
      <c r="J41" s="26">
        <v>0</v>
      </c>
      <c r="K41" s="26">
        <v>0</v>
      </c>
      <c r="L41" s="67">
        <v>1</v>
      </c>
      <c r="N41" s="8"/>
      <c r="O41" s="2" t="s">
        <v>818</v>
      </c>
      <c r="P41" s="26">
        <v>0</v>
      </c>
      <c r="Q41" s="27">
        <v>0</v>
      </c>
      <c r="R41" s="30">
        <v>0</v>
      </c>
      <c r="S41" s="27">
        <v>0</v>
      </c>
      <c r="T41" s="30">
        <v>0</v>
      </c>
      <c r="U41" s="34">
        <v>1</v>
      </c>
      <c r="V41" s="34">
        <v>1</v>
      </c>
      <c r="X41" s="8"/>
      <c r="Y41" s="2"/>
      <c r="Z41" s="26"/>
      <c r="AA41" s="26"/>
      <c r="AB41" s="26"/>
      <c r="AC41" s="26"/>
      <c r="AD41" s="27"/>
      <c r="AE41" s="30"/>
      <c r="AF41" s="26"/>
      <c r="AG41" s="26"/>
      <c r="AH41" s="32"/>
      <c r="AJ41" s="8"/>
      <c r="AK41" s="2"/>
      <c r="AL41" s="26"/>
      <c r="AM41" s="26"/>
      <c r="AN41" s="26"/>
      <c r="AO41" s="27"/>
      <c r="AP41" s="30"/>
      <c r="AQ41" s="26"/>
      <c r="AR41" s="26"/>
      <c r="AS41" s="32"/>
      <c r="AT41" s="34"/>
    </row>
    <row r="42" spans="2:46" x14ac:dyDescent="0.3">
      <c r="B42" s="8"/>
      <c r="C42" s="2" t="s">
        <v>776</v>
      </c>
      <c r="D42" s="26">
        <v>0</v>
      </c>
      <c r="E42" s="26">
        <v>0</v>
      </c>
      <c r="F42" s="27">
        <v>0</v>
      </c>
      <c r="G42" s="26">
        <v>0</v>
      </c>
      <c r="H42" s="26">
        <v>0</v>
      </c>
      <c r="I42" s="27">
        <v>0</v>
      </c>
      <c r="J42" s="26">
        <v>0</v>
      </c>
      <c r="K42" s="26">
        <v>0</v>
      </c>
      <c r="L42" s="67">
        <v>1</v>
      </c>
      <c r="N42" s="8"/>
      <c r="O42" s="2" t="s">
        <v>819</v>
      </c>
      <c r="P42" s="26">
        <v>0</v>
      </c>
      <c r="Q42" s="27">
        <v>0</v>
      </c>
      <c r="R42" s="30">
        <v>0</v>
      </c>
      <c r="S42" s="27">
        <v>0</v>
      </c>
      <c r="T42" s="30">
        <v>0</v>
      </c>
      <c r="U42" s="34">
        <v>1</v>
      </c>
      <c r="V42" s="34">
        <v>1</v>
      </c>
      <c r="X42" s="8"/>
      <c r="Y42" s="2"/>
      <c r="Z42" s="26"/>
      <c r="AA42" s="26"/>
      <c r="AB42" s="26"/>
      <c r="AC42" s="26"/>
      <c r="AD42" s="27"/>
      <c r="AE42" s="30"/>
      <c r="AF42" s="26"/>
      <c r="AG42" s="26"/>
      <c r="AH42" s="32"/>
      <c r="AJ42" s="8"/>
      <c r="AK42" s="2"/>
      <c r="AL42" s="26"/>
      <c r="AM42" s="26"/>
      <c r="AN42" s="26"/>
      <c r="AO42" s="27"/>
      <c r="AP42" s="30"/>
      <c r="AQ42" s="26"/>
      <c r="AR42" s="26"/>
      <c r="AS42" s="32"/>
      <c r="AT42" s="34"/>
    </row>
    <row r="43" spans="2:46" x14ac:dyDescent="0.3">
      <c r="B43" s="8"/>
      <c r="C43" s="2" t="s">
        <v>777</v>
      </c>
      <c r="D43" s="26">
        <v>0</v>
      </c>
      <c r="E43" s="26">
        <v>0</v>
      </c>
      <c r="F43" s="27">
        <v>0</v>
      </c>
      <c r="G43" s="26">
        <v>0</v>
      </c>
      <c r="H43" s="26">
        <v>0</v>
      </c>
      <c r="I43" s="27">
        <v>0</v>
      </c>
      <c r="J43" s="26">
        <v>0</v>
      </c>
      <c r="K43" s="26">
        <v>0</v>
      </c>
      <c r="L43" s="67">
        <v>1</v>
      </c>
      <c r="N43" s="8"/>
      <c r="O43" s="2" t="s">
        <v>820</v>
      </c>
      <c r="P43" s="26">
        <v>0</v>
      </c>
      <c r="Q43" s="27">
        <v>0</v>
      </c>
      <c r="R43" s="30">
        <v>0</v>
      </c>
      <c r="S43" s="27">
        <v>0</v>
      </c>
      <c r="T43" s="30">
        <v>0</v>
      </c>
      <c r="U43" s="34">
        <v>1</v>
      </c>
      <c r="V43" s="34">
        <v>1</v>
      </c>
      <c r="X43" s="8"/>
      <c r="Y43" s="2"/>
      <c r="Z43" s="26"/>
      <c r="AA43" s="26"/>
      <c r="AB43" s="26"/>
      <c r="AC43" s="26"/>
      <c r="AD43" s="27"/>
      <c r="AE43" s="30"/>
      <c r="AF43" s="26"/>
      <c r="AG43" s="26"/>
      <c r="AH43" s="32"/>
      <c r="AJ43" s="8"/>
      <c r="AK43" s="2"/>
      <c r="AL43" s="26"/>
      <c r="AM43" s="26"/>
      <c r="AN43" s="26"/>
      <c r="AO43" s="27"/>
      <c r="AP43" s="30"/>
      <c r="AQ43" s="26"/>
      <c r="AR43" s="26"/>
      <c r="AS43" s="32"/>
      <c r="AT43" s="34"/>
    </row>
    <row r="44" spans="2:46" x14ac:dyDescent="0.3">
      <c r="B44" s="8"/>
      <c r="C44" s="2" t="s">
        <v>724</v>
      </c>
      <c r="D44" s="26">
        <v>0</v>
      </c>
      <c r="E44" s="26">
        <v>0</v>
      </c>
      <c r="F44" s="27">
        <v>0</v>
      </c>
      <c r="G44" s="26">
        <v>0</v>
      </c>
      <c r="H44" s="26">
        <v>0</v>
      </c>
      <c r="I44" s="27">
        <v>0</v>
      </c>
      <c r="J44" s="26">
        <v>0</v>
      </c>
      <c r="K44" s="26">
        <v>0</v>
      </c>
      <c r="L44" s="67">
        <v>1</v>
      </c>
      <c r="N44" s="8"/>
      <c r="O44" s="2" t="s">
        <v>660</v>
      </c>
      <c r="P44" s="26">
        <v>0</v>
      </c>
      <c r="Q44" s="27">
        <v>0</v>
      </c>
      <c r="R44" s="30">
        <v>0</v>
      </c>
      <c r="S44" s="27">
        <v>0</v>
      </c>
      <c r="T44" s="30">
        <v>0</v>
      </c>
      <c r="U44" s="34">
        <v>1</v>
      </c>
      <c r="V44" s="34">
        <v>1</v>
      </c>
      <c r="X44" s="8"/>
      <c r="Y44" s="2"/>
      <c r="Z44" s="26"/>
      <c r="AA44" s="26"/>
      <c r="AB44" s="26"/>
      <c r="AC44" s="26"/>
      <c r="AD44" s="27"/>
      <c r="AE44" s="30"/>
      <c r="AF44" s="26"/>
      <c r="AG44" s="26"/>
      <c r="AH44" s="32"/>
      <c r="AJ44" s="8"/>
      <c r="AK44" s="2"/>
      <c r="AL44" s="26"/>
      <c r="AM44" s="26"/>
      <c r="AN44" s="26"/>
      <c r="AO44" s="27"/>
      <c r="AP44" s="30"/>
      <c r="AQ44" s="26"/>
      <c r="AR44" s="26"/>
      <c r="AS44" s="32"/>
      <c r="AT44" s="34"/>
    </row>
    <row r="45" spans="2:46" x14ac:dyDescent="0.3">
      <c r="B45" s="8"/>
      <c r="C45" s="2" t="s">
        <v>725</v>
      </c>
      <c r="D45" s="26">
        <v>0</v>
      </c>
      <c r="E45" s="26">
        <v>0</v>
      </c>
      <c r="F45" s="27">
        <v>0</v>
      </c>
      <c r="G45" s="26">
        <v>0</v>
      </c>
      <c r="H45" s="26">
        <v>0</v>
      </c>
      <c r="I45" s="27">
        <v>0</v>
      </c>
      <c r="J45" s="26">
        <v>0</v>
      </c>
      <c r="K45" s="26">
        <v>0</v>
      </c>
      <c r="L45" s="67">
        <v>1</v>
      </c>
      <c r="N45" s="8"/>
      <c r="O45" s="2" t="s">
        <v>661</v>
      </c>
      <c r="P45" s="26">
        <v>0</v>
      </c>
      <c r="Q45" s="27">
        <v>0</v>
      </c>
      <c r="R45" s="30">
        <v>0</v>
      </c>
      <c r="S45" s="27">
        <v>0</v>
      </c>
      <c r="T45" s="30">
        <v>0</v>
      </c>
      <c r="U45" s="34">
        <v>1</v>
      </c>
      <c r="V45" s="34">
        <v>1</v>
      </c>
      <c r="X45" s="8"/>
      <c r="Y45" s="2"/>
      <c r="Z45" s="26"/>
      <c r="AA45" s="26"/>
      <c r="AB45" s="26"/>
      <c r="AC45" s="26"/>
      <c r="AD45" s="27"/>
      <c r="AE45" s="30"/>
      <c r="AF45" s="26"/>
      <c r="AG45" s="26"/>
      <c r="AH45" s="32"/>
      <c r="AJ45" s="8"/>
      <c r="AK45" s="2"/>
      <c r="AL45" s="26"/>
      <c r="AM45" s="26"/>
      <c r="AN45" s="26"/>
      <c r="AO45" s="27"/>
      <c r="AP45" s="30"/>
      <c r="AQ45" s="26"/>
      <c r="AR45" s="26"/>
      <c r="AS45" s="32"/>
      <c r="AT45" s="34"/>
    </row>
    <row r="46" spans="2:46" x14ac:dyDescent="0.3">
      <c r="B46" s="8"/>
      <c r="C46" s="2" t="s">
        <v>778</v>
      </c>
      <c r="D46" s="26">
        <v>0</v>
      </c>
      <c r="E46" s="26">
        <v>0</v>
      </c>
      <c r="F46" s="27">
        <v>0</v>
      </c>
      <c r="G46" s="26">
        <v>0</v>
      </c>
      <c r="H46" s="26">
        <v>0</v>
      </c>
      <c r="I46" s="27">
        <v>0</v>
      </c>
      <c r="J46" s="26">
        <v>0</v>
      </c>
      <c r="K46" s="26">
        <v>0</v>
      </c>
      <c r="L46" s="67">
        <v>1</v>
      </c>
      <c r="N46" s="8"/>
      <c r="O46" s="2" t="s">
        <v>821</v>
      </c>
      <c r="P46" s="26">
        <v>0</v>
      </c>
      <c r="Q46" s="27">
        <v>0</v>
      </c>
      <c r="R46" s="30">
        <v>0</v>
      </c>
      <c r="S46" s="27">
        <v>0</v>
      </c>
      <c r="T46" s="30">
        <v>0</v>
      </c>
      <c r="U46" s="34">
        <v>1</v>
      </c>
      <c r="V46" s="34">
        <v>1</v>
      </c>
      <c r="X46" s="8"/>
      <c r="Y46" s="2"/>
      <c r="Z46" s="26"/>
      <c r="AA46" s="26"/>
      <c r="AB46" s="26"/>
      <c r="AC46" s="26"/>
      <c r="AD46" s="27"/>
      <c r="AE46" s="30"/>
      <c r="AF46" s="26"/>
      <c r="AG46" s="26"/>
      <c r="AH46" s="32"/>
      <c r="AJ46" s="8"/>
      <c r="AK46" s="2"/>
      <c r="AL46" s="26"/>
      <c r="AM46" s="26"/>
      <c r="AN46" s="26"/>
      <c r="AO46" s="27"/>
      <c r="AP46" s="30"/>
      <c r="AQ46" s="26"/>
      <c r="AR46" s="26"/>
      <c r="AS46" s="32"/>
      <c r="AT46" s="34"/>
    </row>
    <row r="47" spans="2:46" x14ac:dyDescent="0.3">
      <c r="B47" s="8"/>
      <c r="C47" s="2" t="s">
        <v>726</v>
      </c>
      <c r="D47" s="26">
        <v>0</v>
      </c>
      <c r="E47" s="26">
        <v>0</v>
      </c>
      <c r="F47" s="27">
        <v>0</v>
      </c>
      <c r="G47" s="26">
        <v>0</v>
      </c>
      <c r="H47" s="26">
        <v>0</v>
      </c>
      <c r="I47" s="27">
        <v>0</v>
      </c>
      <c r="J47" s="26">
        <v>0</v>
      </c>
      <c r="K47" s="26">
        <v>0</v>
      </c>
      <c r="L47" s="67">
        <v>1</v>
      </c>
      <c r="N47" s="8"/>
      <c r="O47" s="2" t="s">
        <v>662</v>
      </c>
      <c r="P47" s="26">
        <v>0</v>
      </c>
      <c r="Q47" s="27">
        <v>0</v>
      </c>
      <c r="R47" s="30">
        <v>0</v>
      </c>
      <c r="S47" s="27">
        <v>0</v>
      </c>
      <c r="T47" s="30">
        <v>0</v>
      </c>
      <c r="U47" s="34">
        <v>1</v>
      </c>
      <c r="V47" s="34">
        <v>1</v>
      </c>
      <c r="X47" s="8"/>
      <c r="Y47" s="2"/>
      <c r="Z47" s="26"/>
      <c r="AA47" s="26"/>
      <c r="AB47" s="26"/>
      <c r="AC47" s="26"/>
      <c r="AD47" s="27"/>
      <c r="AE47" s="30"/>
      <c r="AF47" s="26"/>
      <c r="AG47" s="26"/>
      <c r="AH47" s="32"/>
      <c r="AJ47" s="8"/>
      <c r="AK47" s="2"/>
      <c r="AL47" s="26"/>
      <c r="AM47" s="26"/>
      <c r="AN47" s="26"/>
      <c r="AO47" s="27"/>
      <c r="AP47" s="30"/>
      <c r="AQ47" s="26"/>
      <c r="AR47" s="26"/>
      <c r="AS47" s="32"/>
      <c r="AT47" s="34"/>
    </row>
    <row r="48" spans="2:46" x14ac:dyDescent="0.3">
      <c r="B48" s="8"/>
      <c r="C48" s="2" t="s">
        <v>779</v>
      </c>
      <c r="D48" s="26">
        <v>0</v>
      </c>
      <c r="E48" s="26">
        <v>0</v>
      </c>
      <c r="F48" s="27">
        <v>0</v>
      </c>
      <c r="G48" s="26">
        <v>0</v>
      </c>
      <c r="H48" s="26">
        <v>0</v>
      </c>
      <c r="I48" s="27">
        <v>0</v>
      </c>
      <c r="J48" s="26">
        <v>0</v>
      </c>
      <c r="K48" s="26">
        <v>0</v>
      </c>
      <c r="L48" s="67">
        <v>1</v>
      </c>
      <c r="N48" s="8"/>
      <c r="O48" s="2" t="s">
        <v>822</v>
      </c>
      <c r="P48" s="26">
        <v>0</v>
      </c>
      <c r="Q48" s="27">
        <v>0</v>
      </c>
      <c r="R48" s="30">
        <v>0</v>
      </c>
      <c r="S48" s="27">
        <v>0</v>
      </c>
      <c r="T48" s="30">
        <v>0</v>
      </c>
      <c r="U48" s="34">
        <v>1</v>
      </c>
      <c r="V48" s="34">
        <v>1</v>
      </c>
      <c r="X48" s="8"/>
      <c r="Y48" s="2"/>
      <c r="Z48" s="26"/>
      <c r="AA48" s="26"/>
      <c r="AB48" s="26"/>
      <c r="AC48" s="26"/>
      <c r="AD48" s="27"/>
      <c r="AE48" s="30"/>
      <c r="AF48" s="26"/>
      <c r="AG48" s="26"/>
      <c r="AH48" s="32"/>
      <c r="AJ48" s="8"/>
      <c r="AK48" s="2"/>
      <c r="AL48" s="26"/>
      <c r="AM48" s="26"/>
      <c r="AN48" s="26"/>
      <c r="AO48" s="27"/>
      <c r="AP48" s="30"/>
      <c r="AQ48" s="26"/>
      <c r="AR48" s="26"/>
      <c r="AS48" s="32"/>
      <c r="AT48" s="34"/>
    </row>
    <row r="49" spans="2:46" x14ac:dyDescent="0.3">
      <c r="B49" s="8"/>
      <c r="C49" s="2" t="s">
        <v>780</v>
      </c>
      <c r="D49" s="26">
        <v>0</v>
      </c>
      <c r="E49" s="26">
        <v>0</v>
      </c>
      <c r="F49" s="27">
        <v>0</v>
      </c>
      <c r="G49" s="26">
        <v>0</v>
      </c>
      <c r="H49" s="26">
        <v>0</v>
      </c>
      <c r="I49" s="27">
        <v>0</v>
      </c>
      <c r="J49" s="26">
        <v>0</v>
      </c>
      <c r="K49" s="26">
        <v>0</v>
      </c>
      <c r="L49" s="67">
        <v>1</v>
      </c>
      <c r="N49" s="8"/>
      <c r="O49" s="2" t="s">
        <v>823</v>
      </c>
      <c r="P49" s="26">
        <v>0</v>
      </c>
      <c r="Q49" s="27">
        <v>0</v>
      </c>
      <c r="R49" s="30">
        <v>0</v>
      </c>
      <c r="S49" s="27">
        <v>0</v>
      </c>
      <c r="T49" s="30">
        <v>0</v>
      </c>
      <c r="U49" s="34">
        <v>1</v>
      </c>
      <c r="V49" s="34">
        <v>1</v>
      </c>
      <c r="X49" s="8"/>
      <c r="Y49" s="2"/>
      <c r="Z49" s="26"/>
      <c r="AA49" s="26"/>
      <c r="AB49" s="26"/>
      <c r="AC49" s="26"/>
      <c r="AD49" s="27"/>
      <c r="AE49" s="30"/>
      <c r="AF49" s="26"/>
      <c r="AG49" s="26"/>
      <c r="AH49" s="32"/>
      <c r="AJ49" s="8"/>
      <c r="AK49" s="2"/>
      <c r="AL49" s="26"/>
      <c r="AM49" s="26"/>
      <c r="AN49" s="26"/>
      <c r="AO49" s="27"/>
      <c r="AP49" s="30"/>
      <c r="AQ49" s="26"/>
      <c r="AR49" s="26"/>
      <c r="AS49" s="32"/>
      <c r="AT49" s="34"/>
    </row>
    <row r="50" spans="2:46" x14ac:dyDescent="0.3">
      <c r="B50" s="8"/>
      <c r="C50" s="2" t="s">
        <v>727</v>
      </c>
      <c r="D50" s="26">
        <v>0</v>
      </c>
      <c r="E50" s="26">
        <v>0</v>
      </c>
      <c r="F50" s="27">
        <v>0</v>
      </c>
      <c r="G50" s="26">
        <v>0</v>
      </c>
      <c r="H50" s="26">
        <v>0</v>
      </c>
      <c r="I50" s="27">
        <v>0</v>
      </c>
      <c r="J50" s="26">
        <v>0</v>
      </c>
      <c r="K50" s="26">
        <v>0</v>
      </c>
      <c r="L50" s="67">
        <v>1</v>
      </c>
      <c r="N50" s="8"/>
      <c r="O50" s="2" t="s">
        <v>663</v>
      </c>
      <c r="P50" s="26">
        <v>0</v>
      </c>
      <c r="Q50" s="27">
        <v>0</v>
      </c>
      <c r="R50" s="30">
        <v>0</v>
      </c>
      <c r="S50" s="27">
        <v>0</v>
      </c>
      <c r="T50" s="30">
        <v>0</v>
      </c>
      <c r="U50" s="34">
        <v>1</v>
      </c>
      <c r="V50" s="34">
        <v>1</v>
      </c>
      <c r="X50" s="8"/>
      <c r="Y50" s="2"/>
      <c r="Z50" s="26"/>
      <c r="AA50" s="26"/>
      <c r="AB50" s="26"/>
      <c r="AC50" s="26"/>
      <c r="AD50" s="27"/>
      <c r="AE50" s="30"/>
      <c r="AF50" s="26"/>
      <c r="AG50" s="26"/>
      <c r="AH50" s="32"/>
      <c r="AJ50" s="8"/>
      <c r="AK50" s="2"/>
      <c r="AL50" s="26"/>
      <c r="AM50" s="26"/>
      <c r="AN50" s="26"/>
      <c r="AO50" s="27"/>
      <c r="AP50" s="30"/>
      <c r="AQ50" s="26"/>
      <c r="AR50" s="26"/>
      <c r="AS50" s="32"/>
      <c r="AT50" s="34"/>
    </row>
    <row r="51" spans="2:46" x14ac:dyDescent="0.3">
      <c r="B51" s="8"/>
      <c r="C51" s="2" t="s">
        <v>728</v>
      </c>
      <c r="D51" s="26">
        <v>0</v>
      </c>
      <c r="E51" s="26">
        <v>0</v>
      </c>
      <c r="F51" s="27">
        <v>0</v>
      </c>
      <c r="G51" s="26">
        <v>0</v>
      </c>
      <c r="H51" s="26">
        <v>0</v>
      </c>
      <c r="I51" s="27">
        <v>0</v>
      </c>
      <c r="J51" s="26">
        <v>0</v>
      </c>
      <c r="K51" s="26">
        <v>0</v>
      </c>
      <c r="L51" s="67">
        <v>1</v>
      </c>
      <c r="N51" s="8"/>
      <c r="O51" s="2" t="s">
        <v>664</v>
      </c>
      <c r="P51" s="26">
        <v>0</v>
      </c>
      <c r="Q51" s="27">
        <v>0</v>
      </c>
      <c r="R51" s="30">
        <v>0</v>
      </c>
      <c r="S51" s="27">
        <v>0</v>
      </c>
      <c r="T51" s="30">
        <v>0</v>
      </c>
      <c r="U51" s="34">
        <v>1</v>
      </c>
      <c r="V51" s="34">
        <v>1</v>
      </c>
      <c r="X51" s="8"/>
      <c r="Y51" s="2"/>
      <c r="Z51" s="26"/>
      <c r="AA51" s="26"/>
      <c r="AB51" s="26"/>
      <c r="AC51" s="26"/>
      <c r="AD51" s="27"/>
      <c r="AE51" s="30"/>
      <c r="AF51" s="26"/>
      <c r="AG51" s="26"/>
      <c r="AH51" s="32"/>
      <c r="AJ51" s="8"/>
      <c r="AK51" s="2"/>
      <c r="AL51" s="26"/>
      <c r="AM51" s="26"/>
      <c r="AN51" s="26"/>
      <c r="AO51" s="27"/>
      <c r="AP51" s="30"/>
      <c r="AQ51" s="26"/>
      <c r="AR51" s="26"/>
      <c r="AS51" s="32"/>
      <c r="AT51" s="34"/>
    </row>
    <row r="52" spans="2:46" x14ac:dyDescent="0.3">
      <c r="B52" s="8"/>
      <c r="C52" s="2" t="s">
        <v>781</v>
      </c>
      <c r="D52" s="26">
        <v>0</v>
      </c>
      <c r="E52" s="26">
        <v>0</v>
      </c>
      <c r="F52" s="27">
        <v>0</v>
      </c>
      <c r="G52" s="26">
        <v>0</v>
      </c>
      <c r="H52" s="26">
        <v>0</v>
      </c>
      <c r="I52" s="27">
        <v>0</v>
      </c>
      <c r="J52" s="26">
        <v>0</v>
      </c>
      <c r="K52" s="26">
        <v>0</v>
      </c>
      <c r="L52" s="67">
        <v>1</v>
      </c>
      <c r="N52" s="8"/>
      <c r="O52" s="2" t="s">
        <v>824</v>
      </c>
      <c r="P52" s="26">
        <v>0</v>
      </c>
      <c r="Q52" s="27">
        <v>0</v>
      </c>
      <c r="R52" s="30">
        <v>0</v>
      </c>
      <c r="S52" s="27">
        <v>0</v>
      </c>
      <c r="T52" s="30">
        <v>0</v>
      </c>
      <c r="U52" s="34">
        <v>1</v>
      </c>
      <c r="V52" s="34">
        <v>1</v>
      </c>
      <c r="X52" s="8"/>
      <c r="Y52" s="2"/>
      <c r="Z52" s="26"/>
      <c r="AA52" s="26"/>
      <c r="AB52" s="26"/>
      <c r="AC52" s="26"/>
      <c r="AD52" s="27"/>
      <c r="AE52" s="30"/>
      <c r="AF52" s="26"/>
      <c r="AG52" s="26"/>
      <c r="AH52" s="32"/>
      <c r="AJ52" s="8"/>
      <c r="AK52" s="2"/>
      <c r="AL52" s="26"/>
      <c r="AM52" s="26"/>
      <c r="AN52" s="26"/>
      <c r="AO52" s="27"/>
      <c r="AP52" s="30"/>
      <c r="AQ52" s="26"/>
      <c r="AR52" s="26"/>
      <c r="AS52" s="32"/>
      <c r="AT52" s="34"/>
    </row>
    <row r="53" spans="2:46" x14ac:dyDescent="0.3">
      <c r="B53" s="8"/>
      <c r="C53" s="2" t="s">
        <v>729</v>
      </c>
      <c r="D53" s="26">
        <v>0</v>
      </c>
      <c r="E53" s="26">
        <v>0</v>
      </c>
      <c r="F53" s="27">
        <v>0</v>
      </c>
      <c r="G53" s="26">
        <v>0</v>
      </c>
      <c r="H53" s="26">
        <v>0</v>
      </c>
      <c r="I53" s="27">
        <v>0</v>
      </c>
      <c r="J53" s="26">
        <v>0</v>
      </c>
      <c r="K53" s="26">
        <v>0</v>
      </c>
      <c r="L53" s="67">
        <v>1</v>
      </c>
      <c r="N53" s="8"/>
      <c r="O53" s="2" t="s">
        <v>665</v>
      </c>
      <c r="P53" s="26">
        <v>0</v>
      </c>
      <c r="Q53" s="27">
        <v>0</v>
      </c>
      <c r="R53" s="30">
        <v>0</v>
      </c>
      <c r="S53" s="27">
        <v>0</v>
      </c>
      <c r="T53" s="30">
        <v>0</v>
      </c>
      <c r="U53" s="34">
        <v>1</v>
      </c>
      <c r="V53" s="34">
        <v>1</v>
      </c>
      <c r="X53" s="8"/>
      <c r="Y53" s="2"/>
      <c r="Z53" s="26"/>
      <c r="AA53" s="26"/>
      <c r="AB53" s="26"/>
      <c r="AC53" s="26"/>
      <c r="AD53" s="27"/>
      <c r="AE53" s="30"/>
      <c r="AF53" s="26"/>
      <c r="AG53" s="26"/>
      <c r="AH53" s="32"/>
      <c r="AJ53" s="8"/>
      <c r="AK53" s="2"/>
      <c r="AL53" s="26"/>
      <c r="AM53" s="26"/>
      <c r="AN53" s="26"/>
      <c r="AO53" s="27"/>
      <c r="AP53" s="30"/>
      <c r="AQ53" s="26"/>
      <c r="AR53" s="26"/>
      <c r="AS53" s="32"/>
      <c r="AT53" s="34"/>
    </row>
    <row r="54" spans="2:46" x14ac:dyDescent="0.3">
      <c r="B54" s="8"/>
      <c r="C54" s="2" t="s">
        <v>782</v>
      </c>
      <c r="D54" s="26">
        <v>0</v>
      </c>
      <c r="E54" s="26">
        <v>0</v>
      </c>
      <c r="F54" s="27">
        <v>0</v>
      </c>
      <c r="G54" s="26">
        <v>0</v>
      </c>
      <c r="H54" s="26">
        <v>0</v>
      </c>
      <c r="I54" s="27">
        <v>0</v>
      </c>
      <c r="J54" s="26">
        <v>0</v>
      </c>
      <c r="K54" s="26">
        <v>0</v>
      </c>
      <c r="L54" s="67">
        <v>1</v>
      </c>
      <c r="N54" s="8"/>
      <c r="O54" s="2" t="s">
        <v>825</v>
      </c>
      <c r="P54" s="26">
        <v>0</v>
      </c>
      <c r="Q54" s="27">
        <v>0</v>
      </c>
      <c r="R54" s="30">
        <v>0</v>
      </c>
      <c r="S54" s="27">
        <v>0</v>
      </c>
      <c r="T54" s="30">
        <v>0</v>
      </c>
      <c r="U54" s="34">
        <v>1</v>
      </c>
      <c r="V54" s="34">
        <v>1</v>
      </c>
      <c r="X54" s="8"/>
      <c r="Y54" s="2"/>
      <c r="Z54" s="26"/>
      <c r="AA54" s="26"/>
      <c r="AB54" s="26"/>
      <c r="AC54" s="26"/>
      <c r="AD54" s="27"/>
      <c r="AE54" s="30"/>
      <c r="AF54" s="26"/>
      <c r="AG54" s="26"/>
      <c r="AH54" s="32"/>
      <c r="AJ54" s="8"/>
      <c r="AK54" s="2"/>
      <c r="AL54" s="26"/>
      <c r="AM54" s="26"/>
      <c r="AN54" s="26"/>
      <c r="AO54" s="27"/>
      <c r="AP54" s="30"/>
      <c r="AQ54" s="26"/>
      <c r="AR54" s="26"/>
      <c r="AS54" s="32"/>
      <c r="AT54" s="34"/>
    </row>
    <row r="55" spans="2:46" x14ac:dyDescent="0.3">
      <c r="B55" s="8"/>
      <c r="C55" s="2" t="s">
        <v>783</v>
      </c>
      <c r="D55" s="26">
        <v>0</v>
      </c>
      <c r="E55" s="26">
        <v>0</v>
      </c>
      <c r="F55" s="27">
        <v>0</v>
      </c>
      <c r="G55" s="26">
        <v>0</v>
      </c>
      <c r="H55" s="26">
        <v>0</v>
      </c>
      <c r="I55" s="27">
        <v>0</v>
      </c>
      <c r="J55" s="26">
        <v>0</v>
      </c>
      <c r="K55" s="26">
        <v>0</v>
      </c>
      <c r="L55" s="67">
        <v>1</v>
      </c>
      <c r="N55" s="8"/>
      <c r="O55" s="2" t="s">
        <v>826</v>
      </c>
      <c r="P55" s="26">
        <v>0</v>
      </c>
      <c r="Q55" s="27">
        <v>0</v>
      </c>
      <c r="R55" s="30">
        <v>0</v>
      </c>
      <c r="S55" s="27">
        <v>0</v>
      </c>
      <c r="T55" s="30">
        <v>0</v>
      </c>
      <c r="U55" s="34">
        <v>1</v>
      </c>
      <c r="V55" s="34">
        <v>1</v>
      </c>
      <c r="X55" s="8"/>
      <c r="Y55" s="2"/>
      <c r="Z55" s="26"/>
      <c r="AA55" s="26"/>
      <c r="AB55" s="26"/>
      <c r="AC55" s="26"/>
      <c r="AD55" s="27"/>
      <c r="AE55" s="30"/>
      <c r="AF55" s="26"/>
      <c r="AG55" s="26"/>
      <c r="AH55" s="32"/>
      <c r="AJ55" s="8"/>
      <c r="AK55" s="2"/>
      <c r="AL55" s="26"/>
      <c r="AM55" s="26"/>
      <c r="AN55" s="26"/>
      <c r="AO55" s="27"/>
      <c r="AP55" s="30"/>
      <c r="AQ55" s="26"/>
      <c r="AR55" s="26"/>
      <c r="AS55" s="32"/>
      <c r="AT55" s="34"/>
    </row>
    <row r="56" spans="2:46" x14ac:dyDescent="0.3">
      <c r="B56" s="8"/>
      <c r="C56" s="2" t="s">
        <v>784</v>
      </c>
      <c r="D56" s="26">
        <v>0</v>
      </c>
      <c r="E56" s="26">
        <v>0</v>
      </c>
      <c r="F56" s="27">
        <v>0</v>
      </c>
      <c r="G56" s="26">
        <v>0</v>
      </c>
      <c r="H56" s="26">
        <v>0</v>
      </c>
      <c r="I56" s="27">
        <v>0</v>
      </c>
      <c r="J56" s="26">
        <v>0</v>
      </c>
      <c r="K56" s="26">
        <v>0</v>
      </c>
      <c r="L56" s="67">
        <v>1</v>
      </c>
      <c r="N56" s="8"/>
      <c r="O56" s="2" t="s">
        <v>827</v>
      </c>
      <c r="P56" s="26">
        <v>0</v>
      </c>
      <c r="Q56" s="27">
        <v>0</v>
      </c>
      <c r="R56" s="30">
        <v>0</v>
      </c>
      <c r="S56" s="27">
        <v>0</v>
      </c>
      <c r="T56" s="30">
        <v>0</v>
      </c>
      <c r="U56" s="34">
        <v>1</v>
      </c>
      <c r="V56" s="34">
        <v>1</v>
      </c>
      <c r="X56" s="8"/>
      <c r="Y56" s="2"/>
      <c r="Z56" s="26"/>
      <c r="AA56" s="26"/>
      <c r="AB56" s="26"/>
      <c r="AC56" s="26"/>
      <c r="AD56" s="27"/>
      <c r="AE56" s="30"/>
      <c r="AF56" s="26"/>
      <c r="AG56" s="26"/>
      <c r="AH56" s="32"/>
      <c r="AJ56" s="8"/>
      <c r="AK56" s="2"/>
      <c r="AL56" s="26"/>
      <c r="AM56" s="26"/>
      <c r="AN56" s="26"/>
      <c r="AO56" s="27"/>
      <c r="AP56" s="30"/>
      <c r="AQ56" s="26"/>
      <c r="AR56" s="26"/>
      <c r="AS56" s="32"/>
      <c r="AT56" s="34"/>
    </row>
    <row r="57" spans="2:46" x14ac:dyDescent="0.3">
      <c r="B57" s="8"/>
      <c r="C57" s="2" t="s">
        <v>785</v>
      </c>
      <c r="D57" s="26">
        <v>0</v>
      </c>
      <c r="E57" s="26">
        <v>0</v>
      </c>
      <c r="F57" s="27">
        <v>0</v>
      </c>
      <c r="G57" s="26">
        <v>0</v>
      </c>
      <c r="H57" s="26">
        <v>0</v>
      </c>
      <c r="I57" s="27">
        <v>0</v>
      </c>
      <c r="J57" s="26">
        <v>0</v>
      </c>
      <c r="K57" s="26">
        <v>0</v>
      </c>
      <c r="L57" s="67">
        <v>1</v>
      </c>
      <c r="N57" s="8"/>
      <c r="O57" s="2" t="s">
        <v>828</v>
      </c>
      <c r="P57" s="26">
        <v>0</v>
      </c>
      <c r="Q57" s="27">
        <v>0</v>
      </c>
      <c r="R57" s="30">
        <v>0</v>
      </c>
      <c r="S57" s="27">
        <v>0</v>
      </c>
      <c r="T57" s="30">
        <v>0</v>
      </c>
      <c r="U57" s="34">
        <v>1</v>
      </c>
      <c r="V57" s="34">
        <v>1</v>
      </c>
      <c r="X57" s="8"/>
      <c r="Y57" s="2"/>
      <c r="Z57" s="26"/>
      <c r="AA57" s="26"/>
      <c r="AB57" s="26"/>
      <c r="AC57" s="26"/>
      <c r="AD57" s="27"/>
      <c r="AE57" s="30"/>
      <c r="AF57" s="26"/>
      <c r="AG57" s="26"/>
      <c r="AH57" s="32"/>
      <c r="AJ57" s="8"/>
      <c r="AK57" s="2"/>
      <c r="AL57" s="26"/>
      <c r="AM57" s="26"/>
      <c r="AN57" s="26"/>
      <c r="AO57" s="27"/>
      <c r="AP57" s="30"/>
      <c r="AQ57" s="26"/>
      <c r="AR57" s="26"/>
      <c r="AS57" s="32"/>
      <c r="AT57" s="34"/>
    </row>
    <row r="58" spans="2:46" x14ac:dyDescent="0.3">
      <c r="B58" s="8"/>
      <c r="C58" s="2" t="s">
        <v>786</v>
      </c>
      <c r="D58" s="26">
        <v>0</v>
      </c>
      <c r="E58" s="26">
        <v>0</v>
      </c>
      <c r="F58" s="27">
        <v>0</v>
      </c>
      <c r="G58" s="26">
        <v>0</v>
      </c>
      <c r="H58" s="26">
        <v>0</v>
      </c>
      <c r="I58" s="27">
        <v>0</v>
      </c>
      <c r="J58" s="26">
        <v>0</v>
      </c>
      <c r="K58" s="26">
        <v>0</v>
      </c>
      <c r="L58" s="67">
        <v>1</v>
      </c>
      <c r="N58" s="8"/>
      <c r="O58" s="2" t="s">
        <v>829</v>
      </c>
      <c r="P58" s="26">
        <v>0</v>
      </c>
      <c r="Q58" s="27">
        <v>0</v>
      </c>
      <c r="R58" s="30">
        <v>0</v>
      </c>
      <c r="S58" s="27">
        <v>0</v>
      </c>
      <c r="T58" s="30">
        <v>0</v>
      </c>
      <c r="U58" s="34">
        <v>1</v>
      </c>
      <c r="V58" s="34">
        <v>1</v>
      </c>
      <c r="X58" s="8"/>
      <c r="Y58" s="2"/>
      <c r="Z58" s="26"/>
      <c r="AA58" s="26"/>
      <c r="AB58" s="26"/>
      <c r="AC58" s="26"/>
      <c r="AD58" s="27"/>
      <c r="AE58" s="30"/>
      <c r="AF58" s="26"/>
      <c r="AG58" s="26"/>
      <c r="AH58" s="32"/>
      <c r="AJ58" s="8"/>
      <c r="AK58" s="2"/>
      <c r="AL58" s="26"/>
      <c r="AM58" s="26"/>
      <c r="AN58" s="26"/>
      <c r="AO58" s="27"/>
      <c r="AP58" s="30"/>
      <c r="AQ58" s="26"/>
      <c r="AR58" s="26"/>
      <c r="AS58" s="32"/>
      <c r="AT58" s="34"/>
    </row>
    <row r="59" spans="2:46" x14ac:dyDescent="0.3">
      <c r="B59" s="8"/>
      <c r="C59" s="2" t="s">
        <v>787</v>
      </c>
      <c r="D59" s="26">
        <v>0</v>
      </c>
      <c r="E59" s="26">
        <v>0</v>
      </c>
      <c r="F59" s="27">
        <v>0</v>
      </c>
      <c r="G59" s="26">
        <v>0</v>
      </c>
      <c r="H59" s="26">
        <v>0</v>
      </c>
      <c r="I59" s="27">
        <v>0</v>
      </c>
      <c r="J59" s="26">
        <v>0</v>
      </c>
      <c r="K59" s="26">
        <v>0</v>
      </c>
      <c r="L59" s="67">
        <v>1</v>
      </c>
      <c r="N59" s="8"/>
      <c r="O59" s="2" t="s">
        <v>830</v>
      </c>
      <c r="P59" s="26">
        <v>0</v>
      </c>
      <c r="Q59" s="27">
        <v>0</v>
      </c>
      <c r="R59" s="30">
        <v>0</v>
      </c>
      <c r="S59" s="27">
        <v>0</v>
      </c>
      <c r="T59" s="30">
        <v>0</v>
      </c>
      <c r="U59" s="34">
        <v>1</v>
      </c>
      <c r="V59" s="34">
        <v>1</v>
      </c>
      <c r="X59" s="8"/>
      <c r="Y59" s="2"/>
      <c r="Z59" s="26"/>
      <c r="AA59" s="26"/>
      <c r="AB59" s="26"/>
      <c r="AC59" s="26"/>
      <c r="AD59" s="27"/>
      <c r="AE59" s="30"/>
      <c r="AF59" s="26"/>
      <c r="AG59" s="26"/>
      <c r="AH59" s="32"/>
      <c r="AJ59" s="8"/>
      <c r="AK59" s="2"/>
      <c r="AL59" s="26"/>
      <c r="AM59" s="26"/>
      <c r="AN59" s="26"/>
      <c r="AO59" s="27"/>
      <c r="AP59" s="30"/>
      <c r="AQ59" s="26"/>
      <c r="AR59" s="26"/>
      <c r="AS59" s="32"/>
      <c r="AT59" s="34"/>
    </row>
    <row r="60" spans="2:46" x14ac:dyDescent="0.3">
      <c r="B60" s="8"/>
      <c r="C60" s="2" t="s">
        <v>788</v>
      </c>
      <c r="D60" s="26">
        <v>0</v>
      </c>
      <c r="E60" s="26">
        <v>0</v>
      </c>
      <c r="F60" s="27">
        <v>0</v>
      </c>
      <c r="G60" s="26">
        <v>0</v>
      </c>
      <c r="H60" s="26">
        <v>0</v>
      </c>
      <c r="I60" s="27">
        <v>0</v>
      </c>
      <c r="J60" s="26">
        <v>0</v>
      </c>
      <c r="K60" s="26">
        <v>0</v>
      </c>
      <c r="L60" s="67">
        <v>1</v>
      </c>
      <c r="N60" s="8"/>
      <c r="O60" s="2" t="s">
        <v>831</v>
      </c>
      <c r="P60" s="26">
        <v>0</v>
      </c>
      <c r="Q60" s="27">
        <v>0</v>
      </c>
      <c r="R60" s="30">
        <v>0</v>
      </c>
      <c r="S60" s="27">
        <v>0</v>
      </c>
      <c r="T60" s="30">
        <v>0</v>
      </c>
      <c r="U60" s="34">
        <v>1</v>
      </c>
      <c r="V60" s="34">
        <v>1</v>
      </c>
      <c r="X60" s="8"/>
      <c r="Y60" s="2"/>
      <c r="Z60" s="26"/>
      <c r="AA60" s="26"/>
      <c r="AB60" s="26"/>
      <c r="AC60" s="26"/>
      <c r="AD60" s="27"/>
      <c r="AE60" s="30"/>
      <c r="AF60" s="26"/>
      <c r="AG60" s="26"/>
      <c r="AH60" s="32"/>
      <c r="AJ60" s="8"/>
      <c r="AK60" s="2"/>
      <c r="AL60" s="26"/>
      <c r="AM60" s="26"/>
      <c r="AN60" s="26"/>
      <c r="AO60" s="27"/>
      <c r="AP60" s="30"/>
      <c r="AQ60" s="26"/>
      <c r="AR60" s="26"/>
      <c r="AS60" s="32"/>
      <c r="AT60" s="34"/>
    </row>
    <row r="61" spans="2:46" x14ac:dyDescent="0.3">
      <c r="B61" s="8"/>
      <c r="C61" s="2" t="s">
        <v>789</v>
      </c>
      <c r="D61" s="26">
        <v>0</v>
      </c>
      <c r="E61" s="26">
        <v>0</v>
      </c>
      <c r="F61" s="27">
        <v>0</v>
      </c>
      <c r="G61" s="26">
        <v>0</v>
      </c>
      <c r="H61" s="26">
        <v>0</v>
      </c>
      <c r="I61" s="27">
        <v>0</v>
      </c>
      <c r="J61" s="26">
        <v>0</v>
      </c>
      <c r="K61" s="26">
        <v>0</v>
      </c>
      <c r="L61" s="67">
        <v>1</v>
      </c>
      <c r="N61" s="8"/>
      <c r="O61" s="2" t="s">
        <v>832</v>
      </c>
      <c r="P61" s="26">
        <v>0</v>
      </c>
      <c r="Q61" s="27">
        <v>0</v>
      </c>
      <c r="R61" s="30">
        <v>0</v>
      </c>
      <c r="S61" s="27">
        <v>0</v>
      </c>
      <c r="T61" s="30">
        <v>0</v>
      </c>
      <c r="U61" s="34">
        <v>1</v>
      </c>
      <c r="V61" s="34">
        <v>1</v>
      </c>
      <c r="X61" s="8"/>
      <c r="Y61" s="2"/>
      <c r="Z61" s="26"/>
      <c r="AA61" s="26"/>
      <c r="AB61" s="26"/>
      <c r="AC61" s="26"/>
      <c r="AD61" s="27"/>
      <c r="AE61" s="30"/>
      <c r="AF61" s="26"/>
      <c r="AG61" s="26"/>
      <c r="AH61" s="32"/>
      <c r="AJ61" s="8"/>
      <c r="AK61" s="2"/>
      <c r="AL61" s="26"/>
      <c r="AM61" s="26"/>
      <c r="AN61" s="26"/>
      <c r="AO61" s="27"/>
      <c r="AP61" s="30"/>
      <c r="AQ61" s="26"/>
      <c r="AR61" s="26"/>
      <c r="AS61" s="32"/>
      <c r="AT61" s="34"/>
    </row>
    <row r="62" spans="2:46" x14ac:dyDescent="0.3">
      <c r="B62" s="8"/>
      <c r="C62" s="2" t="s">
        <v>790</v>
      </c>
      <c r="D62" s="26">
        <v>0</v>
      </c>
      <c r="E62" s="26">
        <v>0</v>
      </c>
      <c r="F62" s="27">
        <v>0</v>
      </c>
      <c r="G62" s="26">
        <v>0</v>
      </c>
      <c r="H62" s="26">
        <v>0</v>
      </c>
      <c r="I62" s="27">
        <v>0</v>
      </c>
      <c r="J62" s="26">
        <v>0</v>
      </c>
      <c r="K62" s="26">
        <v>0</v>
      </c>
      <c r="L62" s="67">
        <v>1</v>
      </c>
      <c r="N62" s="8"/>
      <c r="O62" s="2" t="s">
        <v>833</v>
      </c>
      <c r="P62" s="26">
        <v>0</v>
      </c>
      <c r="Q62" s="27">
        <v>0</v>
      </c>
      <c r="R62" s="30">
        <v>0</v>
      </c>
      <c r="S62" s="27">
        <v>0</v>
      </c>
      <c r="T62" s="30">
        <v>0</v>
      </c>
      <c r="U62" s="34">
        <v>1</v>
      </c>
      <c r="V62" s="34">
        <v>1</v>
      </c>
      <c r="X62" s="8"/>
      <c r="Y62" s="2"/>
      <c r="Z62" s="26"/>
      <c r="AA62" s="26"/>
      <c r="AB62" s="26"/>
      <c r="AC62" s="26"/>
      <c r="AD62" s="27"/>
      <c r="AE62" s="30"/>
      <c r="AF62" s="26"/>
      <c r="AG62" s="26"/>
      <c r="AH62" s="32"/>
      <c r="AJ62" s="8"/>
      <c r="AK62" s="2"/>
      <c r="AL62" s="26"/>
      <c r="AM62" s="26"/>
      <c r="AN62" s="26"/>
      <c r="AO62" s="27"/>
      <c r="AP62" s="30"/>
      <c r="AQ62" s="26"/>
      <c r="AR62" s="26"/>
      <c r="AS62" s="32"/>
      <c r="AT62" s="34"/>
    </row>
    <row r="63" spans="2:46" x14ac:dyDescent="0.3">
      <c r="B63" s="8"/>
      <c r="C63" s="2" t="s">
        <v>791</v>
      </c>
      <c r="D63" s="26">
        <v>0</v>
      </c>
      <c r="E63" s="26">
        <v>0</v>
      </c>
      <c r="F63" s="27">
        <v>0</v>
      </c>
      <c r="G63" s="26">
        <v>0</v>
      </c>
      <c r="H63" s="26">
        <v>0</v>
      </c>
      <c r="I63" s="27">
        <v>0</v>
      </c>
      <c r="J63" s="26">
        <v>0</v>
      </c>
      <c r="K63" s="26">
        <v>0</v>
      </c>
      <c r="L63" s="67">
        <v>1</v>
      </c>
      <c r="N63" s="8"/>
      <c r="O63" s="2" t="s">
        <v>834</v>
      </c>
      <c r="P63" s="26">
        <v>0</v>
      </c>
      <c r="Q63" s="27">
        <v>0</v>
      </c>
      <c r="R63" s="30">
        <v>0</v>
      </c>
      <c r="S63" s="27">
        <v>0</v>
      </c>
      <c r="T63" s="30">
        <v>0</v>
      </c>
      <c r="U63" s="34">
        <v>1</v>
      </c>
      <c r="V63" s="34">
        <v>1</v>
      </c>
      <c r="X63" s="8"/>
      <c r="Y63" s="2"/>
      <c r="Z63" s="26"/>
      <c r="AA63" s="26"/>
      <c r="AB63" s="26"/>
      <c r="AC63" s="26"/>
      <c r="AD63" s="27"/>
      <c r="AE63" s="30"/>
      <c r="AF63" s="26"/>
      <c r="AG63" s="26"/>
      <c r="AH63" s="32"/>
      <c r="AJ63" s="8"/>
      <c r="AK63" s="2"/>
      <c r="AL63" s="26"/>
      <c r="AM63" s="26"/>
      <c r="AN63" s="26"/>
      <c r="AO63" s="27"/>
      <c r="AP63" s="30"/>
      <c r="AQ63" s="26"/>
      <c r="AR63" s="26"/>
      <c r="AS63" s="32"/>
      <c r="AT63" s="34"/>
    </row>
    <row r="64" spans="2:46" x14ac:dyDescent="0.3">
      <c r="B64" s="8"/>
      <c r="C64" s="2" t="s">
        <v>792</v>
      </c>
      <c r="D64" s="26">
        <v>0</v>
      </c>
      <c r="E64" s="26">
        <v>0</v>
      </c>
      <c r="F64" s="27">
        <v>0</v>
      </c>
      <c r="G64" s="26">
        <v>0</v>
      </c>
      <c r="H64" s="26">
        <v>0</v>
      </c>
      <c r="I64" s="27">
        <v>0</v>
      </c>
      <c r="J64" s="26">
        <v>0</v>
      </c>
      <c r="K64" s="26">
        <v>0</v>
      </c>
      <c r="L64" s="67">
        <v>1</v>
      </c>
      <c r="N64" s="8"/>
      <c r="O64" s="2" t="s">
        <v>835</v>
      </c>
      <c r="P64" s="26">
        <v>0</v>
      </c>
      <c r="Q64" s="27">
        <v>0</v>
      </c>
      <c r="R64" s="30">
        <v>0</v>
      </c>
      <c r="S64" s="27">
        <v>0</v>
      </c>
      <c r="T64" s="30">
        <v>0</v>
      </c>
      <c r="U64" s="34">
        <v>1</v>
      </c>
      <c r="V64" s="34">
        <v>1</v>
      </c>
      <c r="X64" s="8"/>
      <c r="Y64" s="2"/>
      <c r="Z64" s="26"/>
      <c r="AA64" s="26"/>
      <c r="AB64" s="26"/>
      <c r="AC64" s="26"/>
      <c r="AD64" s="27"/>
      <c r="AE64" s="30"/>
      <c r="AF64" s="26"/>
      <c r="AG64" s="26"/>
      <c r="AH64" s="32"/>
      <c r="AJ64" s="8"/>
      <c r="AK64" s="2"/>
      <c r="AL64" s="26"/>
      <c r="AM64" s="26"/>
      <c r="AN64" s="26"/>
      <c r="AO64" s="27"/>
      <c r="AP64" s="30"/>
      <c r="AQ64" s="26"/>
      <c r="AR64" s="26"/>
      <c r="AS64" s="32"/>
      <c r="AT64" s="34"/>
    </row>
    <row r="65" spans="2:46" x14ac:dyDescent="0.3">
      <c r="B65" s="8"/>
      <c r="C65" s="2" t="s">
        <v>793</v>
      </c>
      <c r="D65" s="26">
        <v>0</v>
      </c>
      <c r="E65" s="26">
        <v>0</v>
      </c>
      <c r="F65" s="27">
        <v>0</v>
      </c>
      <c r="G65" s="26">
        <v>0</v>
      </c>
      <c r="H65" s="26">
        <v>0</v>
      </c>
      <c r="I65" s="27">
        <v>0</v>
      </c>
      <c r="J65" s="26">
        <v>0</v>
      </c>
      <c r="K65" s="26">
        <v>0</v>
      </c>
      <c r="L65" s="67">
        <v>1</v>
      </c>
      <c r="N65" s="8"/>
      <c r="O65" s="2" t="s">
        <v>836</v>
      </c>
      <c r="P65" s="26">
        <v>0</v>
      </c>
      <c r="Q65" s="27">
        <v>0</v>
      </c>
      <c r="R65" s="30">
        <v>0</v>
      </c>
      <c r="S65" s="27">
        <v>0</v>
      </c>
      <c r="T65" s="30">
        <v>0</v>
      </c>
      <c r="U65" s="34">
        <v>1</v>
      </c>
      <c r="V65" s="34">
        <v>1</v>
      </c>
      <c r="X65" s="8"/>
      <c r="Y65" s="2"/>
      <c r="Z65" s="26"/>
      <c r="AA65" s="26"/>
      <c r="AB65" s="26"/>
      <c r="AC65" s="26"/>
      <c r="AD65" s="27"/>
      <c r="AE65" s="30"/>
      <c r="AF65" s="26"/>
      <c r="AG65" s="26"/>
      <c r="AH65" s="32"/>
      <c r="AJ65" s="8"/>
      <c r="AK65" s="2"/>
      <c r="AL65" s="26"/>
      <c r="AM65" s="26"/>
      <c r="AN65" s="26"/>
      <c r="AO65" s="27"/>
      <c r="AP65" s="30"/>
      <c r="AQ65" s="26"/>
      <c r="AR65" s="26"/>
      <c r="AS65" s="32"/>
      <c r="AT65" s="34"/>
    </row>
    <row r="66" spans="2:46" x14ac:dyDescent="0.3">
      <c r="B66" s="8"/>
      <c r="C66" s="2" t="s">
        <v>980</v>
      </c>
      <c r="D66" s="26">
        <v>0</v>
      </c>
      <c r="E66" s="26">
        <v>0</v>
      </c>
      <c r="F66" s="27">
        <v>0</v>
      </c>
      <c r="G66" s="26">
        <v>0</v>
      </c>
      <c r="H66" s="26">
        <v>0</v>
      </c>
      <c r="I66" s="27">
        <v>0</v>
      </c>
      <c r="J66" s="26">
        <v>0</v>
      </c>
      <c r="K66" s="26">
        <v>0</v>
      </c>
      <c r="L66" s="67">
        <v>1</v>
      </c>
      <c r="N66" s="8"/>
      <c r="O66" s="2" t="s">
        <v>950</v>
      </c>
      <c r="P66" s="26">
        <v>0</v>
      </c>
      <c r="Q66" s="27">
        <v>0</v>
      </c>
      <c r="R66" s="30">
        <v>0</v>
      </c>
      <c r="S66" s="27">
        <v>0</v>
      </c>
      <c r="T66" s="30">
        <v>0</v>
      </c>
      <c r="U66" s="34">
        <v>1</v>
      </c>
      <c r="V66" s="34">
        <v>1</v>
      </c>
      <c r="X66" s="8"/>
      <c r="Y66" s="2"/>
      <c r="Z66" s="26"/>
      <c r="AA66" s="26"/>
      <c r="AB66" s="26"/>
      <c r="AC66" s="26"/>
      <c r="AD66" s="27"/>
      <c r="AE66" s="30"/>
      <c r="AF66" s="26"/>
      <c r="AG66" s="26"/>
      <c r="AH66" s="32"/>
      <c r="AJ66" s="8"/>
      <c r="AK66" s="2"/>
      <c r="AL66" s="26"/>
      <c r="AM66" s="26"/>
      <c r="AN66" s="26"/>
      <c r="AO66" s="27"/>
      <c r="AP66" s="30"/>
      <c r="AQ66" s="26"/>
      <c r="AR66" s="26"/>
      <c r="AS66" s="32"/>
      <c r="AT66" s="34"/>
    </row>
    <row r="67" spans="2:46" x14ac:dyDescent="0.3">
      <c r="B67" s="8"/>
      <c r="C67" s="2" t="s">
        <v>981</v>
      </c>
      <c r="D67" s="26">
        <v>0</v>
      </c>
      <c r="E67" s="26">
        <v>0</v>
      </c>
      <c r="F67" s="27">
        <v>0</v>
      </c>
      <c r="G67" s="26">
        <v>0</v>
      </c>
      <c r="H67" s="26">
        <v>0</v>
      </c>
      <c r="I67" s="27">
        <v>0</v>
      </c>
      <c r="J67" s="26">
        <v>0</v>
      </c>
      <c r="K67" s="26">
        <v>0</v>
      </c>
      <c r="L67" s="67">
        <v>1</v>
      </c>
      <c r="N67" s="8"/>
      <c r="O67" s="2" t="s">
        <v>951</v>
      </c>
      <c r="P67" s="26">
        <v>0</v>
      </c>
      <c r="Q67" s="27">
        <v>0</v>
      </c>
      <c r="R67" s="30">
        <v>0</v>
      </c>
      <c r="S67" s="27">
        <v>0</v>
      </c>
      <c r="T67" s="30">
        <v>0</v>
      </c>
      <c r="U67" s="34">
        <v>1</v>
      </c>
      <c r="V67" s="34">
        <v>1</v>
      </c>
      <c r="X67" s="8"/>
      <c r="Y67" s="2"/>
      <c r="Z67" s="26"/>
      <c r="AA67" s="26"/>
      <c r="AB67" s="26"/>
      <c r="AC67" s="26"/>
      <c r="AD67" s="27"/>
      <c r="AE67" s="30"/>
      <c r="AF67" s="26"/>
      <c r="AG67" s="26"/>
      <c r="AH67" s="32"/>
      <c r="AJ67" s="8"/>
      <c r="AK67" s="2"/>
      <c r="AL67" s="26"/>
      <c r="AM67" s="26"/>
      <c r="AN67" s="26"/>
      <c r="AO67" s="27"/>
      <c r="AP67" s="30"/>
      <c r="AQ67" s="26"/>
      <c r="AR67" s="26"/>
      <c r="AS67" s="32"/>
      <c r="AT67" s="34"/>
    </row>
    <row r="68" spans="2:46" x14ac:dyDescent="0.3">
      <c r="B68" s="8"/>
      <c r="C68" s="2" t="s">
        <v>794</v>
      </c>
      <c r="D68" s="26">
        <v>0</v>
      </c>
      <c r="E68" s="26">
        <v>0</v>
      </c>
      <c r="F68" s="27">
        <v>0</v>
      </c>
      <c r="G68" s="26">
        <v>0</v>
      </c>
      <c r="H68" s="26">
        <v>0</v>
      </c>
      <c r="I68" s="27">
        <v>0</v>
      </c>
      <c r="J68" s="26">
        <v>0</v>
      </c>
      <c r="K68" s="26">
        <v>0</v>
      </c>
      <c r="L68" s="67">
        <v>1</v>
      </c>
      <c r="N68" s="8"/>
      <c r="O68" s="2" t="s">
        <v>837</v>
      </c>
      <c r="P68" s="26">
        <v>0</v>
      </c>
      <c r="Q68" s="27">
        <v>0</v>
      </c>
      <c r="R68" s="30">
        <v>0</v>
      </c>
      <c r="S68" s="27">
        <v>0</v>
      </c>
      <c r="T68" s="30">
        <v>0</v>
      </c>
      <c r="U68" s="34">
        <v>1</v>
      </c>
      <c r="V68" s="34">
        <v>1</v>
      </c>
      <c r="X68" s="8"/>
      <c r="Y68" s="2"/>
      <c r="Z68" s="26"/>
      <c r="AA68" s="26"/>
      <c r="AB68" s="26"/>
      <c r="AC68" s="26"/>
      <c r="AD68" s="27"/>
      <c r="AE68" s="30"/>
      <c r="AF68" s="26"/>
      <c r="AG68" s="26"/>
      <c r="AH68" s="32"/>
      <c r="AJ68" s="8"/>
      <c r="AK68" s="2"/>
      <c r="AL68" s="26"/>
      <c r="AM68" s="26"/>
      <c r="AN68" s="26"/>
      <c r="AO68" s="27"/>
      <c r="AP68" s="30"/>
      <c r="AQ68" s="26"/>
      <c r="AR68" s="26"/>
      <c r="AS68" s="32"/>
      <c r="AT68" s="34"/>
    </row>
    <row r="69" spans="2:46" x14ac:dyDescent="0.3">
      <c r="B69" s="8"/>
      <c r="C69" s="2" t="s">
        <v>795</v>
      </c>
      <c r="D69" s="26">
        <v>0</v>
      </c>
      <c r="E69" s="26">
        <v>0</v>
      </c>
      <c r="F69" s="27">
        <v>0</v>
      </c>
      <c r="G69" s="26">
        <v>0</v>
      </c>
      <c r="H69" s="26">
        <v>0</v>
      </c>
      <c r="I69" s="27">
        <v>0</v>
      </c>
      <c r="J69" s="26">
        <v>0</v>
      </c>
      <c r="K69" s="26">
        <v>0</v>
      </c>
      <c r="L69" s="67">
        <v>1</v>
      </c>
      <c r="N69" s="8"/>
      <c r="O69" s="2" t="s">
        <v>838</v>
      </c>
      <c r="P69" s="26">
        <v>0</v>
      </c>
      <c r="Q69" s="27">
        <v>0</v>
      </c>
      <c r="R69" s="30">
        <v>0</v>
      </c>
      <c r="S69" s="27">
        <v>0</v>
      </c>
      <c r="T69" s="30">
        <v>0</v>
      </c>
      <c r="U69" s="34">
        <v>1</v>
      </c>
      <c r="V69" s="34">
        <v>1</v>
      </c>
      <c r="X69" s="8"/>
      <c r="Y69" s="2"/>
      <c r="Z69" s="26"/>
      <c r="AA69" s="26"/>
      <c r="AB69" s="26"/>
      <c r="AC69" s="26"/>
      <c r="AD69" s="27"/>
      <c r="AE69" s="30"/>
      <c r="AF69" s="26"/>
      <c r="AG69" s="26"/>
      <c r="AH69" s="32"/>
      <c r="AJ69" s="8"/>
      <c r="AK69" s="2"/>
      <c r="AL69" s="26"/>
      <c r="AM69" s="26"/>
      <c r="AN69" s="26"/>
      <c r="AO69" s="27"/>
      <c r="AP69" s="30"/>
      <c r="AQ69" s="26"/>
      <c r="AR69" s="26"/>
      <c r="AS69" s="32"/>
      <c r="AT69" s="34"/>
    </row>
    <row r="70" spans="2:46" x14ac:dyDescent="0.3">
      <c r="B70" s="8"/>
      <c r="C70" s="2" t="s">
        <v>796</v>
      </c>
      <c r="D70" s="26">
        <v>0</v>
      </c>
      <c r="E70" s="26">
        <v>0</v>
      </c>
      <c r="F70" s="27">
        <v>0</v>
      </c>
      <c r="G70" s="26">
        <v>0</v>
      </c>
      <c r="H70" s="26">
        <v>0</v>
      </c>
      <c r="I70" s="27">
        <v>0</v>
      </c>
      <c r="J70" s="26">
        <v>0</v>
      </c>
      <c r="K70" s="26">
        <v>0</v>
      </c>
      <c r="L70" s="67">
        <v>1</v>
      </c>
      <c r="N70" s="8"/>
      <c r="O70" s="2" t="s">
        <v>839</v>
      </c>
      <c r="P70" s="26">
        <v>0</v>
      </c>
      <c r="Q70" s="27">
        <v>0</v>
      </c>
      <c r="R70" s="30">
        <v>0</v>
      </c>
      <c r="S70" s="27">
        <v>0</v>
      </c>
      <c r="T70" s="30">
        <v>0</v>
      </c>
      <c r="U70" s="34">
        <v>1</v>
      </c>
      <c r="V70" s="34">
        <v>1</v>
      </c>
      <c r="X70" s="8"/>
      <c r="Y70" s="2"/>
      <c r="Z70" s="26"/>
      <c r="AA70" s="26"/>
      <c r="AB70" s="26"/>
      <c r="AC70" s="26"/>
      <c r="AD70" s="27"/>
      <c r="AE70" s="30"/>
      <c r="AF70" s="26"/>
      <c r="AG70" s="26"/>
      <c r="AH70" s="32"/>
      <c r="AJ70" s="8"/>
      <c r="AK70" s="2"/>
      <c r="AL70" s="26"/>
      <c r="AM70" s="26"/>
      <c r="AN70" s="26"/>
      <c r="AO70" s="27"/>
      <c r="AP70" s="30"/>
      <c r="AQ70" s="26"/>
      <c r="AR70" s="26"/>
      <c r="AS70" s="32"/>
      <c r="AT70" s="34"/>
    </row>
    <row r="71" spans="2:46" x14ac:dyDescent="0.3">
      <c r="B71" s="8"/>
      <c r="C71" s="2" t="s">
        <v>797</v>
      </c>
      <c r="D71" s="26">
        <v>0</v>
      </c>
      <c r="E71" s="26">
        <v>0</v>
      </c>
      <c r="F71" s="27">
        <v>0</v>
      </c>
      <c r="G71" s="26">
        <v>0</v>
      </c>
      <c r="H71" s="26">
        <v>0</v>
      </c>
      <c r="I71" s="27">
        <v>0</v>
      </c>
      <c r="J71" s="26">
        <v>0</v>
      </c>
      <c r="K71" s="26">
        <v>0</v>
      </c>
      <c r="L71" s="67">
        <v>1</v>
      </c>
      <c r="N71" s="8"/>
      <c r="O71" s="2" t="s">
        <v>840</v>
      </c>
      <c r="P71" s="26">
        <v>0</v>
      </c>
      <c r="Q71" s="27">
        <v>0</v>
      </c>
      <c r="R71" s="30">
        <v>0</v>
      </c>
      <c r="S71" s="27">
        <v>0</v>
      </c>
      <c r="T71" s="30">
        <v>0</v>
      </c>
      <c r="U71" s="34">
        <v>1</v>
      </c>
      <c r="V71" s="34">
        <v>1</v>
      </c>
      <c r="X71" s="8"/>
      <c r="Y71" s="2"/>
      <c r="Z71" s="26"/>
      <c r="AA71" s="26"/>
      <c r="AB71" s="26"/>
      <c r="AC71" s="26"/>
      <c r="AD71" s="27"/>
      <c r="AE71" s="30"/>
      <c r="AF71" s="26"/>
      <c r="AG71" s="26"/>
      <c r="AH71" s="32"/>
      <c r="AJ71" s="8"/>
      <c r="AK71" s="2"/>
      <c r="AL71" s="26"/>
      <c r="AM71" s="26"/>
      <c r="AN71" s="26"/>
      <c r="AO71" s="27"/>
      <c r="AP71" s="30"/>
      <c r="AQ71" s="26"/>
      <c r="AR71" s="26"/>
      <c r="AS71" s="32"/>
      <c r="AT71" s="34"/>
    </row>
    <row r="72" spans="2:46" x14ac:dyDescent="0.3">
      <c r="B72" s="8"/>
      <c r="C72" s="2" t="s">
        <v>798</v>
      </c>
      <c r="D72" s="26">
        <v>0</v>
      </c>
      <c r="E72" s="26">
        <v>0</v>
      </c>
      <c r="F72" s="27">
        <v>0</v>
      </c>
      <c r="G72" s="26">
        <v>0</v>
      </c>
      <c r="H72" s="26">
        <v>0</v>
      </c>
      <c r="I72" s="27">
        <v>0</v>
      </c>
      <c r="J72" s="26">
        <v>0</v>
      </c>
      <c r="K72" s="26">
        <v>0</v>
      </c>
      <c r="L72" s="67">
        <v>1</v>
      </c>
      <c r="N72" s="8"/>
      <c r="O72" s="2" t="s">
        <v>841</v>
      </c>
      <c r="P72" s="26">
        <v>0</v>
      </c>
      <c r="Q72" s="27">
        <v>0</v>
      </c>
      <c r="R72" s="30">
        <v>0</v>
      </c>
      <c r="S72" s="27">
        <v>0</v>
      </c>
      <c r="T72" s="30">
        <v>0</v>
      </c>
      <c r="U72" s="34">
        <v>1</v>
      </c>
      <c r="V72" s="34">
        <v>1</v>
      </c>
      <c r="X72" s="8"/>
      <c r="Y72" s="2"/>
      <c r="Z72" s="26"/>
      <c r="AA72" s="26"/>
      <c r="AB72" s="26"/>
      <c r="AC72" s="26"/>
      <c r="AD72" s="27"/>
      <c r="AE72" s="30"/>
      <c r="AF72" s="26"/>
      <c r="AG72" s="26"/>
      <c r="AH72" s="32"/>
      <c r="AJ72" s="8"/>
      <c r="AK72" s="2"/>
      <c r="AL72" s="26"/>
      <c r="AM72" s="26"/>
      <c r="AN72" s="26"/>
      <c r="AO72" s="27"/>
      <c r="AP72" s="30"/>
      <c r="AQ72" s="26"/>
      <c r="AR72" s="26"/>
      <c r="AS72" s="32"/>
      <c r="AT72" s="34"/>
    </row>
    <row r="73" spans="2:46" x14ac:dyDescent="0.3">
      <c r="B73" s="8"/>
      <c r="C73" s="2" t="s">
        <v>730</v>
      </c>
      <c r="D73" s="26">
        <v>0</v>
      </c>
      <c r="E73" s="26">
        <v>0</v>
      </c>
      <c r="F73" s="27">
        <v>0</v>
      </c>
      <c r="G73" s="26">
        <v>0</v>
      </c>
      <c r="H73" s="26">
        <v>0</v>
      </c>
      <c r="I73" s="27">
        <v>0</v>
      </c>
      <c r="J73" s="26">
        <v>0</v>
      </c>
      <c r="K73" s="26">
        <v>0</v>
      </c>
      <c r="L73" s="67">
        <v>1</v>
      </c>
      <c r="N73" s="8"/>
      <c r="O73" s="2" t="s">
        <v>666</v>
      </c>
      <c r="P73" s="26">
        <v>0</v>
      </c>
      <c r="Q73" s="27">
        <v>0</v>
      </c>
      <c r="R73" s="30">
        <v>0</v>
      </c>
      <c r="S73" s="27">
        <v>0</v>
      </c>
      <c r="T73" s="30">
        <v>0</v>
      </c>
      <c r="U73" s="34">
        <v>1</v>
      </c>
      <c r="V73" s="34">
        <v>1</v>
      </c>
      <c r="X73" s="8"/>
      <c r="Y73" s="2"/>
      <c r="Z73" s="26"/>
      <c r="AA73" s="26"/>
      <c r="AB73" s="26"/>
      <c r="AC73" s="26"/>
      <c r="AD73" s="27"/>
      <c r="AE73" s="30"/>
      <c r="AF73" s="26"/>
      <c r="AG73" s="26"/>
      <c r="AH73" s="32"/>
      <c r="AJ73" s="8"/>
      <c r="AK73" s="2"/>
      <c r="AL73" s="26"/>
      <c r="AM73" s="26"/>
      <c r="AN73" s="26"/>
      <c r="AO73" s="27"/>
      <c r="AP73" s="30"/>
      <c r="AQ73" s="26"/>
      <c r="AR73" s="26"/>
      <c r="AS73" s="32"/>
      <c r="AT73" s="34"/>
    </row>
    <row r="74" spans="2:46" x14ac:dyDescent="0.3">
      <c r="B74" s="8"/>
      <c r="C74" s="2" t="s">
        <v>799</v>
      </c>
      <c r="D74" s="26">
        <v>0</v>
      </c>
      <c r="E74" s="26">
        <v>0</v>
      </c>
      <c r="F74" s="27">
        <v>0</v>
      </c>
      <c r="G74" s="26">
        <v>0</v>
      </c>
      <c r="H74" s="26">
        <v>0</v>
      </c>
      <c r="I74" s="27">
        <v>0</v>
      </c>
      <c r="J74" s="26">
        <v>0</v>
      </c>
      <c r="K74" s="26">
        <v>0</v>
      </c>
      <c r="L74" s="67">
        <v>1</v>
      </c>
      <c r="N74" s="8"/>
      <c r="O74" s="2" t="s">
        <v>842</v>
      </c>
      <c r="P74" s="26">
        <v>0</v>
      </c>
      <c r="Q74" s="27">
        <v>0</v>
      </c>
      <c r="R74" s="30">
        <v>0</v>
      </c>
      <c r="S74" s="27">
        <v>0</v>
      </c>
      <c r="T74" s="30">
        <v>0</v>
      </c>
      <c r="U74" s="34">
        <v>1</v>
      </c>
      <c r="V74" s="34">
        <v>1</v>
      </c>
      <c r="X74" s="8"/>
      <c r="Y74" s="2"/>
      <c r="Z74" s="26"/>
      <c r="AA74" s="26"/>
      <c r="AB74" s="26"/>
      <c r="AC74" s="26"/>
      <c r="AD74" s="27"/>
      <c r="AE74" s="30"/>
      <c r="AF74" s="26"/>
      <c r="AG74" s="26"/>
      <c r="AH74" s="32"/>
      <c r="AJ74" s="8"/>
      <c r="AK74" s="2"/>
      <c r="AL74" s="26"/>
      <c r="AM74" s="26"/>
      <c r="AN74" s="26"/>
      <c r="AO74" s="27"/>
      <c r="AP74" s="30"/>
      <c r="AQ74" s="26"/>
      <c r="AR74" s="26"/>
      <c r="AS74" s="32"/>
      <c r="AT74" s="34"/>
    </row>
    <row r="75" spans="2:46" x14ac:dyDescent="0.3">
      <c r="B75" s="8"/>
      <c r="C75" s="2" t="s">
        <v>731</v>
      </c>
      <c r="D75" s="26">
        <v>0</v>
      </c>
      <c r="E75" s="26">
        <v>0</v>
      </c>
      <c r="F75" s="27">
        <v>0</v>
      </c>
      <c r="G75" s="26">
        <v>0</v>
      </c>
      <c r="H75" s="26">
        <v>0</v>
      </c>
      <c r="I75" s="27">
        <v>0</v>
      </c>
      <c r="J75" s="26">
        <v>0</v>
      </c>
      <c r="K75" s="26">
        <v>0</v>
      </c>
      <c r="L75" s="67">
        <v>1</v>
      </c>
      <c r="N75" s="8"/>
      <c r="O75" s="2" t="s">
        <v>667</v>
      </c>
      <c r="P75" s="26">
        <v>0</v>
      </c>
      <c r="Q75" s="27">
        <v>0</v>
      </c>
      <c r="R75" s="30">
        <v>0</v>
      </c>
      <c r="S75" s="27">
        <v>0</v>
      </c>
      <c r="T75" s="30">
        <v>0</v>
      </c>
      <c r="U75" s="34">
        <v>1</v>
      </c>
      <c r="V75" s="34">
        <v>1</v>
      </c>
      <c r="X75" s="8"/>
      <c r="Y75" s="2"/>
      <c r="Z75" s="26"/>
      <c r="AA75" s="26"/>
      <c r="AB75" s="26"/>
      <c r="AC75" s="26"/>
      <c r="AD75" s="27"/>
      <c r="AE75" s="30"/>
      <c r="AF75" s="26"/>
      <c r="AG75" s="26"/>
      <c r="AH75" s="32"/>
      <c r="AJ75" s="8"/>
      <c r="AK75" s="2"/>
      <c r="AL75" s="26"/>
      <c r="AM75" s="26"/>
      <c r="AN75" s="26"/>
      <c r="AO75" s="27"/>
      <c r="AP75" s="30"/>
      <c r="AQ75" s="26"/>
      <c r="AR75" s="26"/>
      <c r="AS75" s="32"/>
      <c r="AT75" s="34"/>
    </row>
    <row r="76" spans="2:46" x14ac:dyDescent="0.3">
      <c r="B76" s="8"/>
      <c r="C76" s="2" t="s">
        <v>800</v>
      </c>
      <c r="D76" s="26">
        <v>0</v>
      </c>
      <c r="E76" s="26">
        <v>0</v>
      </c>
      <c r="F76" s="27">
        <v>0</v>
      </c>
      <c r="G76" s="26">
        <v>0</v>
      </c>
      <c r="H76" s="26">
        <v>0</v>
      </c>
      <c r="I76" s="27">
        <v>0</v>
      </c>
      <c r="J76" s="26">
        <v>0</v>
      </c>
      <c r="K76" s="26">
        <v>0</v>
      </c>
      <c r="L76" s="67">
        <v>1</v>
      </c>
      <c r="N76" s="8"/>
      <c r="O76" s="2" t="s">
        <v>843</v>
      </c>
      <c r="P76" s="26">
        <v>0</v>
      </c>
      <c r="Q76" s="27">
        <v>0</v>
      </c>
      <c r="R76" s="30">
        <v>0</v>
      </c>
      <c r="S76" s="27">
        <v>0</v>
      </c>
      <c r="T76" s="30">
        <v>0</v>
      </c>
      <c r="U76" s="34">
        <v>1</v>
      </c>
      <c r="V76" s="34">
        <v>1</v>
      </c>
      <c r="X76" s="8"/>
      <c r="Y76" s="2"/>
      <c r="Z76" s="26"/>
      <c r="AA76" s="26"/>
      <c r="AB76" s="26"/>
      <c r="AC76" s="26"/>
      <c r="AD76" s="27"/>
      <c r="AE76" s="30"/>
      <c r="AF76" s="26"/>
      <c r="AG76" s="26"/>
      <c r="AH76" s="32"/>
      <c r="AJ76" s="8"/>
      <c r="AK76" s="2"/>
      <c r="AL76" s="26"/>
      <c r="AM76" s="26"/>
      <c r="AN76" s="26"/>
      <c r="AO76" s="27"/>
      <c r="AP76" s="30"/>
      <c r="AQ76" s="26"/>
      <c r="AR76" s="26"/>
      <c r="AS76" s="32"/>
      <c r="AT76" s="34"/>
    </row>
    <row r="77" spans="2:46" x14ac:dyDescent="0.3">
      <c r="B77" s="8"/>
      <c r="C77" s="2" t="s">
        <v>982</v>
      </c>
      <c r="D77" s="26">
        <v>0</v>
      </c>
      <c r="E77" s="26">
        <v>0</v>
      </c>
      <c r="F77" s="27">
        <v>0</v>
      </c>
      <c r="G77" s="26">
        <v>0</v>
      </c>
      <c r="H77" s="26">
        <v>0</v>
      </c>
      <c r="I77" s="27">
        <v>0</v>
      </c>
      <c r="J77" s="26">
        <v>0</v>
      </c>
      <c r="K77" s="26">
        <v>0</v>
      </c>
      <c r="L77" s="67">
        <v>1</v>
      </c>
      <c r="N77" s="8"/>
      <c r="O77" s="2" t="s">
        <v>952</v>
      </c>
      <c r="P77" s="26">
        <v>0</v>
      </c>
      <c r="Q77" s="27">
        <v>0</v>
      </c>
      <c r="R77" s="30">
        <v>0</v>
      </c>
      <c r="S77" s="27">
        <v>0</v>
      </c>
      <c r="T77" s="30">
        <v>0</v>
      </c>
      <c r="U77" s="34">
        <v>1</v>
      </c>
      <c r="V77" s="34">
        <v>1</v>
      </c>
      <c r="X77" s="8"/>
      <c r="Y77" s="2"/>
      <c r="Z77" s="26"/>
      <c r="AA77" s="26"/>
      <c r="AB77" s="26"/>
      <c r="AC77" s="26"/>
      <c r="AD77" s="27"/>
      <c r="AE77" s="30"/>
      <c r="AF77" s="26"/>
      <c r="AG77" s="26"/>
      <c r="AH77" s="32"/>
      <c r="AJ77" s="8"/>
      <c r="AK77" s="2"/>
      <c r="AL77" s="26"/>
      <c r="AM77" s="26"/>
      <c r="AN77" s="26"/>
      <c r="AO77" s="27"/>
      <c r="AP77" s="30"/>
      <c r="AQ77" s="26"/>
      <c r="AR77" s="26"/>
      <c r="AS77" s="32"/>
      <c r="AT77" s="34"/>
    </row>
    <row r="78" spans="2:46" x14ac:dyDescent="0.3">
      <c r="B78" s="8"/>
      <c r="C78" s="2" t="s">
        <v>983</v>
      </c>
      <c r="D78" s="26">
        <v>0</v>
      </c>
      <c r="E78" s="26">
        <v>0</v>
      </c>
      <c r="F78" s="27">
        <v>0</v>
      </c>
      <c r="G78" s="26">
        <v>0</v>
      </c>
      <c r="H78" s="26">
        <v>0</v>
      </c>
      <c r="I78" s="27">
        <v>0</v>
      </c>
      <c r="J78" s="26">
        <v>0</v>
      </c>
      <c r="K78" s="26">
        <v>0</v>
      </c>
      <c r="L78" s="67">
        <v>1</v>
      </c>
      <c r="N78" s="8"/>
      <c r="O78" s="2" t="s">
        <v>953</v>
      </c>
      <c r="P78" s="26">
        <v>0</v>
      </c>
      <c r="Q78" s="27">
        <v>0</v>
      </c>
      <c r="R78" s="30">
        <v>0</v>
      </c>
      <c r="S78" s="27">
        <v>0</v>
      </c>
      <c r="T78" s="30">
        <v>0</v>
      </c>
      <c r="U78" s="34">
        <v>1</v>
      </c>
      <c r="V78" s="34">
        <v>1</v>
      </c>
      <c r="X78" s="8"/>
      <c r="Y78" s="2"/>
      <c r="Z78" s="26"/>
      <c r="AA78" s="26"/>
      <c r="AB78" s="26"/>
      <c r="AC78" s="26"/>
      <c r="AD78" s="27"/>
      <c r="AE78" s="30"/>
      <c r="AF78" s="26"/>
      <c r="AG78" s="26"/>
      <c r="AH78" s="32"/>
      <c r="AJ78" s="8"/>
      <c r="AK78" s="2"/>
      <c r="AL78" s="26"/>
      <c r="AM78" s="26"/>
      <c r="AN78" s="26"/>
      <c r="AO78" s="27"/>
      <c r="AP78" s="30"/>
      <c r="AQ78" s="26"/>
      <c r="AR78" s="26"/>
      <c r="AS78" s="32"/>
      <c r="AT78" s="34"/>
    </row>
    <row r="79" spans="2:46" x14ac:dyDescent="0.3">
      <c r="B79" s="8"/>
      <c r="C79" s="2" t="s">
        <v>984</v>
      </c>
      <c r="D79" s="26">
        <v>0</v>
      </c>
      <c r="E79" s="26">
        <v>0</v>
      </c>
      <c r="F79" s="27">
        <v>0</v>
      </c>
      <c r="G79" s="26">
        <v>0</v>
      </c>
      <c r="H79" s="26">
        <v>0</v>
      </c>
      <c r="I79" s="27">
        <v>0</v>
      </c>
      <c r="J79" s="26">
        <v>0</v>
      </c>
      <c r="K79" s="26">
        <v>0</v>
      </c>
      <c r="L79" s="67">
        <v>1</v>
      </c>
      <c r="N79" s="8"/>
      <c r="O79" s="2" t="s">
        <v>954</v>
      </c>
      <c r="P79" s="26">
        <v>0</v>
      </c>
      <c r="Q79" s="27">
        <v>0</v>
      </c>
      <c r="R79" s="30">
        <v>0</v>
      </c>
      <c r="S79" s="27">
        <v>0</v>
      </c>
      <c r="T79" s="30">
        <v>0</v>
      </c>
      <c r="U79" s="34">
        <v>1</v>
      </c>
      <c r="V79" s="34">
        <v>1</v>
      </c>
      <c r="X79" s="8"/>
      <c r="Y79" s="2"/>
      <c r="Z79" s="26"/>
      <c r="AA79" s="26"/>
      <c r="AB79" s="26"/>
      <c r="AC79" s="26"/>
      <c r="AD79" s="27"/>
      <c r="AE79" s="30"/>
      <c r="AF79" s="26"/>
      <c r="AG79" s="26"/>
      <c r="AH79" s="32"/>
      <c r="AJ79" s="8"/>
      <c r="AK79" s="2"/>
      <c r="AL79" s="26"/>
      <c r="AM79" s="26"/>
      <c r="AN79" s="26"/>
      <c r="AO79" s="27"/>
      <c r="AP79" s="30"/>
      <c r="AQ79" s="26"/>
      <c r="AR79" s="26"/>
      <c r="AS79" s="32"/>
      <c r="AT79" s="34"/>
    </row>
    <row r="80" spans="2:46" x14ac:dyDescent="0.3">
      <c r="B80" s="8"/>
      <c r="C80" s="2" t="s">
        <v>732</v>
      </c>
      <c r="D80" s="26">
        <v>0</v>
      </c>
      <c r="E80" s="26">
        <v>0</v>
      </c>
      <c r="F80" s="27">
        <v>0</v>
      </c>
      <c r="G80" s="26">
        <v>0</v>
      </c>
      <c r="H80" s="26">
        <v>0</v>
      </c>
      <c r="I80" s="27">
        <v>0</v>
      </c>
      <c r="J80" s="26">
        <v>0</v>
      </c>
      <c r="K80" s="26">
        <v>0</v>
      </c>
      <c r="L80" s="67">
        <v>1</v>
      </c>
      <c r="N80" s="8"/>
      <c r="O80" s="2" t="s">
        <v>668</v>
      </c>
      <c r="P80" s="26">
        <v>0</v>
      </c>
      <c r="Q80" s="27">
        <v>0</v>
      </c>
      <c r="R80" s="30">
        <v>0</v>
      </c>
      <c r="S80" s="27">
        <v>0</v>
      </c>
      <c r="T80" s="30">
        <v>0</v>
      </c>
      <c r="U80" s="34">
        <v>1</v>
      </c>
      <c r="V80" s="34">
        <v>1</v>
      </c>
      <c r="X80" s="8"/>
      <c r="Y80" s="2"/>
      <c r="Z80" s="26"/>
      <c r="AA80" s="26"/>
      <c r="AB80" s="26"/>
      <c r="AC80" s="26"/>
      <c r="AD80" s="27"/>
      <c r="AE80" s="30"/>
      <c r="AF80" s="26"/>
      <c r="AG80" s="26"/>
      <c r="AH80" s="32"/>
      <c r="AJ80" s="8"/>
      <c r="AK80" s="2"/>
      <c r="AL80" s="26"/>
      <c r="AM80" s="26"/>
      <c r="AN80" s="26"/>
      <c r="AO80" s="27"/>
      <c r="AP80" s="30"/>
      <c r="AQ80" s="26"/>
      <c r="AR80" s="26"/>
      <c r="AS80" s="32"/>
      <c r="AT80" s="34"/>
    </row>
    <row r="81" spans="2:46" x14ac:dyDescent="0.3">
      <c r="B81" s="8"/>
      <c r="C81" s="2" t="s">
        <v>801</v>
      </c>
      <c r="D81" s="26">
        <v>0</v>
      </c>
      <c r="E81" s="26">
        <v>0</v>
      </c>
      <c r="F81" s="27">
        <v>0</v>
      </c>
      <c r="G81" s="26">
        <v>0</v>
      </c>
      <c r="H81" s="26">
        <v>0</v>
      </c>
      <c r="I81" s="27">
        <v>0</v>
      </c>
      <c r="J81" s="26">
        <v>0</v>
      </c>
      <c r="K81" s="26">
        <v>0</v>
      </c>
      <c r="L81" s="67">
        <v>1</v>
      </c>
      <c r="N81" s="8"/>
      <c r="O81" s="2" t="s">
        <v>844</v>
      </c>
      <c r="P81" s="26">
        <v>0</v>
      </c>
      <c r="Q81" s="27">
        <v>0</v>
      </c>
      <c r="R81" s="30">
        <v>0</v>
      </c>
      <c r="S81" s="27">
        <v>0</v>
      </c>
      <c r="T81" s="30">
        <v>0</v>
      </c>
      <c r="U81" s="34">
        <v>1</v>
      </c>
      <c r="V81" s="34">
        <v>1</v>
      </c>
      <c r="X81" s="8"/>
      <c r="Y81" s="2"/>
      <c r="Z81" s="26"/>
      <c r="AA81" s="26"/>
      <c r="AB81" s="26"/>
      <c r="AC81" s="26"/>
      <c r="AD81" s="27"/>
      <c r="AE81" s="30"/>
      <c r="AF81" s="26"/>
      <c r="AG81" s="26"/>
      <c r="AH81" s="32"/>
      <c r="AJ81" s="8"/>
      <c r="AK81" s="2"/>
      <c r="AL81" s="26"/>
      <c r="AM81" s="26"/>
      <c r="AN81" s="26"/>
      <c r="AO81" s="27"/>
      <c r="AP81" s="30"/>
      <c r="AQ81" s="26"/>
      <c r="AR81" s="26"/>
      <c r="AS81" s="32"/>
      <c r="AT81" s="34"/>
    </row>
    <row r="82" spans="2:46" x14ac:dyDescent="0.3">
      <c r="B82" s="8"/>
      <c r="C82" s="2" t="s">
        <v>802</v>
      </c>
      <c r="D82" s="26">
        <v>0</v>
      </c>
      <c r="E82" s="26">
        <v>0</v>
      </c>
      <c r="F82" s="27">
        <v>0</v>
      </c>
      <c r="G82" s="26">
        <v>0</v>
      </c>
      <c r="H82" s="26">
        <v>0</v>
      </c>
      <c r="I82" s="27">
        <v>0</v>
      </c>
      <c r="J82" s="26">
        <v>0</v>
      </c>
      <c r="K82" s="26">
        <v>0</v>
      </c>
      <c r="L82" s="67">
        <v>1</v>
      </c>
      <c r="N82" s="8"/>
      <c r="O82" s="2" t="s">
        <v>845</v>
      </c>
      <c r="P82" s="26">
        <v>0</v>
      </c>
      <c r="Q82" s="27">
        <v>0</v>
      </c>
      <c r="R82" s="30">
        <v>0</v>
      </c>
      <c r="S82" s="27">
        <v>0</v>
      </c>
      <c r="T82" s="30">
        <v>0</v>
      </c>
      <c r="U82" s="34">
        <v>1</v>
      </c>
      <c r="V82" s="34">
        <v>1</v>
      </c>
      <c r="X82" s="8"/>
      <c r="Y82" s="2"/>
      <c r="Z82" s="26"/>
      <c r="AA82" s="26"/>
      <c r="AB82" s="26"/>
      <c r="AC82" s="26"/>
      <c r="AD82" s="27"/>
      <c r="AE82" s="30"/>
      <c r="AF82" s="26"/>
      <c r="AG82" s="26"/>
      <c r="AH82" s="32"/>
      <c r="AJ82" s="8"/>
      <c r="AK82" s="2"/>
      <c r="AL82" s="26"/>
      <c r="AM82" s="26"/>
      <c r="AN82" s="26"/>
      <c r="AO82" s="27"/>
      <c r="AP82" s="30"/>
      <c r="AQ82" s="26"/>
      <c r="AR82" s="26"/>
      <c r="AS82" s="32"/>
      <c r="AT82" s="34"/>
    </row>
    <row r="83" spans="2:46" x14ac:dyDescent="0.3">
      <c r="B83" s="8"/>
      <c r="C83" s="2" t="s">
        <v>733</v>
      </c>
      <c r="D83" s="26">
        <v>0</v>
      </c>
      <c r="E83" s="26">
        <v>0</v>
      </c>
      <c r="F83" s="27">
        <v>0</v>
      </c>
      <c r="G83" s="26">
        <v>0</v>
      </c>
      <c r="H83" s="26">
        <v>0</v>
      </c>
      <c r="I83" s="27">
        <v>0</v>
      </c>
      <c r="J83" s="26">
        <v>0</v>
      </c>
      <c r="K83" s="26">
        <v>0</v>
      </c>
      <c r="L83" s="67">
        <v>1</v>
      </c>
      <c r="N83" s="8"/>
      <c r="O83" s="2" t="s">
        <v>669</v>
      </c>
      <c r="P83" s="26">
        <v>0</v>
      </c>
      <c r="Q83" s="27">
        <v>0</v>
      </c>
      <c r="R83" s="30">
        <v>0</v>
      </c>
      <c r="S83" s="27">
        <v>0</v>
      </c>
      <c r="T83" s="30">
        <v>0</v>
      </c>
      <c r="U83" s="34">
        <v>1</v>
      </c>
      <c r="V83" s="34">
        <v>1</v>
      </c>
      <c r="X83" s="8"/>
      <c r="Y83" s="2"/>
      <c r="Z83" s="26"/>
      <c r="AA83" s="26"/>
      <c r="AB83" s="26"/>
      <c r="AC83" s="26"/>
      <c r="AD83" s="27"/>
      <c r="AE83" s="30"/>
      <c r="AF83" s="26"/>
      <c r="AG83" s="26"/>
      <c r="AH83" s="32"/>
      <c r="AJ83" s="8"/>
      <c r="AK83" s="2"/>
      <c r="AL83" s="26"/>
      <c r="AM83" s="26"/>
      <c r="AN83" s="26"/>
      <c r="AO83" s="27"/>
      <c r="AP83" s="30"/>
      <c r="AQ83" s="26"/>
      <c r="AR83" s="26"/>
      <c r="AS83" s="32"/>
      <c r="AT83" s="34"/>
    </row>
    <row r="84" spans="2:46" x14ac:dyDescent="0.3">
      <c r="B84" s="8"/>
      <c r="C84" s="2" t="s">
        <v>803</v>
      </c>
      <c r="D84" s="26">
        <v>0</v>
      </c>
      <c r="E84" s="26">
        <v>0</v>
      </c>
      <c r="F84" s="27">
        <v>0</v>
      </c>
      <c r="G84" s="26">
        <v>0</v>
      </c>
      <c r="H84" s="26">
        <v>0</v>
      </c>
      <c r="I84" s="27">
        <v>0</v>
      </c>
      <c r="J84" s="26">
        <v>0</v>
      </c>
      <c r="K84" s="26">
        <v>0</v>
      </c>
      <c r="L84" s="67">
        <v>1</v>
      </c>
      <c r="N84" s="8"/>
      <c r="O84" s="2" t="s">
        <v>846</v>
      </c>
      <c r="P84" s="26">
        <v>0</v>
      </c>
      <c r="Q84" s="27">
        <v>0</v>
      </c>
      <c r="R84" s="30">
        <v>0</v>
      </c>
      <c r="S84" s="27">
        <v>0</v>
      </c>
      <c r="T84" s="30">
        <v>0</v>
      </c>
      <c r="U84" s="34">
        <v>1</v>
      </c>
      <c r="V84" s="34">
        <v>1</v>
      </c>
      <c r="X84" s="8"/>
      <c r="Y84" s="2"/>
      <c r="Z84" s="26"/>
      <c r="AA84" s="26"/>
      <c r="AB84" s="26"/>
      <c r="AC84" s="26"/>
      <c r="AD84" s="27"/>
      <c r="AE84" s="30"/>
      <c r="AF84" s="26"/>
      <c r="AG84" s="26"/>
      <c r="AH84" s="32"/>
      <c r="AJ84" s="8"/>
      <c r="AK84" s="2"/>
      <c r="AL84" s="26"/>
      <c r="AM84" s="26"/>
      <c r="AN84" s="26"/>
      <c r="AO84" s="27"/>
      <c r="AP84" s="30"/>
      <c r="AQ84" s="26"/>
      <c r="AR84" s="26"/>
      <c r="AS84" s="32"/>
      <c r="AT84" s="34"/>
    </row>
    <row r="85" spans="2:46" x14ac:dyDescent="0.3">
      <c r="B85" s="8"/>
      <c r="C85" s="2" t="s">
        <v>804</v>
      </c>
      <c r="D85" s="26">
        <v>0</v>
      </c>
      <c r="E85" s="26">
        <v>0</v>
      </c>
      <c r="F85" s="27">
        <v>0</v>
      </c>
      <c r="G85" s="26">
        <v>0</v>
      </c>
      <c r="H85" s="26">
        <v>0</v>
      </c>
      <c r="I85" s="27">
        <v>0</v>
      </c>
      <c r="J85" s="26">
        <v>0</v>
      </c>
      <c r="K85" s="26">
        <v>0</v>
      </c>
      <c r="L85" s="67">
        <v>1</v>
      </c>
      <c r="N85" s="8"/>
      <c r="O85" s="2" t="s">
        <v>847</v>
      </c>
      <c r="P85" s="26">
        <v>0</v>
      </c>
      <c r="Q85" s="27">
        <v>0</v>
      </c>
      <c r="R85" s="30">
        <v>0</v>
      </c>
      <c r="S85" s="27">
        <v>0</v>
      </c>
      <c r="T85" s="30">
        <v>0</v>
      </c>
      <c r="U85" s="34">
        <v>1</v>
      </c>
      <c r="V85" s="34">
        <v>1</v>
      </c>
      <c r="X85" s="8"/>
      <c r="Y85" s="2"/>
      <c r="Z85" s="26"/>
      <c r="AA85" s="26"/>
      <c r="AB85" s="26"/>
      <c r="AC85" s="26"/>
      <c r="AD85" s="27"/>
      <c r="AE85" s="30"/>
      <c r="AF85" s="26"/>
      <c r="AG85" s="26"/>
      <c r="AH85" s="32"/>
      <c r="AJ85" s="8"/>
      <c r="AK85" s="2"/>
      <c r="AL85" s="26"/>
      <c r="AM85" s="26"/>
      <c r="AN85" s="26"/>
      <c r="AO85" s="27"/>
      <c r="AP85" s="30"/>
      <c r="AQ85" s="26"/>
      <c r="AR85" s="26"/>
      <c r="AS85" s="32"/>
      <c r="AT85" s="34"/>
    </row>
    <row r="86" spans="2:46" x14ac:dyDescent="0.3">
      <c r="B86" s="8"/>
      <c r="C86" s="2" t="s">
        <v>805</v>
      </c>
      <c r="D86" s="26">
        <v>0</v>
      </c>
      <c r="E86" s="26">
        <v>0</v>
      </c>
      <c r="F86" s="27">
        <v>0</v>
      </c>
      <c r="G86" s="26">
        <v>0</v>
      </c>
      <c r="H86" s="26">
        <v>0</v>
      </c>
      <c r="I86" s="27">
        <v>0</v>
      </c>
      <c r="J86" s="26">
        <v>0</v>
      </c>
      <c r="K86" s="26">
        <v>0</v>
      </c>
      <c r="L86" s="67">
        <v>1</v>
      </c>
      <c r="N86" s="8"/>
      <c r="O86" s="2" t="s">
        <v>848</v>
      </c>
      <c r="P86" s="26">
        <v>0</v>
      </c>
      <c r="Q86" s="27">
        <v>0</v>
      </c>
      <c r="R86" s="30">
        <v>0</v>
      </c>
      <c r="S86" s="27">
        <v>0</v>
      </c>
      <c r="T86" s="30">
        <v>0</v>
      </c>
      <c r="U86" s="34">
        <v>1</v>
      </c>
      <c r="V86" s="34">
        <v>1</v>
      </c>
      <c r="X86" s="8"/>
      <c r="Y86" s="2"/>
      <c r="Z86" s="26"/>
      <c r="AA86" s="26"/>
      <c r="AB86" s="26"/>
      <c r="AC86" s="26"/>
      <c r="AD86" s="27"/>
      <c r="AE86" s="30"/>
      <c r="AF86" s="26"/>
      <c r="AG86" s="26"/>
      <c r="AH86" s="32"/>
      <c r="AJ86" s="8"/>
      <c r="AK86" s="2"/>
      <c r="AL86" s="26"/>
      <c r="AM86" s="26"/>
      <c r="AN86" s="26"/>
      <c r="AO86" s="27"/>
      <c r="AP86" s="30"/>
      <c r="AQ86" s="26"/>
      <c r="AR86" s="26"/>
      <c r="AS86" s="32"/>
      <c r="AT86" s="34"/>
    </row>
    <row r="87" spans="2:46" x14ac:dyDescent="0.3">
      <c r="B87" s="8"/>
      <c r="C87" s="2" t="s">
        <v>734</v>
      </c>
      <c r="D87" s="26">
        <v>0</v>
      </c>
      <c r="E87" s="26">
        <v>0</v>
      </c>
      <c r="F87" s="27">
        <v>0</v>
      </c>
      <c r="G87" s="26">
        <v>0</v>
      </c>
      <c r="H87" s="26">
        <v>0</v>
      </c>
      <c r="I87" s="27">
        <v>0</v>
      </c>
      <c r="J87" s="26">
        <v>0</v>
      </c>
      <c r="K87" s="26">
        <v>0</v>
      </c>
      <c r="L87" s="67">
        <v>1</v>
      </c>
      <c r="N87" s="8"/>
      <c r="O87" s="2" t="s">
        <v>670</v>
      </c>
      <c r="P87" s="26">
        <v>0</v>
      </c>
      <c r="Q87" s="27">
        <v>0</v>
      </c>
      <c r="R87" s="30">
        <v>0</v>
      </c>
      <c r="S87" s="27">
        <v>0</v>
      </c>
      <c r="T87" s="30">
        <v>0</v>
      </c>
      <c r="U87" s="34">
        <v>1</v>
      </c>
      <c r="V87" s="34">
        <v>1</v>
      </c>
      <c r="X87" s="8"/>
      <c r="Y87" s="2"/>
      <c r="Z87" s="26"/>
      <c r="AA87" s="26"/>
      <c r="AB87" s="26"/>
      <c r="AC87" s="26"/>
      <c r="AD87" s="27"/>
      <c r="AE87" s="30"/>
      <c r="AF87" s="26"/>
      <c r="AG87" s="26"/>
      <c r="AH87" s="32"/>
      <c r="AJ87" s="8"/>
      <c r="AK87" s="2"/>
      <c r="AL87" s="26"/>
      <c r="AM87" s="26"/>
      <c r="AN87" s="26"/>
      <c r="AO87" s="27"/>
      <c r="AP87" s="30"/>
      <c r="AQ87" s="26"/>
      <c r="AR87" s="26"/>
      <c r="AS87" s="32"/>
      <c r="AT87" s="34"/>
    </row>
    <row r="88" spans="2:46" x14ac:dyDescent="0.3">
      <c r="B88" s="8"/>
      <c r="C88" s="2" t="s">
        <v>735</v>
      </c>
      <c r="D88" s="26">
        <v>0</v>
      </c>
      <c r="E88" s="26">
        <v>0</v>
      </c>
      <c r="F88" s="27">
        <v>0</v>
      </c>
      <c r="G88" s="26">
        <v>0</v>
      </c>
      <c r="H88" s="26">
        <v>0</v>
      </c>
      <c r="I88" s="27">
        <v>0</v>
      </c>
      <c r="J88" s="26">
        <v>0</v>
      </c>
      <c r="K88" s="26">
        <v>0</v>
      </c>
      <c r="L88" s="67">
        <v>1</v>
      </c>
      <c r="N88" s="8"/>
      <c r="O88" s="2" t="s">
        <v>671</v>
      </c>
      <c r="P88" s="26">
        <v>0</v>
      </c>
      <c r="Q88" s="27">
        <v>0</v>
      </c>
      <c r="R88" s="30">
        <v>0</v>
      </c>
      <c r="S88" s="27">
        <v>0</v>
      </c>
      <c r="T88" s="30">
        <v>0</v>
      </c>
      <c r="U88" s="34">
        <v>1</v>
      </c>
      <c r="V88" s="34">
        <v>1</v>
      </c>
      <c r="X88" s="8"/>
      <c r="Y88" s="2"/>
      <c r="Z88" s="26"/>
      <c r="AA88" s="26"/>
      <c r="AB88" s="26"/>
      <c r="AC88" s="26"/>
      <c r="AD88" s="27"/>
      <c r="AE88" s="30"/>
      <c r="AF88" s="26"/>
      <c r="AG88" s="26"/>
      <c r="AH88" s="32"/>
      <c r="AJ88" s="8"/>
      <c r="AK88" s="2"/>
      <c r="AL88" s="26"/>
      <c r="AM88" s="26"/>
      <c r="AN88" s="26"/>
      <c r="AO88" s="27"/>
      <c r="AP88" s="30"/>
      <c r="AQ88" s="26"/>
      <c r="AR88" s="26"/>
      <c r="AS88" s="32"/>
      <c r="AT88" s="34"/>
    </row>
    <row r="89" spans="2:46" x14ac:dyDescent="0.3">
      <c r="B89" s="8"/>
      <c r="C89" s="2" t="s">
        <v>736</v>
      </c>
      <c r="D89" s="26">
        <v>0</v>
      </c>
      <c r="E89" s="26">
        <v>0</v>
      </c>
      <c r="F89" s="27">
        <v>0</v>
      </c>
      <c r="G89" s="26">
        <v>0</v>
      </c>
      <c r="H89" s="26">
        <v>0</v>
      </c>
      <c r="I89" s="27">
        <v>0</v>
      </c>
      <c r="J89" s="26">
        <v>0</v>
      </c>
      <c r="K89" s="26">
        <v>0</v>
      </c>
      <c r="L89" s="67">
        <v>1</v>
      </c>
      <c r="N89" s="8"/>
      <c r="O89" s="2" t="s">
        <v>672</v>
      </c>
      <c r="P89" s="26">
        <v>0</v>
      </c>
      <c r="Q89" s="27">
        <v>0</v>
      </c>
      <c r="R89" s="30">
        <v>0</v>
      </c>
      <c r="S89" s="27">
        <v>0</v>
      </c>
      <c r="T89" s="30">
        <v>0</v>
      </c>
      <c r="U89" s="34">
        <v>1</v>
      </c>
      <c r="V89" s="34">
        <v>1</v>
      </c>
      <c r="X89" s="8"/>
      <c r="Y89" s="2"/>
      <c r="Z89" s="26"/>
      <c r="AA89" s="26"/>
      <c r="AB89" s="26"/>
      <c r="AC89" s="26"/>
      <c r="AD89" s="27"/>
      <c r="AE89" s="30"/>
      <c r="AF89" s="26"/>
      <c r="AG89" s="26"/>
      <c r="AH89" s="32"/>
      <c r="AJ89" s="8"/>
      <c r="AK89" s="2"/>
      <c r="AL89" s="26"/>
      <c r="AM89" s="26"/>
      <c r="AN89" s="26"/>
      <c r="AO89" s="27"/>
      <c r="AP89" s="30"/>
      <c r="AQ89" s="26"/>
      <c r="AR89" s="26"/>
      <c r="AS89" s="32"/>
      <c r="AT89" s="34"/>
    </row>
    <row r="90" spans="2:46" x14ac:dyDescent="0.3">
      <c r="B90" s="8"/>
      <c r="C90" s="2" t="s">
        <v>737</v>
      </c>
      <c r="D90" s="26">
        <v>0</v>
      </c>
      <c r="E90" s="26">
        <v>0</v>
      </c>
      <c r="F90" s="27">
        <v>0</v>
      </c>
      <c r="G90" s="26">
        <v>0</v>
      </c>
      <c r="H90" s="26">
        <v>0</v>
      </c>
      <c r="I90" s="27">
        <v>0</v>
      </c>
      <c r="J90" s="26">
        <v>0</v>
      </c>
      <c r="K90" s="26">
        <v>0</v>
      </c>
      <c r="L90" s="67">
        <v>1</v>
      </c>
      <c r="N90" s="8"/>
      <c r="O90" s="2" t="s">
        <v>673</v>
      </c>
      <c r="P90" s="26">
        <v>0</v>
      </c>
      <c r="Q90" s="27">
        <v>0</v>
      </c>
      <c r="R90" s="30">
        <v>0</v>
      </c>
      <c r="S90" s="27">
        <v>0</v>
      </c>
      <c r="T90" s="30">
        <v>0</v>
      </c>
      <c r="U90" s="34">
        <v>1</v>
      </c>
      <c r="V90" s="34">
        <v>1</v>
      </c>
      <c r="X90" s="8"/>
      <c r="Y90" s="2"/>
      <c r="Z90" s="26"/>
      <c r="AA90" s="26"/>
      <c r="AB90" s="26"/>
      <c r="AC90" s="26"/>
      <c r="AD90" s="27"/>
      <c r="AE90" s="30"/>
      <c r="AF90" s="26"/>
      <c r="AG90" s="26"/>
      <c r="AH90" s="32"/>
      <c r="AJ90" s="8"/>
      <c r="AK90" s="2"/>
      <c r="AL90" s="26"/>
      <c r="AM90" s="26"/>
      <c r="AN90" s="26"/>
      <c r="AO90" s="27"/>
      <c r="AP90" s="30"/>
      <c r="AQ90" s="26"/>
      <c r="AR90" s="26"/>
      <c r="AS90" s="32"/>
      <c r="AT90" s="34"/>
    </row>
    <row r="91" spans="2:46" x14ac:dyDescent="0.3">
      <c r="B91" s="8"/>
      <c r="C91" s="2" t="s">
        <v>806</v>
      </c>
      <c r="D91" s="26">
        <v>0</v>
      </c>
      <c r="E91" s="26">
        <v>0</v>
      </c>
      <c r="F91" s="27">
        <v>0</v>
      </c>
      <c r="G91" s="26">
        <v>0</v>
      </c>
      <c r="H91" s="26">
        <v>0</v>
      </c>
      <c r="I91" s="27">
        <v>0</v>
      </c>
      <c r="J91" s="26">
        <v>0</v>
      </c>
      <c r="K91" s="26">
        <v>0</v>
      </c>
      <c r="L91" s="67">
        <v>1</v>
      </c>
      <c r="N91" s="8"/>
      <c r="O91" s="2" t="s">
        <v>849</v>
      </c>
      <c r="P91" s="26">
        <v>0</v>
      </c>
      <c r="Q91" s="27">
        <v>0</v>
      </c>
      <c r="R91" s="30">
        <v>0</v>
      </c>
      <c r="S91" s="27">
        <v>0</v>
      </c>
      <c r="T91" s="30">
        <v>0</v>
      </c>
      <c r="U91" s="34">
        <v>1</v>
      </c>
      <c r="V91" s="34">
        <v>1</v>
      </c>
      <c r="X91" s="8"/>
      <c r="Y91" s="2"/>
      <c r="Z91" s="26"/>
      <c r="AA91" s="26"/>
      <c r="AB91" s="26"/>
      <c r="AC91" s="26"/>
      <c r="AD91" s="27"/>
      <c r="AE91" s="30"/>
      <c r="AF91" s="26"/>
      <c r="AG91" s="26"/>
      <c r="AH91" s="32"/>
      <c r="AJ91" s="8"/>
      <c r="AK91" s="2"/>
      <c r="AL91" s="26"/>
      <c r="AM91" s="26"/>
      <c r="AN91" s="26"/>
      <c r="AO91" s="27"/>
      <c r="AP91" s="30"/>
      <c r="AQ91" s="26"/>
      <c r="AR91" s="26"/>
      <c r="AS91" s="32"/>
      <c r="AT91" s="34"/>
    </row>
    <row r="92" spans="2:46" x14ac:dyDescent="0.3">
      <c r="B92" s="8"/>
      <c r="C92" s="2" t="s">
        <v>807</v>
      </c>
      <c r="D92" s="26">
        <v>0</v>
      </c>
      <c r="E92" s="26">
        <v>0</v>
      </c>
      <c r="F92" s="27">
        <v>0</v>
      </c>
      <c r="G92" s="26">
        <v>0</v>
      </c>
      <c r="H92" s="26">
        <v>0</v>
      </c>
      <c r="I92" s="27">
        <v>0</v>
      </c>
      <c r="J92" s="26">
        <v>0</v>
      </c>
      <c r="K92" s="26">
        <v>0</v>
      </c>
      <c r="L92" s="67">
        <v>1</v>
      </c>
      <c r="N92" s="8"/>
      <c r="O92" s="2" t="s">
        <v>850</v>
      </c>
      <c r="P92" s="26">
        <v>0</v>
      </c>
      <c r="Q92" s="27">
        <v>0</v>
      </c>
      <c r="R92" s="30">
        <v>0</v>
      </c>
      <c r="S92" s="27">
        <v>0</v>
      </c>
      <c r="T92" s="30">
        <v>0</v>
      </c>
      <c r="U92" s="34">
        <v>1</v>
      </c>
      <c r="V92" s="34">
        <v>1</v>
      </c>
      <c r="X92" s="8"/>
      <c r="Y92" s="2"/>
      <c r="Z92" s="26"/>
      <c r="AA92" s="26"/>
      <c r="AB92" s="26"/>
      <c r="AC92" s="26"/>
      <c r="AD92" s="27"/>
      <c r="AE92" s="30"/>
      <c r="AF92" s="26"/>
      <c r="AG92" s="26"/>
      <c r="AH92" s="32"/>
      <c r="AJ92" s="8"/>
      <c r="AK92" s="2"/>
      <c r="AL92" s="26"/>
      <c r="AM92" s="26"/>
      <c r="AN92" s="26"/>
      <c r="AO92" s="27"/>
      <c r="AP92" s="30"/>
      <c r="AQ92" s="26"/>
      <c r="AR92" s="26"/>
      <c r="AS92" s="32"/>
      <c r="AT92" s="34"/>
    </row>
    <row r="93" spans="2:46" x14ac:dyDescent="0.3">
      <c r="B93" s="8"/>
      <c r="C93" s="2" t="s">
        <v>738</v>
      </c>
      <c r="D93" s="26">
        <v>0</v>
      </c>
      <c r="E93" s="26">
        <v>0</v>
      </c>
      <c r="F93" s="27">
        <v>0</v>
      </c>
      <c r="G93" s="26">
        <v>0</v>
      </c>
      <c r="H93" s="26">
        <v>0</v>
      </c>
      <c r="I93" s="27">
        <v>0</v>
      </c>
      <c r="J93" s="26">
        <v>0</v>
      </c>
      <c r="K93" s="26">
        <v>0</v>
      </c>
      <c r="L93" s="67">
        <v>1</v>
      </c>
      <c r="N93" s="8"/>
      <c r="O93" s="2" t="s">
        <v>674</v>
      </c>
      <c r="P93" s="26">
        <v>0</v>
      </c>
      <c r="Q93" s="27">
        <v>0</v>
      </c>
      <c r="R93" s="30">
        <v>0</v>
      </c>
      <c r="S93" s="27">
        <v>0</v>
      </c>
      <c r="T93" s="30">
        <v>0</v>
      </c>
      <c r="U93" s="34">
        <v>1</v>
      </c>
      <c r="V93" s="34">
        <v>1</v>
      </c>
      <c r="X93" s="8"/>
      <c r="Y93" s="2"/>
      <c r="Z93" s="26"/>
      <c r="AA93" s="26"/>
      <c r="AB93" s="26"/>
      <c r="AC93" s="26"/>
      <c r="AD93" s="27"/>
      <c r="AE93" s="30"/>
      <c r="AF93" s="26"/>
      <c r="AG93" s="26"/>
      <c r="AH93" s="32"/>
      <c r="AJ93" s="8"/>
      <c r="AK93" s="2"/>
      <c r="AL93" s="26"/>
      <c r="AM93" s="26"/>
      <c r="AN93" s="26"/>
      <c r="AO93" s="27"/>
      <c r="AP93" s="30"/>
      <c r="AQ93" s="26"/>
      <c r="AR93" s="26"/>
      <c r="AS93" s="32"/>
      <c r="AT93" s="34"/>
    </row>
    <row r="94" spans="2:46" x14ac:dyDescent="0.3">
      <c r="B94" s="8"/>
      <c r="C94" s="2" t="s">
        <v>739</v>
      </c>
      <c r="D94" s="26">
        <v>0</v>
      </c>
      <c r="E94" s="26">
        <v>0</v>
      </c>
      <c r="F94" s="27">
        <v>0</v>
      </c>
      <c r="G94" s="26">
        <v>0</v>
      </c>
      <c r="H94" s="26">
        <v>0</v>
      </c>
      <c r="I94" s="27">
        <v>0</v>
      </c>
      <c r="J94" s="26">
        <v>0</v>
      </c>
      <c r="K94" s="26">
        <v>0</v>
      </c>
      <c r="L94" s="67">
        <v>1</v>
      </c>
      <c r="N94" s="8"/>
      <c r="O94" s="2" t="s">
        <v>675</v>
      </c>
      <c r="P94" s="26">
        <v>0</v>
      </c>
      <c r="Q94" s="27">
        <v>0</v>
      </c>
      <c r="R94" s="30">
        <v>0</v>
      </c>
      <c r="S94" s="27">
        <v>0</v>
      </c>
      <c r="T94" s="30">
        <v>0</v>
      </c>
      <c r="U94" s="34">
        <v>1</v>
      </c>
      <c r="V94" s="34">
        <v>1</v>
      </c>
      <c r="X94" s="8"/>
      <c r="Y94" s="2"/>
      <c r="Z94" s="26"/>
      <c r="AA94" s="26"/>
      <c r="AB94" s="26"/>
      <c r="AC94" s="26"/>
      <c r="AD94" s="27"/>
      <c r="AE94" s="30"/>
      <c r="AF94" s="26"/>
      <c r="AG94" s="26"/>
      <c r="AH94" s="32"/>
      <c r="AJ94" s="8"/>
      <c r="AK94" s="2"/>
      <c r="AL94" s="26"/>
      <c r="AM94" s="26"/>
      <c r="AN94" s="26"/>
      <c r="AO94" s="27"/>
      <c r="AP94" s="30"/>
      <c r="AQ94" s="26"/>
      <c r="AR94" s="26"/>
      <c r="AS94" s="32"/>
      <c r="AT94" s="34"/>
    </row>
    <row r="95" spans="2:46" x14ac:dyDescent="0.3">
      <c r="B95" s="8"/>
      <c r="C95" s="2" t="s">
        <v>740</v>
      </c>
      <c r="D95" s="26">
        <v>0</v>
      </c>
      <c r="E95" s="26">
        <v>0</v>
      </c>
      <c r="F95" s="27">
        <v>0</v>
      </c>
      <c r="G95" s="26">
        <v>0</v>
      </c>
      <c r="H95" s="26">
        <v>0</v>
      </c>
      <c r="I95" s="27">
        <v>0</v>
      </c>
      <c r="J95" s="26">
        <v>0</v>
      </c>
      <c r="K95" s="26">
        <v>0</v>
      </c>
      <c r="L95" s="67">
        <v>1</v>
      </c>
      <c r="N95" s="8"/>
      <c r="O95" s="2" t="s">
        <v>676</v>
      </c>
      <c r="P95" s="26">
        <v>0</v>
      </c>
      <c r="Q95" s="27">
        <v>0</v>
      </c>
      <c r="R95" s="30">
        <v>0</v>
      </c>
      <c r="S95" s="27">
        <v>0</v>
      </c>
      <c r="T95" s="30">
        <v>0</v>
      </c>
      <c r="U95" s="34">
        <v>1</v>
      </c>
      <c r="V95" s="34">
        <v>1</v>
      </c>
      <c r="X95" s="8"/>
      <c r="Y95" s="2"/>
      <c r="Z95" s="26"/>
      <c r="AA95" s="26"/>
      <c r="AB95" s="26"/>
      <c r="AC95" s="26"/>
      <c r="AD95" s="27"/>
      <c r="AE95" s="30"/>
      <c r="AF95" s="26"/>
      <c r="AG95" s="26"/>
      <c r="AH95" s="32"/>
      <c r="AJ95" s="8"/>
      <c r="AK95" s="2"/>
      <c r="AL95" s="26"/>
      <c r="AM95" s="26"/>
      <c r="AN95" s="26"/>
      <c r="AO95" s="27"/>
      <c r="AP95" s="30"/>
      <c r="AQ95" s="26"/>
      <c r="AR95" s="26"/>
      <c r="AS95" s="32"/>
      <c r="AT95" s="34"/>
    </row>
    <row r="96" spans="2:46" x14ac:dyDescent="0.3">
      <c r="B96" s="8"/>
      <c r="C96" s="2" t="s">
        <v>741</v>
      </c>
      <c r="D96" s="26">
        <v>0</v>
      </c>
      <c r="E96" s="26">
        <v>0</v>
      </c>
      <c r="F96" s="27">
        <v>0</v>
      </c>
      <c r="G96" s="26">
        <v>0</v>
      </c>
      <c r="H96" s="26">
        <v>0</v>
      </c>
      <c r="I96" s="27">
        <v>0</v>
      </c>
      <c r="J96" s="26">
        <v>0</v>
      </c>
      <c r="K96" s="26">
        <v>0</v>
      </c>
      <c r="L96" s="67">
        <v>1</v>
      </c>
      <c r="N96" s="8"/>
      <c r="O96" s="2" t="s">
        <v>677</v>
      </c>
      <c r="P96" s="26">
        <v>0</v>
      </c>
      <c r="Q96" s="27">
        <v>0</v>
      </c>
      <c r="R96" s="30">
        <v>0</v>
      </c>
      <c r="S96" s="27">
        <v>0</v>
      </c>
      <c r="T96" s="30">
        <v>0</v>
      </c>
      <c r="U96" s="34">
        <v>1</v>
      </c>
      <c r="V96" s="34">
        <v>1</v>
      </c>
      <c r="X96" s="8"/>
      <c r="Y96" s="2"/>
      <c r="Z96" s="26"/>
      <c r="AA96" s="26"/>
      <c r="AB96" s="26"/>
      <c r="AC96" s="26"/>
      <c r="AD96" s="27"/>
      <c r="AE96" s="30"/>
      <c r="AF96" s="26"/>
      <c r="AG96" s="26"/>
      <c r="AH96" s="32"/>
      <c r="AJ96" s="8"/>
      <c r="AK96" s="2"/>
      <c r="AL96" s="26"/>
      <c r="AM96" s="26"/>
      <c r="AN96" s="26"/>
      <c r="AO96" s="27"/>
      <c r="AP96" s="30"/>
      <c r="AQ96" s="26"/>
      <c r="AR96" s="26"/>
      <c r="AS96" s="32"/>
      <c r="AT96" s="34"/>
    </row>
    <row r="97" spans="2:46" x14ac:dyDescent="0.3">
      <c r="B97" s="8"/>
      <c r="C97" s="2" t="s">
        <v>742</v>
      </c>
      <c r="D97" s="26">
        <v>0</v>
      </c>
      <c r="E97" s="26">
        <v>0</v>
      </c>
      <c r="F97" s="27">
        <v>0</v>
      </c>
      <c r="G97" s="26">
        <v>0</v>
      </c>
      <c r="H97" s="26">
        <v>0</v>
      </c>
      <c r="I97" s="27">
        <v>0</v>
      </c>
      <c r="J97" s="26">
        <v>0</v>
      </c>
      <c r="K97" s="26">
        <v>0</v>
      </c>
      <c r="L97" s="67">
        <v>1</v>
      </c>
      <c r="N97" s="8"/>
      <c r="O97" s="2" t="s">
        <v>678</v>
      </c>
      <c r="P97" s="26">
        <v>0</v>
      </c>
      <c r="Q97" s="27">
        <v>0</v>
      </c>
      <c r="R97" s="30">
        <v>0</v>
      </c>
      <c r="S97" s="27">
        <v>0</v>
      </c>
      <c r="T97" s="30">
        <v>0</v>
      </c>
      <c r="U97" s="34">
        <v>1</v>
      </c>
      <c r="V97" s="34">
        <v>1</v>
      </c>
      <c r="X97" s="8"/>
      <c r="Y97" s="2"/>
      <c r="Z97" s="26"/>
      <c r="AA97" s="26"/>
      <c r="AB97" s="26"/>
      <c r="AC97" s="26"/>
      <c r="AD97" s="27"/>
      <c r="AE97" s="30"/>
      <c r="AF97" s="26"/>
      <c r="AG97" s="26"/>
      <c r="AH97" s="32"/>
      <c r="AJ97" s="8"/>
      <c r="AK97" s="2"/>
      <c r="AL97" s="26"/>
      <c r="AM97" s="26"/>
      <c r="AN97" s="26"/>
      <c r="AO97" s="27"/>
      <c r="AP97" s="30"/>
      <c r="AQ97" s="26"/>
      <c r="AR97" s="26"/>
      <c r="AS97" s="32"/>
      <c r="AT97" s="34"/>
    </row>
    <row r="98" spans="2:46" x14ac:dyDescent="0.3">
      <c r="B98" s="8"/>
      <c r="C98" s="2" t="s">
        <v>743</v>
      </c>
      <c r="D98" s="26">
        <v>0</v>
      </c>
      <c r="E98" s="26">
        <v>0</v>
      </c>
      <c r="F98" s="27">
        <v>0</v>
      </c>
      <c r="G98" s="26">
        <v>0</v>
      </c>
      <c r="H98" s="26">
        <v>0</v>
      </c>
      <c r="I98" s="27">
        <v>0</v>
      </c>
      <c r="J98" s="26">
        <v>0</v>
      </c>
      <c r="K98" s="26">
        <v>0</v>
      </c>
      <c r="L98" s="67">
        <v>1</v>
      </c>
      <c r="N98" s="8"/>
      <c r="O98" s="2" t="s">
        <v>679</v>
      </c>
      <c r="P98" s="26">
        <v>0</v>
      </c>
      <c r="Q98" s="27">
        <v>0</v>
      </c>
      <c r="R98" s="30">
        <v>0</v>
      </c>
      <c r="S98" s="27">
        <v>0</v>
      </c>
      <c r="T98" s="30">
        <v>0</v>
      </c>
      <c r="U98" s="34">
        <v>1</v>
      </c>
      <c r="V98" s="34">
        <v>1</v>
      </c>
      <c r="X98" s="8"/>
      <c r="Y98" s="2"/>
      <c r="Z98" s="26"/>
      <c r="AA98" s="26"/>
      <c r="AB98" s="26"/>
      <c r="AC98" s="26"/>
      <c r="AD98" s="27"/>
      <c r="AE98" s="30"/>
      <c r="AF98" s="26"/>
      <c r="AG98" s="26"/>
      <c r="AH98" s="32"/>
      <c r="AJ98" s="8"/>
      <c r="AK98" s="2"/>
      <c r="AL98" s="26"/>
      <c r="AM98" s="26"/>
      <c r="AN98" s="26"/>
      <c r="AO98" s="27"/>
      <c r="AP98" s="30"/>
      <c r="AQ98" s="26"/>
      <c r="AR98" s="26"/>
      <c r="AS98" s="32"/>
      <c r="AT98" s="34"/>
    </row>
    <row r="99" spans="2:46" x14ac:dyDescent="0.3">
      <c r="B99" s="8"/>
      <c r="C99" s="2" t="s">
        <v>744</v>
      </c>
      <c r="D99" s="26">
        <v>0</v>
      </c>
      <c r="E99" s="26">
        <v>0</v>
      </c>
      <c r="F99" s="27">
        <v>0</v>
      </c>
      <c r="G99" s="26">
        <v>0</v>
      </c>
      <c r="H99" s="26">
        <v>0</v>
      </c>
      <c r="I99" s="27">
        <v>0</v>
      </c>
      <c r="J99" s="26">
        <v>0</v>
      </c>
      <c r="K99" s="26">
        <v>0</v>
      </c>
      <c r="L99" s="67">
        <v>1</v>
      </c>
      <c r="N99" s="8"/>
      <c r="O99" s="2" t="s">
        <v>680</v>
      </c>
      <c r="P99" s="26">
        <v>0</v>
      </c>
      <c r="Q99" s="27">
        <v>0</v>
      </c>
      <c r="R99" s="30">
        <v>0</v>
      </c>
      <c r="S99" s="27">
        <v>0</v>
      </c>
      <c r="T99" s="30">
        <v>0</v>
      </c>
      <c r="U99" s="34">
        <v>1</v>
      </c>
      <c r="V99" s="34">
        <v>1</v>
      </c>
      <c r="X99" s="8"/>
      <c r="Y99" s="2"/>
      <c r="Z99" s="26"/>
      <c r="AA99" s="26"/>
      <c r="AB99" s="26"/>
      <c r="AC99" s="26"/>
      <c r="AD99" s="27"/>
      <c r="AE99" s="30"/>
      <c r="AF99" s="26"/>
      <c r="AG99" s="26"/>
      <c r="AH99" s="32"/>
      <c r="AJ99" s="8"/>
      <c r="AK99" s="2"/>
      <c r="AL99" s="26"/>
      <c r="AM99" s="26"/>
      <c r="AN99" s="26"/>
      <c r="AO99" s="27"/>
      <c r="AP99" s="30"/>
      <c r="AQ99" s="26"/>
      <c r="AR99" s="26"/>
      <c r="AS99" s="32"/>
      <c r="AT99" s="34"/>
    </row>
    <row r="100" spans="2:46" x14ac:dyDescent="0.3">
      <c r="B100" s="8"/>
      <c r="C100" s="2" t="s">
        <v>808</v>
      </c>
      <c r="D100" s="26">
        <v>0</v>
      </c>
      <c r="E100" s="26">
        <v>0</v>
      </c>
      <c r="F100" s="27">
        <v>0</v>
      </c>
      <c r="G100" s="26">
        <v>0</v>
      </c>
      <c r="H100" s="26">
        <v>0</v>
      </c>
      <c r="I100" s="27">
        <v>0</v>
      </c>
      <c r="J100" s="26">
        <v>0</v>
      </c>
      <c r="K100" s="26">
        <v>0</v>
      </c>
      <c r="L100" s="67">
        <v>1</v>
      </c>
      <c r="N100" s="8"/>
      <c r="O100" s="2" t="s">
        <v>851</v>
      </c>
      <c r="P100" s="26">
        <v>0</v>
      </c>
      <c r="Q100" s="27">
        <v>0</v>
      </c>
      <c r="R100" s="30">
        <v>0</v>
      </c>
      <c r="S100" s="27">
        <v>0</v>
      </c>
      <c r="T100" s="30">
        <v>0</v>
      </c>
      <c r="U100" s="34">
        <v>1</v>
      </c>
      <c r="V100" s="34">
        <v>1</v>
      </c>
      <c r="X100" s="8"/>
      <c r="Y100" s="2"/>
      <c r="Z100" s="26"/>
      <c r="AA100" s="26"/>
      <c r="AB100" s="26"/>
      <c r="AC100" s="26"/>
      <c r="AD100" s="27"/>
      <c r="AE100" s="30"/>
      <c r="AF100" s="26"/>
      <c r="AG100" s="26"/>
      <c r="AH100" s="32"/>
      <c r="AJ100" s="8"/>
      <c r="AK100" s="2"/>
      <c r="AL100" s="26"/>
      <c r="AM100" s="26"/>
      <c r="AN100" s="26"/>
      <c r="AO100" s="27"/>
      <c r="AP100" s="30"/>
      <c r="AQ100" s="26"/>
      <c r="AR100" s="26"/>
      <c r="AS100" s="32"/>
      <c r="AT100" s="34"/>
    </row>
    <row r="101" spans="2:46" x14ac:dyDescent="0.3">
      <c r="B101" s="8"/>
      <c r="C101" s="2" t="s">
        <v>745</v>
      </c>
      <c r="D101" s="26">
        <v>0</v>
      </c>
      <c r="E101" s="26">
        <v>0</v>
      </c>
      <c r="F101" s="27">
        <v>0</v>
      </c>
      <c r="G101" s="26">
        <v>0</v>
      </c>
      <c r="H101" s="26">
        <v>0</v>
      </c>
      <c r="I101" s="27">
        <v>0</v>
      </c>
      <c r="J101" s="26">
        <v>0</v>
      </c>
      <c r="K101" s="26">
        <v>0</v>
      </c>
      <c r="L101" s="67">
        <v>1</v>
      </c>
      <c r="N101" s="8"/>
      <c r="O101" s="2" t="s">
        <v>681</v>
      </c>
      <c r="P101" s="26">
        <v>0</v>
      </c>
      <c r="Q101" s="27">
        <v>0</v>
      </c>
      <c r="R101" s="30">
        <v>0</v>
      </c>
      <c r="S101" s="27">
        <v>0</v>
      </c>
      <c r="T101" s="30">
        <v>0</v>
      </c>
      <c r="U101" s="34">
        <v>1</v>
      </c>
      <c r="V101" s="34">
        <v>1</v>
      </c>
      <c r="X101" s="8"/>
      <c r="Y101" s="2"/>
      <c r="Z101" s="26"/>
      <c r="AA101" s="26"/>
      <c r="AB101" s="26"/>
      <c r="AC101" s="26"/>
      <c r="AD101" s="27"/>
      <c r="AE101" s="30"/>
      <c r="AF101" s="26"/>
      <c r="AG101" s="26"/>
      <c r="AH101" s="32"/>
      <c r="AJ101" s="8"/>
      <c r="AK101" s="2"/>
      <c r="AL101" s="26"/>
      <c r="AM101" s="26"/>
      <c r="AN101" s="26"/>
      <c r="AO101" s="27"/>
      <c r="AP101" s="30"/>
      <c r="AQ101" s="26"/>
      <c r="AR101" s="26"/>
      <c r="AS101" s="32"/>
      <c r="AT101" s="34"/>
    </row>
    <row r="102" spans="2:46" x14ac:dyDescent="0.3">
      <c r="B102" s="8"/>
      <c r="C102" s="2" t="s">
        <v>746</v>
      </c>
      <c r="D102" s="26">
        <v>0</v>
      </c>
      <c r="E102" s="26">
        <v>0</v>
      </c>
      <c r="F102" s="27">
        <v>0</v>
      </c>
      <c r="G102" s="26">
        <v>0</v>
      </c>
      <c r="H102" s="26">
        <v>0</v>
      </c>
      <c r="I102" s="27">
        <v>0</v>
      </c>
      <c r="J102" s="26">
        <v>0</v>
      </c>
      <c r="K102" s="26">
        <v>0</v>
      </c>
      <c r="L102" s="67">
        <v>1</v>
      </c>
      <c r="N102" s="8"/>
      <c r="O102" s="2" t="s">
        <v>682</v>
      </c>
      <c r="P102" s="26">
        <v>0</v>
      </c>
      <c r="Q102" s="27">
        <v>0</v>
      </c>
      <c r="R102" s="30">
        <v>0</v>
      </c>
      <c r="S102" s="27">
        <v>0</v>
      </c>
      <c r="T102" s="30">
        <v>0</v>
      </c>
      <c r="U102" s="34">
        <v>1</v>
      </c>
      <c r="V102" s="34">
        <v>1</v>
      </c>
      <c r="X102" s="8"/>
      <c r="Y102" s="2"/>
      <c r="Z102" s="26"/>
      <c r="AA102" s="26"/>
      <c r="AB102" s="26"/>
      <c r="AC102" s="26"/>
      <c r="AD102" s="27"/>
      <c r="AE102" s="30"/>
      <c r="AF102" s="26"/>
      <c r="AG102" s="26"/>
      <c r="AH102" s="32"/>
      <c r="AJ102" s="8"/>
      <c r="AK102" s="2"/>
      <c r="AL102" s="26"/>
      <c r="AM102" s="26"/>
      <c r="AN102" s="26"/>
      <c r="AO102" s="27"/>
      <c r="AP102" s="30"/>
      <c r="AQ102" s="26"/>
      <c r="AR102" s="26"/>
      <c r="AS102" s="32"/>
      <c r="AT102" s="34"/>
    </row>
    <row r="103" spans="2:46" x14ac:dyDescent="0.3">
      <c r="B103" s="8"/>
      <c r="C103" s="2" t="s">
        <v>747</v>
      </c>
      <c r="D103" s="26">
        <v>0</v>
      </c>
      <c r="E103" s="26">
        <v>0</v>
      </c>
      <c r="F103" s="27">
        <v>0</v>
      </c>
      <c r="G103" s="26">
        <v>0</v>
      </c>
      <c r="H103" s="26">
        <v>0</v>
      </c>
      <c r="I103" s="27">
        <v>0</v>
      </c>
      <c r="J103" s="26">
        <v>0</v>
      </c>
      <c r="K103" s="26">
        <v>0</v>
      </c>
      <c r="L103" s="67">
        <v>1</v>
      </c>
      <c r="N103" s="8"/>
      <c r="O103" s="2" t="s">
        <v>683</v>
      </c>
      <c r="P103" s="26">
        <v>0</v>
      </c>
      <c r="Q103" s="27">
        <v>0</v>
      </c>
      <c r="R103" s="30">
        <v>0</v>
      </c>
      <c r="S103" s="27">
        <v>0</v>
      </c>
      <c r="T103" s="30">
        <v>0</v>
      </c>
      <c r="U103" s="34">
        <v>1</v>
      </c>
      <c r="V103" s="34">
        <v>1</v>
      </c>
      <c r="X103" s="8"/>
      <c r="Y103" s="2"/>
      <c r="Z103" s="26"/>
      <c r="AA103" s="26"/>
      <c r="AB103" s="26"/>
      <c r="AC103" s="26"/>
      <c r="AD103" s="27"/>
      <c r="AE103" s="30"/>
      <c r="AF103" s="26"/>
      <c r="AG103" s="26"/>
      <c r="AH103" s="32"/>
      <c r="AJ103" s="8"/>
      <c r="AK103" s="2"/>
      <c r="AL103" s="26"/>
      <c r="AM103" s="26"/>
      <c r="AN103" s="26"/>
      <c r="AO103" s="27"/>
      <c r="AP103" s="30"/>
      <c r="AQ103" s="26"/>
      <c r="AR103" s="26"/>
      <c r="AS103" s="32"/>
      <c r="AT103" s="34"/>
    </row>
    <row r="104" spans="2:46" x14ac:dyDescent="0.3">
      <c r="B104" s="8"/>
      <c r="C104" s="2" t="s">
        <v>748</v>
      </c>
      <c r="D104" s="26">
        <v>0</v>
      </c>
      <c r="E104" s="26">
        <v>0</v>
      </c>
      <c r="F104" s="27">
        <v>0</v>
      </c>
      <c r="G104" s="26">
        <v>0</v>
      </c>
      <c r="H104" s="26">
        <v>0</v>
      </c>
      <c r="I104" s="27">
        <v>0</v>
      </c>
      <c r="J104" s="26">
        <v>0</v>
      </c>
      <c r="K104" s="26">
        <v>0</v>
      </c>
      <c r="L104" s="67">
        <v>1</v>
      </c>
      <c r="N104" s="8"/>
      <c r="O104" s="2" t="s">
        <v>684</v>
      </c>
      <c r="P104" s="26">
        <v>0</v>
      </c>
      <c r="Q104" s="27">
        <v>0</v>
      </c>
      <c r="R104" s="30">
        <v>0</v>
      </c>
      <c r="S104" s="27">
        <v>0</v>
      </c>
      <c r="T104" s="30">
        <v>0</v>
      </c>
      <c r="U104" s="34">
        <v>1</v>
      </c>
      <c r="V104" s="34">
        <v>1</v>
      </c>
      <c r="X104" s="8"/>
      <c r="Y104" s="2"/>
      <c r="Z104" s="26"/>
      <c r="AA104" s="26"/>
      <c r="AB104" s="26"/>
      <c r="AC104" s="26"/>
      <c r="AD104" s="27"/>
      <c r="AE104" s="30"/>
      <c r="AF104" s="26"/>
      <c r="AG104" s="26"/>
      <c r="AH104" s="32"/>
      <c r="AJ104" s="8"/>
      <c r="AK104" s="2"/>
      <c r="AL104" s="26"/>
      <c r="AM104" s="26"/>
      <c r="AN104" s="26"/>
      <c r="AO104" s="27"/>
      <c r="AP104" s="30"/>
      <c r="AQ104" s="26"/>
      <c r="AR104" s="26"/>
      <c r="AS104" s="32"/>
      <c r="AT104" s="34"/>
    </row>
    <row r="105" spans="2:46" x14ac:dyDescent="0.3">
      <c r="B105" s="8"/>
      <c r="C105" s="2" t="s">
        <v>749</v>
      </c>
      <c r="D105" s="26">
        <v>0</v>
      </c>
      <c r="E105" s="26">
        <v>0</v>
      </c>
      <c r="F105" s="27">
        <v>0</v>
      </c>
      <c r="G105" s="26">
        <v>0</v>
      </c>
      <c r="H105" s="26">
        <v>0</v>
      </c>
      <c r="I105" s="27">
        <v>0</v>
      </c>
      <c r="J105" s="26">
        <v>0</v>
      </c>
      <c r="K105" s="26">
        <v>0</v>
      </c>
      <c r="L105" s="67">
        <v>1</v>
      </c>
      <c r="N105" s="8"/>
      <c r="O105" s="2" t="s">
        <v>685</v>
      </c>
      <c r="P105" s="26">
        <v>0</v>
      </c>
      <c r="Q105" s="27">
        <v>0</v>
      </c>
      <c r="R105" s="30">
        <v>0</v>
      </c>
      <c r="S105" s="27">
        <v>0</v>
      </c>
      <c r="T105" s="30">
        <v>0</v>
      </c>
      <c r="U105" s="34">
        <v>1</v>
      </c>
      <c r="V105" s="34">
        <v>1</v>
      </c>
      <c r="X105" s="8"/>
      <c r="Y105" s="2"/>
      <c r="Z105" s="26"/>
      <c r="AA105" s="26"/>
      <c r="AB105" s="26"/>
      <c r="AC105" s="26"/>
      <c r="AD105" s="27"/>
      <c r="AE105" s="30"/>
      <c r="AF105" s="26"/>
      <c r="AG105" s="26"/>
      <c r="AH105" s="32"/>
      <c r="AJ105" s="8"/>
      <c r="AK105" s="2"/>
      <c r="AL105" s="26"/>
      <c r="AM105" s="26"/>
      <c r="AN105" s="26"/>
      <c r="AO105" s="27"/>
      <c r="AP105" s="30"/>
      <c r="AQ105" s="26"/>
      <c r="AR105" s="26"/>
      <c r="AS105" s="32"/>
      <c r="AT105" s="34"/>
    </row>
    <row r="106" spans="2:46" x14ac:dyDescent="0.3">
      <c r="B106" s="8"/>
      <c r="C106" s="2" t="s">
        <v>750</v>
      </c>
      <c r="D106" s="26">
        <v>0</v>
      </c>
      <c r="E106" s="26">
        <v>0</v>
      </c>
      <c r="F106" s="27">
        <v>0</v>
      </c>
      <c r="G106" s="26">
        <v>0</v>
      </c>
      <c r="H106" s="26">
        <v>0</v>
      </c>
      <c r="I106" s="27">
        <v>0</v>
      </c>
      <c r="J106" s="26">
        <v>0</v>
      </c>
      <c r="K106" s="26">
        <v>0</v>
      </c>
      <c r="L106" s="67">
        <v>1</v>
      </c>
      <c r="N106" s="8"/>
      <c r="O106" s="2" t="s">
        <v>686</v>
      </c>
      <c r="P106" s="26">
        <v>0</v>
      </c>
      <c r="Q106" s="27">
        <v>0</v>
      </c>
      <c r="R106" s="30">
        <v>0</v>
      </c>
      <c r="S106" s="27">
        <v>0</v>
      </c>
      <c r="T106" s="30">
        <v>0</v>
      </c>
      <c r="U106" s="34">
        <v>1</v>
      </c>
      <c r="V106" s="34">
        <v>1</v>
      </c>
      <c r="X106" s="8"/>
      <c r="Y106" s="2"/>
      <c r="Z106" s="26"/>
      <c r="AA106" s="26"/>
      <c r="AB106" s="26"/>
      <c r="AC106" s="26"/>
      <c r="AD106" s="27"/>
      <c r="AE106" s="30"/>
      <c r="AF106" s="26"/>
      <c r="AG106" s="26"/>
      <c r="AH106" s="32"/>
      <c r="AJ106" s="8"/>
      <c r="AK106" s="2"/>
      <c r="AL106" s="26"/>
      <c r="AM106" s="26"/>
      <c r="AN106" s="26"/>
      <c r="AO106" s="27"/>
      <c r="AP106" s="30"/>
      <c r="AQ106" s="26"/>
      <c r="AR106" s="26"/>
      <c r="AS106" s="32"/>
      <c r="AT106" s="34"/>
    </row>
    <row r="107" spans="2:46" x14ac:dyDescent="0.3">
      <c r="B107" s="8"/>
      <c r="C107" s="2" t="s">
        <v>751</v>
      </c>
      <c r="D107" s="26">
        <v>0</v>
      </c>
      <c r="E107" s="26">
        <v>0</v>
      </c>
      <c r="F107" s="27">
        <v>0</v>
      </c>
      <c r="G107" s="26">
        <v>0</v>
      </c>
      <c r="H107" s="26">
        <v>0</v>
      </c>
      <c r="I107" s="27">
        <v>0</v>
      </c>
      <c r="J107" s="26">
        <v>0</v>
      </c>
      <c r="K107" s="26">
        <v>0</v>
      </c>
      <c r="L107" s="67">
        <v>1</v>
      </c>
      <c r="N107" s="8"/>
      <c r="O107" s="2" t="s">
        <v>687</v>
      </c>
      <c r="P107" s="26">
        <v>0</v>
      </c>
      <c r="Q107" s="27">
        <v>0</v>
      </c>
      <c r="R107" s="30">
        <v>0</v>
      </c>
      <c r="S107" s="27">
        <v>0</v>
      </c>
      <c r="T107" s="30">
        <v>0</v>
      </c>
      <c r="U107" s="34">
        <v>1</v>
      </c>
      <c r="V107" s="34">
        <v>1</v>
      </c>
      <c r="X107" s="8"/>
      <c r="Y107" s="2"/>
      <c r="Z107" s="26"/>
      <c r="AA107" s="26"/>
      <c r="AB107" s="26"/>
      <c r="AC107" s="26"/>
      <c r="AD107" s="27"/>
      <c r="AE107" s="30"/>
      <c r="AF107" s="26"/>
      <c r="AG107" s="26"/>
      <c r="AH107" s="32"/>
      <c r="AJ107" s="8"/>
      <c r="AK107" s="2"/>
      <c r="AL107" s="26"/>
      <c r="AM107" s="26"/>
      <c r="AN107" s="26"/>
      <c r="AO107" s="27"/>
      <c r="AP107" s="30"/>
      <c r="AQ107" s="26"/>
      <c r="AR107" s="26"/>
      <c r="AS107" s="32"/>
      <c r="AT107" s="34"/>
    </row>
    <row r="108" spans="2:46" x14ac:dyDescent="0.3">
      <c r="B108" s="8"/>
      <c r="C108" s="2" t="s">
        <v>752</v>
      </c>
      <c r="D108" s="26">
        <v>0</v>
      </c>
      <c r="E108" s="26">
        <v>0</v>
      </c>
      <c r="F108" s="27">
        <v>0</v>
      </c>
      <c r="G108" s="26">
        <v>0</v>
      </c>
      <c r="H108" s="26">
        <v>0</v>
      </c>
      <c r="I108" s="27">
        <v>0</v>
      </c>
      <c r="J108" s="26">
        <v>0</v>
      </c>
      <c r="K108" s="26">
        <v>0</v>
      </c>
      <c r="L108" s="67">
        <v>1</v>
      </c>
      <c r="N108" s="8"/>
      <c r="O108" s="2" t="s">
        <v>688</v>
      </c>
      <c r="P108" s="26">
        <v>0</v>
      </c>
      <c r="Q108" s="27">
        <v>0</v>
      </c>
      <c r="R108" s="30">
        <v>0</v>
      </c>
      <c r="S108" s="27">
        <v>0</v>
      </c>
      <c r="T108" s="30">
        <v>0</v>
      </c>
      <c r="U108" s="34">
        <v>1</v>
      </c>
      <c r="V108" s="34">
        <v>1</v>
      </c>
      <c r="X108" s="8"/>
      <c r="Y108" s="2"/>
      <c r="Z108" s="26"/>
      <c r="AA108" s="26"/>
      <c r="AB108" s="26"/>
      <c r="AC108" s="26"/>
      <c r="AD108" s="27"/>
      <c r="AE108" s="30"/>
      <c r="AF108" s="26"/>
      <c r="AG108" s="26"/>
      <c r="AH108" s="32"/>
      <c r="AJ108" s="8"/>
      <c r="AK108" s="2"/>
      <c r="AL108" s="26"/>
      <c r="AM108" s="26"/>
      <c r="AN108" s="26"/>
      <c r="AO108" s="27"/>
      <c r="AP108" s="30"/>
      <c r="AQ108" s="26"/>
      <c r="AR108" s="26"/>
      <c r="AS108" s="32"/>
      <c r="AT108" s="34"/>
    </row>
    <row r="109" spans="2:46" x14ac:dyDescent="0.3">
      <c r="B109" s="8"/>
      <c r="C109" s="2"/>
      <c r="D109" s="26"/>
      <c r="E109" s="26"/>
      <c r="F109" s="27"/>
      <c r="G109" s="26"/>
      <c r="H109" s="26"/>
      <c r="I109" s="27"/>
      <c r="J109" s="26"/>
      <c r="K109" s="26"/>
      <c r="L109" s="67"/>
      <c r="N109" s="8"/>
      <c r="O109" s="2"/>
      <c r="P109" s="26"/>
      <c r="Q109" s="27"/>
      <c r="R109" s="30"/>
      <c r="S109" s="27"/>
      <c r="T109" s="30"/>
      <c r="U109" s="34"/>
      <c r="V109" s="34"/>
      <c r="X109" s="8"/>
      <c r="Y109" s="2"/>
      <c r="Z109" s="26"/>
      <c r="AA109" s="26"/>
      <c r="AB109" s="26"/>
      <c r="AC109" s="26"/>
      <c r="AD109" s="27"/>
      <c r="AE109" s="30"/>
      <c r="AF109" s="26"/>
      <c r="AG109" s="26"/>
      <c r="AH109" s="32"/>
      <c r="AJ109" s="8"/>
      <c r="AK109" s="2"/>
      <c r="AL109" s="26"/>
      <c r="AM109" s="26"/>
      <c r="AN109" s="26"/>
      <c r="AO109" s="27"/>
      <c r="AP109" s="30"/>
      <c r="AQ109" s="26"/>
      <c r="AR109" s="26"/>
      <c r="AS109" s="32"/>
      <c r="AT109" s="34"/>
    </row>
    <row r="110" spans="2:46" x14ac:dyDescent="0.3">
      <c r="B110" s="8"/>
      <c r="C110" s="2"/>
      <c r="D110" s="26"/>
      <c r="E110" s="26"/>
      <c r="F110" s="27"/>
      <c r="G110" s="26"/>
      <c r="H110" s="26"/>
      <c r="I110" s="27"/>
      <c r="J110" s="26"/>
      <c r="K110" s="26"/>
      <c r="L110" s="67"/>
      <c r="N110" s="8"/>
      <c r="O110" s="2"/>
      <c r="P110" s="26"/>
      <c r="Q110" s="27"/>
      <c r="R110" s="30"/>
      <c r="S110" s="27"/>
      <c r="T110" s="30"/>
      <c r="U110" s="34"/>
      <c r="V110" s="34"/>
      <c r="X110" s="8"/>
      <c r="Y110" s="2"/>
      <c r="Z110" s="26"/>
      <c r="AA110" s="26"/>
      <c r="AB110" s="26"/>
      <c r="AC110" s="26"/>
      <c r="AD110" s="27"/>
      <c r="AE110" s="30"/>
      <c r="AF110" s="26"/>
      <c r="AG110" s="26"/>
      <c r="AH110" s="32"/>
      <c r="AJ110" s="8"/>
      <c r="AK110" s="2"/>
      <c r="AL110" s="26"/>
      <c r="AM110" s="26"/>
      <c r="AN110" s="26"/>
      <c r="AO110" s="27"/>
      <c r="AP110" s="30"/>
      <c r="AQ110" s="26"/>
      <c r="AR110" s="26"/>
      <c r="AS110" s="32"/>
      <c r="AT110" s="34"/>
    </row>
    <row r="111" spans="2:46" x14ac:dyDescent="0.3">
      <c r="B111" s="8"/>
      <c r="C111" s="2"/>
      <c r="D111" s="26"/>
      <c r="E111" s="26"/>
      <c r="F111" s="27"/>
      <c r="G111" s="26"/>
      <c r="H111" s="26"/>
      <c r="I111" s="27"/>
      <c r="J111" s="26"/>
      <c r="K111" s="26"/>
      <c r="L111" s="67"/>
      <c r="N111" s="8"/>
      <c r="O111" s="2"/>
      <c r="P111" s="26"/>
      <c r="Q111" s="27"/>
      <c r="R111" s="30"/>
      <c r="S111" s="27"/>
      <c r="T111" s="30"/>
      <c r="U111" s="34"/>
      <c r="V111" s="34"/>
      <c r="X111" s="8"/>
      <c r="Y111" s="2"/>
      <c r="Z111" s="26"/>
      <c r="AA111" s="26"/>
      <c r="AB111" s="26"/>
      <c r="AC111" s="26"/>
      <c r="AD111" s="27"/>
      <c r="AE111" s="30"/>
      <c r="AF111" s="26"/>
      <c r="AG111" s="26"/>
      <c r="AH111" s="32"/>
      <c r="AJ111" s="8"/>
      <c r="AK111" s="2"/>
      <c r="AL111" s="26"/>
      <c r="AM111" s="26"/>
      <c r="AN111" s="26"/>
      <c r="AO111" s="27"/>
      <c r="AP111" s="30"/>
      <c r="AQ111" s="26"/>
      <c r="AR111" s="26"/>
      <c r="AS111" s="32"/>
      <c r="AT111" s="34"/>
    </row>
    <row r="112" spans="2:46" x14ac:dyDescent="0.3">
      <c r="B112" s="8"/>
      <c r="C112" s="2"/>
      <c r="D112" s="26"/>
      <c r="E112" s="26"/>
      <c r="F112" s="27"/>
      <c r="G112" s="26"/>
      <c r="H112" s="26"/>
      <c r="I112" s="27"/>
      <c r="J112" s="26"/>
      <c r="K112" s="26"/>
      <c r="L112" s="67"/>
      <c r="N112" s="8"/>
      <c r="O112" s="2"/>
      <c r="P112" s="26"/>
      <c r="Q112" s="27"/>
      <c r="R112" s="30"/>
      <c r="S112" s="27"/>
      <c r="T112" s="30"/>
      <c r="U112" s="34"/>
      <c r="V112" s="34"/>
      <c r="X112" s="8"/>
      <c r="Y112" s="2"/>
      <c r="Z112" s="26"/>
      <c r="AA112" s="26"/>
      <c r="AB112" s="26"/>
      <c r="AC112" s="26"/>
      <c r="AD112" s="27"/>
      <c r="AE112" s="30"/>
      <c r="AF112" s="26"/>
      <c r="AG112" s="26"/>
      <c r="AH112" s="32"/>
      <c r="AJ112" s="8"/>
      <c r="AK112" s="2"/>
      <c r="AL112" s="26"/>
      <c r="AM112" s="26"/>
      <c r="AN112" s="26"/>
      <c r="AO112" s="27"/>
      <c r="AP112" s="30"/>
      <c r="AQ112" s="26"/>
      <c r="AR112" s="26"/>
      <c r="AS112" s="32"/>
      <c r="AT112" s="34"/>
    </row>
    <row r="113" spans="2:46" x14ac:dyDescent="0.3">
      <c r="B113" s="8"/>
      <c r="C113" s="2"/>
      <c r="D113" s="26"/>
      <c r="E113" s="26"/>
      <c r="F113" s="27"/>
      <c r="G113" s="26"/>
      <c r="H113" s="26"/>
      <c r="I113" s="27"/>
      <c r="J113" s="26"/>
      <c r="K113" s="26"/>
      <c r="L113" s="67"/>
      <c r="N113" s="8"/>
      <c r="O113" s="2"/>
      <c r="P113" s="26"/>
      <c r="Q113" s="27"/>
      <c r="R113" s="30"/>
      <c r="S113" s="27"/>
      <c r="T113" s="30"/>
      <c r="U113" s="34"/>
      <c r="V113" s="34"/>
      <c r="X113" s="8"/>
      <c r="Y113" s="2"/>
      <c r="Z113" s="26"/>
      <c r="AA113" s="26"/>
      <c r="AB113" s="26"/>
      <c r="AC113" s="26"/>
      <c r="AD113" s="27"/>
      <c r="AE113" s="30"/>
      <c r="AF113" s="26"/>
      <c r="AG113" s="26"/>
      <c r="AH113" s="32"/>
      <c r="AJ113" s="8"/>
      <c r="AK113" s="2"/>
      <c r="AL113" s="26"/>
      <c r="AM113" s="26"/>
      <c r="AN113" s="26"/>
      <c r="AO113" s="27"/>
      <c r="AP113" s="30"/>
      <c r="AQ113" s="26"/>
      <c r="AR113" s="26"/>
      <c r="AS113" s="32"/>
      <c r="AT113" s="34"/>
    </row>
    <row r="114" spans="2:46" x14ac:dyDescent="0.3">
      <c r="B114" s="8"/>
      <c r="C114" s="2"/>
      <c r="D114" s="26"/>
      <c r="E114" s="26"/>
      <c r="F114" s="27"/>
      <c r="G114" s="26"/>
      <c r="H114" s="26"/>
      <c r="I114" s="27"/>
      <c r="J114" s="26"/>
      <c r="K114" s="26"/>
      <c r="L114" s="67"/>
      <c r="N114" s="8"/>
      <c r="O114" s="2"/>
      <c r="P114" s="26"/>
      <c r="Q114" s="27"/>
      <c r="R114" s="30"/>
      <c r="S114" s="27"/>
      <c r="T114" s="30"/>
      <c r="U114" s="34"/>
      <c r="V114" s="34"/>
      <c r="X114" s="8"/>
      <c r="Y114" s="2"/>
      <c r="Z114" s="26"/>
      <c r="AA114" s="26"/>
      <c r="AB114" s="26"/>
      <c r="AC114" s="26"/>
      <c r="AD114" s="27"/>
      <c r="AE114" s="30"/>
      <c r="AF114" s="26"/>
      <c r="AG114" s="26"/>
      <c r="AH114" s="32"/>
      <c r="AJ114" s="8"/>
      <c r="AK114" s="2"/>
      <c r="AL114" s="26"/>
      <c r="AM114" s="26"/>
      <c r="AN114" s="26"/>
      <c r="AO114" s="27"/>
      <c r="AP114" s="30"/>
      <c r="AQ114" s="26"/>
      <c r="AR114" s="26"/>
      <c r="AS114" s="32"/>
      <c r="AT114" s="34"/>
    </row>
    <row r="115" spans="2:46" x14ac:dyDescent="0.3">
      <c r="B115" s="8"/>
      <c r="C115" s="2"/>
      <c r="D115" s="26"/>
      <c r="E115" s="26"/>
      <c r="F115" s="27"/>
      <c r="G115" s="26"/>
      <c r="H115" s="26"/>
      <c r="I115" s="27"/>
      <c r="J115" s="26"/>
      <c r="K115" s="26"/>
      <c r="L115" s="67"/>
      <c r="N115" s="8"/>
      <c r="O115" s="2"/>
      <c r="P115" s="26"/>
      <c r="Q115" s="27"/>
      <c r="R115" s="30"/>
      <c r="S115" s="27"/>
      <c r="T115" s="30"/>
      <c r="U115" s="34"/>
      <c r="V115" s="34"/>
      <c r="X115" s="8"/>
      <c r="Y115" s="2"/>
      <c r="Z115" s="26"/>
      <c r="AA115" s="26"/>
      <c r="AB115" s="26"/>
      <c r="AC115" s="26"/>
      <c r="AD115" s="27"/>
      <c r="AE115" s="30"/>
      <c r="AF115" s="26"/>
      <c r="AG115" s="26"/>
      <c r="AH115" s="32"/>
      <c r="AJ115" s="8"/>
      <c r="AK115" s="2"/>
      <c r="AL115" s="26"/>
      <c r="AM115" s="26"/>
      <c r="AN115" s="26"/>
      <c r="AO115" s="27"/>
      <c r="AP115" s="30"/>
      <c r="AQ115" s="26"/>
      <c r="AR115" s="26"/>
      <c r="AS115" s="32"/>
      <c r="AT115" s="34"/>
    </row>
    <row r="116" spans="2:46" x14ac:dyDescent="0.3">
      <c r="B116" s="8"/>
      <c r="C116" s="2"/>
      <c r="D116" s="26"/>
      <c r="E116" s="26"/>
      <c r="F116" s="27"/>
      <c r="G116" s="26"/>
      <c r="H116" s="26"/>
      <c r="I116" s="27"/>
      <c r="J116" s="26"/>
      <c r="K116" s="26"/>
      <c r="L116" s="67"/>
      <c r="N116" s="8"/>
      <c r="O116" s="2"/>
      <c r="P116" s="26"/>
      <c r="Q116" s="27"/>
      <c r="R116" s="30"/>
      <c r="S116" s="27"/>
      <c r="T116" s="30"/>
      <c r="U116" s="34"/>
      <c r="V116" s="34"/>
      <c r="X116" s="8"/>
      <c r="Y116" s="2"/>
      <c r="Z116" s="26"/>
      <c r="AA116" s="26"/>
      <c r="AB116" s="26"/>
      <c r="AC116" s="26"/>
      <c r="AD116" s="27"/>
      <c r="AE116" s="30"/>
      <c r="AF116" s="26"/>
      <c r="AG116" s="26"/>
      <c r="AH116" s="32"/>
      <c r="AJ116" s="8"/>
      <c r="AK116" s="2"/>
      <c r="AL116" s="26"/>
      <c r="AM116" s="26"/>
      <c r="AN116" s="26"/>
      <c r="AO116" s="27"/>
      <c r="AP116" s="30"/>
      <c r="AQ116" s="26"/>
      <c r="AR116" s="26"/>
      <c r="AS116" s="32"/>
      <c r="AT116" s="34"/>
    </row>
    <row r="117" spans="2:46" x14ac:dyDescent="0.3">
      <c r="B117" s="8"/>
      <c r="C117" s="2"/>
      <c r="D117" s="26"/>
      <c r="E117" s="26"/>
      <c r="F117" s="27"/>
      <c r="G117" s="26"/>
      <c r="H117" s="26"/>
      <c r="I117" s="27"/>
      <c r="J117" s="26"/>
      <c r="K117" s="26"/>
      <c r="L117" s="67"/>
      <c r="N117" s="8"/>
      <c r="O117" s="2"/>
      <c r="P117" s="26"/>
      <c r="Q117" s="27"/>
      <c r="R117" s="30"/>
      <c r="S117" s="27"/>
      <c r="T117" s="30"/>
      <c r="U117" s="34"/>
      <c r="V117" s="34"/>
      <c r="X117" s="8"/>
      <c r="Y117" s="2"/>
      <c r="Z117" s="26"/>
      <c r="AA117" s="26"/>
      <c r="AB117" s="26"/>
      <c r="AC117" s="26"/>
      <c r="AD117" s="27"/>
      <c r="AE117" s="30"/>
      <c r="AF117" s="26"/>
      <c r="AG117" s="26"/>
      <c r="AH117" s="32"/>
      <c r="AJ117" s="8"/>
      <c r="AK117" s="2"/>
      <c r="AL117" s="26"/>
      <c r="AM117" s="26"/>
      <c r="AN117" s="26"/>
      <c r="AO117" s="27"/>
      <c r="AP117" s="30"/>
      <c r="AQ117" s="26"/>
      <c r="AR117" s="26"/>
      <c r="AS117" s="32"/>
      <c r="AT117" s="34"/>
    </row>
    <row r="118" spans="2:46" x14ac:dyDescent="0.3">
      <c r="B118" s="8"/>
      <c r="C118" s="2"/>
      <c r="D118" s="26"/>
      <c r="E118" s="26"/>
      <c r="F118" s="27"/>
      <c r="G118" s="26"/>
      <c r="H118" s="26"/>
      <c r="I118" s="27"/>
      <c r="J118" s="26"/>
      <c r="K118" s="26"/>
      <c r="L118" s="67"/>
      <c r="N118" s="8"/>
      <c r="O118" s="2"/>
      <c r="P118" s="26"/>
      <c r="Q118" s="27"/>
      <c r="R118" s="30"/>
      <c r="S118" s="27"/>
      <c r="T118" s="30"/>
      <c r="U118" s="34"/>
      <c r="V118" s="34"/>
      <c r="X118" s="8"/>
      <c r="Y118" s="2"/>
      <c r="Z118" s="26"/>
      <c r="AA118" s="26"/>
      <c r="AB118" s="26"/>
      <c r="AC118" s="26"/>
      <c r="AD118" s="27"/>
      <c r="AE118" s="30"/>
      <c r="AF118" s="26"/>
      <c r="AG118" s="26"/>
      <c r="AH118" s="32"/>
      <c r="AJ118" s="8"/>
      <c r="AK118" s="2"/>
      <c r="AL118" s="26"/>
      <c r="AM118" s="26"/>
      <c r="AN118" s="26"/>
      <c r="AO118" s="27"/>
      <c r="AP118" s="30"/>
      <c r="AQ118" s="26"/>
      <c r="AR118" s="26"/>
      <c r="AS118" s="32"/>
      <c r="AT118" s="34"/>
    </row>
    <row r="119" spans="2:46" x14ac:dyDescent="0.3">
      <c r="B119" s="8"/>
      <c r="C119" s="2"/>
      <c r="D119" s="26"/>
      <c r="E119" s="26"/>
      <c r="F119" s="27"/>
      <c r="G119" s="26"/>
      <c r="H119" s="26"/>
      <c r="I119" s="27"/>
      <c r="J119" s="26"/>
      <c r="K119" s="26"/>
      <c r="L119" s="67"/>
      <c r="N119" s="8"/>
      <c r="O119" s="2"/>
      <c r="P119" s="26"/>
      <c r="Q119" s="27"/>
      <c r="R119" s="30"/>
      <c r="S119" s="27"/>
      <c r="T119" s="30"/>
      <c r="U119" s="34"/>
      <c r="V119" s="34"/>
      <c r="X119" s="8"/>
      <c r="Y119" s="2"/>
      <c r="Z119" s="26"/>
      <c r="AA119" s="26"/>
      <c r="AB119" s="26"/>
      <c r="AC119" s="26"/>
      <c r="AD119" s="27"/>
      <c r="AE119" s="30"/>
      <c r="AF119" s="26"/>
      <c r="AG119" s="26"/>
      <c r="AH119" s="32"/>
      <c r="AJ119" s="8"/>
      <c r="AK119" s="2"/>
      <c r="AL119" s="26"/>
      <c r="AM119" s="26"/>
      <c r="AN119" s="26"/>
      <c r="AO119" s="27"/>
      <c r="AP119" s="30"/>
      <c r="AQ119" s="26"/>
      <c r="AR119" s="26"/>
      <c r="AS119" s="32"/>
      <c r="AT119" s="34"/>
    </row>
    <row r="120" spans="2:46" x14ac:dyDescent="0.3">
      <c r="B120" s="8"/>
      <c r="C120" s="2"/>
      <c r="D120" s="26"/>
      <c r="E120" s="26"/>
      <c r="F120" s="27"/>
      <c r="G120" s="26"/>
      <c r="H120" s="26"/>
      <c r="I120" s="27"/>
      <c r="J120" s="26"/>
      <c r="K120" s="26"/>
      <c r="L120" s="67"/>
      <c r="N120" s="8"/>
      <c r="O120" s="2"/>
      <c r="P120" s="26"/>
      <c r="Q120" s="27"/>
      <c r="R120" s="30"/>
      <c r="S120" s="27"/>
      <c r="T120" s="30"/>
      <c r="U120" s="34"/>
      <c r="V120" s="34"/>
      <c r="X120" s="8"/>
      <c r="Y120" s="2"/>
      <c r="Z120" s="26"/>
      <c r="AA120" s="26"/>
      <c r="AB120" s="26"/>
      <c r="AC120" s="26"/>
      <c r="AD120" s="27"/>
      <c r="AE120" s="30"/>
      <c r="AF120" s="26"/>
      <c r="AG120" s="26"/>
      <c r="AH120" s="32"/>
      <c r="AJ120" s="8"/>
      <c r="AK120" s="2"/>
      <c r="AL120" s="26"/>
      <c r="AM120" s="26"/>
      <c r="AN120" s="26"/>
      <c r="AO120" s="27"/>
      <c r="AP120" s="30"/>
      <c r="AQ120" s="26"/>
      <c r="AR120" s="26"/>
      <c r="AS120" s="32"/>
      <c r="AT120" s="34"/>
    </row>
    <row r="121" spans="2:46" x14ac:dyDescent="0.3">
      <c r="B121" s="8"/>
      <c r="C121" s="2"/>
      <c r="D121" s="26"/>
      <c r="E121" s="26"/>
      <c r="F121" s="27"/>
      <c r="G121" s="26"/>
      <c r="H121" s="26"/>
      <c r="I121" s="27"/>
      <c r="J121" s="26"/>
      <c r="K121" s="26"/>
      <c r="L121" s="67"/>
      <c r="N121" s="8"/>
      <c r="O121" s="2"/>
      <c r="P121" s="26"/>
      <c r="Q121" s="27"/>
      <c r="R121" s="30"/>
      <c r="S121" s="27"/>
      <c r="T121" s="30"/>
      <c r="U121" s="34"/>
      <c r="V121" s="34"/>
      <c r="X121" s="8"/>
      <c r="Y121" s="2"/>
      <c r="Z121" s="26"/>
      <c r="AA121" s="26"/>
      <c r="AB121" s="26"/>
      <c r="AC121" s="26"/>
      <c r="AD121" s="27"/>
      <c r="AE121" s="30"/>
      <c r="AF121" s="26"/>
      <c r="AG121" s="26"/>
      <c r="AH121" s="32"/>
      <c r="AJ121" s="8"/>
      <c r="AK121" s="2"/>
      <c r="AL121" s="26"/>
      <c r="AM121" s="26"/>
      <c r="AN121" s="26"/>
      <c r="AO121" s="27"/>
      <c r="AP121" s="30"/>
      <c r="AQ121" s="26"/>
      <c r="AR121" s="26"/>
      <c r="AS121" s="32"/>
      <c r="AT121" s="34"/>
    </row>
    <row r="122" spans="2:46" x14ac:dyDescent="0.3">
      <c r="B122" s="8"/>
      <c r="C122" s="2"/>
      <c r="D122" s="26"/>
      <c r="E122" s="26"/>
      <c r="F122" s="27"/>
      <c r="G122" s="26"/>
      <c r="H122" s="26"/>
      <c r="I122" s="27"/>
      <c r="J122" s="26"/>
      <c r="K122" s="26"/>
      <c r="L122" s="67"/>
      <c r="N122" s="8"/>
      <c r="O122" s="2"/>
      <c r="P122" s="26"/>
      <c r="Q122" s="27"/>
      <c r="R122" s="30"/>
      <c r="S122" s="27"/>
      <c r="T122" s="30"/>
      <c r="U122" s="34"/>
      <c r="V122" s="34"/>
      <c r="X122" s="8"/>
      <c r="Y122" s="2"/>
      <c r="Z122" s="26"/>
      <c r="AA122" s="26"/>
      <c r="AB122" s="26"/>
      <c r="AC122" s="26"/>
      <c r="AD122" s="27"/>
      <c r="AE122" s="30"/>
      <c r="AF122" s="26"/>
      <c r="AG122" s="26"/>
      <c r="AH122" s="32"/>
      <c r="AJ122" s="8"/>
      <c r="AK122" s="2"/>
      <c r="AL122" s="26"/>
      <c r="AM122" s="26"/>
      <c r="AN122" s="26"/>
      <c r="AO122" s="27"/>
      <c r="AP122" s="30"/>
      <c r="AQ122" s="26"/>
      <c r="AR122" s="26"/>
      <c r="AS122" s="32"/>
      <c r="AT122" s="34"/>
    </row>
    <row r="123" spans="2:46" x14ac:dyDescent="0.3">
      <c r="B123" s="8"/>
      <c r="C123" s="2"/>
      <c r="D123" s="26"/>
      <c r="E123" s="26"/>
      <c r="F123" s="27"/>
      <c r="G123" s="26"/>
      <c r="H123" s="26"/>
      <c r="I123" s="27"/>
      <c r="J123" s="26"/>
      <c r="K123" s="26"/>
      <c r="L123" s="67"/>
      <c r="N123" s="8"/>
      <c r="O123" s="2"/>
      <c r="P123" s="26"/>
      <c r="Q123" s="27"/>
      <c r="R123" s="30"/>
      <c r="S123" s="27"/>
      <c r="T123" s="30"/>
      <c r="U123" s="34"/>
      <c r="V123" s="34"/>
      <c r="X123" s="8"/>
      <c r="Y123" s="2"/>
      <c r="Z123" s="26"/>
      <c r="AA123" s="26"/>
      <c r="AB123" s="26"/>
      <c r="AC123" s="26"/>
      <c r="AD123" s="27"/>
      <c r="AE123" s="30"/>
      <c r="AF123" s="26"/>
      <c r="AG123" s="26"/>
      <c r="AH123" s="32"/>
      <c r="AJ123" s="8"/>
      <c r="AK123" s="2"/>
      <c r="AL123" s="26"/>
      <c r="AM123" s="26"/>
      <c r="AN123" s="26"/>
      <c r="AO123" s="27"/>
      <c r="AP123" s="30"/>
      <c r="AQ123" s="26"/>
      <c r="AR123" s="26"/>
      <c r="AS123" s="32"/>
      <c r="AT123" s="34"/>
    </row>
    <row r="124" spans="2:46" x14ac:dyDescent="0.3">
      <c r="B124" s="8"/>
      <c r="C124" s="2"/>
      <c r="D124" s="26"/>
      <c r="E124" s="26"/>
      <c r="F124" s="27"/>
      <c r="G124" s="26"/>
      <c r="H124" s="26"/>
      <c r="I124" s="27"/>
      <c r="J124" s="26"/>
      <c r="K124" s="26"/>
      <c r="L124" s="67"/>
      <c r="N124" s="8"/>
      <c r="O124" s="2"/>
      <c r="P124" s="26"/>
      <c r="Q124" s="27"/>
      <c r="R124" s="30"/>
      <c r="S124" s="27"/>
      <c r="T124" s="30"/>
      <c r="U124" s="34"/>
      <c r="V124" s="34"/>
      <c r="X124" s="8"/>
      <c r="Y124" s="2"/>
      <c r="Z124" s="26"/>
      <c r="AA124" s="26"/>
      <c r="AB124" s="26"/>
      <c r="AC124" s="26"/>
      <c r="AD124" s="27"/>
      <c r="AE124" s="30"/>
      <c r="AF124" s="26"/>
      <c r="AG124" s="26"/>
      <c r="AH124" s="32"/>
      <c r="AJ124" s="8"/>
      <c r="AK124" s="2"/>
      <c r="AL124" s="26"/>
      <c r="AM124" s="26"/>
      <c r="AN124" s="26"/>
      <c r="AO124" s="27"/>
      <c r="AP124" s="30"/>
      <c r="AQ124" s="26"/>
      <c r="AR124" s="26"/>
      <c r="AS124" s="32"/>
      <c r="AT124" s="34"/>
    </row>
    <row r="125" spans="2:46" x14ac:dyDescent="0.3">
      <c r="B125" s="8"/>
      <c r="C125" s="2"/>
      <c r="D125" s="26"/>
      <c r="E125" s="26"/>
      <c r="F125" s="27"/>
      <c r="G125" s="26"/>
      <c r="H125" s="26"/>
      <c r="I125" s="27"/>
      <c r="J125" s="26"/>
      <c r="K125" s="26"/>
      <c r="L125" s="67"/>
      <c r="N125" s="8"/>
      <c r="O125" s="2"/>
      <c r="P125" s="26"/>
      <c r="Q125" s="27"/>
      <c r="R125" s="30"/>
      <c r="S125" s="27"/>
      <c r="T125" s="30"/>
      <c r="U125" s="34"/>
      <c r="V125" s="34"/>
      <c r="X125" s="8"/>
      <c r="Y125" s="2"/>
      <c r="Z125" s="26"/>
      <c r="AA125" s="26"/>
      <c r="AB125" s="26"/>
      <c r="AC125" s="26"/>
      <c r="AD125" s="27"/>
      <c r="AE125" s="30"/>
      <c r="AF125" s="26"/>
      <c r="AG125" s="26"/>
      <c r="AH125" s="32"/>
      <c r="AJ125" s="8"/>
      <c r="AK125" s="2"/>
      <c r="AL125" s="26"/>
      <c r="AM125" s="26"/>
      <c r="AN125" s="26"/>
      <c r="AO125" s="27"/>
      <c r="AP125" s="30"/>
      <c r="AQ125" s="26"/>
      <c r="AR125" s="26"/>
      <c r="AS125" s="32"/>
      <c r="AT125" s="34"/>
    </row>
    <row r="126" spans="2:46" x14ac:dyDescent="0.3">
      <c r="B126" s="8"/>
      <c r="C126" s="2"/>
      <c r="D126" s="26"/>
      <c r="E126" s="26"/>
      <c r="F126" s="27"/>
      <c r="G126" s="26"/>
      <c r="H126" s="26"/>
      <c r="I126" s="27"/>
      <c r="J126" s="26"/>
      <c r="K126" s="26"/>
      <c r="L126" s="67"/>
      <c r="N126" s="8"/>
      <c r="O126" s="2"/>
      <c r="P126" s="26"/>
      <c r="Q126" s="27"/>
      <c r="R126" s="30"/>
      <c r="S126" s="27"/>
      <c r="T126" s="30"/>
      <c r="U126" s="34"/>
      <c r="V126" s="34"/>
      <c r="X126" s="8"/>
      <c r="Y126" s="2"/>
      <c r="Z126" s="26"/>
      <c r="AA126" s="26"/>
      <c r="AB126" s="26"/>
      <c r="AC126" s="26"/>
      <c r="AD126" s="27"/>
      <c r="AE126" s="30"/>
      <c r="AF126" s="26"/>
      <c r="AG126" s="26"/>
      <c r="AH126" s="32"/>
      <c r="AJ126" s="8"/>
      <c r="AK126" s="2"/>
      <c r="AL126" s="26"/>
      <c r="AM126" s="26"/>
      <c r="AN126" s="26"/>
      <c r="AO126" s="27"/>
      <c r="AP126" s="30"/>
      <c r="AQ126" s="26"/>
      <c r="AR126" s="26"/>
      <c r="AS126" s="32"/>
      <c r="AT126" s="34"/>
    </row>
    <row r="127" spans="2:46" x14ac:dyDescent="0.3">
      <c r="B127" s="8"/>
      <c r="C127" s="2"/>
      <c r="D127" s="26"/>
      <c r="E127" s="26"/>
      <c r="F127" s="27"/>
      <c r="G127" s="26"/>
      <c r="H127" s="26"/>
      <c r="I127" s="27"/>
      <c r="J127" s="26"/>
      <c r="K127" s="26"/>
      <c r="L127" s="67"/>
      <c r="N127" s="8"/>
      <c r="O127" s="2"/>
      <c r="P127" s="26"/>
      <c r="Q127" s="27"/>
      <c r="R127" s="30"/>
      <c r="S127" s="27"/>
      <c r="T127" s="30"/>
      <c r="U127" s="34"/>
      <c r="V127" s="34"/>
      <c r="X127" s="8"/>
      <c r="Y127" s="2"/>
      <c r="Z127" s="26"/>
      <c r="AA127" s="26"/>
      <c r="AB127" s="26"/>
      <c r="AC127" s="26"/>
      <c r="AD127" s="27"/>
      <c r="AE127" s="30"/>
      <c r="AF127" s="26"/>
      <c r="AG127" s="26"/>
      <c r="AH127" s="32"/>
      <c r="AJ127" s="8"/>
      <c r="AK127" s="2"/>
      <c r="AL127" s="26"/>
      <c r="AM127" s="26"/>
      <c r="AN127" s="26"/>
      <c r="AO127" s="27"/>
      <c r="AP127" s="30"/>
      <c r="AQ127" s="26"/>
      <c r="AR127" s="26"/>
      <c r="AS127" s="32"/>
      <c r="AT127" s="34"/>
    </row>
    <row r="128" spans="2:46" x14ac:dyDescent="0.3">
      <c r="B128" s="8"/>
      <c r="C128" s="2"/>
      <c r="D128" s="26"/>
      <c r="E128" s="26"/>
      <c r="F128" s="27"/>
      <c r="G128" s="26"/>
      <c r="H128" s="26"/>
      <c r="I128" s="27"/>
      <c r="J128" s="26"/>
      <c r="K128" s="26"/>
      <c r="L128" s="67"/>
      <c r="N128" s="8"/>
      <c r="O128" s="2"/>
      <c r="P128" s="26"/>
      <c r="Q128" s="27"/>
      <c r="R128" s="30"/>
      <c r="S128" s="27"/>
      <c r="T128" s="30"/>
      <c r="U128" s="34"/>
      <c r="V128" s="34"/>
      <c r="X128" s="8"/>
      <c r="Y128" s="2"/>
      <c r="Z128" s="26"/>
      <c r="AA128" s="26"/>
      <c r="AB128" s="26"/>
      <c r="AC128" s="26"/>
      <c r="AD128" s="27"/>
      <c r="AE128" s="30"/>
      <c r="AF128" s="26"/>
      <c r="AG128" s="26"/>
      <c r="AH128" s="32"/>
      <c r="AJ128" s="8"/>
      <c r="AK128" s="2"/>
      <c r="AL128" s="26"/>
      <c r="AM128" s="26"/>
      <c r="AN128" s="26"/>
      <c r="AO128" s="27"/>
      <c r="AP128" s="30"/>
      <c r="AQ128" s="26"/>
      <c r="AR128" s="26"/>
      <c r="AS128" s="32"/>
      <c r="AT128" s="34"/>
    </row>
    <row r="129" spans="2:46" x14ac:dyDescent="0.3">
      <c r="B129" s="8"/>
      <c r="C129" s="2"/>
      <c r="D129" s="26"/>
      <c r="E129" s="26"/>
      <c r="F129" s="27"/>
      <c r="G129" s="26"/>
      <c r="H129" s="26"/>
      <c r="I129" s="27"/>
      <c r="J129" s="26"/>
      <c r="K129" s="26"/>
      <c r="L129" s="67"/>
      <c r="N129" s="8"/>
      <c r="O129" s="2"/>
      <c r="P129" s="26"/>
      <c r="Q129" s="27"/>
      <c r="R129" s="30"/>
      <c r="S129" s="27"/>
      <c r="T129" s="30"/>
      <c r="U129" s="34"/>
      <c r="V129" s="34"/>
      <c r="X129" s="8"/>
      <c r="Y129" s="2"/>
      <c r="Z129" s="26"/>
      <c r="AA129" s="26"/>
      <c r="AB129" s="26"/>
      <c r="AC129" s="26"/>
      <c r="AD129" s="27"/>
      <c r="AE129" s="30"/>
      <c r="AF129" s="26"/>
      <c r="AG129" s="26"/>
      <c r="AH129" s="32"/>
      <c r="AJ129" s="8"/>
      <c r="AK129" s="2"/>
      <c r="AL129" s="26"/>
      <c r="AM129" s="26"/>
      <c r="AN129" s="26"/>
      <c r="AO129" s="27"/>
      <c r="AP129" s="30"/>
      <c r="AQ129" s="26"/>
      <c r="AR129" s="26"/>
      <c r="AS129" s="32"/>
      <c r="AT129" s="34"/>
    </row>
    <row r="130" spans="2:46" x14ac:dyDescent="0.3">
      <c r="B130" s="8"/>
      <c r="C130" s="2"/>
      <c r="D130" s="26"/>
      <c r="E130" s="26"/>
      <c r="F130" s="27"/>
      <c r="G130" s="26"/>
      <c r="H130" s="26"/>
      <c r="I130" s="27"/>
      <c r="J130" s="26"/>
      <c r="K130" s="26"/>
      <c r="L130" s="67"/>
      <c r="N130" s="8"/>
      <c r="O130" s="2"/>
      <c r="P130" s="26"/>
      <c r="Q130" s="27"/>
      <c r="R130" s="30"/>
      <c r="S130" s="27"/>
      <c r="T130" s="30"/>
      <c r="U130" s="34"/>
      <c r="V130" s="34"/>
      <c r="X130" s="8"/>
      <c r="Y130" s="2"/>
      <c r="Z130" s="26"/>
      <c r="AA130" s="26"/>
      <c r="AB130" s="26"/>
      <c r="AC130" s="26"/>
      <c r="AD130" s="27"/>
      <c r="AE130" s="30"/>
      <c r="AF130" s="26"/>
      <c r="AG130" s="26"/>
      <c r="AH130" s="32"/>
      <c r="AJ130" s="8"/>
      <c r="AK130" s="2"/>
      <c r="AL130" s="26"/>
      <c r="AM130" s="26"/>
      <c r="AN130" s="26"/>
      <c r="AO130" s="27"/>
      <c r="AP130" s="30"/>
      <c r="AQ130" s="26"/>
      <c r="AR130" s="26"/>
      <c r="AS130" s="32"/>
      <c r="AT130" s="34"/>
    </row>
    <row r="131" spans="2:46" x14ac:dyDescent="0.3">
      <c r="B131" s="8"/>
      <c r="C131" s="2"/>
      <c r="D131" s="26"/>
      <c r="E131" s="26"/>
      <c r="F131" s="27"/>
      <c r="G131" s="26"/>
      <c r="H131" s="26"/>
      <c r="I131" s="27"/>
      <c r="J131" s="26"/>
      <c r="K131" s="26"/>
      <c r="L131" s="67"/>
      <c r="N131" s="8"/>
      <c r="O131" s="2"/>
      <c r="P131" s="26"/>
      <c r="Q131" s="27"/>
      <c r="R131" s="30"/>
      <c r="S131" s="27"/>
      <c r="T131" s="30"/>
      <c r="U131" s="34"/>
      <c r="V131" s="34"/>
      <c r="X131" s="8"/>
      <c r="Y131" s="2"/>
      <c r="Z131" s="26"/>
      <c r="AA131" s="26"/>
      <c r="AB131" s="26"/>
      <c r="AC131" s="26"/>
      <c r="AD131" s="27"/>
      <c r="AE131" s="30"/>
      <c r="AF131" s="26"/>
      <c r="AG131" s="26"/>
      <c r="AH131" s="32"/>
      <c r="AJ131" s="8"/>
      <c r="AK131" s="2"/>
      <c r="AL131" s="26"/>
      <c r="AM131" s="26"/>
      <c r="AN131" s="26"/>
      <c r="AO131" s="27"/>
      <c r="AP131" s="30"/>
      <c r="AQ131" s="26"/>
      <c r="AR131" s="26"/>
      <c r="AS131" s="32"/>
      <c r="AT131" s="34"/>
    </row>
    <row r="132" spans="2:46" x14ac:dyDescent="0.3">
      <c r="B132" s="8"/>
      <c r="C132" s="2"/>
      <c r="D132" s="26"/>
      <c r="E132" s="26"/>
      <c r="F132" s="27"/>
      <c r="G132" s="26"/>
      <c r="H132" s="26"/>
      <c r="I132" s="27"/>
      <c r="J132" s="26"/>
      <c r="K132" s="26"/>
      <c r="L132" s="67"/>
      <c r="N132" s="8"/>
      <c r="O132" s="2"/>
      <c r="P132" s="26"/>
      <c r="Q132" s="27"/>
      <c r="R132" s="30"/>
      <c r="S132" s="27"/>
      <c r="T132" s="30"/>
      <c r="U132" s="34"/>
      <c r="V132" s="34"/>
      <c r="X132" s="8"/>
      <c r="Y132" s="2"/>
      <c r="Z132" s="26"/>
      <c r="AA132" s="26"/>
      <c r="AB132" s="26"/>
      <c r="AC132" s="26"/>
      <c r="AD132" s="27"/>
      <c r="AE132" s="30"/>
      <c r="AF132" s="26"/>
      <c r="AG132" s="26"/>
      <c r="AH132" s="32"/>
      <c r="AJ132" s="8"/>
      <c r="AK132" s="2"/>
      <c r="AL132" s="26"/>
      <c r="AM132" s="26"/>
      <c r="AN132" s="26"/>
      <c r="AO132" s="27"/>
      <c r="AP132" s="30"/>
      <c r="AQ132" s="26"/>
      <c r="AR132" s="26"/>
      <c r="AS132" s="32"/>
      <c r="AT132" s="34"/>
    </row>
    <row r="133" spans="2:46" x14ac:dyDescent="0.3">
      <c r="B133" s="8"/>
      <c r="C133" s="2"/>
      <c r="D133" s="26"/>
      <c r="E133" s="26"/>
      <c r="F133" s="27"/>
      <c r="G133" s="26"/>
      <c r="H133" s="26"/>
      <c r="I133" s="27"/>
      <c r="J133" s="26"/>
      <c r="K133" s="26"/>
      <c r="L133" s="67"/>
      <c r="N133" s="8"/>
      <c r="O133" s="2"/>
      <c r="P133" s="26"/>
      <c r="Q133" s="27"/>
      <c r="R133" s="30"/>
      <c r="S133" s="27"/>
      <c r="T133" s="30"/>
      <c r="U133" s="34"/>
      <c r="V133" s="34"/>
      <c r="X133" s="8"/>
      <c r="Y133" s="2"/>
      <c r="Z133" s="26"/>
      <c r="AA133" s="26"/>
      <c r="AB133" s="26"/>
      <c r="AC133" s="26"/>
      <c r="AD133" s="27"/>
      <c r="AE133" s="30"/>
      <c r="AF133" s="26"/>
      <c r="AG133" s="26"/>
      <c r="AH133" s="32"/>
      <c r="AJ133" s="8"/>
      <c r="AK133" s="2"/>
      <c r="AL133" s="26"/>
      <c r="AM133" s="26"/>
      <c r="AN133" s="26"/>
      <c r="AO133" s="27"/>
      <c r="AP133" s="30"/>
      <c r="AQ133" s="26"/>
      <c r="AR133" s="26"/>
      <c r="AS133" s="32"/>
      <c r="AT133" s="34"/>
    </row>
    <row r="134" spans="2:46" x14ac:dyDescent="0.3">
      <c r="B134" s="8"/>
      <c r="C134" s="2"/>
      <c r="D134" s="26"/>
      <c r="E134" s="26"/>
      <c r="F134" s="27"/>
      <c r="G134" s="26"/>
      <c r="H134" s="26"/>
      <c r="I134" s="27"/>
      <c r="J134" s="26"/>
      <c r="K134" s="26"/>
      <c r="L134" s="67"/>
      <c r="N134" s="8"/>
      <c r="O134" s="2"/>
      <c r="P134" s="26"/>
      <c r="Q134" s="27"/>
      <c r="R134" s="30"/>
      <c r="S134" s="27"/>
      <c r="T134" s="30"/>
      <c r="U134" s="34"/>
      <c r="V134" s="34"/>
      <c r="X134" s="8"/>
      <c r="Y134" s="2"/>
      <c r="Z134" s="26"/>
      <c r="AA134" s="26"/>
      <c r="AB134" s="26"/>
      <c r="AC134" s="26"/>
      <c r="AD134" s="27"/>
      <c r="AE134" s="30"/>
      <c r="AF134" s="26"/>
      <c r="AG134" s="26"/>
      <c r="AH134" s="32"/>
      <c r="AJ134" s="8"/>
      <c r="AK134" s="2"/>
      <c r="AL134" s="26"/>
      <c r="AM134" s="26"/>
      <c r="AN134" s="26"/>
      <c r="AO134" s="27"/>
      <c r="AP134" s="30"/>
      <c r="AQ134" s="26"/>
      <c r="AR134" s="26"/>
      <c r="AS134" s="32"/>
      <c r="AT134" s="34"/>
    </row>
    <row r="135" spans="2:46" x14ac:dyDescent="0.3">
      <c r="B135" s="8"/>
      <c r="C135" s="2"/>
      <c r="D135" s="26"/>
      <c r="E135" s="26"/>
      <c r="F135" s="27"/>
      <c r="G135" s="26"/>
      <c r="H135" s="26"/>
      <c r="I135" s="27"/>
      <c r="J135" s="26"/>
      <c r="K135" s="26"/>
      <c r="L135" s="67"/>
      <c r="N135" s="8"/>
      <c r="O135" s="2"/>
      <c r="P135" s="26"/>
      <c r="Q135" s="27"/>
      <c r="R135" s="30"/>
      <c r="S135" s="27"/>
      <c r="T135" s="30"/>
      <c r="U135" s="34"/>
      <c r="V135" s="34"/>
      <c r="X135" s="8"/>
      <c r="Y135" s="2"/>
      <c r="Z135" s="26"/>
      <c r="AA135" s="26"/>
      <c r="AB135" s="26"/>
      <c r="AC135" s="26"/>
      <c r="AD135" s="27"/>
      <c r="AE135" s="30"/>
      <c r="AF135" s="26"/>
      <c r="AG135" s="26"/>
      <c r="AH135" s="32"/>
      <c r="AJ135" s="8"/>
      <c r="AK135" s="2"/>
      <c r="AL135" s="26"/>
      <c r="AM135" s="26"/>
      <c r="AN135" s="26"/>
      <c r="AO135" s="27"/>
      <c r="AP135" s="30"/>
      <c r="AQ135" s="26"/>
      <c r="AR135" s="26"/>
      <c r="AS135" s="32"/>
      <c r="AT135" s="34"/>
    </row>
    <row r="136" spans="2:46" x14ac:dyDescent="0.3">
      <c r="B136" s="8"/>
      <c r="C136" s="2"/>
      <c r="D136" s="26"/>
      <c r="E136" s="26"/>
      <c r="F136" s="27"/>
      <c r="G136" s="26"/>
      <c r="H136" s="26"/>
      <c r="I136" s="27"/>
      <c r="J136" s="26"/>
      <c r="K136" s="26"/>
      <c r="L136" s="67"/>
      <c r="N136" s="8"/>
      <c r="O136" s="2"/>
      <c r="P136" s="26"/>
      <c r="Q136" s="27"/>
      <c r="R136" s="30"/>
      <c r="S136" s="27"/>
      <c r="T136" s="30"/>
      <c r="U136" s="34"/>
      <c r="V136" s="34"/>
      <c r="X136" s="8"/>
      <c r="Y136" s="2"/>
      <c r="Z136" s="26"/>
      <c r="AA136" s="26"/>
      <c r="AB136" s="26"/>
      <c r="AC136" s="26"/>
      <c r="AD136" s="27"/>
      <c r="AE136" s="30"/>
      <c r="AF136" s="26"/>
      <c r="AG136" s="26"/>
      <c r="AH136" s="32"/>
      <c r="AJ136" s="8"/>
      <c r="AK136" s="2"/>
      <c r="AL136" s="26"/>
      <c r="AM136" s="26"/>
      <c r="AN136" s="26"/>
      <c r="AO136" s="27"/>
      <c r="AP136" s="30"/>
      <c r="AQ136" s="26"/>
      <c r="AR136" s="26"/>
      <c r="AS136" s="32"/>
      <c r="AT136" s="34"/>
    </row>
    <row r="137" spans="2:46" x14ac:dyDescent="0.3">
      <c r="B137" s="8"/>
      <c r="C137" s="2"/>
      <c r="D137" s="26"/>
      <c r="E137" s="26"/>
      <c r="F137" s="27"/>
      <c r="G137" s="26"/>
      <c r="H137" s="26"/>
      <c r="I137" s="27"/>
      <c r="J137" s="26"/>
      <c r="K137" s="26"/>
      <c r="L137" s="67"/>
      <c r="N137" s="8"/>
      <c r="O137" s="2"/>
      <c r="P137" s="26"/>
      <c r="Q137" s="27"/>
      <c r="R137" s="30"/>
      <c r="S137" s="27"/>
      <c r="T137" s="30"/>
      <c r="U137" s="34"/>
      <c r="V137" s="34"/>
      <c r="X137" s="8"/>
      <c r="Y137" s="2"/>
      <c r="Z137" s="26"/>
      <c r="AA137" s="26"/>
      <c r="AB137" s="26"/>
      <c r="AC137" s="26"/>
      <c r="AD137" s="27"/>
      <c r="AE137" s="30"/>
      <c r="AF137" s="26"/>
      <c r="AG137" s="26"/>
      <c r="AH137" s="32"/>
      <c r="AJ137" s="8"/>
      <c r="AK137" s="2"/>
      <c r="AL137" s="26"/>
      <c r="AM137" s="26"/>
      <c r="AN137" s="26"/>
      <c r="AO137" s="27"/>
      <c r="AP137" s="30"/>
      <c r="AQ137" s="26"/>
      <c r="AR137" s="26"/>
      <c r="AS137" s="32"/>
      <c r="AT137" s="34"/>
    </row>
    <row r="138" spans="2:46" x14ac:dyDescent="0.3">
      <c r="B138" s="8"/>
      <c r="C138" s="2"/>
      <c r="D138" s="26"/>
      <c r="E138" s="26"/>
      <c r="F138" s="27"/>
      <c r="G138" s="26"/>
      <c r="H138" s="26"/>
      <c r="I138" s="27"/>
      <c r="J138" s="26"/>
      <c r="K138" s="26"/>
      <c r="L138" s="67"/>
      <c r="N138" s="8"/>
      <c r="O138" s="2"/>
      <c r="P138" s="26"/>
      <c r="Q138" s="27"/>
      <c r="R138" s="30"/>
      <c r="S138" s="27"/>
      <c r="T138" s="30"/>
      <c r="U138" s="34"/>
      <c r="V138" s="34"/>
      <c r="X138" s="8"/>
      <c r="Y138" s="2"/>
      <c r="Z138" s="26"/>
      <c r="AA138" s="26"/>
      <c r="AB138" s="26"/>
      <c r="AC138" s="26"/>
      <c r="AD138" s="27"/>
      <c r="AE138" s="30"/>
      <c r="AF138" s="26"/>
      <c r="AG138" s="26"/>
      <c r="AH138" s="32"/>
      <c r="AJ138" s="8"/>
      <c r="AK138" s="2"/>
      <c r="AL138" s="26"/>
      <c r="AM138" s="26"/>
      <c r="AN138" s="26"/>
      <c r="AO138" s="27"/>
      <c r="AP138" s="30"/>
      <c r="AQ138" s="26"/>
      <c r="AR138" s="26"/>
      <c r="AS138" s="32"/>
      <c r="AT138" s="34"/>
    </row>
    <row r="139" spans="2:46" x14ac:dyDescent="0.3">
      <c r="B139" s="8"/>
      <c r="C139" s="2"/>
      <c r="D139" s="26"/>
      <c r="E139" s="26"/>
      <c r="F139" s="27"/>
      <c r="G139" s="26"/>
      <c r="H139" s="26"/>
      <c r="I139" s="27"/>
      <c r="J139" s="26"/>
      <c r="K139" s="26"/>
      <c r="L139" s="67"/>
      <c r="N139" s="8"/>
      <c r="O139" s="2"/>
      <c r="P139" s="26"/>
      <c r="Q139" s="27"/>
      <c r="R139" s="30"/>
      <c r="S139" s="27"/>
      <c r="T139" s="30"/>
      <c r="U139" s="34"/>
      <c r="V139" s="34"/>
      <c r="X139" s="8"/>
      <c r="Y139" s="2"/>
      <c r="Z139" s="26"/>
      <c r="AA139" s="26"/>
      <c r="AB139" s="26"/>
      <c r="AC139" s="26"/>
      <c r="AD139" s="27"/>
      <c r="AE139" s="30"/>
      <c r="AF139" s="26"/>
      <c r="AG139" s="26"/>
      <c r="AH139" s="32"/>
      <c r="AJ139" s="8"/>
      <c r="AK139" s="2"/>
      <c r="AL139" s="26"/>
      <c r="AM139" s="26"/>
      <c r="AN139" s="26"/>
      <c r="AO139" s="27"/>
      <c r="AP139" s="30"/>
      <c r="AQ139" s="26"/>
      <c r="AR139" s="26"/>
      <c r="AS139" s="32"/>
      <c r="AT139" s="34"/>
    </row>
    <row r="140" spans="2:46" x14ac:dyDescent="0.3">
      <c r="B140" s="8"/>
      <c r="C140" s="2"/>
      <c r="D140" s="26"/>
      <c r="E140" s="26"/>
      <c r="F140" s="27"/>
      <c r="G140" s="26"/>
      <c r="H140" s="26"/>
      <c r="I140" s="27"/>
      <c r="J140" s="26"/>
      <c r="K140" s="26"/>
      <c r="L140" s="67"/>
      <c r="N140" s="8"/>
      <c r="O140" s="2"/>
      <c r="P140" s="26"/>
      <c r="Q140" s="27"/>
      <c r="R140" s="30"/>
      <c r="S140" s="27"/>
      <c r="T140" s="30"/>
      <c r="U140" s="34"/>
      <c r="V140" s="34"/>
      <c r="X140" s="8"/>
      <c r="Y140" s="2"/>
      <c r="Z140" s="26"/>
      <c r="AA140" s="26"/>
      <c r="AB140" s="26"/>
      <c r="AC140" s="26"/>
      <c r="AD140" s="27"/>
      <c r="AE140" s="30"/>
      <c r="AF140" s="26"/>
      <c r="AG140" s="26"/>
      <c r="AH140" s="32"/>
      <c r="AJ140" s="8"/>
      <c r="AK140" s="2"/>
      <c r="AL140" s="26"/>
      <c r="AM140" s="26"/>
      <c r="AN140" s="26"/>
      <c r="AO140" s="27"/>
      <c r="AP140" s="30"/>
      <c r="AQ140" s="26"/>
      <c r="AR140" s="26"/>
      <c r="AS140" s="32"/>
      <c r="AT140" s="34"/>
    </row>
    <row r="141" spans="2:46" x14ac:dyDescent="0.3">
      <c r="B141" s="8"/>
      <c r="C141" s="2"/>
      <c r="D141" s="26"/>
      <c r="E141" s="26"/>
      <c r="F141" s="27"/>
      <c r="G141" s="26"/>
      <c r="H141" s="26"/>
      <c r="I141" s="27"/>
      <c r="J141" s="26"/>
      <c r="K141" s="26"/>
      <c r="L141" s="67"/>
      <c r="N141" s="8"/>
      <c r="O141" s="2"/>
      <c r="P141" s="26"/>
      <c r="Q141" s="27"/>
      <c r="R141" s="30"/>
      <c r="S141" s="27"/>
      <c r="T141" s="30"/>
      <c r="U141" s="34"/>
      <c r="V141" s="34"/>
      <c r="X141" s="8"/>
      <c r="Y141" s="2"/>
      <c r="Z141" s="26"/>
      <c r="AA141" s="26"/>
      <c r="AB141" s="26"/>
      <c r="AC141" s="26"/>
      <c r="AD141" s="27"/>
      <c r="AE141" s="30"/>
      <c r="AF141" s="26"/>
      <c r="AG141" s="26"/>
      <c r="AH141" s="32"/>
      <c r="AJ141" s="8"/>
      <c r="AK141" s="2"/>
      <c r="AL141" s="26"/>
      <c r="AM141" s="26"/>
      <c r="AN141" s="26"/>
      <c r="AO141" s="27"/>
      <c r="AP141" s="30"/>
      <c r="AQ141" s="26"/>
      <c r="AR141" s="26"/>
      <c r="AS141" s="32"/>
      <c r="AT141" s="34"/>
    </row>
    <row r="142" spans="2:46" x14ac:dyDescent="0.3">
      <c r="B142" s="8"/>
      <c r="C142" s="2"/>
      <c r="D142" s="26"/>
      <c r="E142" s="26"/>
      <c r="F142" s="27"/>
      <c r="G142" s="26"/>
      <c r="H142" s="26"/>
      <c r="I142" s="27"/>
      <c r="J142" s="26"/>
      <c r="K142" s="26"/>
      <c r="L142" s="67"/>
      <c r="N142" s="8"/>
      <c r="O142" s="2"/>
      <c r="P142" s="26"/>
      <c r="Q142" s="27"/>
      <c r="R142" s="30"/>
      <c r="S142" s="27"/>
      <c r="T142" s="30"/>
      <c r="U142" s="34"/>
      <c r="V142" s="34"/>
      <c r="X142" s="8"/>
      <c r="Y142" s="2"/>
      <c r="Z142" s="26"/>
      <c r="AA142" s="26"/>
      <c r="AB142" s="26"/>
      <c r="AC142" s="26"/>
      <c r="AD142" s="27"/>
      <c r="AE142" s="30"/>
      <c r="AF142" s="26"/>
      <c r="AG142" s="26"/>
      <c r="AH142" s="32"/>
      <c r="AJ142" s="8"/>
      <c r="AK142" s="2"/>
      <c r="AL142" s="26"/>
      <c r="AM142" s="26"/>
      <c r="AN142" s="26"/>
      <c r="AO142" s="27"/>
      <c r="AP142" s="30"/>
      <c r="AQ142" s="26"/>
      <c r="AR142" s="26"/>
      <c r="AS142" s="32"/>
      <c r="AT142" s="34"/>
    </row>
    <row r="143" spans="2:46" x14ac:dyDescent="0.3">
      <c r="B143" s="8"/>
      <c r="C143" s="2"/>
      <c r="D143" s="26"/>
      <c r="E143" s="26"/>
      <c r="F143" s="27"/>
      <c r="G143" s="26"/>
      <c r="H143" s="26"/>
      <c r="I143" s="27"/>
      <c r="J143" s="26"/>
      <c r="K143" s="26"/>
      <c r="L143" s="67"/>
      <c r="N143" s="8"/>
      <c r="O143" s="2"/>
      <c r="P143" s="26"/>
      <c r="Q143" s="27"/>
      <c r="R143" s="30"/>
      <c r="S143" s="27"/>
      <c r="T143" s="30"/>
      <c r="U143" s="34"/>
      <c r="V143" s="34"/>
      <c r="X143" s="8"/>
      <c r="Y143" s="2"/>
      <c r="Z143" s="26"/>
      <c r="AA143" s="26"/>
      <c r="AB143" s="26"/>
      <c r="AC143" s="26"/>
      <c r="AD143" s="27"/>
      <c r="AE143" s="30"/>
      <c r="AF143" s="26"/>
      <c r="AG143" s="26"/>
      <c r="AH143" s="32"/>
      <c r="AJ143" s="8"/>
      <c r="AK143" s="2"/>
      <c r="AL143" s="26"/>
      <c r="AM143" s="26"/>
      <c r="AN143" s="26"/>
      <c r="AO143" s="27"/>
      <c r="AP143" s="30"/>
      <c r="AQ143" s="26"/>
      <c r="AR143" s="26"/>
      <c r="AS143" s="32"/>
      <c r="AT143" s="34"/>
    </row>
    <row r="144" spans="2:46" x14ac:dyDescent="0.3">
      <c r="B144" s="8"/>
      <c r="C144" s="2"/>
      <c r="D144" s="26"/>
      <c r="E144" s="26"/>
      <c r="F144" s="27"/>
      <c r="G144" s="26"/>
      <c r="H144" s="26"/>
      <c r="I144" s="27"/>
      <c r="J144" s="26"/>
      <c r="K144" s="26"/>
      <c r="L144" s="67"/>
      <c r="N144" s="8"/>
      <c r="O144" s="2"/>
      <c r="P144" s="26"/>
      <c r="Q144" s="27"/>
      <c r="R144" s="30"/>
      <c r="S144" s="27"/>
      <c r="T144" s="30"/>
      <c r="U144" s="34"/>
      <c r="V144" s="34"/>
      <c r="X144" s="8"/>
      <c r="Y144" s="2"/>
      <c r="Z144" s="26"/>
      <c r="AA144" s="26"/>
      <c r="AB144" s="26"/>
      <c r="AC144" s="26"/>
      <c r="AD144" s="27"/>
      <c r="AE144" s="30"/>
      <c r="AF144" s="26"/>
      <c r="AG144" s="26"/>
      <c r="AH144" s="32"/>
      <c r="AJ144" s="8"/>
      <c r="AK144" s="2"/>
      <c r="AL144" s="26"/>
      <c r="AM144" s="26"/>
      <c r="AN144" s="26"/>
      <c r="AO144" s="27"/>
      <c r="AP144" s="30"/>
      <c r="AQ144" s="26"/>
      <c r="AR144" s="26"/>
      <c r="AS144" s="32"/>
      <c r="AT144" s="34"/>
    </row>
    <row r="145" spans="2:46" x14ac:dyDescent="0.3">
      <c r="B145" s="8"/>
      <c r="C145" s="2"/>
      <c r="D145" s="26"/>
      <c r="E145" s="26"/>
      <c r="F145" s="27"/>
      <c r="G145" s="26"/>
      <c r="H145" s="26"/>
      <c r="I145" s="27"/>
      <c r="J145" s="26"/>
      <c r="K145" s="26"/>
      <c r="L145" s="67"/>
      <c r="N145" s="8"/>
      <c r="O145" s="2"/>
      <c r="P145" s="26"/>
      <c r="Q145" s="27"/>
      <c r="R145" s="30"/>
      <c r="S145" s="27"/>
      <c r="T145" s="30"/>
      <c r="U145" s="34"/>
      <c r="V145" s="34"/>
      <c r="X145" s="8"/>
      <c r="Y145" s="2"/>
      <c r="Z145" s="26"/>
      <c r="AA145" s="26"/>
      <c r="AB145" s="26"/>
      <c r="AC145" s="26"/>
      <c r="AD145" s="27"/>
      <c r="AE145" s="30"/>
      <c r="AF145" s="26"/>
      <c r="AG145" s="26"/>
      <c r="AH145" s="32"/>
      <c r="AJ145" s="8"/>
      <c r="AK145" s="2"/>
      <c r="AL145" s="26"/>
      <c r="AM145" s="26"/>
      <c r="AN145" s="26"/>
      <c r="AO145" s="27"/>
      <c r="AP145" s="30"/>
      <c r="AQ145" s="26"/>
      <c r="AR145" s="26"/>
      <c r="AS145" s="32"/>
      <c r="AT145" s="34"/>
    </row>
    <row r="146" spans="2:46" x14ac:dyDescent="0.3">
      <c r="B146" s="8"/>
      <c r="C146" s="2"/>
      <c r="D146" s="26"/>
      <c r="E146" s="26"/>
      <c r="F146" s="27"/>
      <c r="G146" s="26"/>
      <c r="H146" s="26"/>
      <c r="I146" s="27"/>
      <c r="J146" s="26"/>
      <c r="K146" s="26"/>
      <c r="L146" s="67"/>
      <c r="N146" s="8"/>
      <c r="O146" s="2"/>
      <c r="P146" s="26"/>
      <c r="Q146" s="27"/>
      <c r="R146" s="30"/>
      <c r="S146" s="27"/>
      <c r="T146" s="30"/>
      <c r="U146" s="34"/>
      <c r="V146" s="34"/>
      <c r="X146" s="8"/>
      <c r="Y146" s="2"/>
      <c r="Z146" s="26"/>
      <c r="AA146" s="26"/>
      <c r="AB146" s="26"/>
      <c r="AC146" s="26"/>
      <c r="AD146" s="27"/>
      <c r="AE146" s="30"/>
      <c r="AF146" s="26"/>
      <c r="AG146" s="26"/>
      <c r="AH146" s="32"/>
      <c r="AJ146" s="8"/>
      <c r="AK146" s="2"/>
      <c r="AL146" s="26"/>
      <c r="AM146" s="26"/>
      <c r="AN146" s="26"/>
      <c r="AO146" s="27"/>
      <c r="AP146" s="30"/>
      <c r="AQ146" s="26"/>
      <c r="AR146" s="26"/>
      <c r="AS146" s="32"/>
      <c r="AT146" s="34"/>
    </row>
    <row r="147" spans="2:46" x14ac:dyDescent="0.3">
      <c r="B147" s="8"/>
      <c r="C147" s="2"/>
      <c r="D147" s="26"/>
      <c r="E147" s="26"/>
      <c r="F147" s="27"/>
      <c r="G147" s="26"/>
      <c r="H147" s="26"/>
      <c r="I147" s="27"/>
      <c r="J147" s="26"/>
      <c r="K147" s="26"/>
      <c r="L147" s="67"/>
      <c r="N147" s="8"/>
      <c r="O147" s="2"/>
      <c r="P147" s="26"/>
      <c r="Q147" s="27"/>
      <c r="R147" s="30"/>
      <c r="S147" s="27"/>
      <c r="T147" s="30"/>
      <c r="U147" s="34"/>
      <c r="V147" s="34"/>
      <c r="X147" s="8"/>
      <c r="Y147" s="2"/>
      <c r="Z147" s="26"/>
      <c r="AA147" s="26"/>
      <c r="AB147" s="26"/>
      <c r="AC147" s="26"/>
      <c r="AD147" s="27"/>
      <c r="AE147" s="30"/>
      <c r="AF147" s="26"/>
      <c r="AG147" s="26"/>
      <c r="AH147" s="32"/>
      <c r="AJ147" s="8"/>
      <c r="AK147" s="2"/>
      <c r="AL147" s="26"/>
      <c r="AM147" s="26"/>
      <c r="AN147" s="26"/>
      <c r="AO147" s="27"/>
      <c r="AP147" s="30"/>
      <c r="AQ147" s="26"/>
      <c r="AR147" s="26"/>
      <c r="AS147" s="32"/>
      <c r="AT147" s="34"/>
    </row>
    <row r="148" spans="2:46" x14ac:dyDescent="0.3">
      <c r="B148" s="8"/>
      <c r="C148" s="2"/>
      <c r="D148" s="26"/>
      <c r="E148" s="26"/>
      <c r="F148" s="27"/>
      <c r="G148" s="26"/>
      <c r="H148" s="26"/>
      <c r="I148" s="27"/>
      <c r="J148" s="26"/>
      <c r="K148" s="26"/>
      <c r="L148" s="67"/>
      <c r="N148" s="8"/>
      <c r="O148" s="2"/>
      <c r="P148" s="26"/>
      <c r="Q148" s="27"/>
      <c r="R148" s="30"/>
      <c r="S148" s="27"/>
      <c r="T148" s="30"/>
      <c r="U148" s="34"/>
      <c r="V148" s="34"/>
      <c r="X148" s="8"/>
      <c r="Y148" s="2"/>
      <c r="Z148" s="26"/>
      <c r="AA148" s="26"/>
      <c r="AB148" s="26"/>
      <c r="AC148" s="26"/>
      <c r="AD148" s="27"/>
      <c r="AE148" s="30"/>
      <c r="AF148" s="26"/>
      <c r="AG148" s="26"/>
      <c r="AH148" s="32"/>
      <c r="AJ148" s="8"/>
      <c r="AK148" s="2"/>
      <c r="AL148" s="26"/>
      <c r="AM148" s="26"/>
      <c r="AN148" s="26"/>
      <c r="AO148" s="27"/>
      <c r="AP148" s="30"/>
      <c r="AQ148" s="26"/>
      <c r="AR148" s="26"/>
      <c r="AS148" s="32"/>
      <c r="AT148" s="34"/>
    </row>
    <row r="149" spans="2:46" x14ac:dyDescent="0.3">
      <c r="B149" s="8"/>
      <c r="C149" s="2"/>
      <c r="D149" s="26"/>
      <c r="E149" s="26"/>
      <c r="F149" s="27"/>
      <c r="G149" s="26"/>
      <c r="H149" s="26"/>
      <c r="I149" s="27"/>
      <c r="J149" s="26"/>
      <c r="K149" s="26"/>
      <c r="L149" s="67"/>
      <c r="N149" s="8"/>
      <c r="O149" s="2"/>
      <c r="P149" s="26"/>
      <c r="Q149" s="27"/>
      <c r="R149" s="30"/>
      <c r="S149" s="27"/>
      <c r="T149" s="30"/>
      <c r="U149" s="34"/>
      <c r="V149" s="34"/>
      <c r="X149" s="8"/>
      <c r="Y149" s="2"/>
      <c r="Z149" s="26"/>
      <c r="AA149" s="26"/>
      <c r="AB149" s="26"/>
      <c r="AC149" s="26"/>
      <c r="AD149" s="27"/>
      <c r="AE149" s="30"/>
      <c r="AF149" s="26"/>
      <c r="AG149" s="26"/>
      <c r="AH149" s="32"/>
      <c r="AJ149" s="8"/>
      <c r="AK149" s="2"/>
      <c r="AL149" s="26"/>
      <c r="AM149" s="26"/>
      <c r="AN149" s="26"/>
      <c r="AO149" s="27"/>
      <c r="AP149" s="30"/>
      <c r="AQ149" s="26"/>
      <c r="AR149" s="26"/>
      <c r="AS149" s="32"/>
      <c r="AT149" s="34"/>
    </row>
    <row r="150" spans="2:46" x14ac:dyDescent="0.3">
      <c r="B150" s="8"/>
      <c r="C150" s="2"/>
      <c r="D150" s="26"/>
      <c r="E150" s="26"/>
      <c r="F150" s="27"/>
      <c r="G150" s="26"/>
      <c r="H150" s="26"/>
      <c r="I150" s="27"/>
      <c r="J150" s="26"/>
      <c r="K150" s="26"/>
      <c r="L150" s="67"/>
      <c r="N150" s="8"/>
      <c r="O150" s="2"/>
      <c r="P150" s="26"/>
      <c r="Q150" s="27"/>
      <c r="R150" s="30"/>
      <c r="S150" s="27"/>
      <c r="T150" s="30"/>
      <c r="U150" s="34"/>
      <c r="V150" s="34"/>
      <c r="X150" s="8"/>
      <c r="Y150" s="2"/>
      <c r="Z150" s="26"/>
      <c r="AA150" s="26"/>
      <c r="AB150" s="26"/>
      <c r="AC150" s="26"/>
      <c r="AD150" s="27"/>
      <c r="AE150" s="30"/>
      <c r="AF150" s="26"/>
      <c r="AG150" s="26"/>
      <c r="AH150" s="32"/>
      <c r="AJ150" s="8"/>
      <c r="AK150" s="2"/>
      <c r="AL150" s="26"/>
      <c r="AM150" s="26"/>
      <c r="AN150" s="26"/>
      <c r="AO150" s="27"/>
      <c r="AP150" s="30"/>
      <c r="AQ150" s="26"/>
      <c r="AR150" s="26"/>
      <c r="AS150" s="32"/>
      <c r="AT150" s="34"/>
    </row>
    <row r="151" spans="2:46" x14ac:dyDescent="0.3">
      <c r="B151" s="8"/>
      <c r="C151" s="2"/>
      <c r="D151" s="26"/>
      <c r="E151" s="26"/>
      <c r="F151" s="27"/>
      <c r="G151" s="26"/>
      <c r="H151" s="26"/>
      <c r="I151" s="27"/>
      <c r="J151" s="26"/>
      <c r="K151" s="26"/>
      <c r="L151" s="67"/>
      <c r="N151" s="8"/>
      <c r="O151" s="2"/>
      <c r="P151" s="26"/>
      <c r="Q151" s="27"/>
      <c r="R151" s="30"/>
      <c r="S151" s="27"/>
      <c r="T151" s="30"/>
      <c r="U151" s="34"/>
      <c r="V151" s="34"/>
      <c r="X151" s="8"/>
      <c r="Y151" s="2"/>
      <c r="Z151" s="26"/>
      <c r="AA151" s="26"/>
      <c r="AB151" s="26"/>
      <c r="AC151" s="26"/>
      <c r="AD151" s="27"/>
      <c r="AE151" s="30"/>
      <c r="AF151" s="26"/>
      <c r="AG151" s="26"/>
      <c r="AH151" s="32"/>
      <c r="AJ151" s="8"/>
      <c r="AK151" s="2"/>
      <c r="AL151" s="26"/>
      <c r="AM151" s="26"/>
      <c r="AN151" s="26"/>
      <c r="AO151" s="27"/>
      <c r="AP151" s="30"/>
      <c r="AQ151" s="26"/>
      <c r="AR151" s="26"/>
      <c r="AS151" s="32"/>
      <c r="AT151" s="34"/>
    </row>
    <row r="152" spans="2:46" x14ac:dyDescent="0.3">
      <c r="B152" s="8"/>
      <c r="C152" s="2"/>
      <c r="D152" s="26"/>
      <c r="E152" s="26"/>
      <c r="F152" s="27"/>
      <c r="G152" s="26"/>
      <c r="H152" s="26"/>
      <c r="I152" s="27"/>
      <c r="J152" s="26"/>
      <c r="K152" s="26"/>
      <c r="L152" s="67"/>
      <c r="N152" s="8"/>
      <c r="O152" s="2"/>
      <c r="P152" s="26"/>
      <c r="Q152" s="27"/>
      <c r="R152" s="30"/>
      <c r="S152" s="27"/>
      <c r="T152" s="30"/>
      <c r="U152" s="34"/>
      <c r="V152" s="34"/>
      <c r="X152" s="8"/>
      <c r="Y152" s="2"/>
      <c r="Z152" s="26"/>
      <c r="AA152" s="26"/>
      <c r="AB152" s="26"/>
      <c r="AC152" s="26"/>
      <c r="AD152" s="27"/>
      <c r="AE152" s="30"/>
      <c r="AF152" s="26"/>
      <c r="AG152" s="26"/>
      <c r="AH152" s="32"/>
      <c r="AJ152" s="8"/>
      <c r="AK152" s="2"/>
      <c r="AL152" s="26"/>
      <c r="AM152" s="26"/>
      <c r="AN152" s="26"/>
      <c r="AO152" s="27"/>
      <c r="AP152" s="30"/>
      <c r="AQ152" s="26"/>
      <c r="AR152" s="26"/>
      <c r="AS152" s="32"/>
      <c r="AT152" s="34"/>
    </row>
    <row r="153" spans="2:46" x14ac:dyDescent="0.3">
      <c r="B153" s="8"/>
      <c r="C153" s="2"/>
      <c r="D153" s="26"/>
      <c r="E153" s="26"/>
      <c r="F153" s="27"/>
      <c r="G153" s="26"/>
      <c r="H153" s="26"/>
      <c r="I153" s="27"/>
      <c r="J153" s="26"/>
      <c r="K153" s="26"/>
      <c r="L153" s="67"/>
      <c r="N153" s="8"/>
      <c r="O153" s="2"/>
      <c r="P153" s="26"/>
      <c r="Q153" s="27"/>
      <c r="R153" s="30"/>
      <c r="S153" s="27"/>
      <c r="T153" s="30"/>
      <c r="U153" s="34"/>
      <c r="V153" s="34"/>
      <c r="X153" s="8"/>
      <c r="Y153" s="2"/>
      <c r="Z153" s="26"/>
      <c r="AA153" s="26"/>
      <c r="AB153" s="26"/>
      <c r="AC153" s="26"/>
      <c r="AD153" s="27"/>
      <c r="AE153" s="30"/>
      <c r="AF153" s="26"/>
      <c r="AG153" s="26"/>
      <c r="AH153" s="32"/>
      <c r="AJ153" s="8"/>
      <c r="AK153" s="2"/>
      <c r="AL153" s="26"/>
      <c r="AM153" s="26"/>
      <c r="AN153" s="26"/>
      <c r="AO153" s="27"/>
      <c r="AP153" s="30"/>
      <c r="AQ153" s="26"/>
      <c r="AR153" s="26"/>
      <c r="AS153" s="32"/>
      <c r="AT153" s="34"/>
    </row>
    <row r="154" spans="2:46" x14ac:dyDescent="0.3">
      <c r="B154" s="8"/>
      <c r="C154" s="2"/>
      <c r="D154" s="26"/>
      <c r="E154" s="26"/>
      <c r="F154" s="27"/>
      <c r="G154" s="26"/>
      <c r="H154" s="26"/>
      <c r="I154" s="27"/>
      <c r="J154" s="26"/>
      <c r="K154" s="26"/>
      <c r="L154" s="67"/>
      <c r="N154" s="8"/>
      <c r="O154" s="2"/>
      <c r="P154" s="26"/>
      <c r="Q154" s="27"/>
      <c r="R154" s="30"/>
      <c r="S154" s="27"/>
      <c r="T154" s="30"/>
      <c r="U154" s="34"/>
      <c r="V154" s="34"/>
      <c r="X154" s="8"/>
      <c r="Y154" s="2"/>
      <c r="Z154" s="26"/>
      <c r="AA154" s="26"/>
      <c r="AB154" s="26"/>
      <c r="AC154" s="26"/>
      <c r="AD154" s="27"/>
      <c r="AE154" s="30"/>
      <c r="AF154" s="26"/>
      <c r="AG154" s="26"/>
      <c r="AH154" s="32"/>
      <c r="AJ154" s="8"/>
      <c r="AK154" s="2"/>
      <c r="AL154" s="26"/>
      <c r="AM154" s="26"/>
      <c r="AN154" s="26"/>
      <c r="AO154" s="27"/>
      <c r="AP154" s="30"/>
      <c r="AQ154" s="26"/>
      <c r="AR154" s="26"/>
      <c r="AS154" s="32"/>
      <c r="AT154" s="34"/>
    </row>
    <row r="155" spans="2:46" x14ac:dyDescent="0.3">
      <c r="B155" s="8"/>
      <c r="C155" s="2"/>
      <c r="D155" s="26"/>
      <c r="E155" s="26"/>
      <c r="F155" s="27"/>
      <c r="G155" s="26"/>
      <c r="H155" s="26"/>
      <c r="I155" s="27"/>
      <c r="J155" s="26"/>
      <c r="K155" s="26"/>
      <c r="L155" s="67"/>
      <c r="N155" s="8"/>
      <c r="O155" s="2"/>
      <c r="P155" s="26"/>
      <c r="Q155" s="27"/>
      <c r="R155" s="30"/>
      <c r="S155" s="27"/>
      <c r="T155" s="30"/>
      <c r="U155" s="34"/>
      <c r="V155" s="34"/>
      <c r="X155" s="8"/>
      <c r="Y155" s="2"/>
      <c r="Z155" s="26"/>
      <c r="AA155" s="26"/>
      <c r="AB155" s="26"/>
      <c r="AC155" s="26"/>
      <c r="AD155" s="27"/>
      <c r="AE155" s="30"/>
      <c r="AF155" s="26"/>
      <c r="AG155" s="26"/>
      <c r="AH155" s="32"/>
      <c r="AJ155" s="8"/>
      <c r="AK155" s="2"/>
      <c r="AL155" s="26"/>
      <c r="AM155" s="26"/>
      <c r="AN155" s="26"/>
      <c r="AO155" s="27"/>
      <c r="AP155" s="30"/>
      <c r="AQ155" s="26"/>
      <c r="AR155" s="26"/>
      <c r="AS155" s="32"/>
      <c r="AT155" s="34"/>
    </row>
    <row r="156" spans="2:46" x14ac:dyDescent="0.3">
      <c r="B156" s="8"/>
      <c r="C156" s="2"/>
      <c r="D156" s="26"/>
      <c r="E156" s="26"/>
      <c r="F156" s="27"/>
      <c r="G156" s="26"/>
      <c r="H156" s="26"/>
      <c r="I156" s="27"/>
      <c r="J156" s="26"/>
      <c r="K156" s="26"/>
      <c r="L156" s="67"/>
      <c r="N156" s="8"/>
      <c r="O156" s="2"/>
      <c r="P156" s="26"/>
      <c r="Q156" s="27"/>
      <c r="R156" s="30"/>
      <c r="S156" s="27"/>
      <c r="T156" s="30"/>
      <c r="U156" s="34"/>
      <c r="V156" s="34"/>
      <c r="X156" s="8"/>
      <c r="Y156" s="2"/>
      <c r="Z156" s="26"/>
      <c r="AA156" s="26"/>
      <c r="AB156" s="26"/>
      <c r="AC156" s="26"/>
      <c r="AD156" s="27"/>
      <c r="AE156" s="30"/>
      <c r="AF156" s="26"/>
      <c r="AG156" s="26"/>
      <c r="AH156" s="32"/>
      <c r="AJ156" s="8"/>
      <c r="AK156" s="2"/>
      <c r="AL156" s="26"/>
      <c r="AM156" s="26"/>
      <c r="AN156" s="26"/>
      <c r="AO156" s="27"/>
      <c r="AP156" s="30"/>
      <c r="AQ156" s="26"/>
      <c r="AR156" s="26"/>
      <c r="AS156" s="32"/>
      <c r="AT156" s="34"/>
    </row>
    <row r="157" spans="2:46" x14ac:dyDescent="0.3">
      <c r="B157" s="8"/>
      <c r="C157" s="2"/>
      <c r="D157" s="26"/>
      <c r="E157" s="26"/>
      <c r="F157" s="27"/>
      <c r="G157" s="26"/>
      <c r="H157" s="26"/>
      <c r="I157" s="27"/>
      <c r="J157" s="26"/>
      <c r="K157" s="26"/>
      <c r="L157" s="67"/>
      <c r="N157" s="8"/>
      <c r="O157" s="2"/>
      <c r="P157" s="26"/>
      <c r="Q157" s="27"/>
      <c r="R157" s="30"/>
      <c r="S157" s="27"/>
      <c r="T157" s="30"/>
      <c r="U157" s="34"/>
      <c r="V157" s="34"/>
      <c r="X157" s="8"/>
      <c r="Y157" s="2"/>
      <c r="Z157" s="26"/>
      <c r="AA157" s="26"/>
      <c r="AB157" s="26"/>
      <c r="AC157" s="26"/>
      <c r="AD157" s="27"/>
      <c r="AE157" s="30"/>
      <c r="AF157" s="26"/>
      <c r="AG157" s="26"/>
      <c r="AH157" s="32"/>
      <c r="AJ157" s="8"/>
      <c r="AK157" s="2"/>
      <c r="AL157" s="26"/>
      <c r="AM157" s="26"/>
      <c r="AN157" s="26"/>
      <c r="AO157" s="27"/>
      <c r="AP157" s="30"/>
      <c r="AQ157" s="26"/>
      <c r="AR157" s="26"/>
      <c r="AS157" s="32"/>
      <c r="AT157" s="34"/>
    </row>
    <row r="158" spans="2:46" x14ac:dyDescent="0.3">
      <c r="B158" s="8"/>
      <c r="C158" s="2"/>
      <c r="D158" s="26"/>
      <c r="E158" s="26"/>
      <c r="F158" s="27"/>
      <c r="G158" s="26"/>
      <c r="H158" s="26"/>
      <c r="I158" s="27"/>
      <c r="J158" s="26"/>
      <c r="K158" s="26"/>
      <c r="L158" s="67"/>
      <c r="N158" s="8"/>
      <c r="O158" s="2"/>
      <c r="P158" s="26"/>
      <c r="Q158" s="27"/>
      <c r="R158" s="30"/>
      <c r="S158" s="27"/>
      <c r="T158" s="30"/>
      <c r="U158" s="34"/>
      <c r="V158" s="34"/>
      <c r="X158" s="8"/>
      <c r="Y158" s="2"/>
      <c r="Z158" s="26"/>
      <c r="AA158" s="26"/>
      <c r="AB158" s="26"/>
      <c r="AC158" s="26"/>
      <c r="AD158" s="27"/>
      <c r="AE158" s="30"/>
      <c r="AF158" s="26"/>
      <c r="AG158" s="26"/>
      <c r="AH158" s="32"/>
      <c r="AJ158" s="8"/>
      <c r="AK158" s="2"/>
      <c r="AL158" s="26"/>
      <c r="AM158" s="26"/>
      <c r="AN158" s="26"/>
      <c r="AO158" s="27"/>
      <c r="AP158" s="30"/>
      <c r="AQ158" s="26"/>
      <c r="AR158" s="26"/>
      <c r="AS158" s="32"/>
      <c r="AT158" s="34"/>
    </row>
    <row r="159" spans="2:46" x14ac:dyDescent="0.3">
      <c r="B159" s="8"/>
      <c r="C159" s="2"/>
      <c r="D159" s="26"/>
      <c r="E159" s="26"/>
      <c r="F159" s="27"/>
      <c r="G159" s="26"/>
      <c r="H159" s="26"/>
      <c r="I159" s="27"/>
      <c r="J159" s="26"/>
      <c r="K159" s="26"/>
      <c r="L159" s="67"/>
      <c r="N159" s="8"/>
      <c r="O159" s="2"/>
      <c r="P159" s="26"/>
      <c r="Q159" s="27"/>
      <c r="R159" s="30"/>
      <c r="S159" s="27"/>
      <c r="T159" s="30"/>
      <c r="U159" s="34"/>
      <c r="V159" s="34"/>
      <c r="X159" s="8"/>
      <c r="Y159" s="2"/>
      <c r="Z159" s="26"/>
      <c r="AA159" s="26"/>
      <c r="AB159" s="26"/>
      <c r="AC159" s="26"/>
      <c r="AD159" s="27"/>
      <c r="AE159" s="30"/>
      <c r="AF159" s="26"/>
      <c r="AG159" s="26"/>
      <c r="AH159" s="32"/>
      <c r="AJ159" s="8"/>
      <c r="AK159" s="2"/>
      <c r="AL159" s="26"/>
      <c r="AM159" s="26"/>
      <c r="AN159" s="26"/>
      <c r="AO159" s="27"/>
      <c r="AP159" s="30"/>
      <c r="AQ159" s="26"/>
      <c r="AR159" s="26"/>
      <c r="AS159" s="32"/>
      <c r="AT159" s="34"/>
    </row>
    <row r="160" spans="2:46" x14ac:dyDescent="0.3">
      <c r="B160" s="8"/>
      <c r="C160" s="2"/>
      <c r="D160" s="26"/>
      <c r="E160" s="26"/>
      <c r="F160" s="27"/>
      <c r="G160" s="26"/>
      <c r="H160" s="26"/>
      <c r="I160" s="27"/>
      <c r="J160" s="26"/>
      <c r="K160" s="26"/>
      <c r="L160" s="67"/>
      <c r="N160" s="8"/>
      <c r="O160" s="2"/>
      <c r="P160" s="26"/>
      <c r="Q160" s="27"/>
      <c r="R160" s="30"/>
      <c r="S160" s="27"/>
      <c r="T160" s="30"/>
      <c r="U160" s="34"/>
      <c r="V160" s="34"/>
      <c r="X160" s="8"/>
      <c r="Y160" s="2"/>
      <c r="Z160" s="26"/>
      <c r="AA160" s="26"/>
      <c r="AB160" s="26"/>
      <c r="AC160" s="26"/>
      <c r="AD160" s="27"/>
      <c r="AE160" s="30"/>
      <c r="AF160" s="26"/>
      <c r="AG160" s="26"/>
      <c r="AH160" s="32"/>
      <c r="AJ160" s="8"/>
      <c r="AK160" s="2"/>
      <c r="AL160" s="26"/>
      <c r="AM160" s="26"/>
      <c r="AN160" s="26"/>
      <c r="AO160" s="27"/>
      <c r="AP160" s="30"/>
      <c r="AQ160" s="26"/>
      <c r="AR160" s="26"/>
      <c r="AS160" s="32"/>
      <c r="AT160" s="34"/>
    </row>
    <row r="161" spans="2:46" x14ac:dyDescent="0.3">
      <c r="B161" s="8"/>
      <c r="C161" s="2"/>
      <c r="D161" s="26"/>
      <c r="E161" s="26"/>
      <c r="F161" s="27"/>
      <c r="G161" s="26"/>
      <c r="H161" s="26"/>
      <c r="I161" s="27"/>
      <c r="J161" s="26"/>
      <c r="K161" s="26"/>
      <c r="L161" s="67"/>
      <c r="N161" s="8"/>
      <c r="O161" s="2"/>
      <c r="P161" s="26"/>
      <c r="Q161" s="27"/>
      <c r="R161" s="30"/>
      <c r="S161" s="27"/>
      <c r="T161" s="30"/>
      <c r="U161" s="34"/>
      <c r="V161" s="34"/>
      <c r="X161" s="8"/>
      <c r="Y161" s="2"/>
      <c r="Z161" s="26"/>
      <c r="AA161" s="26"/>
      <c r="AB161" s="26"/>
      <c r="AC161" s="26"/>
      <c r="AD161" s="27"/>
      <c r="AE161" s="30"/>
      <c r="AF161" s="26"/>
      <c r="AG161" s="26"/>
      <c r="AH161" s="32"/>
      <c r="AJ161" s="8"/>
      <c r="AK161" s="2"/>
      <c r="AL161" s="26"/>
      <c r="AM161" s="26"/>
      <c r="AN161" s="26"/>
      <c r="AO161" s="27"/>
      <c r="AP161" s="30"/>
      <c r="AQ161" s="26"/>
      <c r="AR161" s="26"/>
      <c r="AS161" s="32"/>
      <c r="AT161" s="34"/>
    </row>
    <row r="162" spans="2:46" x14ac:dyDescent="0.3">
      <c r="B162" s="8"/>
      <c r="C162" s="2"/>
      <c r="D162" s="26"/>
      <c r="E162" s="26"/>
      <c r="F162" s="27"/>
      <c r="G162" s="26"/>
      <c r="H162" s="26"/>
      <c r="I162" s="27"/>
      <c r="J162" s="26"/>
      <c r="K162" s="26"/>
      <c r="L162" s="67"/>
      <c r="N162" s="8"/>
      <c r="O162" s="2"/>
      <c r="P162" s="26"/>
      <c r="Q162" s="27"/>
      <c r="R162" s="30"/>
      <c r="S162" s="27"/>
      <c r="T162" s="30"/>
      <c r="U162" s="34"/>
      <c r="V162" s="34"/>
      <c r="X162" s="8"/>
      <c r="Y162" s="2"/>
      <c r="Z162" s="26"/>
      <c r="AA162" s="26"/>
      <c r="AB162" s="26"/>
      <c r="AC162" s="26"/>
      <c r="AD162" s="27"/>
      <c r="AE162" s="30"/>
      <c r="AF162" s="26"/>
      <c r="AG162" s="26"/>
      <c r="AH162" s="32"/>
      <c r="AJ162" s="8"/>
      <c r="AK162" s="2"/>
      <c r="AL162" s="26"/>
      <c r="AM162" s="26"/>
      <c r="AN162" s="26"/>
      <c r="AO162" s="27"/>
      <c r="AP162" s="30"/>
      <c r="AQ162" s="26"/>
      <c r="AR162" s="26"/>
      <c r="AS162" s="32"/>
      <c r="AT162" s="34"/>
    </row>
    <row r="163" spans="2:46" x14ac:dyDescent="0.3">
      <c r="B163" s="8"/>
      <c r="C163" s="2"/>
      <c r="D163" s="26"/>
      <c r="E163" s="26"/>
      <c r="F163" s="27"/>
      <c r="G163" s="26"/>
      <c r="H163" s="26"/>
      <c r="I163" s="27"/>
      <c r="J163" s="26"/>
      <c r="K163" s="26"/>
      <c r="L163" s="67"/>
      <c r="N163" s="8"/>
      <c r="O163" s="2"/>
      <c r="P163" s="26"/>
      <c r="Q163" s="27"/>
      <c r="R163" s="30"/>
      <c r="S163" s="27"/>
      <c r="T163" s="30"/>
      <c r="U163" s="34"/>
      <c r="V163" s="34"/>
      <c r="X163" s="8"/>
      <c r="Y163" s="2"/>
      <c r="Z163" s="26"/>
      <c r="AA163" s="26"/>
      <c r="AB163" s="26"/>
      <c r="AC163" s="26"/>
      <c r="AD163" s="27"/>
      <c r="AE163" s="30"/>
      <c r="AF163" s="26"/>
      <c r="AG163" s="26"/>
      <c r="AH163" s="32"/>
      <c r="AJ163" s="8"/>
      <c r="AK163" s="2"/>
      <c r="AL163" s="26"/>
      <c r="AM163" s="26"/>
      <c r="AN163" s="26"/>
      <c r="AO163" s="27"/>
      <c r="AP163" s="30"/>
      <c r="AQ163" s="26"/>
      <c r="AR163" s="26"/>
      <c r="AS163" s="32"/>
      <c r="AT163" s="34"/>
    </row>
    <row r="164" spans="2:46" x14ac:dyDescent="0.3">
      <c r="B164" s="8"/>
      <c r="C164" s="2"/>
      <c r="D164" s="26"/>
      <c r="E164" s="26"/>
      <c r="F164" s="27"/>
      <c r="G164" s="26"/>
      <c r="H164" s="26"/>
      <c r="I164" s="27"/>
      <c r="J164" s="26"/>
      <c r="K164" s="26"/>
      <c r="L164" s="67"/>
      <c r="N164" s="8"/>
      <c r="O164" s="2"/>
      <c r="P164" s="26"/>
      <c r="Q164" s="27"/>
      <c r="R164" s="30"/>
      <c r="S164" s="27"/>
      <c r="T164" s="30"/>
      <c r="U164" s="34"/>
      <c r="V164" s="34"/>
      <c r="X164" s="8"/>
      <c r="Y164" s="2"/>
      <c r="Z164" s="26"/>
      <c r="AA164" s="26"/>
      <c r="AB164" s="26"/>
      <c r="AC164" s="26"/>
      <c r="AD164" s="27"/>
      <c r="AE164" s="30"/>
      <c r="AF164" s="26"/>
      <c r="AG164" s="26"/>
      <c r="AH164" s="32"/>
      <c r="AJ164" s="8"/>
      <c r="AK164" s="2"/>
      <c r="AL164" s="26"/>
      <c r="AM164" s="26"/>
      <c r="AN164" s="26"/>
      <c r="AO164" s="27"/>
      <c r="AP164" s="30"/>
      <c r="AQ164" s="26"/>
      <c r="AR164" s="26"/>
      <c r="AS164" s="32"/>
      <c r="AT164" s="34"/>
    </row>
    <row r="165" spans="2:46" x14ac:dyDescent="0.3">
      <c r="B165" s="8"/>
      <c r="C165" s="2"/>
      <c r="D165" s="26"/>
      <c r="E165" s="26"/>
      <c r="F165" s="27"/>
      <c r="G165" s="26"/>
      <c r="H165" s="26"/>
      <c r="I165" s="27"/>
      <c r="J165" s="26"/>
      <c r="K165" s="26"/>
      <c r="L165" s="67"/>
      <c r="N165" s="8"/>
      <c r="O165" s="2"/>
      <c r="P165" s="26"/>
      <c r="Q165" s="27"/>
      <c r="R165" s="30"/>
      <c r="S165" s="27"/>
      <c r="T165" s="30"/>
      <c r="U165" s="34"/>
      <c r="V165" s="34"/>
      <c r="X165" s="8"/>
      <c r="Y165" s="2"/>
      <c r="Z165" s="26"/>
      <c r="AA165" s="26"/>
      <c r="AB165" s="26"/>
      <c r="AC165" s="26"/>
      <c r="AD165" s="27"/>
      <c r="AE165" s="30"/>
      <c r="AF165" s="26"/>
      <c r="AG165" s="26"/>
      <c r="AH165" s="32"/>
      <c r="AJ165" s="8"/>
      <c r="AK165" s="2"/>
      <c r="AL165" s="26"/>
      <c r="AM165" s="26"/>
      <c r="AN165" s="26"/>
      <c r="AO165" s="27"/>
      <c r="AP165" s="30"/>
      <c r="AQ165" s="26"/>
      <c r="AR165" s="26"/>
      <c r="AS165" s="32"/>
      <c r="AT165" s="34"/>
    </row>
    <row r="166" spans="2:46" x14ac:dyDescent="0.3">
      <c r="B166" s="8"/>
      <c r="C166" s="2"/>
      <c r="D166" s="26"/>
      <c r="E166" s="26"/>
      <c r="F166" s="28"/>
      <c r="G166" s="29"/>
      <c r="H166" s="29"/>
      <c r="I166" s="28"/>
      <c r="J166" s="29"/>
      <c r="K166" s="29"/>
      <c r="L166" s="68"/>
      <c r="N166" s="8"/>
      <c r="O166" s="2"/>
      <c r="P166" s="26"/>
      <c r="Q166" s="28"/>
      <c r="R166" s="31"/>
      <c r="S166" s="28"/>
      <c r="T166" s="31"/>
      <c r="U166" s="34"/>
      <c r="V166" s="34"/>
      <c r="X166" s="8"/>
      <c r="Y166" s="2"/>
      <c r="Z166" s="26"/>
      <c r="AA166" s="26"/>
      <c r="AB166" s="26"/>
      <c r="AC166" s="26"/>
      <c r="AD166" s="28"/>
      <c r="AE166" s="31"/>
      <c r="AF166" s="26"/>
      <c r="AG166" s="26"/>
      <c r="AH166" s="33"/>
      <c r="AJ166" s="8"/>
      <c r="AK166" s="2"/>
      <c r="AL166" s="26"/>
      <c r="AM166" s="26"/>
      <c r="AN166" s="26"/>
      <c r="AO166" s="28"/>
      <c r="AP166" s="31"/>
      <c r="AQ166" s="26"/>
      <c r="AR166" s="26"/>
      <c r="AS166" s="32"/>
      <c r="AT166" s="34"/>
    </row>
    <row r="167" spans="2:46" x14ac:dyDescent="0.3">
      <c r="B167" s="22"/>
      <c r="C167" s="22"/>
      <c r="D167" s="22"/>
      <c r="E167" s="22"/>
      <c r="F167" s="22"/>
      <c r="G167" s="22"/>
      <c r="H167" s="22"/>
      <c r="I167" s="22"/>
      <c r="J167" s="22"/>
      <c r="K167" s="22"/>
      <c r="L167" s="22"/>
      <c r="N167" s="22"/>
      <c r="O167" s="22"/>
      <c r="P167" s="22"/>
      <c r="Q167" s="22"/>
      <c r="R167" s="22"/>
      <c r="S167" s="22"/>
      <c r="T167" s="22"/>
      <c r="U167" s="22"/>
      <c r="V167" s="22"/>
      <c r="X167" s="22"/>
      <c r="Y167" s="22"/>
      <c r="Z167" s="22"/>
      <c r="AA167" s="22"/>
      <c r="AB167" s="22"/>
      <c r="AC167" s="22"/>
      <c r="AD167" s="22"/>
      <c r="AE167" s="22"/>
      <c r="AF167" s="22"/>
      <c r="AG167" s="22"/>
      <c r="AH167" s="22"/>
      <c r="AJ167" s="22"/>
      <c r="AK167" s="22"/>
      <c r="AL167" s="22"/>
      <c r="AM167" s="22"/>
      <c r="AN167" s="22"/>
      <c r="AO167" s="22"/>
      <c r="AP167" s="22"/>
      <c r="AQ167" s="22"/>
      <c r="AR167" s="22"/>
      <c r="AS167" s="22"/>
      <c r="AT167" s="22"/>
    </row>
  </sheetData>
  <mergeCells count="11">
    <mergeCell ref="AF4:AG4"/>
    <mergeCell ref="AO4:AP4"/>
    <mergeCell ref="AQ4:AR4"/>
    <mergeCell ref="AS4:AT4"/>
    <mergeCell ref="D4:E4"/>
    <mergeCell ref="F4:H4"/>
    <mergeCell ref="I4:K4"/>
    <mergeCell ref="Q4:R4"/>
    <mergeCell ref="AD4:AE4"/>
    <mergeCell ref="S4:T4"/>
    <mergeCell ref="U4:V4"/>
  </mergeCells>
  <conditionalFormatting sqref="D13:K13 P13:R13 Z13:AG13 AL13:AR13">
    <cfRule type="cellIs" dxfId="87" priority="11" operator="greaterThan">
      <formula>1</formula>
    </cfRule>
  </conditionalFormatting>
  <conditionalFormatting sqref="D17:K166 Z17:AG166 AL17:AR166">
    <cfRule type="cellIs" dxfId="86" priority="12" operator="lessThan">
      <formula>0</formula>
    </cfRule>
    <cfRule type="cellIs" dxfId="85" priority="13" operator="greaterThan">
      <formula>0</formula>
    </cfRule>
  </conditionalFormatting>
  <conditionalFormatting sqref="U17:V166">
    <cfRule type="cellIs" dxfId="84" priority="9" operator="greaterThan">
      <formula>1</formula>
    </cfRule>
  </conditionalFormatting>
  <conditionalFormatting sqref="AH17:AH166">
    <cfRule type="cellIs" dxfId="83" priority="8" operator="greaterThan">
      <formula>1</formula>
    </cfRule>
  </conditionalFormatting>
  <conditionalFormatting sqref="AS17:AT166">
    <cfRule type="cellIs" dxfId="82" priority="6" operator="greaterThan">
      <formula>1</formula>
    </cfRule>
  </conditionalFormatting>
  <conditionalFormatting sqref="BA7:BA24 P17:T166">
    <cfRule type="cellIs" dxfId="79" priority="3" operator="lessThan">
      <formula>0</formula>
    </cfRule>
    <cfRule type="cellIs" dxfId="78" priority="4" operator="greaterThan">
      <formula>0</formula>
    </cfRule>
  </conditionalFormatting>
  <conditionalFormatting sqref="BB7:BB24 L17:L166">
    <cfRule type="cellIs" dxfId="77" priority="5" operator="greaterThan">
      <formula>1</formula>
    </cfRule>
  </conditionalFormatting>
  <dataValidations count="4">
    <dataValidation type="whole" errorStyle="information" allowBlank="1" showInputMessage="1" showErrorMessage="1" errorTitle="Must select 1 or 2" error="1 = Multiplicative_x000a_2 = Additive" sqref="AL13:AR13 Z13:AG13 P13:R13 D13:K13 BB7:BB24" xr:uid="{BC5EDDD8-26F6-482B-B92C-A2D87250F12A}">
      <formula1>1</formula1>
      <formula2>2</formula2>
    </dataValidation>
    <dataValidation type="decimal" errorStyle="information" allowBlank="1" showInputMessage="1" showErrorMessage="1" errorTitle="Must select a number" error="Cannot choose letters or special characters." sqref="D17:K166 BA7:BA24 P17:T166 Z17:AG166 AO17:AR166 AL17:AN37" xr:uid="{7D5FA5CB-AAFF-4BD3-90C0-85AD06C8B2E6}">
      <formula1>-1000000000</formula1>
      <formula2>1000000000</formula2>
    </dataValidation>
    <dataValidation type="whole" errorStyle="information" allowBlank="1" showInputMessage="1" showErrorMessage="1" errorTitle="Must select 1 or 2" error="1 = Included in shock_x000a_2 = Excluded" sqref="U17:U166" xr:uid="{5998C774-ABAF-4BE1-95D1-5074F707A893}">
      <formula1>1</formula1>
      <formula2>2</formula2>
    </dataValidation>
    <dataValidation type="whole" errorStyle="information" allowBlank="1" showInputMessage="1" showErrorMessage="1" errorTitle="Must select 1 or 2" error="1 = Included in closure_x000a_2 = Excluded" sqref="V17:V166 AH17:AH166 L17:L166 AS17:AT166" xr:uid="{7B388061-DCC1-4CEA-A319-77D9BA57F72E}">
      <formula1>1</formula1>
      <formula2>2</formula2>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ellIs" priority="15" operator="equal" id="{4F95BECC-AFF1-4423-8CDB-D3DB4BF4C26A}">
            <xm:f>Notes!$L$4</xm:f>
            <x14:dxf>
              <font>
                <b val="0"/>
                <i val="0"/>
                <strike val="0"/>
                <color theme="0" tint="-0.34998626667073579"/>
              </font>
              <fill>
                <patternFill patternType="none">
                  <bgColor auto="1"/>
                </patternFill>
              </fill>
            </x14:dxf>
          </x14:cfRule>
          <xm:sqref>AY7:AY24 D8:K8 P8:T8 Z8:AG8 AL8:AR8</xm:sqref>
        </x14:conditionalFormatting>
        <x14:conditionalFormatting xmlns:xm="http://schemas.microsoft.com/office/excel/2006/main">
          <x14:cfRule type="cellIs" priority="14" operator="equal" id="{EB0BED4F-16F1-4F87-AB62-3C294A5A2B81}">
            <xm:f>Notes!$L$5</xm:f>
            <x14:dxf>
              <font>
                <b val="0"/>
                <i val="0"/>
                <strike val="0"/>
                <color theme="0" tint="-0.34998626667073579"/>
              </font>
              <fill>
                <patternFill patternType="none">
                  <bgColor auto="1"/>
                </patternFill>
              </fill>
            </x14:dxf>
          </x14:cfRule>
          <xm:sqref>AZ7:AZ24 D9:K9 P9:T9 Z9:AG9 AL9:AR9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Out of range" error="Time periods must fall within the range specified on the &quot;Base&quot; worksheet." xr:uid="{F0CD6784-4D1B-4BF8-9F51-272E9EA9A541}">
          <x14:formula1>
            <xm:f>Main!$H$5:$H$58</xm:f>
          </x14:formula1>
          <xm:sqref>D8:K9 AY7:AZ24 AL8:AR9 P8:T9</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A0829-4CC9-42F0-89A3-984131BDA25D}">
  <sheetPr>
    <tabColor theme="8" tint="-0.499984740745262"/>
  </sheetPr>
  <dimension ref="A1:BE167"/>
  <sheetViews>
    <sheetView zoomScale="55" zoomScaleNormal="55" workbookViewId="0">
      <pane ySplit="16" topLeftCell="A17" activePane="bottomLeft" state="frozen"/>
      <selection activeCell="V17" sqref="V17"/>
      <selection pane="bottomLeft" activeCell="V17" sqref="V17"/>
    </sheetView>
  </sheetViews>
  <sheetFormatPr defaultColWidth="0" defaultRowHeight="14.4" zeroHeight="1" x14ac:dyDescent="0.3"/>
  <cols>
    <col min="1" max="2" width="2.44140625" customWidth="1"/>
    <col min="3" max="12" width="9.109375" customWidth="1"/>
    <col min="13" max="14" width="2.44140625" customWidth="1"/>
    <col min="15" max="22" width="9.109375" customWidth="1"/>
    <col min="23" max="24" width="2.44140625" customWidth="1"/>
    <col min="25" max="34" width="9.109375" customWidth="1"/>
    <col min="35" max="36" width="2.44140625" customWidth="1"/>
    <col min="37" max="37" width="11.77734375" customWidth="1"/>
    <col min="38" max="46" width="9.109375" customWidth="1"/>
    <col min="47" max="48" width="2.44140625" customWidth="1"/>
    <col min="49" max="49" width="18.88671875" bestFit="1" customWidth="1"/>
    <col min="50" max="54" width="9.109375" customWidth="1"/>
    <col min="55" max="55" width="2.44140625" customWidth="1"/>
    <col min="56" max="57" width="0" hidden="1" customWidth="1"/>
    <col min="58" max="16384" width="9.109375" hidden="1"/>
  </cols>
  <sheetData>
    <row r="1" spans="1:55" ht="18" x14ac:dyDescent="0.35">
      <c r="A1" s="6" t="str">
        <f>"Simulation "&amp;AC1&amp;IF(AD1&lt;&gt;""," : "&amp;AD1,"")</f>
        <v>Simulation sim9</v>
      </c>
      <c r="B1" s="6"/>
      <c r="C1" s="4"/>
      <c r="D1" s="4"/>
      <c r="E1" s="4"/>
      <c r="F1" s="4"/>
      <c r="G1" s="4"/>
      <c r="H1" s="4"/>
      <c r="I1" s="4"/>
      <c r="J1" s="4"/>
      <c r="K1" s="4"/>
      <c r="L1" s="4"/>
      <c r="M1" s="4"/>
      <c r="N1" s="4"/>
      <c r="O1" s="4"/>
      <c r="P1" s="4"/>
      <c r="Q1" s="4"/>
      <c r="R1" s="4"/>
      <c r="S1" s="4"/>
      <c r="T1" s="4"/>
      <c r="U1" s="4"/>
      <c r="V1" s="4"/>
      <c r="W1" s="4"/>
      <c r="X1" s="4"/>
      <c r="Y1" s="4"/>
      <c r="Z1" s="4"/>
      <c r="AA1" s="4"/>
      <c r="AB1" s="4"/>
      <c r="AC1" s="4" t="str">
        <f>Main!C15</f>
        <v>sim9</v>
      </c>
      <c r="AD1" s="4" t="str">
        <f>IF(Main!E15&lt;&gt;"",Main!E15,"")</f>
        <v/>
      </c>
      <c r="AE1" s="4"/>
      <c r="AF1" s="4"/>
      <c r="AG1" s="4"/>
      <c r="AH1" s="4"/>
      <c r="AI1" s="4"/>
      <c r="AJ1" s="4"/>
      <c r="AK1" s="4"/>
      <c r="AL1" s="4"/>
      <c r="AM1" s="4"/>
      <c r="AN1" s="4"/>
      <c r="AO1" s="4"/>
      <c r="AP1" s="4"/>
      <c r="AQ1" s="4"/>
      <c r="AR1" s="4"/>
      <c r="AS1" s="4"/>
      <c r="AT1" s="4"/>
      <c r="AU1" s="4"/>
      <c r="AV1" s="4"/>
      <c r="AW1" s="4"/>
      <c r="AX1" s="4"/>
      <c r="AY1" s="4"/>
      <c r="AZ1" s="4"/>
      <c r="BA1" s="4"/>
      <c r="BB1" s="4"/>
      <c r="BC1" s="4"/>
    </row>
    <row r="2" spans="1:55" x14ac:dyDescent="0.3"/>
    <row r="3" spans="1:55" ht="15.6" x14ac:dyDescent="0.3">
      <c r="B3" s="7"/>
      <c r="C3" s="17" t="s">
        <v>55</v>
      </c>
      <c r="D3" s="36"/>
      <c r="E3" s="36"/>
      <c r="F3" s="36"/>
      <c r="G3" s="36"/>
      <c r="H3" s="36"/>
      <c r="I3" s="36"/>
      <c r="J3" s="36"/>
      <c r="K3" s="36"/>
      <c r="L3" s="36"/>
      <c r="N3" s="7"/>
      <c r="O3" s="17" t="s">
        <v>56</v>
      </c>
      <c r="P3" s="36"/>
      <c r="Q3" s="36"/>
      <c r="R3" s="36"/>
      <c r="S3" s="36"/>
      <c r="T3" s="36"/>
      <c r="U3" s="36"/>
      <c r="V3" s="36"/>
      <c r="X3" s="7"/>
      <c r="Y3" s="17" t="s">
        <v>57</v>
      </c>
      <c r="Z3" s="36"/>
      <c r="AA3" s="36"/>
      <c r="AB3" s="36"/>
      <c r="AC3" s="36"/>
      <c r="AD3" s="36"/>
      <c r="AE3" s="36"/>
      <c r="AF3" s="36"/>
      <c r="AG3" s="36"/>
      <c r="AH3" s="36"/>
      <c r="AJ3" s="7"/>
      <c r="AK3" s="17" t="s">
        <v>283</v>
      </c>
      <c r="AL3" s="36"/>
      <c r="AM3" s="36"/>
      <c r="AN3" s="36"/>
      <c r="AO3" s="36"/>
      <c r="AP3" s="36"/>
      <c r="AQ3" s="36"/>
      <c r="AR3" s="36"/>
      <c r="AS3" s="36"/>
      <c r="AT3" s="36"/>
      <c r="AV3" s="7"/>
      <c r="AW3" s="17" t="s">
        <v>125</v>
      </c>
      <c r="AX3" s="36"/>
      <c r="AY3" s="36"/>
      <c r="AZ3" s="36"/>
      <c r="BA3" s="36"/>
      <c r="BB3" s="36"/>
    </row>
    <row r="4" spans="1:55" x14ac:dyDescent="0.3">
      <c r="B4" s="14"/>
      <c r="C4" s="9"/>
      <c r="D4" s="74" t="s">
        <v>58</v>
      </c>
      <c r="E4" s="74"/>
      <c r="F4" s="75" t="s">
        <v>59</v>
      </c>
      <c r="G4" s="74"/>
      <c r="H4" s="74"/>
      <c r="I4" s="75" t="s">
        <v>7</v>
      </c>
      <c r="J4" s="74"/>
      <c r="K4" s="74"/>
      <c r="L4" s="37" t="s">
        <v>103</v>
      </c>
      <c r="N4" s="14"/>
      <c r="O4" s="9"/>
      <c r="P4" s="38" t="s">
        <v>60</v>
      </c>
      <c r="Q4" s="75" t="s">
        <v>61</v>
      </c>
      <c r="R4" s="76"/>
      <c r="S4" s="75" t="s">
        <v>646</v>
      </c>
      <c r="T4" s="74"/>
      <c r="U4" s="75" t="s">
        <v>103</v>
      </c>
      <c r="V4" s="74"/>
      <c r="X4" s="14"/>
      <c r="Y4" s="9"/>
      <c r="Z4" s="38" t="s">
        <v>63</v>
      </c>
      <c r="AA4" s="38" t="s">
        <v>62</v>
      </c>
      <c r="AB4" s="38" t="s">
        <v>311</v>
      </c>
      <c r="AC4" s="38" t="s">
        <v>62</v>
      </c>
      <c r="AD4" s="75" t="s">
        <v>126</v>
      </c>
      <c r="AE4" s="76"/>
      <c r="AF4" s="74" t="s">
        <v>127</v>
      </c>
      <c r="AG4" s="74"/>
      <c r="AH4" s="37" t="s">
        <v>103</v>
      </c>
      <c r="AJ4" s="14"/>
      <c r="AK4" s="9"/>
      <c r="AL4" s="38" t="s">
        <v>132</v>
      </c>
      <c r="AM4" s="38" t="s">
        <v>99</v>
      </c>
      <c r="AN4" s="38" t="s">
        <v>289</v>
      </c>
      <c r="AO4" s="75" t="s">
        <v>126</v>
      </c>
      <c r="AP4" s="76"/>
      <c r="AQ4" s="74" t="s">
        <v>127</v>
      </c>
      <c r="AR4" s="74"/>
      <c r="AS4" s="75" t="s">
        <v>103</v>
      </c>
      <c r="AT4" s="74"/>
      <c r="AV4" s="8"/>
      <c r="AY4" s="39" t="s">
        <v>335</v>
      </c>
      <c r="AZ4" s="39" t="s">
        <v>336</v>
      </c>
      <c r="BA4" s="39" t="s">
        <v>300</v>
      </c>
      <c r="BB4" s="39" t="s">
        <v>304</v>
      </c>
    </row>
    <row r="5" spans="1:55" x14ac:dyDescent="0.3">
      <c r="B5" s="14"/>
      <c r="C5" s="9"/>
      <c r="D5" s="40" t="s">
        <v>64</v>
      </c>
      <c r="E5" s="40" t="s">
        <v>65</v>
      </c>
      <c r="F5" s="41" t="s">
        <v>64</v>
      </c>
      <c r="G5" s="40" t="s">
        <v>65</v>
      </c>
      <c r="H5" s="40" t="s">
        <v>66</v>
      </c>
      <c r="I5" s="41" t="s">
        <v>64</v>
      </c>
      <c r="J5" s="40" t="s">
        <v>65</v>
      </c>
      <c r="K5" s="40" t="s">
        <v>67</v>
      </c>
      <c r="L5" s="41" t="s">
        <v>100</v>
      </c>
      <c r="N5" s="14"/>
      <c r="O5" s="9"/>
      <c r="P5" s="40"/>
      <c r="Q5" s="41" t="s">
        <v>68</v>
      </c>
      <c r="R5" s="42" t="s">
        <v>124</v>
      </c>
      <c r="S5" s="40" t="s">
        <v>284</v>
      </c>
      <c r="T5" s="40" t="s">
        <v>286</v>
      </c>
      <c r="U5" s="69" t="s">
        <v>313</v>
      </c>
      <c r="V5" s="40" t="s">
        <v>100</v>
      </c>
      <c r="X5" s="14"/>
      <c r="Y5" s="9"/>
      <c r="Z5" s="38" t="s">
        <v>70</v>
      </c>
      <c r="AA5" s="38" t="s">
        <v>71</v>
      </c>
      <c r="AB5" s="38" t="s">
        <v>312</v>
      </c>
      <c r="AC5" s="38" t="s">
        <v>69</v>
      </c>
      <c r="AD5" s="41" t="s">
        <v>86</v>
      </c>
      <c r="AE5" s="42" t="s">
        <v>87</v>
      </c>
      <c r="AF5" s="40" t="s">
        <v>86</v>
      </c>
      <c r="AG5" s="40" t="s">
        <v>87</v>
      </c>
      <c r="AH5" s="41" t="s">
        <v>100</v>
      </c>
      <c r="AJ5" s="14"/>
      <c r="AK5" s="9"/>
      <c r="AL5" s="38" t="s">
        <v>134</v>
      </c>
      <c r="AM5" s="38" t="s">
        <v>70</v>
      </c>
      <c r="AN5" s="38" t="s">
        <v>123</v>
      </c>
      <c r="AO5" s="41" t="s">
        <v>86</v>
      </c>
      <c r="AP5" s="42" t="s">
        <v>87</v>
      </c>
      <c r="AQ5" s="40" t="s">
        <v>86</v>
      </c>
      <c r="AR5" s="40" t="s">
        <v>87</v>
      </c>
      <c r="AS5" s="41" t="s">
        <v>99</v>
      </c>
      <c r="AT5" s="40" t="s">
        <v>100</v>
      </c>
      <c r="AV5" s="8"/>
      <c r="BA5" s="43"/>
      <c r="BB5" s="44" t="s">
        <v>305</v>
      </c>
    </row>
    <row r="6" spans="1:55" x14ac:dyDescent="0.3">
      <c r="B6" s="8"/>
      <c r="F6" s="45"/>
      <c r="I6" s="45"/>
      <c r="L6" s="45"/>
      <c r="N6" s="8"/>
      <c r="Q6" s="45"/>
      <c r="R6" s="46"/>
      <c r="U6" s="70"/>
      <c r="X6" s="8"/>
      <c r="AD6" s="45"/>
      <c r="AE6" s="46"/>
      <c r="AH6" s="45"/>
      <c r="AJ6" s="8"/>
      <c r="AO6" s="45"/>
      <c r="AP6" s="46"/>
      <c r="AS6" s="45"/>
      <c r="AV6" s="8"/>
      <c r="AW6" s="47" t="s">
        <v>303</v>
      </c>
      <c r="AX6" s="48"/>
      <c r="AY6" s="49" t="s">
        <v>337</v>
      </c>
      <c r="AZ6" s="49" t="s">
        <v>338</v>
      </c>
      <c r="BA6" s="49" t="s">
        <v>206</v>
      </c>
      <c r="BB6" s="49" t="s">
        <v>207</v>
      </c>
    </row>
    <row r="7" spans="1:55" x14ac:dyDescent="0.3">
      <c r="B7" s="8"/>
      <c r="D7" s="50" t="s">
        <v>72</v>
      </c>
      <c r="E7" s="50" t="s">
        <v>73</v>
      </c>
      <c r="F7" s="51" t="s">
        <v>74</v>
      </c>
      <c r="G7" s="50" t="s">
        <v>75</v>
      </c>
      <c r="H7" s="50" t="s">
        <v>76</v>
      </c>
      <c r="I7" s="51" t="s">
        <v>77</v>
      </c>
      <c r="J7" s="50" t="s">
        <v>78</v>
      </c>
      <c r="K7" s="50" t="s">
        <v>79</v>
      </c>
      <c r="L7" s="45"/>
      <c r="N7" s="8"/>
      <c r="P7" s="50" t="s">
        <v>81</v>
      </c>
      <c r="Q7" s="51" t="s">
        <v>82</v>
      </c>
      <c r="R7" s="52" t="s">
        <v>621</v>
      </c>
      <c r="S7" s="50" t="s">
        <v>80</v>
      </c>
      <c r="T7" s="50" t="s">
        <v>285</v>
      </c>
      <c r="U7" s="70"/>
      <c r="X7" s="8"/>
      <c r="Z7" s="50" t="s">
        <v>84</v>
      </c>
      <c r="AA7" s="50" t="s">
        <v>85</v>
      </c>
      <c r="AB7" s="50" t="s">
        <v>310</v>
      </c>
      <c r="AC7" s="50" t="s">
        <v>83</v>
      </c>
      <c r="AD7" s="51" t="s">
        <v>130</v>
      </c>
      <c r="AE7" s="52" t="s">
        <v>131</v>
      </c>
      <c r="AF7" s="50" t="s">
        <v>128</v>
      </c>
      <c r="AG7" s="50" t="s">
        <v>129</v>
      </c>
      <c r="AH7" s="45"/>
      <c r="AJ7" s="8"/>
      <c r="AL7" s="50" t="s">
        <v>133</v>
      </c>
      <c r="AM7" s="50" t="s">
        <v>101</v>
      </c>
      <c r="AN7" s="50" t="s">
        <v>622</v>
      </c>
      <c r="AO7" s="51" t="s">
        <v>130</v>
      </c>
      <c r="AP7" s="52" t="s">
        <v>131</v>
      </c>
      <c r="AQ7" s="50" t="s">
        <v>128</v>
      </c>
      <c r="AR7" s="50" t="s">
        <v>129</v>
      </c>
      <c r="AS7" s="45"/>
      <c r="AV7" s="8"/>
      <c r="AW7" s="9" t="s">
        <v>88</v>
      </c>
      <c r="AX7" s="53" t="s">
        <v>89</v>
      </c>
      <c r="AY7" s="63">
        <f>Notes!$L$4</f>
        <v>2024</v>
      </c>
      <c r="AZ7" s="63">
        <v>2040</v>
      </c>
      <c r="BA7" s="26">
        <v>0</v>
      </c>
      <c r="BB7" s="34">
        <v>1</v>
      </c>
    </row>
    <row r="8" spans="1:55" x14ac:dyDescent="0.3">
      <c r="B8" s="8"/>
      <c r="C8" s="1" t="s">
        <v>339</v>
      </c>
      <c r="D8" s="63">
        <f>Notes!$L4</f>
        <v>2024</v>
      </c>
      <c r="E8" s="63">
        <f>Notes!$L4</f>
        <v>2024</v>
      </c>
      <c r="F8" s="64">
        <f>Notes!$L4</f>
        <v>2024</v>
      </c>
      <c r="G8" s="63">
        <f>Notes!$L4</f>
        <v>2024</v>
      </c>
      <c r="H8" s="63">
        <f>Notes!$L4</f>
        <v>2024</v>
      </c>
      <c r="I8" s="64">
        <f>Notes!$L4</f>
        <v>2024</v>
      </c>
      <c r="J8" s="63">
        <f>Notes!$L4</f>
        <v>2024</v>
      </c>
      <c r="K8" s="63">
        <f>Notes!$L4</f>
        <v>2024</v>
      </c>
      <c r="L8" s="45"/>
      <c r="N8" s="8"/>
      <c r="O8" s="1" t="s">
        <v>339</v>
      </c>
      <c r="P8" s="63">
        <f>Notes!$L4</f>
        <v>2024</v>
      </c>
      <c r="Q8" s="64">
        <f>Notes!$L4</f>
        <v>2024</v>
      </c>
      <c r="R8" s="63">
        <f>Notes!$L4</f>
        <v>2024</v>
      </c>
      <c r="S8" s="64">
        <f>Notes!$L4</f>
        <v>2024</v>
      </c>
      <c r="T8" s="63">
        <f>Notes!$L4</f>
        <v>2024</v>
      </c>
      <c r="U8" s="70"/>
      <c r="X8" s="8"/>
      <c r="Y8" s="1" t="s">
        <v>339</v>
      </c>
      <c r="Z8" s="63">
        <f>Notes!$L4</f>
        <v>2024</v>
      </c>
      <c r="AA8" s="63">
        <f>Notes!$L4</f>
        <v>2024</v>
      </c>
      <c r="AB8" s="63">
        <f>Notes!$L4</f>
        <v>2024</v>
      </c>
      <c r="AC8" s="63">
        <f>Notes!$L4</f>
        <v>2024</v>
      </c>
      <c r="AD8" s="64">
        <f>Notes!$L4</f>
        <v>2024</v>
      </c>
      <c r="AE8" s="63">
        <f>Notes!$L4</f>
        <v>2024</v>
      </c>
      <c r="AF8" s="64">
        <f>Notes!$L4</f>
        <v>2024</v>
      </c>
      <c r="AG8" s="63">
        <f>Notes!$L4</f>
        <v>2024</v>
      </c>
      <c r="AH8" s="45"/>
      <c r="AJ8" s="8"/>
      <c r="AK8" s="1" t="s">
        <v>339</v>
      </c>
      <c r="AL8" s="63">
        <f>Notes!$L4</f>
        <v>2024</v>
      </c>
      <c r="AM8" s="63">
        <f>Notes!$L4</f>
        <v>2024</v>
      </c>
      <c r="AN8" s="63">
        <f>Notes!$L4</f>
        <v>2024</v>
      </c>
      <c r="AO8" s="64">
        <f>Notes!$L4</f>
        <v>2024</v>
      </c>
      <c r="AP8" s="63">
        <f>Notes!$L4</f>
        <v>2024</v>
      </c>
      <c r="AQ8" s="64">
        <f>Notes!$L$4</f>
        <v>2024</v>
      </c>
      <c r="AR8" s="63">
        <f>Notes!$L4</f>
        <v>2024</v>
      </c>
      <c r="AS8" s="45"/>
      <c r="AV8" s="8"/>
      <c r="AW8" s="9" t="s">
        <v>92</v>
      </c>
      <c r="AX8" s="53" t="s">
        <v>93</v>
      </c>
      <c r="AY8" s="63">
        <f>Notes!$L$4</f>
        <v>2024</v>
      </c>
      <c r="AZ8" s="63">
        <v>2040</v>
      </c>
      <c r="BA8" s="26">
        <v>0</v>
      </c>
      <c r="BB8" s="34">
        <v>1</v>
      </c>
    </row>
    <row r="9" spans="1:55" x14ac:dyDescent="0.3">
      <c r="B9" s="8"/>
      <c r="C9" s="1" t="s">
        <v>340</v>
      </c>
      <c r="D9" s="63">
        <f>Notes!$L5</f>
        <v>2040</v>
      </c>
      <c r="E9" s="63">
        <f>Notes!$L5</f>
        <v>2040</v>
      </c>
      <c r="F9" s="64">
        <f>Notes!$L5</f>
        <v>2040</v>
      </c>
      <c r="G9" s="63">
        <f>Notes!$L5</f>
        <v>2040</v>
      </c>
      <c r="H9" s="63">
        <f>Notes!$L5</f>
        <v>2040</v>
      </c>
      <c r="I9" s="64">
        <f>Notes!$L5</f>
        <v>2040</v>
      </c>
      <c r="J9" s="63">
        <f>Notes!$L5</f>
        <v>2040</v>
      </c>
      <c r="K9" s="63">
        <f>Notes!$L5</f>
        <v>2040</v>
      </c>
      <c r="L9" s="45"/>
      <c r="N9" s="8"/>
      <c r="O9" s="1" t="s">
        <v>340</v>
      </c>
      <c r="P9" s="63">
        <f>Notes!$L5</f>
        <v>2040</v>
      </c>
      <c r="Q9" s="64">
        <f>Notes!$L5</f>
        <v>2040</v>
      </c>
      <c r="R9" s="63">
        <f>Notes!$L5</f>
        <v>2040</v>
      </c>
      <c r="S9" s="64">
        <f>Notes!$L5</f>
        <v>2040</v>
      </c>
      <c r="T9" s="63">
        <f>Notes!$L5</f>
        <v>2040</v>
      </c>
      <c r="U9" s="70"/>
      <c r="X9" s="8"/>
      <c r="Y9" s="1" t="s">
        <v>340</v>
      </c>
      <c r="Z9" s="63">
        <f>Notes!$L5</f>
        <v>2040</v>
      </c>
      <c r="AA9" s="63">
        <f>Notes!$L5</f>
        <v>2040</v>
      </c>
      <c r="AB9" s="63">
        <f>Notes!$L5</f>
        <v>2040</v>
      </c>
      <c r="AC9" s="63">
        <f>Notes!$L5</f>
        <v>2040</v>
      </c>
      <c r="AD9" s="64">
        <f>Notes!$L5</f>
        <v>2040</v>
      </c>
      <c r="AE9" s="63">
        <f>Notes!$L5</f>
        <v>2040</v>
      </c>
      <c r="AF9" s="64">
        <f>Notes!$L5</f>
        <v>2040</v>
      </c>
      <c r="AG9" s="63">
        <f>Notes!$L5</f>
        <v>2040</v>
      </c>
      <c r="AH9" s="45"/>
      <c r="AJ9" s="8"/>
      <c r="AK9" s="1" t="s">
        <v>340</v>
      </c>
      <c r="AL9" s="63">
        <f>Notes!$L5</f>
        <v>2040</v>
      </c>
      <c r="AM9" s="63">
        <f>Notes!$L5</f>
        <v>2040</v>
      </c>
      <c r="AN9" s="63">
        <f>Notes!$L5</f>
        <v>2040</v>
      </c>
      <c r="AO9" s="64">
        <f>Notes!$L5</f>
        <v>2040</v>
      </c>
      <c r="AP9" s="63">
        <f>Notes!$L5</f>
        <v>2040</v>
      </c>
      <c r="AQ9" s="64">
        <f>Notes!$L5</f>
        <v>2040</v>
      </c>
      <c r="AR9" s="63">
        <f>Notes!$L5</f>
        <v>2040</v>
      </c>
      <c r="AS9" s="45"/>
      <c r="AV9" s="8"/>
      <c r="AW9" s="9" t="s">
        <v>90</v>
      </c>
      <c r="AX9" s="53" t="s">
        <v>91</v>
      </c>
      <c r="AY9" s="63">
        <f>Notes!$L$4</f>
        <v>2024</v>
      </c>
      <c r="AZ9" s="63">
        <v>2040</v>
      </c>
      <c r="BA9" s="26">
        <v>0</v>
      </c>
      <c r="BB9" s="34">
        <v>1</v>
      </c>
    </row>
    <row r="10" spans="1:55" x14ac:dyDescent="0.3">
      <c r="B10" s="8"/>
      <c r="F10" s="45"/>
      <c r="I10" s="45"/>
      <c r="L10" s="45"/>
      <c r="N10" s="8"/>
      <c r="Q10" s="45"/>
      <c r="R10" s="46"/>
      <c r="U10" s="70"/>
      <c r="X10" s="8"/>
      <c r="AD10" s="45"/>
      <c r="AE10" s="46"/>
      <c r="AH10" s="45"/>
      <c r="AJ10" s="8"/>
      <c r="AO10" s="45"/>
      <c r="AP10" s="46"/>
      <c r="AS10" s="45"/>
      <c r="AV10" s="8"/>
      <c r="AW10" s="9" t="s">
        <v>298</v>
      </c>
      <c r="AX10" s="53" t="s">
        <v>299</v>
      </c>
      <c r="AY10" s="63">
        <f>Notes!$L$4</f>
        <v>2024</v>
      </c>
      <c r="AZ10" s="63">
        <v>2040</v>
      </c>
      <c r="BA10" s="26">
        <v>0</v>
      </c>
      <c r="BB10" s="34">
        <v>1</v>
      </c>
    </row>
    <row r="11" spans="1:55" x14ac:dyDescent="0.3">
      <c r="B11" s="8"/>
      <c r="C11" s="54" t="s">
        <v>302</v>
      </c>
      <c r="D11" s="55"/>
      <c r="E11" s="55"/>
      <c r="F11" s="56"/>
      <c r="G11" s="55"/>
      <c r="H11" s="55"/>
      <c r="I11" s="56"/>
      <c r="J11" s="55"/>
      <c r="K11" s="55"/>
      <c r="L11" s="56"/>
      <c r="N11" s="8"/>
      <c r="O11" s="54" t="s">
        <v>302</v>
      </c>
      <c r="P11" s="53"/>
      <c r="Q11" s="57"/>
      <c r="R11" s="58"/>
      <c r="S11" s="53"/>
      <c r="T11" s="53"/>
      <c r="U11" s="71"/>
      <c r="V11" s="53"/>
      <c r="X11" s="8"/>
      <c r="Y11" s="54" t="s">
        <v>302</v>
      </c>
      <c r="Z11" s="53"/>
      <c r="AA11" s="53"/>
      <c r="AB11" s="53"/>
      <c r="AC11" s="53"/>
      <c r="AD11" s="57"/>
      <c r="AE11" s="58"/>
      <c r="AF11" s="53"/>
      <c r="AG11" s="53"/>
      <c r="AH11" s="56"/>
      <c r="AJ11" s="8"/>
      <c r="AK11" s="54" t="s">
        <v>302</v>
      </c>
      <c r="AL11" s="54"/>
      <c r="AM11" s="59"/>
      <c r="AN11" s="53"/>
      <c r="AO11" s="57"/>
      <c r="AP11" s="58"/>
      <c r="AQ11" s="53"/>
      <c r="AR11" s="53"/>
      <c r="AS11" s="57"/>
      <c r="AT11" s="53"/>
      <c r="AV11" s="8"/>
      <c r="AW11" s="9" t="s">
        <v>98</v>
      </c>
      <c r="AX11" s="53" t="s">
        <v>101</v>
      </c>
      <c r="AY11" s="63">
        <f>Notes!$L$4</f>
        <v>2024</v>
      </c>
      <c r="AZ11" s="63">
        <v>2040</v>
      </c>
      <c r="BA11" s="26">
        <v>0</v>
      </c>
      <c r="BB11" s="34">
        <v>1</v>
      </c>
    </row>
    <row r="12" spans="1:55" x14ac:dyDescent="0.3">
      <c r="B12" s="8"/>
      <c r="C12" s="54"/>
      <c r="D12" s="50" t="s">
        <v>72</v>
      </c>
      <c r="E12" s="50" t="s">
        <v>73</v>
      </c>
      <c r="F12" s="51" t="s">
        <v>74</v>
      </c>
      <c r="G12" s="50" t="s">
        <v>75</v>
      </c>
      <c r="H12" s="50" t="s">
        <v>76</v>
      </c>
      <c r="I12" s="51" t="s">
        <v>77</v>
      </c>
      <c r="J12" s="50" t="s">
        <v>78</v>
      </c>
      <c r="K12" s="50" t="s">
        <v>79</v>
      </c>
      <c r="L12" s="56"/>
      <c r="N12" s="8"/>
      <c r="O12" s="54"/>
      <c r="P12" s="50" t="s">
        <v>81</v>
      </c>
      <c r="Q12" s="51" t="s">
        <v>82</v>
      </c>
      <c r="R12" s="52" t="s">
        <v>621</v>
      </c>
      <c r="S12" s="53"/>
      <c r="T12" s="53"/>
      <c r="U12" s="71"/>
      <c r="V12" s="53"/>
      <c r="X12" s="8"/>
      <c r="Y12" s="54"/>
      <c r="Z12" s="50" t="s">
        <v>84</v>
      </c>
      <c r="AA12" s="50" t="s">
        <v>85</v>
      </c>
      <c r="AB12" s="50" t="s">
        <v>310</v>
      </c>
      <c r="AC12" s="50" t="s">
        <v>83</v>
      </c>
      <c r="AD12" s="51" t="s">
        <v>130</v>
      </c>
      <c r="AE12" s="52" t="s">
        <v>131</v>
      </c>
      <c r="AF12" s="50" t="s">
        <v>128</v>
      </c>
      <c r="AG12" s="50" t="s">
        <v>129</v>
      </c>
      <c r="AH12" s="56"/>
      <c r="AJ12" s="8"/>
      <c r="AK12" s="54"/>
      <c r="AL12" s="50" t="s">
        <v>133</v>
      </c>
      <c r="AM12" s="50" t="s">
        <v>101</v>
      </c>
      <c r="AN12" s="50" t="s">
        <v>622</v>
      </c>
      <c r="AO12" s="51" t="s">
        <v>130</v>
      </c>
      <c r="AP12" s="52" t="s">
        <v>131</v>
      </c>
      <c r="AQ12" s="50" t="s">
        <v>128</v>
      </c>
      <c r="AR12" s="50" t="s">
        <v>129</v>
      </c>
      <c r="AS12" s="57"/>
      <c r="AT12" s="53"/>
      <c r="AV12" s="8"/>
      <c r="AW12" s="9" t="s">
        <v>94</v>
      </c>
      <c r="AX12" s="53" t="s">
        <v>95</v>
      </c>
      <c r="AY12" s="63">
        <f>Notes!$L$4</f>
        <v>2024</v>
      </c>
      <c r="AZ12" s="63">
        <v>2040</v>
      </c>
      <c r="BA12" s="26">
        <v>0</v>
      </c>
      <c r="BB12" s="34">
        <v>1</v>
      </c>
    </row>
    <row r="13" spans="1:55" x14ac:dyDescent="0.3">
      <c r="B13" s="8"/>
      <c r="C13" s="55"/>
      <c r="D13" s="34">
        <v>1</v>
      </c>
      <c r="E13" s="34">
        <v>1</v>
      </c>
      <c r="F13" s="32">
        <v>1</v>
      </c>
      <c r="G13" s="34">
        <v>1</v>
      </c>
      <c r="H13" s="34">
        <v>1</v>
      </c>
      <c r="I13" s="32">
        <v>1</v>
      </c>
      <c r="J13" s="34">
        <v>1</v>
      </c>
      <c r="K13" s="34">
        <v>1</v>
      </c>
      <c r="L13" s="56"/>
      <c r="N13" s="8"/>
      <c r="O13" s="55"/>
      <c r="P13" s="34">
        <v>1</v>
      </c>
      <c r="Q13" s="32">
        <v>1</v>
      </c>
      <c r="R13" s="35">
        <v>1</v>
      </c>
      <c r="S13" s="55"/>
      <c r="T13" s="55"/>
      <c r="U13" s="72"/>
      <c r="V13" s="55"/>
      <c r="X13" s="8"/>
      <c r="Y13" s="55"/>
      <c r="Z13" s="34">
        <v>1</v>
      </c>
      <c r="AA13" s="34">
        <v>1</v>
      </c>
      <c r="AB13" s="34">
        <v>1</v>
      </c>
      <c r="AC13" s="34">
        <v>1</v>
      </c>
      <c r="AD13" s="32">
        <v>1</v>
      </c>
      <c r="AE13" s="35">
        <v>1</v>
      </c>
      <c r="AF13" s="34">
        <v>1</v>
      </c>
      <c r="AG13" s="34">
        <v>1</v>
      </c>
      <c r="AH13" s="56"/>
      <c r="AJ13" s="8"/>
      <c r="AK13" s="55"/>
      <c r="AL13" s="34">
        <v>1</v>
      </c>
      <c r="AM13" s="34">
        <v>1</v>
      </c>
      <c r="AN13" s="34">
        <v>1</v>
      </c>
      <c r="AO13" s="32">
        <v>1</v>
      </c>
      <c r="AP13" s="35">
        <v>1</v>
      </c>
      <c r="AQ13" s="34">
        <v>1</v>
      </c>
      <c r="AR13" s="34">
        <v>1</v>
      </c>
      <c r="AS13" s="56"/>
      <c r="AT13" s="55"/>
      <c r="AV13" s="8"/>
      <c r="AW13" s="9" t="s">
        <v>96</v>
      </c>
      <c r="AX13" s="53" t="s">
        <v>97</v>
      </c>
      <c r="AY13" s="63">
        <f>Notes!$L$4</f>
        <v>2024</v>
      </c>
      <c r="AZ13" s="63">
        <v>2040</v>
      </c>
      <c r="BA13" s="26">
        <v>0</v>
      </c>
      <c r="BB13" s="34">
        <v>1</v>
      </c>
    </row>
    <row r="14" spans="1:55" x14ac:dyDescent="0.3">
      <c r="B14" s="8"/>
      <c r="C14" s="55"/>
      <c r="F14" s="45"/>
      <c r="I14" s="45"/>
      <c r="L14" s="45"/>
      <c r="N14" s="8"/>
      <c r="O14" s="55"/>
      <c r="Q14" s="45"/>
      <c r="R14" s="46"/>
      <c r="U14" s="70"/>
      <c r="X14" s="8"/>
      <c r="Y14" s="55"/>
      <c r="AD14" s="45"/>
      <c r="AE14" s="46"/>
      <c r="AH14" s="45"/>
      <c r="AJ14" s="8"/>
      <c r="AK14" s="55"/>
      <c r="AL14" s="55"/>
      <c r="AO14" s="45"/>
      <c r="AP14" s="46"/>
      <c r="AS14" s="45"/>
      <c r="AV14" s="8"/>
      <c r="AW14" s="9" t="s">
        <v>297</v>
      </c>
      <c r="AX14" s="53" t="s">
        <v>296</v>
      </c>
      <c r="AY14" s="63">
        <f>Notes!$L$4</f>
        <v>2024</v>
      </c>
      <c r="AZ14" s="63">
        <v>2040</v>
      </c>
      <c r="BA14" s="26">
        <v>0</v>
      </c>
      <c r="BB14" s="34">
        <v>1</v>
      </c>
    </row>
    <row r="15" spans="1:55" x14ac:dyDescent="0.3">
      <c r="B15" s="8"/>
      <c r="C15" s="54" t="s">
        <v>301</v>
      </c>
      <c r="F15" s="45"/>
      <c r="I15" s="45"/>
      <c r="L15" s="45"/>
      <c r="N15" s="8"/>
      <c r="O15" s="54" t="s">
        <v>301</v>
      </c>
      <c r="P15" s="60"/>
      <c r="Q15" s="45"/>
      <c r="R15" s="46"/>
      <c r="U15" s="70"/>
      <c r="X15" s="8"/>
      <c r="Y15" s="54" t="s">
        <v>301</v>
      </c>
      <c r="Z15" s="60"/>
      <c r="AD15" s="45"/>
      <c r="AE15" s="46"/>
      <c r="AH15" s="45"/>
      <c r="AJ15" s="8"/>
      <c r="AK15" s="54" t="s">
        <v>301</v>
      </c>
      <c r="AL15" s="54"/>
      <c r="AO15" s="45"/>
      <c r="AP15" s="46"/>
      <c r="AS15" s="45"/>
      <c r="AV15" s="8"/>
      <c r="AW15" s="9" t="s">
        <v>762</v>
      </c>
      <c r="AX15" s="53" t="s">
        <v>131</v>
      </c>
      <c r="AY15" s="63">
        <f>Notes!$L$4</f>
        <v>2024</v>
      </c>
      <c r="AZ15" s="63">
        <v>2040</v>
      </c>
      <c r="BA15" s="26">
        <v>0</v>
      </c>
      <c r="BB15" s="34">
        <v>1</v>
      </c>
    </row>
    <row r="16" spans="1:55" x14ac:dyDescent="0.3">
      <c r="B16" s="8"/>
      <c r="D16" s="50" t="s">
        <v>72</v>
      </c>
      <c r="E16" s="50" t="s">
        <v>73</v>
      </c>
      <c r="F16" s="51" t="s">
        <v>74</v>
      </c>
      <c r="G16" s="50" t="s">
        <v>75</v>
      </c>
      <c r="H16" s="50" t="s">
        <v>76</v>
      </c>
      <c r="I16" s="51" t="s">
        <v>77</v>
      </c>
      <c r="J16" s="50" t="s">
        <v>78</v>
      </c>
      <c r="K16" s="50" t="s">
        <v>79</v>
      </c>
      <c r="L16" s="51" t="s">
        <v>123</v>
      </c>
      <c r="N16" s="8"/>
      <c r="P16" s="50" t="s">
        <v>81</v>
      </c>
      <c r="Q16" s="51" t="s">
        <v>82</v>
      </c>
      <c r="R16" s="52" t="s">
        <v>621</v>
      </c>
      <c r="S16" s="50" t="s">
        <v>80</v>
      </c>
      <c r="T16" s="50" t="s">
        <v>285</v>
      </c>
      <c r="U16" s="73" t="s">
        <v>310</v>
      </c>
      <c r="V16" s="50" t="s">
        <v>123</v>
      </c>
      <c r="X16" s="8"/>
      <c r="Z16" s="50" t="s">
        <v>84</v>
      </c>
      <c r="AA16" s="50" t="s">
        <v>85</v>
      </c>
      <c r="AB16" s="50" t="s">
        <v>310</v>
      </c>
      <c r="AC16" s="50" t="s">
        <v>83</v>
      </c>
      <c r="AD16" s="51" t="s">
        <v>130</v>
      </c>
      <c r="AE16" s="52" t="s">
        <v>131</v>
      </c>
      <c r="AF16" s="50" t="s">
        <v>128</v>
      </c>
      <c r="AG16" s="61" t="s">
        <v>129</v>
      </c>
      <c r="AH16" s="51" t="s">
        <v>123</v>
      </c>
      <c r="AJ16" s="8"/>
      <c r="AL16" s="50" t="s">
        <v>133</v>
      </c>
      <c r="AM16" s="50" t="s">
        <v>101</v>
      </c>
      <c r="AN16" s="50" t="s">
        <v>622</v>
      </c>
      <c r="AO16" s="51" t="s">
        <v>130</v>
      </c>
      <c r="AP16" s="62" t="s">
        <v>131</v>
      </c>
      <c r="AQ16" s="50" t="s">
        <v>128</v>
      </c>
      <c r="AR16" s="61" t="s">
        <v>129</v>
      </c>
      <c r="AS16" s="51" t="s">
        <v>288</v>
      </c>
      <c r="AT16" s="50" t="s">
        <v>123</v>
      </c>
      <c r="AV16" s="8"/>
      <c r="AW16" s="9" t="s">
        <v>763</v>
      </c>
      <c r="AX16" s="53" t="s">
        <v>129</v>
      </c>
      <c r="AY16" s="63">
        <f>Notes!$L$4</f>
        <v>2024</v>
      </c>
      <c r="AZ16" s="63">
        <v>2040</v>
      </c>
      <c r="BA16" s="26">
        <v>0</v>
      </c>
      <c r="BB16" s="34">
        <v>1</v>
      </c>
    </row>
    <row r="17" spans="2:54" x14ac:dyDescent="0.3">
      <c r="B17" s="8"/>
      <c r="C17" s="2" t="s">
        <v>713</v>
      </c>
      <c r="D17" s="26">
        <v>0</v>
      </c>
      <c r="E17" s="26">
        <v>0</v>
      </c>
      <c r="F17" s="27">
        <v>0</v>
      </c>
      <c r="G17" s="26">
        <v>0</v>
      </c>
      <c r="H17" s="26">
        <v>0</v>
      </c>
      <c r="I17" s="27">
        <v>0</v>
      </c>
      <c r="J17" s="26">
        <v>0</v>
      </c>
      <c r="K17" s="26">
        <v>0</v>
      </c>
      <c r="L17" s="67">
        <v>1</v>
      </c>
      <c r="N17" s="8"/>
      <c r="O17" s="2" t="s">
        <v>649</v>
      </c>
      <c r="P17" s="26">
        <v>0</v>
      </c>
      <c r="Q17" s="27">
        <v>0</v>
      </c>
      <c r="R17" s="30">
        <v>0</v>
      </c>
      <c r="S17" s="27">
        <v>0</v>
      </c>
      <c r="T17" s="30">
        <v>0</v>
      </c>
      <c r="U17" s="34">
        <v>1</v>
      </c>
      <c r="V17" s="34">
        <v>1</v>
      </c>
      <c r="X17" s="8"/>
      <c r="Y17" s="2" t="s">
        <v>852</v>
      </c>
      <c r="Z17" s="26">
        <v>0</v>
      </c>
      <c r="AA17" s="26">
        <v>0</v>
      </c>
      <c r="AB17" s="26">
        <v>0</v>
      </c>
      <c r="AC17" s="26">
        <v>0</v>
      </c>
      <c r="AD17" s="27">
        <v>0</v>
      </c>
      <c r="AE17" s="30">
        <v>0</v>
      </c>
      <c r="AF17" s="26">
        <v>0</v>
      </c>
      <c r="AG17" s="26">
        <v>0</v>
      </c>
      <c r="AH17" s="32">
        <v>1</v>
      </c>
      <c r="AJ17" s="8"/>
      <c r="AK17" s="2" t="s">
        <v>8</v>
      </c>
      <c r="AL17" s="26">
        <v>0</v>
      </c>
      <c r="AM17" s="26">
        <v>0</v>
      </c>
      <c r="AN17" s="26">
        <v>0</v>
      </c>
      <c r="AO17" s="27">
        <v>0</v>
      </c>
      <c r="AP17" s="30">
        <v>0</v>
      </c>
      <c r="AQ17" s="26">
        <v>0</v>
      </c>
      <c r="AR17" s="26">
        <v>0</v>
      </c>
      <c r="AS17" s="32">
        <v>1</v>
      </c>
      <c r="AT17" s="34">
        <v>1</v>
      </c>
      <c r="AV17" s="8"/>
      <c r="AW17" s="9" t="s">
        <v>290</v>
      </c>
      <c r="AX17" s="53" t="s">
        <v>74</v>
      </c>
      <c r="AY17" s="63">
        <f>Notes!$L$4</f>
        <v>2024</v>
      </c>
      <c r="AZ17" s="63">
        <v>2040</v>
      </c>
      <c r="BA17" s="26">
        <v>0</v>
      </c>
      <c r="BB17" s="34">
        <v>1</v>
      </c>
    </row>
    <row r="18" spans="2:54" x14ac:dyDescent="0.3">
      <c r="B18" s="8"/>
      <c r="C18" s="2" t="s">
        <v>766</v>
      </c>
      <c r="D18" s="26">
        <v>0</v>
      </c>
      <c r="E18" s="26">
        <v>0</v>
      </c>
      <c r="F18" s="27">
        <v>0</v>
      </c>
      <c r="G18" s="26">
        <v>0</v>
      </c>
      <c r="H18" s="26">
        <v>0</v>
      </c>
      <c r="I18" s="27">
        <v>0</v>
      </c>
      <c r="J18" s="26">
        <v>0</v>
      </c>
      <c r="K18" s="26">
        <v>0</v>
      </c>
      <c r="L18" s="67">
        <v>1</v>
      </c>
      <c r="N18" s="8"/>
      <c r="O18" s="2" t="s">
        <v>809</v>
      </c>
      <c r="P18" s="26">
        <v>0</v>
      </c>
      <c r="Q18" s="27">
        <v>0</v>
      </c>
      <c r="R18" s="30">
        <v>0</v>
      </c>
      <c r="S18" s="27">
        <v>0</v>
      </c>
      <c r="T18" s="30">
        <v>0</v>
      </c>
      <c r="U18" s="34">
        <v>1</v>
      </c>
      <c r="V18" s="34">
        <v>1</v>
      </c>
      <c r="X18" s="8"/>
      <c r="Y18" s="2" t="s">
        <v>853</v>
      </c>
      <c r="Z18" s="26">
        <v>0</v>
      </c>
      <c r="AA18" s="26">
        <v>0</v>
      </c>
      <c r="AB18" s="26">
        <v>0</v>
      </c>
      <c r="AC18" s="26">
        <v>0</v>
      </c>
      <c r="AD18" s="27">
        <v>0</v>
      </c>
      <c r="AE18" s="30">
        <v>0</v>
      </c>
      <c r="AF18" s="26">
        <v>0</v>
      </c>
      <c r="AG18" s="26">
        <v>0</v>
      </c>
      <c r="AH18" s="32">
        <v>1</v>
      </c>
      <c r="AJ18" s="8"/>
      <c r="AK18" s="2" t="s">
        <v>985</v>
      </c>
      <c r="AL18" s="26">
        <v>0</v>
      </c>
      <c r="AM18" s="26">
        <v>0</v>
      </c>
      <c r="AN18" s="26">
        <v>0</v>
      </c>
      <c r="AO18" s="27">
        <v>0</v>
      </c>
      <c r="AP18" s="30">
        <v>0</v>
      </c>
      <c r="AQ18" s="26">
        <v>0</v>
      </c>
      <c r="AR18" s="26">
        <v>0</v>
      </c>
      <c r="AS18" s="32">
        <v>1</v>
      </c>
      <c r="AT18" s="34">
        <v>1</v>
      </c>
      <c r="AV18" s="8"/>
      <c r="AW18" s="9" t="s">
        <v>291</v>
      </c>
      <c r="AX18" s="53" t="s">
        <v>75</v>
      </c>
      <c r="AY18" s="63">
        <f>Notes!$L$4</f>
        <v>2024</v>
      </c>
      <c r="AZ18" s="63">
        <v>2040</v>
      </c>
      <c r="BA18" s="26">
        <v>0</v>
      </c>
      <c r="BB18" s="34">
        <v>1</v>
      </c>
    </row>
    <row r="19" spans="2:54" x14ac:dyDescent="0.3">
      <c r="B19" s="8"/>
      <c r="C19" s="2" t="s">
        <v>976</v>
      </c>
      <c r="D19" s="26">
        <v>0</v>
      </c>
      <c r="E19" s="26">
        <v>0</v>
      </c>
      <c r="F19" s="27">
        <v>0</v>
      </c>
      <c r="G19" s="26">
        <v>0</v>
      </c>
      <c r="H19" s="26">
        <v>0</v>
      </c>
      <c r="I19" s="27">
        <v>0</v>
      </c>
      <c r="J19" s="26">
        <v>0</v>
      </c>
      <c r="K19" s="26">
        <v>0</v>
      </c>
      <c r="L19" s="67">
        <v>1</v>
      </c>
      <c r="N19" s="8"/>
      <c r="O19" s="2" t="s">
        <v>946</v>
      </c>
      <c r="P19" s="26">
        <v>0</v>
      </c>
      <c r="Q19" s="27">
        <v>0</v>
      </c>
      <c r="R19" s="30">
        <v>0</v>
      </c>
      <c r="S19" s="27">
        <v>0</v>
      </c>
      <c r="T19" s="30">
        <v>0</v>
      </c>
      <c r="U19" s="34">
        <v>1</v>
      </c>
      <c r="V19" s="34">
        <v>1</v>
      </c>
      <c r="X19" s="8"/>
      <c r="Y19" s="2" t="s">
        <v>854</v>
      </c>
      <c r="Z19" s="26">
        <v>0</v>
      </c>
      <c r="AA19" s="26">
        <v>0</v>
      </c>
      <c r="AB19" s="26">
        <v>0</v>
      </c>
      <c r="AC19" s="26">
        <v>0</v>
      </c>
      <c r="AD19" s="27">
        <v>0</v>
      </c>
      <c r="AE19" s="30">
        <v>0</v>
      </c>
      <c r="AF19" s="26">
        <v>0</v>
      </c>
      <c r="AG19" s="26">
        <v>0</v>
      </c>
      <c r="AH19" s="32">
        <v>1</v>
      </c>
      <c r="AJ19" s="8"/>
      <c r="AK19" s="2" t="s">
        <v>986</v>
      </c>
      <c r="AL19" s="26">
        <v>0</v>
      </c>
      <c r="AM19" s="26">
        <v>0</v>
      </c>
      <c r="AN19" s="26">
        <v>0</v>
      </c>
      <c r="AO19" s="27">
        <v>0</v>
      </c>
      <c r="AP19" s="30">
        <v>0</v>
      </c>
      <c r="AQ19" s="26">
        <v>0</v>
      </c>
      <c r="AR19" s="26">
        <v>0</v>
      </c>
      <c r="AS19" s="32">
        <v>1</v>
      </c>
      <c r="AT19" s="34">
        <v>1</v>
      </c>
      <c r="AV19" s="8"/>
      <c r="AW19" s="9" t="s">
        <v>292</v>
      </c>
      <c r="AX19" s="53" t="s">
        <v>76</v>
      </c>
      <c r="AY19" s="63">
        <f>Notes!$L$4</f>
        <v>2024</v>
      </c>
      <c r="AZ19" s="63">
        <v>2040</v>
      </c>
      <c r="BA19" s="26">
        <v>0</v>
      </c>
      <c r="BB19" s="34">
        <v>1</v>
      </c>
    </row>
    <row r="20" spans="2:54" x14ac:dyDescent="0.3">
      <c r="B20" s="8"/>
      <c r="C20" s="2" t="s">
        <v>977</v>
      </c>
      <c r="D20" s="26">
        <v>0</v>
      </c>
      <c r="E20" s="26">
        <v>0</v>
      </c>
      <c r="F20" s="27">
        <v>0</v>
      </c>
      <c r="G20" s="26">
        <v>0</v>
      </c>
      <c r="H20" s="26">
        <v>0</v>
      </c>
      <c r="I20" s="27">
        <v>0</v>
      </c>
      <c r="J20" s="26">
        <v>0</v>
      </c>
      <c r="K20" s="26">
        <v>0</v>
      </c>
      <c r="L20" s="67">
        <v>1</v>
      </c>
      <c r="N20" s="8"/>
      <c r="O20" s="2" t="s">
        <v>947</v>
      </c>
      <c r="P20" s="26">
        <v>0</v>
      </c>
      <c r="Q20" s="27">
        <v>0</v>
      </c>
      <c r="R20" s="30">
        <v>0</v>
      </c>
      <c r="S20" s="27">
        <v>0</v>
      </c>
      <c r="T20" s="30">
        <v>0</v>
      </c>
      <c r="U20" s="34">
        <v>1</v>
      </c>
      <c r="V20" s="34">
        <v>1</v>
      </c>
      <c r="X20" s="8"/>
      <c r="Y20" s="2" t="s">
        <v>855</v>
      </c>
      <c r="Z20" s="26">
        <v>0</v>
      </c>
      <c r="AA20" s="26">
        <v>0</v>
      </c>
      <c r="AB20" s="26">
        <v>0</v>
      </c>
      <c r="AC20" s="26">
        <v>0</v>
      </c>
      <c r="AD20" s="27">
        <v>0</v>
      </c>
      <c r="AE20" s="30">
        <v>0</v>
      </c>
      <c r="AF20" s="26">
        <v>0</v>
      </c>
      <c r="AG20" s="26">
        <v>0</v>
      </c>
      <c r="AH20" s="32">
        <v>1</v>
      </c>
      <c r="AJ20" s="8"/>
      <c r="AK20" s="2" t="s">
        <v>987</v>
      </c>
      <c r="AL20" s="26">
        <v>0</v>
      </c>
      <c r="AM20" s="26">
        <v>0</v>
      </c>
      <c r="AN20" s="26">
        <v>0</v>
      </c>
      <c r="AO20" s="27">
        <v>0</v>
      </c>
      <c r="AP20" s="30">
        <v>0</v>
      </c>
      <c r="AQ20" s="26">
        <v>0</v>
      </c>
      <c r="AR20" s="26">
        <v>0</v>
      </c>
      <c r="AS20" s="32">
        <v>1</v>
      </c>
      <c r="AT20" s="34">
        <v>1</v>
      </c>
      <c r="AV20" s="8"/>
      <c r="AW20" s="9" t="s">
        <v>61</v>
      </c>
      <c r="AX20" s="53" t="s">
        <v>82</v>
      </c>
      <c r="AY20" s="63">
        <f>Notes!$L$4</f>
        <v>2024</v>
      </c>
      <c r="AZ20" s="63">
        <v>2040</v>
      </c>
      <c r="BA20" s="26">
        <v>0</v>
      </c>
      <c r="BB20" s="34">
        <v>1</v>
      </c>
    </row>
    <row r="21" spans="2:54" x14ac:dyDescent="0.3">
      <c r="B21" s="8"/>
      <c r="C21" s="2" t="s">
        <v>767</v>
      </c>
      <c r="D21" s="26">
        <v>0</v>
      </c>
      <c r="E21" s="26">
        <v>0</v>
      </c>
      <c r="F21" s="27">
        <v>0</v>
      </c>
      <c r="G21" s="26">
        <v>0</v>
      </c>
      <c r="H21" s="26">
        <v>0</v>
      </c>
      <c r="I21" s="27">
        <v>0</v>
      </c>
      <c r="J21" s="26">
        <v>0</v>
      </c>
      <c r="K21" s="26">
        <v>0</v>
      </c>
      <c r="L21" s="67">
        <v>1</v>
      </c>
      <c r="N21" s="8"/>
      <c r="O21" s="2" t="s">
        <v>810</v>
      </c>
      <c r="P21" s="26">
        <v>0</v>
      </c>
      <c r="Q21" s="27">
        <v>0</v>
      </c>
      <c r="R21" s="30">
        <v>0</v>
      </c>
      <c r="S21" s="27">
        <v>0</v>
      </c>
      <c r="T21" s="30">
        <v>0</v>
      </c>
      <c r="U21" s="34">
        <v>1</v>
      </c>
      <c r="V21" s="34">
        <v>1</v>
      </c>
      <c r="X21" s="8"/>
      <c r="Y21" s="2" t="s">
        <v>856</v>
      </c>
      <c r="Z21" s="26">
        <v>0</v>
      </c>
      <c r="AA21" s="26">
        <v>0</v>
      </c>
      <c r="AB21" s="26">
        <v>0</v>
      </c>
      <c r="AC21" s="26">
        <v>0</v>
      </c>
      <c r="AD21" s="27">
        <v>0</v>
      </c>
      <c r="AE21" s="30">
        <v>0</v>
      </c>
      <c r="AF21" s="26">
        <v>0</v>
      </c>
      <c r="AG21" s="26">
        <v>0</v>
      </c>
      <c r="AH21" s="32">
        <v>1</v>
      </c>
      <c r="AJ21" s="8"/>
      <c r="AK21" s="2" t="s">
        <v>988</v>
      </c>
      <c r="AL21" s="26">
        <v>0</v>
      </c>
      <c r="AM21" s="26">
        <v>0</v>
      </c>
      <c r="AN21" s="26">
        <v>0</v>
      </c>
      <c r="AO21" s="27">
        <v>0</v>
      </c>
      <c r="AP21" s="30">
        <v>0</v>
      </c>
      <c r="AQ21" s="26">
        <v>0</v>
      </c>
      <c r="AR21" s="26">
        <v>0</v>
      </c>
      <c r="AS21" s="32">
        <v>1</v>
      </c>
      <c r="AT21" s="34">
        <v>1</v>
      </c>
      <c r="AV21" s="8"/>
      <c r="AW21" s="9" t="s">
        <v>293</v>
      </c>
      <c r="AX21" s="53" t="s">
        <v>621</v>
      </c>
      <c r="AY21" s="63">
        <f>Notes!$L$4</f>
        <v>2024</v>
      </c>
      <c r="AZ21" s="63">
        <v>2040</v>
      </c>
      <c r="BA21" s="26">
        <v>0</v>
      </c>
      <c r="BB21" s="34">
        <v>1</v>
      </c>
    </row>
    <row r="22" spans="2:54" x14ac:dyDescent="0.3">
      <c r="B22" s="8"/>
      <c r="C22" s="2" t="s">
        <v>714</v>
      </c>
      <c r="D22" s="26">
        <v>0</v>
      </c>
      <c r="E22" s="26">
        <v>0</v>
      </c>
      <c r="F22" s="27">
        <v>0</v>
      </c>
      <c r="G22" s="26">
        <v>0</v>
      </c>
      <c r="H22" s="26">
        <v>0</v>
      </c>
      <c r="I22" s="27">
        <v>0</v>
      </c>
      <c r="J22" s="26">
        <v>0</v>
      </c>
      <c r="K22" s="26">
        <v>0</v>
      </c>
      <c r="L22" s="67">
        <v>1</v>
      </c>
      <c r="N22" s="8"/>
      <c r="O22" s="2" t="s">
        <v>650</v>
      </c>
      <c r="P22" s="26">
        <v>0</v>
      </c>
      <c r="Q22" s="27">
        <v>0</v>
      </c>
      <c r="R22" s="30">
        <v>0</v>
      </c>
      <c r="S22" s="27">
        <v>0</v>
      </c>
      <c r="T22" s="30">
        <v>0</v>
      </c>
      <c r="U22" s="34">
        <v>1</v>
      </c>
      <c r="V22" s="34">
        <v>1</v>
      </c>
      <c r="X22" s="8"/>
      <c r="Y22" s="2" t="s">
        <v>857</v>
      </c>
      <c r="Z22" s="26">
        <v>0</v>
      </c>
      <c r="AA22" s="26">
        <v>0</v>
      </c>
      <c r="AB22" s="26">
        <v>0</v>
      </c>
      <c r="AC22" s="26">
        <v>0</v>
      </c>
      <c r="AD22" s="27">
        <v>0</v>
      </c>
      <c r="AE22" s="30">
        <v>0</v>
      </c>
      <c r="AF22" s="26">
        <v>0</v>
      </c>
      <c r="AG22" s="26">
        <v>0</v>
      </c>
      <c r="AH22" s="32">
        <v>1</v>
      </c>
      <c r="AJ22" s="8"/>
      <c r="AK22" s="2" t="s">
        <v>989</v>
      </c>
      <c r="AL22" s="26">
        <v>0</v>
      </c>
      <c r="AM22" s="26">
        <v>0</v>
      </c>
      <c r="AN22" s="26">
        <v>0</v>
      </c>
      <c r="AO22" s="27">
        <v>0</v>
      </c>
      <c r="AP22" s="30">
        <v>0</v>
      </c>
      <c r="AQ22" s="26">
        <v>0</v>
      </c>
      <c r="AR22" s="26">
        <v>0</v>
      </c>
      <c r="AS22" s="32">
        <v>1</v>
      </c>
      <c r="AT22" s="34">
        <v>1</v>
      </c>
      <c r="AV22" s="8"/>
      <c r="AW22" s="9" t="s">
        <v>294</v>
      </c>
      <c r="AX22" s="53" t="s">
        <v>83</v>
      </c>
      <c r="AY22" s="63">
        <f>Notes!$L$4</f>
        <v>2024</v>
      </c>
      <c r="AZ22" s="63">
        <v>2040</v>
      </c>
      <c r="BA22" s="26">
        <v>0</v>
      </c>
      <c r="BB22" s="34">
        <v>1</v>
      </c>
    </row>
    <row r="23" spans="2:54" x14ac:dyDescent="0.3">
      <c r="B23" s="8"/>
      <c r="C23" s="2" t="s">
        <v>715</v>
      </c>
      <c r="D23" s="26">
        <v>0</v>
      </c>
      <c r="E23" s="26">
        <v>0</v>
      </c>
      <c r="F23" s="27">
        <v>0</v>
      </c>
      <c r="G23" s="26">
        <v>0</v>
      </c>
      <c r="H23" s="26">
        <v>0</v>
      </c>
      <c r="I23" s="27">
        <v>0</v>
      </c>
      <c r="J23" s="26">
        <v>0</v>
      </c>
      <c r="K23" s="26">
        <v>0</v>
      </c>
      <c r="L23" s="67">
        <v>1</v>
      </c>
      <c r="N23" s="8"/>
      <c r="O23" s="2" t="s">
        <v>651</v>
      </c>
      <c r="P23" s="26">
        <v>0</v>
      </c>
      <c r="Q23" s="27">
        <v>0</v>
      </c>
      <c r="R23" s="30">
        <v>0</v>
      </c>
      <c r="S23" s="27">
        <v>0</v>
      </c>
      <c r="T23" s="30">
        <v>0</v>
      </c>
      <c r="U23" s="34">
        <v>1</v>
      </c>
      <c r="V23" s="34">
        <v>1</v>
      </c>
      <c r="X23" s="8"/>
      <c r="Y23" s="2" t="s">
        <v>858</v>
      </c>
      <c r="Z23" s="26">
        <v>0</v>
      </c>
      <c r="AA23" s="26">
        <v>0</v>
      </c>
      <c r="AB23" s="26">
        <v>0</v>
      </c>
      <c r="AC23" s="26">
        <v>0</v>
      </c>
      <c r="AD23" s="27">
        <v>0</v>
      </c>
      <c r="AE23" s="30">
        <v>0</v>
      </c>
      <c r="AF23" s="26">
        <v>0</v>
      </c>
      <c r="AG23" s="26">
        <v>0</v>
      </c>
      <c r="AH23" s="32">
        <v>1</v>
      </c>
      <c r="AJ23" s="8"/>
      <c r="AK23" s="2" t="s">
        <v>990</v>
      </c>
      <c r="AL23" s="26">
        <v>0</v>
      </c>
      <c r="AM23" s="26">
        <v>0</v>
      </c>
      <c r="AN23" s="26">
        <v>0</v>
      </c>
      <c r="AO23" s="27">
        <v>0</v>
      </c>
      <c r="AP23" s="30">
        <v>0</v>
      </c>
      <c r="AQ23" s="26">
        <v>0</v>
      </c>
      <c r="AR23" s="26">
        <v>0</v>
      </c>
      <c r="AS23" s="32">
        <v>1</v>
      </c>
      <c r="AT23" s="34">
        <v>1</v>
      </c>
      <c r="AV23" s="8"/>
      <c r="AW23" s="9" t="s">
        <v>295</v>
      </c>
      <c r="AX23" s="53" t="s">
        <v>622</v>
      </c>
      <c r="AY23" s="63">
        <f>Notes!$L$4</f>
        <v>2024</v>
      </c>
      <c r="AZ23" s="63">
        <v>2040</v>
      </c>
      <c r="BA23" s="26">
        <v>0</v>
      </c>
      <c r="BB23" s="34">
        <v>1</v>
      </c>
    </row>
    <row r="24" spans="2:54" x14ac:dyDescent="0.3">
      <c r="B24" s="8"/>
      <c r="C24" s="2" t="s">
        <v>768</v>
      </c>
      <c r="D24" s="26">
        <v>0</v>
      </c>
      <c r="E24" s="26">
        <v>0</v>
      </c>
      <c r="F24" s="27">
        <v>0</v>
      </c>
      <c r="G24" s="26">
        <v>0</v>
      </c>
      <c r="H24" s="26">
        <v>0</v>
      </c>
      <c r="I24" s="27">
        <v>0</v>
      </c>
      <c r="J24" s="26">
        <v>0</v>
      </c>
      <c r="K24" s="26">
        <v>0</v>
      </c>
      <c r="L24" s="67">
        <v>1</v>
      </c>
      <c r="N24" s="8"/>
      <c r="O24" s="2" t="s">
        <v>811</v>
      </c>
      <c r="P24" s="26">
        <v>0</v>
      </c>
      <c r="Q24" s="27">
        <v>0</v>
      </c>
      <c r="R24" s="30">
        <v>0</v>
      </c>
      <c r="S24" s="27">
        <v>0</v>
      </c>
      <c r="T24" s="30">
        <v>0</v>
      </c>
      <c r="U24" s="34">
        <v>1</v>
      </c>
      <c r="V24" s="34">
        <v>1</v>
      </c>
      <c r="X24" s="8"/>
      <c r="Y24" s="2" t="s">
        <v>859</v>
      </c>
      <c r="Z24" s="26">
        <v>0</v>
      </c>
      <c r="AA24" s="26">
        <v>0</v>
      </c>
      <c r="AB24" s="26">
        <v>0</v>
      </c>
      <c r="AC24" s="26">
        <v>0</v>
      </c>
      <c r="AD24" s="27">
        <v>0</v>
      </c>
      <c r="AE24" s="30">
        <v>0</v>
      </c>
      <c r="AF24" s="26">
        <v>0</v>
      </c>
      <c r="AG24" s="26">
        <v>0</v>
      </c>
      <c r="AH24" s="32">
        <v>1</v>
      </c>
      <c r="AJ24" s="8"/>
      <c r="AK24" s="2" t="s">
        <v>991</v>
      </c>
      <c r="AL24" s="26">
        <v>0</v>
      </c>
      <c r="AM24" s="26">
        <v>0</v>
      </c>
      <c r="AN24" s="26">
        <v>0</v>
      </c>
      <c r="AO24" s="27">
        <v>0</v>
      </c>
      <c r="AP24" s="30">
        <v>0</v>
      </c>
      <c r="AQ24" s="26">
        <v>0</v>
      </c>
      <c r="AR24" s="26">
        <v>0</v>
      </c>
      <c r="AS24" s="32">
        <v>1</v>
      </c>
      <c r="AT24" s="34">
        <v>1</v>
      </c>
      <c r="AV24" s="8"/>
      <c r="AW24" s="9" t="s">
        <v>647</v>
      </c>
      <c r="AX24" s="53" t="s">
        <v>648</v>
      </c>
      <c r="AY24" s="63">
        <f>Notes!$L$4</f>
        <v>2024</v>
      </c>
      <c r="AZ24" s="63">
        <v>2040</v>
      </c>
      <c r="BA24" s="26">
        <v>0</v>
      </c>
      <c r="BB24" s="34">
        <v>1</v>
      </c>
    </row>
    <row r="25" spans="2:54" x14ac:dyDescent="0.3">
      <c r="B25" s="8"/>
      <c r="C25" s="2" t="s">
        <v>716</v>
      </c>
      <c r="D25" s="26">
        <v>0</v>
      </c>
      <c r="E25" s="26">
        <v>0</v>
      </c>
      <c r="F25" s="27">
        <v>0</v>
      </c>
      <c r="G25" s="26">
        <v>0</v>
      </c>
      <c r="H25" s="26">
        <v>0</v>
      </c>
      <c r="I25" s="27">
        <v>0</v>
      </c>
      <c r="J25" s="26">
        <v>0</v>
      </c>
      <c r="K25" s="26">
        <v>0</v>
      </c>
      <c r="L25" s="67">
        <v>1</v>
      </c>
      <c r="N25" s="8"/>
      <c r="O25" s="2" t="s">
        <v>652</v>
      </c>
      <c r="P25" s="26">
        <v>0</v>
      </c>
      <c r="Q25" s="27">
        <v>0</v>
      </c>
      <c r="R25" s="30">
        <v>0</v>
      </c>
      <c r="S25" s="27">
        <v>0</v>
      </c>
      <c r="T25" s="30">
        <v>0</v>
      </c>
      <c r="U25" s="34">
        <v>1</v>
      </c>
      <c r="V25" s="34">
        <v>1</v>
      </c>
      <c r="X25" s="8"/>
      <c r="Y25" s="2" t="s">
        <v>10</v>
      </c>
      <c r="Z25" s="26">
        <v>0</v>
      </c>
      <c r="AA25" s="26">
        <v>0</v>
      </c>
      <c r="AB25" s="26">
        <v>0</v>
      </c>
      <c r="AC25" s="26">
        <v>0</v>
      </c>
      <c r="AD25" s="27">
        <v>0</v>
      </c>
      <c r="AE25" s="30">
        <v>0</v>
      </c>
      <c r="AF25" s="26">
        <v>0</v>
      </c>
      <c r="AG25" s="26">
        <v>0</v>
      </c>
      <c r="AH25" s="32">
        <v>1</v>
      </c>
      <c r="AJ25" s="8"/>
      <c r="AK25" s="2" t="s">
        <v>992</v>
      </c>
      <c r="AL25" s="26">
        <v>0</v>
      </c>
      <c r="AM25" s="26">
        <v>0</v>
      </c>
      <c r="AN25" s="26">
        <v>0</v>
      </c>
      <c r="AO25" s="27">
        <v>0</v>
      </c>
      <c r="AP25" s="30">
        <v>0</v>
      </c>
      <c r="AQ25" s="26">
        <v>0</v>
      </c>
      <c r="AR25" s="26">
        <v>0</v>
      </c>
      <c r="AS25" s="32">
        <v>1</v>
      </c>
      <c r="AT25" s="34">
        <v>1</v>
      </c>
      <c r="AV25" s="8"/>
    </row>
    <row r="26" spans="2:54" x14ac:dyDescent="0.3">
      <c r="B26" s="8"/>
      <c r="C26" s="2" t="s">
        <v>769</v>
      </c>
      <c r="D26" s="26">
        <v>0</v>
      </c>
      <c r="E26" s="26">
        <v>0</v>
      </c>
      <c r="F26" s="27">
        <v>0</v>
      </c>
      <c r="G26" s="26">
        <v>0</v>
      </c>
      <c r="H26" s="26">
        <v>0</v>
      </c>
      <c r="I26" s="27">
        <v>0</v>
      </c>
      <c r="J26" s="26">
        <v>0</v>
      </c>
      <c r="K26" s="26">
        <v>0</v>
      </c>
      <c r="L26" s="67">
        <v>1</v>
      </c>
      <c r="N26" s="8"/>
      <c r="O26" s="2" t="s">
        <v>812</v>
      </c>
      <c r="P26" s="26">
        <v>0</v>
      </c>
      <c r="Q26" s="27">
        <v>0</v>
      </c>
      <c r="R26" s="30">
        <v>0</v>
      </c>
      <c r="S26" s="27">
        <v>0</v>
      </c>
      <c r="T26" s="30">
        <v>0</v>
      </c>
      <c r="U26" s="34">
        <v>1</v>
      </c>
      <c r="V26" s="34">
        <v>1</v>
      </c>
      <c r="X26" s="8"/>
      <c r="Y26" s="2" t="s">
        <v>860</v>
      </c>
      <c r="Z26" s="26">
        <v>0</v>
      </c>
      <c r="AA26" s="26">
        <v>0</v>
      </c>
      <c r="AB26" s="26">
        <v>0</v>
      </c>
      <c r="AC26" s="26">
        <v>0</v>
      </c>
      <c r="AD26" s="27">
        <v>0</v>
      </c>
      <c r="AE26" s="30">
        <v>0</v>
      </c>
      <c r="AF26" s="26">
        <v>0</v>
      </c>
      <c r="AG26" s="26">
        <v>0</v>
      </c>
      <c r="AH26" s="32">
        <v>1</v>
      </c>
      <c r="AJ26" s="8"/>
      <c r="AK26" s="2" t="s">
        <v>993</v>
      </c>
      <c r="AL26" s="26">
        <v>0</v>
      </c>
      <c r="AM26" s="26">
        <v>0</v>
      </c>
      <c r="AN26" s="26">
        <v>0</v>
      </c>
      <c r="AO26" s="27">
        <v>0</v>
      </c>
      <c r="AP26" s="30">
        <v>0</v>
      </c>
      <c r="AQ26" s="26">
        <v>0</v>
      </c>
      <c r="AR26" s="26">
        <v>0</v>
      </c>
      <c r="AS26" s="32">
        <v>1</v>
      </c>
      <c r="AT26" s="34">
        <v>1</v>
      </c>
    </row>
    <row r="27" spans="2:54" x14ac:dyDescent="0.3">
      <c r="B27" s="8"/>
      <c r="C27" s="2" t="s">
        <v>770</v>
      </c>
      <c r="D27" s="26">
        <v>0</v>
      </c>
      <c r="E27" s="26">
        <v>0</v>
      </c>
      <c r="F27" s="27">
        <v>0</v>
      </c>
      <c r="G27" s="26">
        <v>0</v>
      </c>
      <c r="H27" s="26">
        <v>0</v>
      </c>
      <c r="I27" s="27">
        <v>0</v>
      </c>
      <c r="J27" s="26">
        <v>0</v>
      </c>
      <c r="K27" s="26">
        <v>0</v>
      </c>
      <c r="L27" s="67">
        <v>1</v>
      </c>
      <c r="N27" s="8"/>
      <c r="O27" s="2" t="s">
        <v>813</v>
      </c>
      <c r="P27" s="26">
        <v>0</v>
      </c>
      <c r="Q27" s="27">
        <v>0</v>
      </c>
      <c r="R27" s="30">
        <v>0</v>
      </c>
      <c r="S27" s="27">
        <v>0</v>
      </c>
      <c r="T27" s="30">
        <v>0</v>
      </c>
      <c r="U27" s="34">
        <v>1</v>
      </c>
      <c r="V27" s="34">
        <v>1</v>
      </c>
      <c r="X27" s="8"/>
      <c r="Y27" s="2" t="s">
        <v>861</v>
      </c>
      <c r="Z27" s="26">
        <v>0</v>
      </c>
      <c r="AA27" s="26">
        <v>0</v>
      </c>
      <c r="AB27" s="26">
        <v>0</v>
      </c>
      <c r="AC27" s="26">
        <v>0</v>
      </c>
      <c r="AD27" s="27">
        <v>0</v>
      </c>
      <c r="AE27" s="30">
        <v>0</v>
      </c>
      <c r="AF27" s="26">
        <v>0</v>
      </c>
      <c r="AG27" s="26">
        <v>0</v>
      </c>
      <c r="AH27" s="32">
        <v>1</v>
      </c>
      <c r="AJ27" s="8"/>
      <c r="AK27" s="2" t="s">
        <v>994</v>
      </c>
      <c r="AL27" s="26">
        <v>0</v>
      </c>
      <c r="AM27" s="26">
        <v>0</v>
      </c>
      <c r="AN27" s="26">
        <v>0</v>
      </c>
      <c r="AO27" s="27">
        <v>0</v>
      </c>
      <c r="AP27" s="30">
        <v>0</v>
      </c>
      <c r="AQ27" s="26">
        <v>0</v>
      </c>
      <c r="AR27" s="26">
        <v>0</v>
      </c>
      <c r="AS27" s="32">
        <v>1</v>
      </c>
      <c r="AT27" s="34">
        <v>1</v>
      </c>
    </row>
    <row r="28" spans="2:54" x14ac:dyDescent="0.3">
      <c r="B28" s="8"/>
      <c r="C28" s="2" t="s">
        <v>771</v>
      </c>
      <c r="D28" s="26">
        <v>0</v>
      </c>
      <c r="E28" s="26">
        <v>0</v>
      </c>
      <c r="F28" s="27">
        <v>0</v>
      </c>
      <c r="G28" s="26">
        <v>0</v>
      </c>
      <c r="H28" s="26">
        <v>0</v>
      </c>
      <c r="I28" s="27">
        <v>0</v>
      </c>
      <c r="J28" s="26">
        <v>0</v>
      </c>
      <c r="K28" s="26">
        <v>0</v>
      </c>
      <c r="L28" s="67">
        <v>1</v>
      </c>
      <c r="N28" s="8"/>
      <c r="O28" s="2" t="s">
        <v>814</v>
      </c>
      <c r="P28" s="26">
        <v>0</v>
      </c>
      <c r="Q28" s="27">
        <v>0</v>
      </c>
      <c r="R28" s="30">
        <v>0</v>
      </c>
      <c r="S28" s="27">
        <v>0</v>
      </c>
      <c r="T28" s="30">
        <v>0</v>
      </c>
      <c r="U28" s="34">
        <v>1</v>
      </c>
      <c r="V28" s="34">
        <v>1</v>
      </c>
      <c r="X28" s="8"/>
      <c r="Y28" s="2" t="s">
        <v>862</v>
      </c>
      <c r="Z28" s="26">
        <v>0</v>
      </c>
      <c r="AA28" s="26">
        <v>0</v>
      </c>
      <c r="AB28" s="26">
        <v>0</v>
      </c>
      <c r="AC28" s="26">
        <v>0</v>
      </c>
      <c r="AD28" s="27">
        <v>0</v>
      </c>
      <c r="AE28" s="30">
        <v>0</v>
      </c>
      <c r="AF28" s="26">
        <v>0</v>
      </c>
      <c r="AG28" s="26">
        <v>0</v>
      </c>
      <c r="AH28" s="32">
        <v>1</v>
      </c>
      <c r="AJ28" s="8"/>
      <c r="AK28" s="2" t="s">
        <v>995</v>
      </c>
      <c r="AL28" s="26">
        <v>0</v>
      </c>
      <c r="AM28" s="26">
        <v>0</v>
      </c>
      <c r="AN28" s="26">
        <v>0</v>
      </c>
      <c r="AO28" s="27">
        <v>0</v>
      </c>
      <c r="AP28" s="30">
        <v>0</v>
      </c>
      <c r="AQ28" s="26">
        <v>0</v>
      </c>
      <c r="AR28" s="26">
        <v>0</v>
      </c>
      <c r="AS28" s="32">
        <v>1</v>
      </c>
      <c r="AT28" s="34">
        <v>1</v>
      </c>
    </row>
    <row r="29" spans="2:54" x14ac:dyDescent="0.3">
      <c r="B29" s="8"/>
      <c r="C29" s="2" t="s">
        <v>717</v>
      </c>
      <c r="D29" s="26">
        <v>0</v>
      </c>
      <c r="E29" s="26">
        <v>0</v>
      </c>
      <c r="F29" s="27">
        <v>0</v>
      </c>
      <c r="G29" s="26">
        <v>0</v>
      </c>
      <c r="H29" s="26">
        <v>0</v>
      </c>
      <c r="I29" s="27">
        <v>0</v>
      </c>
      <c r="J29" s="26">
        <v>0</v>
      </c>
      <c r="K29" s="26">
        <v>0</v>
      </c>
      <c r="L29" s="67">
        <v>1</v>
      </c>
      <c r="N29" s="8"/>
      <c r="O29" s="2" t="s">
        <v>653</v>
      </c>
      <c r="P29" s="26">
        <v>0</v>
      </c>
      <c r="Q29" s="27">
        <v>0</v>
      </c>
      <c r="R29" s="30">
        <v>0</v>
      </c>
      <c r="S29" s="27">
        <v>0</v>
      </c>
      <c r="T29" s="30">
        <v>0</v>
      </c>
      <c r="U29" s="34">
        <v>1</v>
      </c>
      <c r="V29" s="34">
        <v>1</v>
      </c>
      <c r="X29" s="8"/>
      <c r="Y29" s="2" t="s">
        <v>863</v>
      </c>
      <c r="Z29" s="26">
        <v>0</v>
      </c>
      <c r="AA29" s="26">
        <v>0</v>
      </c>
      <c r="AB29" s="26">
        <v>0</v>
      </c>
      <c r="AC29" s="26">
        <v>0</v>
      </c>
      <c r="AD29" s="27">
        <v>0</v>
      </c>
      <c r="AE29" s="30">
        <v>0</v>
      </c>
      <c r="AF29" s="26">
        <v>0</v>
      </c>
      <c r="AG29" s="26">
        <v>0</v>
      </c>
      <c r="AH29" s="32">
        <v>1</v>
      </c>
      <c r="AJ29" s="8"/>
      <c r="AK29" s="2" t="s">
        <v>996</v>
      </c>
      <c r="AL29" s="26">
        <v>0</v>
      </c>
      <c r="AM29" s="26">
        <v>0</v>
      </c>
      <c r="AN29" s="26">
        <v>0</v>
      </c>
      <c r="AO29" s="27">
        <v>0</v>
      </c>
      <c r="AP29" s="30">
        <v>0</v>
      </c>
      <c r="AQ29" s="26">
        <v>0</v>
      </c>
      <c r="AR29" s="26">
        <v>0</v>
      </c>
      <c r="AS29" s="32">
        <v>1</v>
      </c>
      <c r="AT29" s="34">
        <v>1</v>
      </c>
    </row>
    <row r="30" spans="2:54" x14ac:dyDescent="0.3">
      <c r="B30" s="8"/>
      <c r="C30" s="2" t="s">
        <v>978</v>
      </c>
      <c r="D30" s="26">
        <v>0</v>
      </c>
      <c r="E30" s="26">
        <v>0</v>
      </c>
      <c r="F30" s="27">
        <v>0</v>
      </c>
      <c r="G30" s="26">
        <v>0</v>
      </c>
      <c r="H30" s="26">
        <v>0</v>
      </c>
      <c r="I30" s="27">
        <v>0</v>
      </c>
      <c r="J30" s="26">
        <v>0</v>
      </c>
      <c r="K30" s="26">
        <v>0</v>
      </c>
      <c r="L30" s="67">
        <v>1</v>
      </c>
      <c r="N30" s="8"/>
      <c r="O30" s="2" t="s">
        <v>948</v>
      </c>
      <c r="P30" s="26">
        <v>0</v>
      </c>
      <c r="Q30" s="27">
        <v>0</v>
      </c>
      <c r="R30" s="30">
        <v>0</v>
      </c>
      <c r="S30" s="27">
        <v>0</v>
      </c>
      <c r="T30" s="30">
        <v>0</v>
      </c>
      <c r="U30" s="34">
        <v>1</v>
      </c>
      <c r="V30" s="34">
        <v>1</v>
      </c>
      <c r="X30" s="8"/>
      <c r="Y30" s="2"/>
      <c r="Z30" s="26"/>
      <c r="AA30" s="26"/>
      <c r="AB30" s="26"/>
      <c r="AC30" s="26"/>
      <c r="AD30" s="27"/>
      <c r="AE30" s="30"/>
      <c r="AF30" s="26"/>
      <c r="AG30" s="26"/>
      <c r="AH30" s="32"/>
      <c r="AJ30" s="8"/>
      <c r="AK30" s="2" t="s">
        <v>997</v>
      </c>
      <c r="AL30" s="26">
        <v>0</v>
      </c>
      <c r="AM30" s="26">
        <v>0</v>
      </c>
      <c r="AN30" s="26">
        <v>0</v>
      </c>
      <c r="AO30" s="27">
        <v>0</v>
      </c>
      <c r="AP30" s="30">
        <v>0</v>
      </c>
      <c r="AQ30" s="26">
        <v>0</v>
      </c>
      <c r="AR30" s="26">
        <v>0</v>
      </c>
      <c r="AS30" s="32">
        <v>1</v>
      </c>
      <c r="AT30" s="34">
        <v>1</v>
      </c>
    </row>
    <row r="31" spans="2:54" x14ac:dyDescent="0.3">
      <c r="B31" s="8"/>
      <c r="C31" s="2" t="s">
        <v>718</v>
      </c>
      <c r="D31" s="26">
        <v>0</v>
      </c>
      <c r="E31" s="26">
        <v>0</v>
      </c>
      <c r="F31" s="27">
        <v>0</v>
      </c>
      <c r="G31" s="26">
        <v>0</v>
      </c>
      <c r="H31" s="26">
        <v>0</v>
      </c>
      <c r="I31" s="27">
        <v>0</v>
      </c>
      <c r="J31" s="26">
        <v>0</v>
      </c>
      <c r="K31" s="26">
        <v>0</v>
      </c>
      <c r="L31" s="67">
        <v>1</v>
      </c>
      <c r="N31" s="8"/>
      <c r="O31" s="2" t="s">
        <v>654</v>
      </c>
      <c r="P31" s="26">
        <v>0</v>
      </c>
      <c r="Q31" s="27">
        <v>0</v>
      </c>
      <c r="R31" s="30">
        <v>0</v>
      </c>
      <c r="S31" s="27">
        <v>0</v>
      </c>
      <c r="T31" s="30">
        <v>0</v>
      </c>
      <c r="U31" s="34">
        <v>1</v>
      </c>
      <c r="V31" s="34">
        <v>1</v>
      </c>
      <c r="X31" s="8"/>
      <c r="Y31" s="2"/>
      <c r="Z31" s="26"/>
      <c r="AA31" s="26"/>
      <c r="AB31" s="26"/>
      <c r="AC31" s="26"/>
      <c r="AD31" s="27"/>
      <c r="AE31" s="30"/>
      <c r="AF31" s="26"/>
      <c r="AG31" s="26"/>
      <c r="AH31" s="32"/>
      <c r="AJ31" s="8"/>
      <c r="AK31" s="2" t="s">
        <v>998</v>
      </c>
      <c r="AL31" s="26">
        <v>0</v>
      </c>
      <c r="AM31" s="26">
        <v>0</v>
      </c>
      <c r="AN31" s="26">
        <v>0</v>
      </c>
      <c r="AO31" s="27">
        <v>0</v>
      </c>
      <c r="AP31" s="30">
        <v>0</v>
      </c>
      <c r="AQ31" s="26">
        <v>0</v>
      </c>
      <c r="AR31" s="26">
        <v>0</v>
      </c>
      <c r="AS31" s="32">
        <v>1</v>
      </c>
      <c r="AT31" s="34">
        <v>1</v>
      </c>
    </row>
    <row r="32" spans="2:54" x14ac:dyDescent="0.3">
      <c r="B32" s="8"/>
      <c r="C32" s="2" t="s">
        <v>719</v>
      </c>
      <c r="D32" s="26">
        <v>0</v>
      </c>
      <c r="E32" s="26">
        <v>0</v>
      </c>
      <c r="F32" s="27">
        <v>0</v>
      </c>
      <c r="G32" s="26">
        <v>0</v>
      </c>
      <c r="H32" s="26">
        <v>0</v>
      </c>
      <c r="I32" s="27">
        <v>0</v>
      </c>
      <c r="J32" s="26">
        <v>0</v>
      </c>
      <c r="K32" s="26">
        <v>0</v>
      </c>
      <c r="L32" s="67">
        <v>1</v>
      </c>
      <c r="N32" s="8"/>
      <c r="O32" s="2" t="s">
        <v>655</v>
      </c>
      <c r="P32" s="26">
        <v>0</v>
      </c>
      <c r="Q32" s="27">
        <v>0</v>
      </c>
      <c r="R32" s="30">
        <v>0</v>
      </c>
      <c r="S32" s="27">
        <v>0</v>
      </c>
      <c r="T32" s="30">
        <v>0</v>
      </c>
      <c r="U32" s="34">
        <v>1</v>
      </c>
      <c r="V32" s="34">
        <v>1</v>
      </c>
      <c r="X32" s="8"/>
      <c r="Y32" s="2"/>
      <c r="Z32" s="26"/>
      <c r="AA32" s="26"/>
      <c r="AB32" s="26"/>
      <c r="AC32" s="26"/>
      <c r="AD32" s="27"/>
      <c r="AE32" s="30"/>
      <c r="AF32" s="26"/>
      <c r="AG32" s="26"/>
      <c r="AH32" s="32"/>
      <c r="AJ32" s="8"/>
      <c r="AK32" s="2" t="s">
        <v>999</v>
      </c>
      <c r="AL32" s="26">
        <v>0</v>
      </c>
      <c r="AM32" s="26">
        <v>0</v>
      </c>
      <c r="AN32" s="26">
        <v>0</v>
      </c>
      <c r="AO32" s="27">
        <v>0</v>
      </c>
      <c r="AP32" s="30">
        <v>0</v>
      </c>
      <c r="AQ32" s="26">
        <v>0</v>
      </c>
      <c r="AR32" s="26">
        <v>0</v>
      </c>
      <c r="AS32" s="32">
        <v>1</v>
      </c>
      <c r="AT32" s="34">
        <v>1</v>
      </c>
    </row>
    <row r="33" spans="2:46" x14ac:dyDescent="0.3">
      <c r="B33" s="8"/>
      <c r="C33" s="2" t="s">
        <v>720</v>
      </c>
      <c r="D33" s="26">
        <v>0</v>
      </c>
      <c r="E33" s="26">
        <v>0</v>
      </c>
      <c r="F33" s="27">
        <v>0</v>
      </c>
      <c r="G33" s="26">
        <v>0</v>
      </c>
      <c r="H33" s="26">
        <v>0</v>
      </c>
      <c r="I33" s="27">
        <v>0</v>
      </c>
      <c r="J33" s="26">
        <v>0</v>
      </c>
      <c r="K33" s="26">
        <v>0</v>
      </c>
      <c r="L33" s="67">
        <v>1</v>
      </c>
      <c r="N33" s="8"/>
      <c r="O33" s="2" t="s">
        <v>656</v>
      </c>
      <c r="P33" s="26">
        <v>0</v>
      </c>
      <c r="Q33" s="27">
        <v>0</v>
      </c>
      <c r="R33" s="30">
        <v>0</v>
      </c>
      <c r="S33" s="27">
        <v>0</v>
      </c>
      <c r="T33" s="30">
        <v>0</v>
      </c>
      <c r="U33" s="34">
        <v>1</v>
      </c>
      <c r="V33" s="34">
        <v>1</v>
      </c>
      <c r="X33" s="8"/>
      <c r="Y33" s="2"/>
      <c r="Z33" s="26"/>
      <c r="AA33" s="26"/>
      <c r="AB33" s="26"/>
      <c r="AC33" s="26"/>
      <c r="AD33" s="27"/>
      <c r="AE33" s="30"/>
      <c r="AF33" s="26"/>
      <c r="AG33" s="26"/>
      <c r="AH33" s="32"/>
      <c r="AJ33" s="8"/>
      <c r="AK33" s="2" t="s">
        <v>1000</v>
      </c>
      <c r="AL33" s="26">
        <v>0</v>
      </c>
      <c r="AM33" s="26">
        <v>0</v>
      </c>
      <c r="AN33" s="26">
        <v>0</v>
      </c>
      <c r="AO33" s="27">
        <v>0</v>
      </c>
      <c r="AP33" s="30">
        <v>0</v>
      </c>
      <c r="AQ33" s="26">
        <v>0</v>
      </c>
      <c r="AR33" s="26">
        <v>0</v>
      </c>
      <c r="AS33" s="32">
        <v>1</v>
      </c>
      <c r="AT33" s="34">
        <v>1</v>
      </c>
    </row>
    <row r="34" spans="2:46" x14ac:dyDescent="0.3">
      <c r="B34" s="8"/>
      <c r="C34" s="2" t="s">
        <v>721</v>
      </c>
      <c r="D34" s="26">
        <v>0</v>
      </c>
      <c r="E34" s="26">
        <v>0</v>
      </c>
      <c r="F34" s="27">
        <v>0</v>
      </c>
      <c r="G34" s="26">
        <v>0</v>
      </c>
      <c r="H34" s="26">
        <v>0</v>
      </c>
      <c r="I34" s="27">
        <v>0</v>
      </c>
      <c r="J34" s="26">
        <v>0</v>
      </c>
      <c r="K34" s="26">
        <v>0</v>
      </c>
      <c r="L34" s="67">
        <v>1</v>
      </c>
      <c r="N34" s="8"/>
      <c r="O34" s="2" t="s">
        <v>657</v>
      </c>
      <c r="P34" s="26">
        <v>0</v>
      </c>
      <c r="Q34" s="27">
        <v>0</v>
      </c>
      <c r="R34" s="30">
        <v>0</v>
      </c>
      <c r="S34" s="27">
        <v>0</v>
      </c>
      <c r="T34" s="30">
        <v>0</v>
      </c>
      <c r="U34" s="34">
        <v>1</v>
      </c>
      <c r="V34" s="34">
        <v>1</v>
      </c>
      <c r="X34" s="8"/>
      <c r="Y34" s="2"/>
      <c r="Z34" s="26"/>
      <c r="AA34" s="26"/>
      <c r="AB34" s="26"/>
      <c r="AC34" s="26"/>
      <c r="AD34" s="27"/>
      <c r="AE34" s="30"/>
      <c r="AF34" s="26"/>
      <c r="AG34" s="26"/>
      <c r="AH34" s="32"/>
      <c r="AJ34" s="8"/>
      <c r="AK34" s="2" t="s">
        <v>1001</v>
      </c>
      <c r="AL34" s="26">
        <v>0</v>
      </c>
      <c r="AM34" s="26">
        <v>0</v>
      </c>
      <c r="AN34" s="26">
        <v>0</v>
      </c>
      <c r="AO34" s="27">
        <v>0</v>
      </c>
      <c r="AP34" s="30">
        <v>0</v>
      </c>
      <c r="AQ34" s="26">
        <v>0</v>
      </c>
      <c r="AR34" s="26">
        <v>0</v>
      </c>
      <c r="AS34" s="32">
        <v>1</v>
      </c>
      <c r="AT34" s="34">
        <v>1</v>
      </c>
    </row>
    <row r="35" spans="2:46" x14ac:dyDescent="0.3">
      <c r="B35" s="8"/>
      <c r="C35" s="2" t="s">
        <v>979</v>
      </c>
      <c r="D35" s="26">
        <v>0</v>
      </c>
      <c r="E35" s="26">
        <v>0</v>
      </c>
      <c r="F35" s="27">
        <v>0</v>
      </c>
      <c r="G35" s="26">
        <v>0</v>
      </c>
      <c r="H35" s="26">
        <v>0</v>
      </c>
      <c r="I35" s="27">
        <v>0</v>
      </c>
      <c r="J35" s="26">
        <v>0</v>
      </c>
      <c r="K35" s="26">
        <v>0</v>
      </c>
      <c r="L35" s="67">
        <v>1</v>
      </c>
      <c r="N35" s="8"/>
      <c r="O35" s="2" t="s">
        <v>949</v>
      </c>
      <c r="P35" s="26">
        <v>0</v>
      </c>
      <c r="Q35" s="27">
        <v>0</v>
      </c>
      <c r="R35" s="30">
        <v>0</v>
      </c>
      <c r="S35" s="27">
        <v>0</v>
      </c>
      <c r="T35" s="30">
        <v>0</v>
      </c>
      <c r="U35" s="34">
        <v>1</v>
      </c>
      <c r="V35" s="34">
        <v>1</v>
      </c>
      <c r="X35" s="8"/>
      <c r="Y35" s="2"/>
      <c r="Z35" s="26"/>
      <c r="AA35" s="26"/>
      <c r="AB35" s="26"/>
      <c r="AC35" s="26"/>
      <c r="AD35" s="27"/>
      <c r="AE35" s="30"/>
      <c r="AF35" s="26"/>
      <c r="AG35" s="26"/>
      <c r="AH35" s="32"/>
      <c r="AJ35" s="8"/>
      <c r="AK35" s="2" t="s">
        <v>1002</v>
      </c>
      <c r="AL35" s="26">
        <v>0</v>
      </c>
      <c r="AM35" s="26">
        <v>0</v>
      </c>
      <c r="AN35" s="26">
        <v>0</v>
      </c>
      <c r="AO35" s="27">
        <v>0</v>
      </c>
      <c r="AP35" s="30">
        <v>0</v>
      </c>
      <c r="AQ35" s="26">
        <v>0</v>
      </c>
      <c r="AR35" s="26">
        <v>0</v>
      </c>
      <c r="AS35" s="32">
        <v>1</v>
      </c>
      <c r="AT35" s="34">
        <v>1</v>
      </c>
    </row>
    <row r="36" spans="2:46" x14ac:dyDescent="0.3">
      <c r="B36" s="8"/>
      <c r="C36" s="2" t="s">
        <v>772</v>
      </c>
      <c r="D36" s="26">
        <v>0</v>
      </c>
      <c r="E36" s="26">
        <v>0</v>
      </c>
      <c r="F36" s="27">
        <v>0</v>
      </c>
      <c r="G36" s="26">
        <v>0</v>
      </c>
      <c r="H36" s="26">
        <v>0</v>
      </c>
      <c r="I36" s="27">
        <v>0</v>
      </c>
      <c r="J36" s="26">
        <v>0</v>
      </c>
      <c r="K36" s="26">
        <v>0</v>
      </c>
      <c r="L36" s="67">
        <v>1</v>
      </c>
      <c r="N36" s="8"/>
      <c r="O36" s="2" t="s">
        <v>815</v>
      </c>
      <c r="P36" s="26">
        <v>0</v>
      </c>
      <c r="Q36" s="27">
        <v>0</v>
      </c>
      <c r="R36" s="30">
        <v>0</v>
      </c>
      <c r="S36" s="27">
        <v>0</v>
      </c>
      <c r="T36" s="30">
        <v>0</v>
      </c>
      <c r="U36" s="34">
        <v>1</v>
      </c>
      <c r="V36" s="34">
        <v>1</v>
      </c>
      <c r="X36" s="8"/>
      <c r="Y36" s="2"/>
      <c r="Z36" s="26"/>
      <c r="AA36" s="26"/>
      <c r="AB36" s="26"/>
      <c r="AC36" s="26"/>
      <c r="AD36" s="27"/>
      <c r="AE36" s="30"/>
      <c r="AF36" s="26"/>
      <c r="AG36" s="26"/>
      <c r="AH36" s="32"/>
      <c r="AJ36" s="8"/>
      <c r="AK36" s="2" t="s">
        <v>1003</v>
      </c>
      <c r="AL36" s="26">
        <v>0</v>
      </c>
      <c r="AM36" s="26">
        <v>0</v>
      </c>
      <c r="AN36" s="26">
        <v>0</v>
      </c>
      <c r="AO36" s="27">
        <v>0</v>
      </c>
      <c r="AP36" s="30">
        <v>0</v>
      </c>
      <c r="AQ36" s="26">
        <v>0</v>
      </c>
      <c r="AR36" s="26">
        <v>0</v>
      </c>
      <c r="AS36" s="32">
        <v>1</v>
      </c>
      <c r="AT36" s="34">
        <v>1</v>
      </c>
    </row>
    <row r="37" spans="2:46" x14ac:dyDescent="0.3">
      <c r="B37" s="8"/>
      <c r="C37" s="2" t="s">
        <v>773</v>
      </c>
      <c r="D37" s="26">
        <v>0</v>
      </c>
      <c r="E37" s="26">
        <v>0</v>
      </c>
      <c r="F37" s="27">
        <v>0</v>
      </c>
      <c r="G37" s="26">
        <v>0</v>
      </c>
      <c r="H37" s="26">
        <v>0</v>
      </c>
      <c r="I37" s="27">
        <v>0</v>
      </c>
      <c r="J37" s="26">
        <v>0</v>
      </c>
      <c r="K37" s="26">
        <v>0</v>
      </c>
      <c r="L37" s="67">
        <v>1</v>
      </c>
      <c r="N37" s="8"/>
      <c r="O37" s="2" t="s">
        <v>816</v>
      </c>
      <c r="P37" s="26">
        <v>0</v>
      </c>
      <c r="Q37" s="27">
        <v>0</v>
      </c>
      <c r="R37" s="30">
        <v>0</v>
      </c>
      <c r="S37" s="27">
        <v>0</v>
      </c>
      <c r="T37" s="30">
        <v>0</v>
      </c>
      <c r="U37" s="34">
        <v>1</v>
      </c>
      <c r="V37" s="34">
        <v>1</v>
      </c>
      <c r="X37" s="8"/>
      <c r="Y37" s="2"/>
      <c r="Z37" s="26"/>
      <c r="AA37" s="26"/>
      <c r="AB37" s="26"/>
      <c r="AC37" s="26"/>
      <c r="AD37" s="27"/>
      <c r="AE37" s="30"/>
      <c r="AF37" s="26"/>
      <c r="AG37" s="26"/>
      <c r="AH37" s="32"/>
      <c r="AJ37" s="8"/>
      <c r="AK37" s="2" t="s">
        <v>1004</v>
      </c>
      <c r="AL37" s="26">
        <v>0</v>
      </c>
      <c r="AM37" s="26">
        <v>0</v>
      </c>
      <c r="AN37" s="26">
        <v>0</v>
      </c>
      <c r="AO37" s="27">
        <v>0</v>
      </c>
      <c r="AP37" s="30">
        <v>0</v>
      </c>
      <c r="AQ37" s="26">
        <v>0</v>
      </c>
      <c r="AR37" s="26">
        <v>0</v>
      </c>
      <c r="AS37" s="32">
        <v>1</v>
      </c>
      <c r="AT37" s="34">
        <v>1</v>
      </c>
    </row>
    <row r="38" spans="2:46" x14ac:dyDescent="0.3">
      <c r="B38" s="8"/>
      <c r="C38" s="2" t="s">
        <v>722</v>
      </c>
      <c r="D38" s="26">
        <v>0</v>
      </c>
      <c r="E38" s="26">
        <v>0</v>
      </c>
      <c r="F38" s="27">
        <v>0</v>
      </c>
      <c r="G38" s="26">
        <v>0</v>
      </c>
      <c r="H38" s="26">
        <v>0</v>
      </c>
      <c r="I38" s="27">
        <v>0</v>
      </c>
      <c r="J38" s="26">
        <v>0</v>
      </c>
      <c r="K38" s="26">
        <v>0</v>
      </c>
      <c r="L38" s="67">
        <v>1</v>
      </c>
      <c r="N38" s="8"/>
      <c r="O38" s="2" t="s">
        <v>658</v>
      </c>
      <c r="P38" s="26">
        <v>0</v>
      </c>
      <c r="Q38" s="27">
        <v>0</v>
      </c>
      <c r="R38" s="30">
        <v>0</v>
      </c>
      <c r="S38" s="27">
        <v>0</v>
      </c>
      <c r="T38" s="30">
        <v>0</v>
      </c>
      <c r="U38" s="34">
        <v>1</v>
      </c>
      <c r="V38" s="34">
        <v>1</v>
      </c>
      <c r="X38" s="8"/>
      <c r="Y38" s="2"/>
      <c r="Z38" s="26"/>
      <c r="AA38" s="26"/>
      <c r="AB38" s="26"/>
      <c r="AC38" s="26"/>
      <c r="AD38" s="27"/>
      <c r="AE38" s="30"/>
      <c r="AF38" s="26"/>
      <c r="AG38" s="26"/>
      <c r="AH38" s="32"/>
      <c r="AJ38" s="8"/>
      <c r="AK38" s="2"/>
      <c r="AL38" s="26"/>
      <c r="AM38" s="26"/>
      <c r="AN38" s="26"/>
      <c r="AO38" s="27"/>
      <c r="AP38" s="30"/>
      <c r="AQ38" s="26"/>
      <c r="AR38" s="26"/>
      <c r="AS38" s="32"/>
      <c r="AT38" s="34"/>
    </row>
    <row r="39" spans="2:46" x14ac:dyDescent="0.3">
      <c r="B39" s="8"/>
      <c r="C39" s="2" t="s">
        <v>774</v>
      </c>
      <c r="D39" s="26">
        <v>0</v>
      </c>
      <c r="E39" s="26">
        <v>0</v>
      </c>
      <c r="F39" s="27">
        <v>0</v>
      </c>
      <c r="G39" s="26">
        <v>0</v>
      </c>
      <c r="H39" s="26">
        <v>0</v>
      </c>
      <c r="I39" s="27">
        <v>0</v>
      </c>
      <c r="J39" s="26">
        <v>0</v>
      </c>
      <c r="K39" s="26">
        <v>0</v>
      </c>
      <c r="L39" s="67">
        <v>1</v>
      </c>
      <c r="N39" s="8"/>
      <c r="O39" s="2" t="s">
        <v>817</v>
      </c>
      <c r="P39" s="26">
        <v>0</v>
      </c>
      <c r="Q39" s="27">
        <v>0</v>
      </c>
      <c r="R39" s="30">
        <v>0</v>
      </c>
      <c r="S39" s="27">
        <v>0</v>
      </c>
      <c r="T39" s="30">
        <v>0</v>
      </c>
      <c r="U39" s="34">
        <v>1</v>
      </c>
      <c r="V39" s="34">
        <v>1</v>
      </c>
      <c r="X39" s="8"/>
      <c r="Y39" s="2"/>
      <c r="Z39" s="26"/>
      <c r="AA39" s="26"/>
      <c r="AB39" s="26"/>
      <c r="AC39" s="26"/>
      <c r="AD39" s="27"/>
      <c r="AE39" s="30"/>
      <c r="AF39" s="26"/>
      <c r="AG39" s="26"/>
      <c r="AH39" s="32"/>
      <c r="AJ39" s="8"/>
      <c r="AK39" s="2"/>
      <c r="AL39" s="26"/>
      <c r="AM39" s="26"/>
      <c r="AN39" s="26"/>
      <c r="AO39" s="27"/>
      <c r="AP39" s="30"/>
      <c r="AQ39" s="26"/>
      <c r="AR39" s="26"/>
      <c r="AS39" s="32"/>
      <c r="AT39" s="34"/>
    </row>
    <row r="40" spans="2:46" x14ac:dyDescent="0.3">
      <c r="B40" s="8"/>
      <c r="C40" s="2" t="s">
        <v>723</v>
      </c>
      <c r="D40" s="26">
        <v>0</v>
      </c>
      <c r="E40" s="26">
        <v>0</v>
      </c>
      <c r="F40" s="27">
        <v>0</v>
      </c>
      <c r="G40" s="26">
        <v>0</v>
      </c>
      <c r="H40" s="26">
        <v>0</v>
      </c>
      <c r="I40" s="27">
        <v>0</v>
      </c>
      <c r="J40" s="26">
        <v>0</v>
      </c>
      <c r="K40" s="26">
        <v>0</v>
      </c>
      <c r="L40" s="67">
        <v>1</v>
      </c>
      <c r="N40" s="8"/>
      <c r="O40" s="2" t="s">
        <v>659</v>
      </c>
      <c r="P40" s="26">
        <v>0</v>
      </c>
      <c r="Q40" s="27">
        <v>0</v>
      </c>
      <c r="R40" s="30">
        <v>0</v>
      </c>
      <c r="S40" s="27">
        <v>0</v>
      </c>
      <c r="T40" s="30">
        <v>0</v>
      </c>
      <c r="U40" s="34">
        <v>1</v>
      </c>
      <c r="V40" s="34">
        <v>1</v>
      </c>
      <c r="X40" s="8"/>
      <c r="Y40" s="2"/>
      <c r="Z40" s="26"/>
      <c r="AA40" s="26"/>
      <c r="AB40" s="26"/>
      <c r="AC40" s="26"/>
      <c r="AD40" s="27"/>
      <c r="AE40" s="30"/>
      <c r="AF40" s="26"/>
      <c r="AG40" s="26"/>
      <c r="AH40" s="32"/>
      <c r="AJ40" s="8"/>
      <c r="AK40" s="2"/>
      <c r="AL40" s="26"/>
      <c r="AM40" s="26"/>
      <c r="AN40" s="26"/>
      <c r="AO40" s="27"/>
      <c r="AP40" s="30"/>
      <c r="AQ40" s="26"/>
      <c r="AR40" s="26"/>
      <c r="AS40" s="32"/>
      <c r="AT40" s="34"/>
    </row>
    <row r="41" spans="2:46" x14ac:dyDescent="0.3">
      <c r="B41" s="8"/>
      <c r="C41" s="2" t="s">
        <v>775</v>
      </c>
      <c r="D41" s="26">
        <v>0</v>
      </c>
      <c r="E41" s="26">
        <v>0</v>
      </c>
      <c r="F41" s="27">
        <v>0</v>
      </c>
      <c r="G41" s="26">
        <v>0</v>
      </c>
      <c r="H41" s="26">
        <v>0</v>
      </c>
      <c r="I41" s="27">
        <v>0</v>
      </c>
      <c r="J41" s="26">
        <v>0</v>
      </c>
      <c r="K41" s="26">
        <v>0</v>
      </c>
      <c r="L41" s="67">
        <v>1</v>
      </c>
      <c r="N41" s="8"/>
      <c r="O41" s="2" t="s">
        <v>818</v>
      </c>
      <c r="P41" s="26">
        <v>0</v>
      </c>
      <c r="Q41" s="27">
        <v>0</v>
      </c>
      <c r="R41" s="30">
        <v>0</v>
      </c>
      <c r="S41" s="27">
        <v>0</v>
      </c>
      <c r="T41" s="30">
        <v>0</v>
      </c>
      <c r="U41" s="34">
        <v>1</v>
      </c>
      <c r="V41" s="34">
        <v>1</v>
      </c>
      <c r="X41" s="8"/>
      <c r="Y41" s="2"/>
      <c r="Z41" s="26"/>
      <c r="AA41" s="26"/>
      <c r="AB41" s="26"/>
      <c r="AC41" s="26"/>
      <c r="AD41" s="27"/>
      <c r="AE41" s="30"/>
      <c r="AF41" s="26"/>
      <c r="AG41" s="26"/>
      <c r="AH41" s="32"/>
      <c r="AJ41" s="8"/>
      <c r="AK41" s="2"/>
      <c r="AL41" s="26"/>
      <c r="AM41" s="26"/>
      <c r="AN41" s="26"/>
      <c r="AO41" s="27"/>
      <c r="AP41" s="30"/>
      <c r="AQ41" s="26"/>
      <c r="AR41" s="26"/>
      <c r="AS41" s="32"/>
      <c r="AT41" s="34"/>
    </row>
    <row r="42" spans="2:46" x14ac:dyDescent="0.3">
      <c r="B42" s="8"/>
      <c r="C42" s="2" t="s">
        <v>776</v>
      </c>
      <c r="D42" s="26">
        <v>0</v>
      </c>
      <c r="E42" s="26">
        <v>0</v>
      </c>
      <c r="F42" s="27">
        <v>0</v>
      </c>
      <c r="G42" s="26">
        <v>0</v>
      </c>
      <c r="H42" s="26">
        <v>0</v>
      </c>
      <c r="I42" s="27">
        <v>0</v>
      </c>
      <c r="J42" s="26">
        <v>0</v>
      </c>
      <c r="K42" s="26">
        <v>0</v>
      </c>
      <c r="L42" s="67">
        <v>1</v>
      </c>
      <c r="N42" s="8"/>
      <c r="O42" s="2" t="s">
        <v>819</v>
      </c>
      <c r="P42" s="26">
        <v>0</v>
      </c>
      <c r="Q42" s="27">
        <v>0</v>
      </c>
      <c r="R42" s="30">
        <v>0</v>
      </c>
      <c r="S42" s="27">
        <v>0</v>
      </c>
      <c r="T42" s="30">
        <v>0</v>
      </c>
      <c r="U42" s="34">
        <v>1</v>
      </c>
      <c r="V42" s="34">
        <v>1</v>
      </c>
      <c r="X42" s="8"/>
      <c r="Y42" s="2"/>
      <c r="Z42" s="26"/>
      <c r="AA42" s="26"/>
      <c r="AB42" s="26"/>
      <c r="AC42" s="26"/>
      <c r="AD42" s="27"/>
      <c r="AE42" s="30"/>
      <c r="AF42" s="26"/>
      <c r="AG42" s="26"/>
      <c r="AH42" s="32"/>
      <c r="AJ42" s="8"/>
      <c r="AK42" s="2"/>
      <c r="AL42" s="26"/>
      <c r="AM42" s="26"/>
      <c r="AN42" s="26"/>
      <c r="AO42" s="27"/>
      <c r="AP42" s="30"/>
      <c r="AQ42" s="26"/>
      <c r="AR42" s="26"/>
      <c r="AS42" s="32"/>
      <c r="AT42" s="34"/>
    </row>
    <row r="43" spans="2:46" x14ac:dyDescent="0.3">
      <c r="B43" s="8"/>
      <c r="C43" s="2" t="s">
        <v>777</v>
      </c>
      <c r="D43" s="26">
        <v>0</v>
      </c>
      <c r="E43" s="26">
        <v>0</v>
      </c>
      <c r="F43" s="27">
        <v>0</v>
      </c>
      <c r="G43" s="26">
        <v>0</v>
      </c>
      <c r="H43" s="26">
        <v>0</v>
      </c>
      <c r="I43" s="27">
        <v>0</v>
      </c>
      <c r="J43" s="26">
        <v>0</v>
      </c>
      <c r="K43" s="26">
        <v>0</v>
      </c>
      <c r="L43" s="67">
        <v>1</v>
      </c>
      <c r="N43" s="8"/>
      <c r="O43" s="2" t="s">
        <v>820</v>
      </c>
      <c r="P43" s="26">
        <v>0</v>
      </c>
      <c r="Q43" s="27">
        <v>0</v>
      </c>
      <c r="R43" s="30">
        <v>0</v>
      </c>
      <c r="S43" s="27">
        <v>0</v>
      </c>
      <c r="T43" s="30">
        <v>0</v>
      </c>
      <c r="U43" s="34">
        <v>1</v>
      </c>
      <c r="V43" s="34">
        <v>1</v>
      </c>
      <c r="X43" s="8"/>
      <c r="Y43" s="2"/>
      <c r="Z43" s="26"/>
      <c r="AA43" s="26"/>
      <c r="AB43" s="26"/>
      <c r="AC43" s="26"/>
      <c r="AD43" s="27"/>
      <c r="AE43" s="30"/>
      <c r="AF43" s="26"/>
      <c r="AG43" s="26"/>
      <c r="AH43" s="32"/>
      <c r="AJ43" s="8"/>
      <c r="AK43" s="2"/>
      <c r="AL43" s="26"/>
      <c r="AM43" s="26"/>
      <c r="AN43" s="26"/>
      <c r="AO43" s="27"/>
      <c r="AP43" s="30"/>
      <c r="AQ43" s="26"/>
      <c r="AR43" s="26"/>
      <c r="AS43" s="32"/>
      <c r="AT43" s="34"/>
    </row>
    <row r="44" spans="2:46" x14ac:dyDescent="0.3">
      <c r="B44" s="8"/>
      <c r="C44" s="2" t="s">
        <v>724</v>
      </c>
      <c r="D44" s="26">
        <v>0</v>
      </c>
      <c r="E44" s="26">
        <v>0</v>
      </c>
      <c r="F44" s="27">
        <v>0</v>
      </c>
      <c r="G44" s="26">
        <v>0</v>
      </c>
      <c r="H44" s="26">
        <v>0</v>
      </c>
      <c r="I44" s="27">
        <v>0</v>
      </c>
      <c r="J44" s="26">
        <v>0</v>
      </c>
      <c r="K44" s="26">
        <v>0</v>
      </c>
      <c r="L44" s="67">
        <v>1</v>
      </c>
      <c r="N44" s="8"/>
      <c r="O44" s="2" t="s">
        <v>660</v>
      </c>
      <c r="P44" s="26">
        <v>0</v>
      </c>
      <c r="Q44" s="27">
        <v>0</v>
      </c>
      <c r="R44" s="30">
        <v>0</v>
      </c>
      <c r="S44" s="27">
        <v>0</v>
      </c>
      <c r="T44" s="30">
        <v>0</v>
      </c>
      <c r="U44" s="34">
        <v>1</v>
      </c>
      <c r="V44" s="34">
        <v>1</v>
      </c>
      <c r="X44" s="8"/>
      <c r="Y44" s="2"/>
      <c r="Z44" s="26"/>
      <c r="AA44" s="26"/>
      <c r="AB44" s="26"/>
      <c r="AC44" s="26"/>
      <c r="AD44" s="27"/>
      <c r="AE44" s="30"/>
      <c r="AF44" s="26"/>
      <c r="AG44" s="26"/>
      <c r="AH44" s="32"/>
      <c r="AJ44" s="8"/>
      <c r="AK44" s="2"/>
      <c r="AL44" s="26"/>
      <c r="AM44" s="26"/>
      <c r="AN44" s="26"/>
      <c r="AO44" s="27"/>
      <c r="AP44" s="30"/>
      <c r="AQ44" s="26"/>
      <c r="AR44" s="26"/>
      <c r="AS44" s="32"/>
      <c r="AT44" s="34"/>
    </row>
    <row r="45" spans="2:46" x14ac:dyDescent="0.3">
      <c r="B45" s="8"/>
      <c r="C45" s="2" t="s">
        <v>725</v>
      </c>
      <c r="D45" s="26">
        <v>0</v>
      </c>
      <c r="E45" s="26">
        <v>0</v>
      </c>
      <c r="F45" s="27">
        <v>0</v>
      </c>
      <c r="G45" s="26">
        <v>0</v>
      </c>
      <c r="H45" s="26">
        <v>0</v>
      </c>
      <c r="I45" s="27">
        <v>0</v>
      </c>
      <c r="J45" s="26">
        <v>0</v>
      </c>
      <c r="K45" s="26">
        <v>0</v>
      </c>
      <c r="L45" s="67">
        <v>1</v>
      </c>
      <c r="N45" s="8"/>
      <c r="O45" s="2" t="s">
        <v>661</v>
      </c>
      <c r="P45" s="26">
        <v>0</v>
      </c>
      <c r="Q45" s="27">
        <v>0</v>
      </c>
      <c r="R45" s="30">
        <v>0</v>
      </c>
      <c r="S45" s="27">
        <v>0</v>
      </c>
      <c r="T45" s="30">
        <v>0</v>
      </c>
      <c r="U45" s="34">
        <v>1</v>
      </c>
      <c r="V45" s="34">
        <v>1</v>
      </c>
      <c r="X45" s="8"/>
      <c r="Y45" s="2"/>
      <c r="Z45" s="26"/>
      <c r="AA45" s="26"/>
      <c r="AB45" s="26"/>
      <c r="AC45" s="26"/>
      <c r="AD45" s="27"/>
      <c r="AE45" s="30"/>
      <c r="AF45" s="26"/>
      <c r="AG45" s="26"/>
      <c r="AH45" s="32"/>
      <c r="AJ45" s="8"/>
      <c r="AK45" s="2"/>
      <c r="AL45" s="26"/>
      <c r="AM45" s="26"/>
      <c r="AN45" s="26"/>
      <c r="AO45" s="27"/>
      <c r="AP45" s="30"/>
      <c r="AQ45" s="26"/>
      <c r="AR45" s="26"/>
      <c r="AS45" s="32"/>
      <c r="AT45" s="34"/>
    </row>
    <row r="46" spans="2:46" x14ac:dyDescent="0.3">
      <c r="B46" s="8"/>
      <c r="C46" s="2" t="s">
        <v>778</v>
      </c>
      <c r="D46" s="26">
        <v>0</v>
      </c>
      <c r="E46" s="26">
        <v>0</v>
      </c>
      <c r="F46" s="27">
        <v>0</v>
      </c>
      <c r="G46" s="26">
        <v>0</v>
      </c>
      <c r="H46" s="26">
        <v>0</v>
      </c>
      <c r="I46" s="27">
        <v>0</v>
      </c>
      <c r="J46" s="26">
        <v>0</v>
      </c>
      <c r="K46" s="26">
        <v>0</v>
      </c>
      <c r="L46" s="67">
        <v>1</v>
      </c>
      <c r="N46" s="8"/>
      <c r="O46" s="2" t="s">
        <v>821</v>
      </c>
      <c r="P46" s="26">
        <v>0</v>
      </c>
      <c r="Q46" s="27">
        <v>0</v>
      </c>
      <c r="R46" s="30">
        <v>0</v>
      </c>
      <c r="S46" s="27">
        <v>0</v>
      </c>
      <c r="T46" s="30">
        <v>0</v>
      </c>
      <c r="U46" s="34">
        <v>1</v>
      </c>
      <c r="V46" s="34">
        <v>1</v>
      </c>
      <c r="X46" s="8"/>
      <c r="Y46" s="2"/>
      <c r="Z46" s="26"/>
      <c r="AA46" s="26"/>
      <c r="AB46" s="26"/>
      <c r="AC46" s="26"/>
      <c r="AD46" s="27"/>
      <c r="AE46" s="30"/>
      <c r="AF46" s="26"/>
      <c r="AG46" s="26"/>
      <c r="AH46" s="32"/>
      <c r="AJ46" s="8"/>
      <c r="AK46" s="2"/>
      <c r="AL46" s="26"/>
      <c r="AM46" s="26"/>
      <c r="AN46" s="26"/>
      <c r="AO46" s="27"/>
      <c r="AP46" s="30"/>
      <c r="AQ46" s="26"/>
      <c r="AR46" s="26"/>
      <c r="AS46" s="32"/>
      <c r="AT46" s="34"/>
    </row>
    <row r="47" spans="2:46" x14ac:dyDescent="0.3">
      <c r="B47" s="8"/>
      <c r="C47" s="2" t="s">
        <v>726</v>
      </c>
      <c r="D47" s="26">
        <v>0</v>
      </c>
      <c r="E47" s="26">
        <v>0</v>
      </c>
      <c r="F47" s="27">
        <v>0</v>
      </c>
      <c r="G47" s="26">
        <v>0</v>
      </c>
      <c r="H47" s="26">
        <v>0</v>
      </c>
      <c r="I47" s="27">
        <v>0</v>
      </c>
      <c r="J47" s="26">
        <v>0</v>
      </c>
      <c r="K47" s="26">
        <v>0</v>
      </c>
      <c r="L47" s="67">
        <v>1</v>
      </c>
      <c r="N47" s="8"/>
      <c r="O47" s="2" t="s">
        <v>662</v>
      </c>
      <c r="P47" s="26">
        <v>0</v>
      </c>
      <c r="Q47" s="27">
        <v>0</v>
      </c>
      <c r="R47" s="30">
        <v>0</v>
      </c>
      <c r="S47" s="27">
        <v>0</v>
      </c>
      <c r="T47" s="30">
        <v>0</v>
      </c>
      <c r="U47" s="34">
        <v>1</v>
      </c>
      <c r="V47" s="34">
        <v>1</v>
      </c>
      <c r="X47" s="8"/>
      <c r="Y47" s="2"/>
      <c r="Z47" s="26"/>
      <c r="AA47" s="26"/>
      <c r="AB47" s="26"/>
      <c r="AC47" s="26"/>
      <c r="AD47" s="27"/>
      <c r="AE47" s="30"/>
      <c r="AF47" s="26"/>
      <c r="AG47" s="26"/>
      <c r="AH47" s="32"/>
      <c r="AJ47" s="8"/>
      <c r="AK47" s="2"/>
      <c r="AL47" s="26"/>
      <c r="AM47" s="26"/>
      <c r="AN47" s="26"/>
      <c r="AO47" s="27"/>
      <c r="AP47" s="30"/>
      <c r="AQ47" s="26"/>
      <c r="AR47" s="26"/>
      <c r="AS47" s="32"/>
      <c r="AT47" s="34"/>
    </row>
    <row r="48" spans="2:46" x14ac:dyDescent="0.3">
      <c r="B48" s="8"/>
      <c r="C48" s="2" t="s">
        <v>779</v>
      </c>
      <c r="D48" s="26">
        <v>0</v>
      </c>
      <c r="E48" s="26">
        <v>0</v>
      </c>
      <c r="F48" s="27">
        <v>0</v>
      </c>
      <c r="G48" s="26">
        <v>0</v>
      </c>
      <c r="H48" s="26">
        <v>0</v>
      </c>
      <c r="I48" s="27">
        <v>0</v>
      </c>
      <c r="J48" s="26">
        <v>0</v>
      </c>
      <c r="K48" s="26">
        <v>0</v>
      </c>
      <c r="L48" s="67">
        <v>1</v>
      </c>
      <c r="N48" s="8"/>
      <c r="O48" s="2" t="s">
        <v>822</v>
      </c>
      <c r="P48" s="26">
        <v>0</v>
      </c>
      <c r="Q48" s="27">
        <v>0</v>
      </c>
      <c r="R48" s="30">
        <v>0</v>
      </c>
      <c r="S48" s="27">
        <v>0</v>
      </c>
      <c r="T48" s="30">
        <v>0</v>
      </c>
      <c r="U48" s="34">
        <v>1</v>
      </c>
      <c r="V48" s="34">
        <v>1</v>
      </c>
      <c r="X48" s="8"/>
      <c r="Y48" s="2"/>
      <c r="Z48" s="26"/>
      <c r="AA48" s="26"/>
      <c r="AB48" s="26"/>
      <c r="AC48" s="26"/>
      <c r="AD48" s="27"/>
      <c r="AE48" s="30"/>
      <c r="AF48" s="26"/>
      <c r="AG48" s="26"/>
      <c r="AH48" s="32"/>
      <c r="AJ48" s="8"/>
      <c r="AK48" s="2"/>
      <c r="AL48" s="26"/>
      <c r="AM48" s="26"/>
      <c r="AN48" s="26"/>
      <c r="AO48" s="27"/>
      <c r="AP48" s="30"/>
      <c r="AQ48" s="26"/>
      <c r="AR48" s="26"/>
      <c r="AS48" s="32"/>
      <c r="AT48" s="34"/>
    </row>
    <row r="49" spans="2:46" x14ac:dyDescent="0.3">
      <c r="B49" s="8"/>
      <c r="C49" s="2" t="s">
        <v>780</v>
      </c>
      <c r="D49" s="26">
        <v>0</v>
      </c>
      <c r="E49" s="26">
        <v>0</v>
      </c>
      <c r="F49" s="27">
        <v>0</v>
      </c>
      <c r="G49" s="26">
        <v>0</v>
      </c>
      <c r="H49" s="26">
        <v>0</v>
      </c>
      <c r="I49" s="27">
        <v>0</v>
      </c>
      <c r="J49" s="26">
        <v>0</v>
      </c>
      <c r="K49" s="26">
        <v>0</v>
      </c>
      <c r="L49" s="67">
        <v>1</v>
      </c>
      <c r="N49" s="8"/>
      <c r="O49" s="2" t="s">
        <v>823</v>
      </c>
      <c r="P49" s="26">
        <v>0</v>
      </c>
      <c r="Q49" s="27">
        <v>0</v>
      </c>
      <c r="R49" s="30">
        <v>0</v>
      </c>
      <c r="S49" s="27">
        <v>0</v>
      </c>
      <c r="T49" s="30">
        <v>0</v>
      </c>
      <c r="U49" s="34">
        <v>1</v>
      </c>
      <c r="V49" s="34">
        <v>1</v>
      </c>
      <c r="X49" s="8"/>
      <c r="Y49" s="2"/>
      <c r="Z49" s="26"/>
      <c r="AA49" s="26"/>
      <c r="AB49" s="26"/>
      <c r="AC49" s="26"/>
      <c r="AD49" s="27"/>
      <c r="AE49" s="30"/>
      <c r="AF49" s="26"/>
      <c r="AG49" s="26"/>
      <c r="AH49" s="32"/>
      <c r="AJ49" s="8"/>
      <c r="AK49" s="2"/>
      <c r="AL49" s="26"/>
      <c r="AM49" s="26"/>
      <c r="AN49" s="26"/>
      <c r="AO49" s="27"/>
      <c r="AP49" s="30"/>
      <c r="AQ49" s="26"/>
      <c r="AR49" s="26"/>
      <c r="AS49" s="32"/>
      <c r="AT49" s="34"/>
    </row>
    <row r="50" spans="2:46" x14ac:dyDescent="0.3">
      <c r="B50" s="8"/>
      <c r="C50" s="2" t="s">
        <v>727</v>
      </c>
      <c r="D50" s="26">
        <v>0</v>
      </c>
      <c r="E50" s="26">
        <v>0</v>
      </c>
      <c r="F50" s="27">
        <v>0</v>
      </c>
      <c r="G50" s="26">
        <v>0</v>
      </c>
      <c r="H50" s="26">
        <v>0</v>
      </c>
      <c r="I50" s="27">
        <v>0</v>
      </c>
      <c r="J50" s="26">
        <v>0</v>
      </c>
      <c r="K50" s="26">
        <v>0</v>
      </c>
      <c r="L50" s="67">
        <v>1</v>
      </c>
      <c r="N50" s="8"/>
      <c r="O50" s="2" t="s">
        <v>663</v>
      </c>
      <c r="P50" s="26">
        <v>0</v>
      </c>
      <c r="Q50" s="27">
        <v>0</v>
      </c>
      <c r="R50" s="30">
        <v>0</v>
      </c>
      <c r="S50" s="27">
        <v>0</v>
      </c>
      <c r="T50" s="30">
        <v>0</v>
      </c>
      <c r="U50" s="34">
        <v>1</v>
      </c>
      <c r="V50" s="34">
        <v>1</v>
      </c>
      <c r="X50" s="8"/>
      <c r="Y50" s="2"/>
      <c r="Z50" s="26"/>
      <c r="AA50" s="26"/>
      <c r="AB50" s="26"/>
      <c r="AC50" s="26"/>
      <c r="AD50" s="27"/>
      <c r="AE50" s="30"/>
      <c r="AF50" s="26"/>
      <c r="AG50" s="26"/>
      <c r="AH50" s="32"/>
      <c r="AJ50" s="8"/>
      <c r="AK50" s="2"/>
      <c r="AL50" s="26"/>
      <c r="AM50" s="26"/>
      <c r="AN50" s="26"/>
      <c r="AO50" s="27"/>
      <c r="AP50" s="30"/>
      <c r="AQ50" s="26"/>
      <c r="AR50" s="26"/>
      <c r="AS50" s="32"/>
      <c r="AT50" s="34"/>
    </row>
    <row r="51" spans="2:46" x14ac:dyDescent="0.3">
      <c r="B51" s="8"/>
      <c r="C51" s="2" t="s">
        <v>728</v>
      </c>
      <c r="D51" s="26">
        <v>0</v>
      </c>
      <c r="E51" s="26">
        <v>0</v>
      </c>
      <c r="F51" s="27">
        <v>0</v>
      </c>
      <c r="G51" s="26">
        <v>0</v>
      </c>
      <c r="H51" s="26">
        <v>0</v>
      </c>
      <c r="I51" s="27">
        <v>0</v>
      </c>
      <c r="J51" s="26">
        <v>0</v>
      </c>
      <c r="K51" s="26">
        <v>0</v>
      </c>
      <c r="L51" s="67">
        <v>1</v>
      </c>
      <c r="N51" s="8"/>
      <c r="O51" s="2" t="s">
        <v>664</v>
      </c>
      <c r="P51" s="26">
        <v>0</v>
      </c>
      <c r="Q51" s="27">
        <v>0</v>
      </c>
      <c r="R51" s="30">
        <v>0</v>
      </c>
      <c r="S51" s="27">
        <v>0</v>
      </c>
      <c r="T51" s="30">
        <v>0</v>
      </c>
      <c r="U51" s="34">
        <v>1</v>
      </c>
      <c r="V51" s="34">
        <v>1</v>
      </c>
      <c r="X51" s="8"/>
      <c r="Y51" s="2"/>
      <c r="Z51" s="26"/>
      <c r="AA51" s="26"/>
      <c r="AB51" s="26"/>
      <c r="AC51" s="26"/>
      <c r="AD51" s="27"/>
      <c r="AE51" s="30"/>
      <c r="AF51" s="26"/>
      <c r="AG51" s="26"/>
      <c r="AH51" s="32"/>
      <c r="AJ51" s="8"/>
      <c r="AK51" s="2"/>
      <c r="AL51" s="26"/>
      <c r="AM51" s="26"/>
      <c r="AN51" s="26"/>
      <c r="AO51" s="27"/>
      <c r="AP51" s="30"/>
      <c r="AQ51" s="26"/>
      <c r="AR51" s="26"/>
      <c r="AS51" s="32"/>
      <c r="AT51" s="34"/>
    </row>
    <row r="52" spans="2:46" x14ac:dyDescent="0.3">
      <c r="B52" s="8"/>
      <c r="C52" s="2" t="s">
        <v>781</v>
      </c>
      <c r="D52" s="26">
        <v>0</v>
      </c>
      <c r="E52" s="26">
        <v>0</v>
      </c>
      <c r="F52" s="27">
        <v>0</v>
      </c>
      <c r="G52" s="26">
        <v>0</v>
      </c>
      <c r="H52" s="26">
        <v>0</v>
      </c>
      <c r="I52" s="27">
        <v>0</v>
      </c>
      <c r="J52" s="26">
        <v>0</v>
      </c>
      <c r="K52" s="26">
        <v>0</v>
      </c>
      <c r="L52" s="67">
        <v>1</v>
      </c>
      <c r="N52" s="8"/>
      <c r="O52" s="2" t="s">
        <v>824</v>
      </c>
      <c r="P52" s="26">
        <v>0</v>
      </c>
      <c r="Q52" s="27">
        <v>0</v>
      </c>
      <c r="R52" s="30">
        <v>0</v>
      </c>
      <c r="S52" s="27">
        <v>0</v>
      </c>
      <c r="T52" s="30">
        <v>0</v>
      </c>
      <c r="U52" s="34">
        <v>1</v>
      </c>
      <c r="V52" s="34">
        <v>1</v>
      </c>
      <c r="X52" s="8"/>
      <c r="Y52" s="2"/>
      <c r="Z52" s="26"/>
      <c r="AA52" s="26"/>
      <c r="AB52" s="26"/>
      <c r="AC52" s="26"/>
      <c r="AD52" s="27"/>
      <c r="AE52" s="30"/>
      <c r="AF52" s="26"/>
      <c r="AG52" s="26"/>
      <c r="AH52" s="32"/>
      <c r="AJ52" s="8"/>
      <c r="AK52" s="2"/>
      <c r="AL52" s="26"/>
      <c r="AM52" s="26"/>
      <c r="AN52" s="26"/>
      <c r="AO52" s="27"/>
      <c r="AP52" s="30"/>
      <c r="AQ52" s="26"/>
      <c r="AR52" s="26"/>
      <c r="AS52" s="32"/>
      <c r="AT52" s="34"/>
    </row>
    <row r="53" spans="2:46" x14ac:dyDescent="0.3">
      <c r="B53" s="8"/>
      <c r="C53" s="2" t="s">
        <v>729</v>
      </c>
      <c r="D53" s="26">
        <v>0</v>
      </c>
      <c r="E53" s="26">
        <v>0</v>
      </c>
      <c r="F53" s="27">
        <v>0</v>
      </c>
      <c r="G53" s="26">
        <v>0</v>
      </c>
      <c r="H53" s="26">
        <v>0</v>
      </c>
      <c r="I53" s="27">
        <v>0</v>
      </c>
      <c r="J53" s="26">
        <v>0</v>
      </c>
      <c r="K53" s="26">
        <v>0</v>
      </c>
      <c r="L53" s="67">
        <v>1</v>
      </c>
      <c r="N53" s="8"/>
      <c r="O53" s="2" t="s">
        <v>665</v>
      </c>
      <c r="P53" s="26">
        <v>0</v>
      </c>
      <c r="Q53" s="27">
        <v>0</v>
      </c>
      <c r="R53" s="30">
        <v>0</v>
      </c>
      <c r="S53" s="27">
        <v>0</v>
      </c>
      <c r="T53" s="30">
        <v>0</v>
      </c>
      <c r="U53" s="34">
        <v>1</v>
      </c>
      <c r="V53" s="34">
        <v>1</v>
      </c>
      <c r="X53" s="8"/>
      <c r="Y53" s="2"/>
      <c r="Z53" s="26"/>
      <c r="AA53" s="26"/>
      <c r="AB53" s="26"/>
      <c r="AC53" s="26"/>
      <c r="AD53" s="27"/>
      <c r="AE53" s="30"/>
      <c r="AF53" s="26"/>
      <c r="AG53" s="26"/>
      <c r="AH53" s="32"/>
      <c r="AJ53" s="8"/>
      <c r="AK53" s="2"/>
      <c r="AL53" s="26"/>
      <c r="AM53" s="26"/>
      <c r="AN53" s="26"/>
      <c r="AO53" s="27"/>
      <c r="AP53" s="30"/>
      <c r="AQ53" s="26"/>
      <c r="AR53" s="26"/>
      <c r="AS53" s="32"/>
      <c r="AT53" s="34"/>
    </row>
    <row r="54" spans="2:46" x14ac:dyDescent="0.3">
      <c r="B54" s="8"/>
      <c r="C54" s="2" t="s">
        <v>782</v>
      </c>
      <c r="D54" s="26">
        <v>0</v>
      </c>
      <c r="E54" s="26">
        <v>0</v>
      </c>
      <c r="F54" s="27">
        <v>0</v>
      </c>
      <c r="G54" s="26">
        <v>0</v>
      </c>
      <c r="H54" s="26">
        <v>0</v>
      </c>
      <c r="I54" s="27">
        <v>0</v>
      </c>
      <c r="J54" s="26">
        <v>0</v>
      </c>
      <c r="K54" s="26">
        <v>0</v>
      </c>
      <c r="L54" s="67">
        <v>1</v>
      </c>
      <c r="N54" s="8"/>
      <c r="O54" s="2" t="s">
        <v>825</v>
      </c>
      <c r="P54" s="26">
        <v>0</v>
      </c>
      <c r="Q54" s="27">
        <v>0</v>
      </c>
      <c r="R54" s="30">
        <v>0</v>
      </c>
      <c r="S54" s="27">
        <v>0</v>
      </c>
      <c r="T54" s="30">
        <v>0</v>
      </c>
      <c r="U54" s="34">
        <v>1</v>
      </c>
      <c r="V54" s="34">
        <v>1</v>
      </c>
      <c r="X54" s="8"/>
      <c r="Y54" s="2"/>
      <c r="Z54" s="26"/>
      <c r="AA54" s="26"/>
      <c r="AB54" s="26"/>
      <c r="AC54" s="26"/>
      <c r="AD54" s="27"/>
      <c r="AE54" s="30"/>
      <c r="AF54" s="26"/>
      <c r="AG54" s="26"/>
      <c r="AH54" s="32"/>
      <c r="AJ54" s="8"/>
      <c r="AK54" s="2"/>
      <c r="AL54" s="26"/>
      <c r="AM54" s="26"/>
      <c r="AN54" s="26"/>
      <c r="AO54" s="27"/>
      <c r="AP54" s="30"/>
      <c r="AQ54" s="26"/>
      <c r="AR54" s="26"/>
      <c r="AS54" s="32"/>
      <c r="AT54" s="34"/>
    </row>
    <row r="55" spans="2:46" x14ac:dyDescent="0.3">
      <c r="B55" s="8"/>
      <c r="C55" s="2" t="s">
        <v>783</v>
      </c>
      <c r="D55" s="26">
        <v>0</v>
      </c>
      <c r="E55" s="26">
        <v>0</v>
      </c>
      <c r="F55" s="27">
        <v>0</v>
      </c>
      <c r="G55" s="26">
        <v>0</v>
      </c>
      <c r="H55" s="26">
        <v>0</v>
      </c>
      <c r="I55" s="27">
        <v>0</v>
      </c>
      <c r="J55" s="26">
        <v>0</v>
      </c>
      <c r="K55" s="26">
        <v>0</v>
      </c>
      <c r="L55" s="67">
        <v>1</v>
      </c>
      <c r="N55" s="8"/>
      <c r="O55" s="2" t="s">
        <v>826</v>
      </c>
      <c r="P55" s="26">
        <v>0</v>
      </c>
      <c r="Q55" s="27">
        <v>0</v>
      </c>
      <c r="R55" s="30">
        <v>0</v>
      </c>
      <c r="S55" s="27">
        <v>0</v>
      </c>
      <c r="T55" s="30">
        <v>0</v>
      </c>
      <c r="U55" s="34">
        <v>1</v>
      </c>
      <c r="V55" s="34">
        <v>1</v>
      </c>
      <c r="X55" s="8"/>
      <c r="Y55" s="2"/>
      <c r="Z55" s="26"/>
      <c r="AA55" s="26"/>
      <c r="AB55" s="26"/>
      <c r="AC55" s="26"/>
      <c r="AD55" s="27"/>
      <c r="AE55" s="30"/>
      <c r="AF55" s="26"/>
      <c r="AG55" s="26"/>
      <c r="AH55" s="32"/>
      <c r="AJ55" s="8"/>
      <c r="AK55" s="2"/>
      <c r="AL55" s="26"/>
      <c r="AM55" s="26"/>
      <c r="AN55" s="26"/>
      <c r="AO55" s="27"/>
      <c r="AP55" s="30"/>
      <c r="AQ55" s="26"/>
      <c r="AR55" s="26"/>
      <c r="AS55" s="32"/>
      <c r="AT55" s="34"/>
    </row>
    <row r="56" spans="2:46" x14ac:dyDescent="0.3">
      <c r="B56" s="8"/>
      <c r="C56" s="2" t="s">
        <v>784</v>
      </c>
      <c r="D56" s="26">
        <v>0</v>
      </c>
      <c r="E56" s="26">
        <v>0</v>
      </c>
      <c r="F56" s="27">
        <v>0</v>
      </c>
      <c r="G56" s="26">
        <v>0</v>
      </c>
      <c r="H56" s="26">
        <v>0</v>
      </c>
      <c r="I56" s="27">
        <v>0</v>
      </c>
      <c r="J56" s="26">
        <v>0</v>
      </c>
      <c r="K56" s="26">
        <v>0</v>
      </c>
      <c r="L56" s="67">
        <v>1</v>
      </c>
      <c r="N56" s="8"/>
      <c r="O56" s="2" t="s">
        <v>827</v>
      </c>
      <c r="P56" s="26">
        <v>0</v>
      </c>
      <c r="Q56" s="27">
        <v>0</v>
      </c>
      <c r="R56" s="30">
        <v>0</v>
      </c>
      <c r="S56" s="27">
        <v>0</v>
      </c>
      <c r="T56" s="30">
        <v>0</v>
      </c>
      <c r="U56" s="34">
        <v>1</v>
      </c>
      <c r="V56" s="34">
        <v>1</v>
      </c>
      <c r="X56" s="8"/>
      <c r="Y56" s="2"/>
      <c r="Z56" s="26"/>
      <c r="AA56" s="26"/>
      <c r="AB56" s="26"/>
      <c r="AC56" s="26"/>
      <c r="AD56" s="27"/>
      <c r="AE56" s="30"/>
      <c r="AF56" s="26"/>
      <c r="AG56" s="26"/>
      <c r="AH56" s="32"/>
      <c r="AJ56" s="8"/>
      <c r="AK56" s="2"/>
      <c r="AL56" s="26"/>
      <c r="AM56" s="26"/>
      <c r="AN56" s="26"/>
      <c r="AO56" s="27"/>
      <c r="AP56" s="30"/>
      <c r="AQ56" s="26"/>
      <c r="AR56" s="26"/>
      <c r="AS56" s="32"/>
      <c r="AT56" s="34"/>
    </row>
    <row r="57" spans="2:46" x14ac:dyDescent="0.3">
      <c r="B57" s="8"/>
      <c r="C57" s="2" t="s">
        <v>785</v>
      </c>
      <c r="D57" s="26">
        <v>0</v>
      </c>
      <c r="E57" s="26">
        <v>0</v>
      </c>
      <c r="F57" s="27">
        <v>0</v>
      </c>
      <c r="G57" s="26">
        <v>0</v>
      </c>
      <c r="H57" s="26">
        <v>0</v>
      </c>
      <c r="I57" s="27">
        <v>0</v>
      </c>
      <c r="J57" s="26">
        <v>0</v>
      </c>
      <c r="K57" s="26">
        <v>0</v>
      </c>
      <c r="L57" s="67">
        <v>1</v>
      </c>
      <c r="N57" s="8"/>
      <c r="O57" s="2" t="s">
        <v>828</v>
      </c>
      <c r="P57" s="26">
        <v>0</v>
      </c>
      <c r="Q57" s="27">
        <v>0</v>
      </c>
      <c r="R57" s="30">
        <v>0</v>
      </c>
      <c r="S57" s="27">
        <v>0</v>
      </c>
      <c r="T57" s="30">
        <v>0</v>
      </c>
      <c r="U57" s="34">
        <v>1</v>
      </c>
      <c r="V57" s="34">
        <v>1</v>
      </c>
      <c r="X57" s="8"/>
      <c r="Y57" s="2"/>
      <c r="Z57" s="26"/>
      <c r="AA57" s="26"/>
      <c r="AB57" s="26"/>
      <c r="AC57" s="26"/>
      <c r="AD57" s="27"/>
      <c r="AE57" s="30"/>
      <c r="AF57" s="26"/>
      <c r="AG57" s="26"/>
      <c r="AH57" s="32"/>
      <c r="AJ57" s="8"/>
      <c r="AK57" s="2"/>
      <c r="AL57" s="26"/>
      <c r="AM57" s="26"/>
      <c r="AN57" s="26"/>
      <c r="AO57" s="27"/>
      <c r="AP57" s="30"/>
      <c r="AQ57" s="26"/>
      <c r="AR57" s="26"/>
      <c r="AS57" s="32"/>
      <c r="AT57" s="34"/>
    </row>
    <row r="58" spans="2:46" x14ac:dyDescent="0.3">
      <c r="B58" s="8"/>
      <c r="C58" s="2" t="s">
        <v>786</v>
      </c>
      <c r="D58" s="26">
        <v>0</v>
      </c>
      <c r="E58" s="26">
        <v>0</v>
      </c>
      <c r="F58" s="27">
        <v>0</v>
      </c>
      <c r="G58" s="26">
        <v>0</v>
      </c>
      <c r="H58" s="26">
        <v>0</v>
      </c>
      <c r="I58" s="27">
        <v>0</v>
      </c>
      <c r="J58" s="26">
        <v>0</v>
      </c>
      <c r="K58" s="26">
        <v>0</v>
      </c>
      <c r="L58" s="67">
        <v>1</v>
      </c>
      <c r="N58" s="8"/>
      <c r="O58" s="2" t="s">
        <v>829</v>
      </c>
      <c r="P58" s="26">
        <v>0</v>
      </c>
      <c r="Q58" s="27">
        <v>0</v>
      </c>
      <c r="R58" s="30">
        <v>0</v>
      </c>
      <c r="S58" s="27">
        <v>0</v>
      </c>
      <c r="T58" s="30">
        <v>0</v>
      </c>
      <c r="U58" s="34">
        <v>1</v>
      </c>
      <c r="V58" s="34">
        <v>1</v>
      </c>
      <c r="X58" s="8"/>
      <c r="Y58" s="2"/>
      <c r="Z58" s="26"/>
      <c r="AA58" s="26"/>
      <c r="AB58" s="26"/>
      <c r="AC58" s="26"/>
      <c r="AD58" s="27"/>
      <c r="AE58" s="30"/>
      <c r="AF58" s="26"/>
      <c r="AG58" s="26"/>
      <c r="AH58" s="32"/>
      <c r="AJ58" s="8"/>
      <c r="AK58" s="2"/>
      <c r="AL58" s="26"/>
      <c r="AM58" s="26"/>
      <c r="AN58" s="26"/>
      <c r="AO58" s="27"/>
      <c r="AP58" s="30"/>
      <c r="AQ58" s="26"/>
      <c r="AR58" s="26"/>
      <c r="AS58" s="32"/>
      <c r="AT58" s="34"/>
    </row>
    <row r="59" spans="2:46" x14ac:dyDescent="0.3">
      <c r="B59" s="8"/>
      <c r="C59" s="2" t="s">
        <v>787</v>
      </c>
      <c r="D59" s="26">
        <v>0</v>
      </c>
      <c r="E59" s="26">
        <v>0</v>
      </c>
      <c r="F59" s="27">
        <v>0</v>
      </c>
      <c r="G59" s="26">
        <v>0</v>
      </c>
      <c r="H59" s="26">
        <v>0</v>
      </c>
      <c r="I59" s="27">
        <v>0</v>
      </c>
      <c r="J59" s="26">
        <v>0</v>
      </c>
      <c r="K59" s="26">
        <v>0</v>
      </c>
      <c r="L59" s="67">
        <v>1</v>
      </c>
      <c r="N59" s="8"/>
      <c r="O59" s="2" t="s">
        <v>830</v>
      </c>
      <c r="P59" s="26">
        <v>0</v>
      </c>
      <c r="Q59" s="27">
        <v>0</v>
      </c>
      <c r="R59" s="30">
        <v>0</v>
      </c>
      <c r="S59" s="27">
        <v>0</v>
      </c>
      <c r="T59" s="30">
        <v>0</v>
      </c>
      <c r="U59" s="34">
        <v>1</v>
      </c>
      <c r="V59" s="34">
        <v>1</v>
      </c>
      <c r="X59" s="8"/>
      <c r="Y59" s="2"/>
      <c r="Z59" s="26"/>
      <c r="AA59" s="26"/>
      <c r="AB59" s="26"/>
      <c r="AC59" s="26"/>
      <c r="AD59" s="27"/>
      <c r="AE59" s="30"/>
      <c r="AF59" s="26"/>
      <c r="AG59" s="26"/>
      <c r="AH59" s="32"/>
      <c r="AJ59" s="8"/>
      <c r="AK59" s="2"/>
      <c r="AL59" s="26"/>
      <c r="AM59" s="26"/>
      <c r="AN59" s="26"/>
      <c r="AO59" s="27"/>
      <c r="AP59" s="30"/>
      <c r="AQ59" s="26"/>
      <c r="AR59" s="26"/>
      <c r="AS59" s="32"/>
      <c r="AT59" s="34"/>
    </row>
    <row r="60" spans="2:46" x14ac:dyDescent="0.3">
      <c r="B60" s="8"/>
      <c r="C60" s="2" t="s">
        <v>788</v>
      </c>
      <c r="D60" s="26">
        <v>0</v>
      </c>
      <c r="E60" s="26">
        <v>0</v>
      </c>
      <c r="F60" s="27">
        <v>0</v>
      </c>
      <c r="G60" s="26">
        <v>0</v>
      </c>
      <c r="H60" s="26">
        <v>0</v>
      </c>
      <c r="I60" s="27">
        <v>0</v>
      </c>
      <c r="J60" s="26">
        <v>0</v>
      </c>
      <c r="K60" s="26">
        <v>0</v>
      </c>
      <c r="L60" s="67">
        <v>1</v>
      </c>
      <c r="N60" s="8"/>
      <c r="O60" s="2" t="s">
        <v>831</v>
      </c>
      <c r="P60" s="26">
        <v>0</v>
      </c>
      <c r="Q60" s="27">
        <v>0</v>
      </c>
      <c r="R60" s="30">
        <v>0</v>
      </c>
      <c r="S60" s="27">
        <v>0</v>
      </c>
      <c r="T60" s="30">
        <v>0</v>
      </c>
      <c r="U60" s="34">
        <v>1</v>
      </c>
      <c r="V60" s="34">
        <v>1</v>
      </c>
      <c r="X60" s="8"/>
      <c r="Y60" s="2"/>
      <c r="Z60" s="26"/>
      <c r="AA60" s="26"/>
      <c r="AB60" s="26"/>
      <c r="AC60" s="26"/>
      <c r="AD60" s="27"/>
      <c r="AE60" s="30"/>
      <c r="AF60" s="26"/>
      <c r="AG60" s="26"/>
      <c r="AH60" s="32"/>
      <c r="AJ60" s="8"/>
      <c r="AK60" s="2"/>
      <c r="AL60" s="26"/>
      <c r="AM60" s="26"/>
      <c r="AN60" s="26"/>
      <c r="AO60" s="27"/>
      <c r="AP60" s="30"/>
      <c r="AQ60" s="26"/>
      <c r="AR60" s="26"/>
      <c r="AS60" s="32"/>
      <c r="AT60" s="34"/>
    </row>
    <row r="61" spans="2:46" x14ac:dyDescent="0.3">
      <c r="B61" s="8"/>
      <c r="C61" s="2" t="s">
        <v>789</v>
      </c>
      <c r="D61" s="26">
        <v>0</v>
      </c>
      <c r="E61" s="26">
        <v>0</v>
      </c>
      <c r="F61" s="27">
        <v>0</v>
      </c>
      <c r="G61" s="26">
        <v>0</v>
      </c>
      <c r="H61" s="26">
        <v>0</v>
      </c>
      <c r="I61" s="27">
        <v>0</v>
      </c>
      <c r="J61" s="26">
        <v>0</v>
      </c>
      <c r="K61" s="26">
        <v>0</v>
      </c>
      <c r="L61" s="67">
        <v>1</v>
      </c>
      <c r="N61" s="8"/>
      <c r="O61" s="2" t="s">
        <v>832</v>
      </c>
      <c r="P61" s="26">
        <v>0</v>
      </c>
      <c r="Q61" s="27">
        <v>0</v>
      </c>
      <c r="R61" s="30">
        <v>0</v>
      </c>
      <c r="S61" s="27">
        <v>0</v>
      </c>
      <c r="T61" s="30">
        <v>0</v>
      </c>
      <c r="U61" s="34">
        <v>1</v>
      </c>
      <c r="V61" s="34">
        <v>1</v>
      </c>
      <c r="X61" s="8"/>
      <c r="Y61" s="2"/>
      <c r="Z61" s="26"/>
      <c r="AA61" s="26"/>
      <c r="AB61" s="26"/>
      <c r="AC61" s="26"/>
      <c r="AD61" s="27"/>
      <c r="AE61" s="30"/>
      <c r="AF61" s="26"/>
      <c r="AG61" s="26"/>
      <c r="AH61" s="32"/>
      <c r="AJ61" s="8"/>
      <c r="AK61" s="2"/>
      <c r="AL61" s="26"/>
      <c r="AM61" s="26"/>
      <c r="AN61" s="26"/>
      <c r="AO61" s="27"/>
      <c r="AP61" s="30"/>
      <c r="AQ61" s="26"/>
      <c r="AR61" s="26"/>
      <c r="AS61" s="32"/>
      <c r="AT61" s="34"/>
    </row>
    <row r="62" spans="2:46" x14ac:dyDescent="0.3">
      <c r="B62" s="8"/>
      <c r="C62" s="2" t="s">
        <v>790</v>
      </c>
      <c r="D62" s="26">
        <v>0</v>
      </c>
      <c r="E62" s="26">
        <v>0</v>
      </c>
      <c r="F62" s="27">
        <v>0</v>
      </c>
      <c r="G62" s="26">
        <v>0</v>
      </c>
      <c r="H62" s="26">
        <v>0</v>
      </c>
      <c r="I62" s="27">
        <v>0</v>
      </c>
      <c r="J62" s="26">
        <v>0</v>
      </c>
      <c r="K62" s="26">
        <v>0</v>
      </c>
      <c r="L62" s="67">
        <v>1</v>
      </c>
      <c r="N62" s="8"/>
      <c r="O62" s="2" t="s">
        <v>833</v>
      </c>
      <c r="P62" s="26">
        <v>0</v>
      </c>
      <c r="Q62" s="27">
        <v>0</v>
      </c>
      <c r="R62" s="30">
        <v>0</v>
      </c>
      <c r="S62" s="27">
        <v>0</v>
      </c>
      <c r="T62" s="30">
        <v>0</v>
      </c>
      <c r="U62" s="34">
        <v>1</v>
      </c>
      <c r="V62" s="34">
        <v>1</v>
      </c>
      <c r="X62" s="8"/>
      <c r="Y62" s="2"/>
      <c r="Z62" s="26"/>
      <c r="AA62" s="26"/>
      <c r="AB62" s="26"/>
      <c r="AC62" s="26"/>
      <c r="AD62" s="27"/>
      <c r="AE62" s="30"/>
      <c r="AF62" s="26"/>
      <c r="AG62" s="26"/>
      <c r="AH62" s="32"/>
      <c r="AJ62" s="8"/>
      <c r="AK62" s="2"/>
      <c r="AL62" s="26"/>
      <c r="AM62" s="26"/>
      <c r="AN62" s="26"/>
      <c r="AO62" s="27"/>
      <c r="AP62" s="30"/>
      <c r="AQ62" s="26"/>
      <c r="AR62" s="26"/>
      <c r="AS62" s="32"/>
      <c r="AT62" s="34"/>
    </row>
    <row r="63" spans="2:46" x14ac:dyDescent="0.3">
      <c r="B63" s="8"/>
      <c r="C63" s="2" t="s">
        <v>791</v>
      </c>
      <c r="D63" s="26">
        <v>0</v>
      </c>
      <c r="E63" s="26">
        <v>0</v>
      </c>
      <c r="F63" s="27">
        <v>0</v>
      </c>
      <c r="G63" s="26">
        <v>0</v>
      </c>
      <c r="H63" s="26">
        <v>0</v>
      </c>
      <c r="I63" s="27">
        <v>0</v>
      </c>
      <c r="J63" s="26">
        <v>0</v>
      </c>
      <c r="K63" s="26">
        <v>0</v>
      </c>
      <c r="L63" s="67">
        <v>1</v>
      </c>
      <c r="N63" s="8"/>
      <c r="O63" s="2" t="s">
        <v>834</v>
      </c>
      <c r="P63" s="26">
        <v>0</v>
      </c>
      <c r="Q63" s="27">
        <v>0</v>
      </c>
      <c r="R63" s="30">
        <v>0</v>
      </c>
      <c r="S63" s="27">
        <v>0</v>
      </c>
      <c r="T63" s="30">
        <v>0</v>
      </c>
      <c r="U63" s="34">
        <v>1</v>
      </c>
      <c r="V63" s="34">
        <v>1</v>
      </c>
      <c r="X63" s="8"/>
      <c r="Y63" s="2"/>
      <c r="Z63" s="26"/>
      <c r="AA63" s="26"/>
      <c r="AB63" s="26"/>
      <c r="AC63" s="26"/>
      <c r="AD63" s="27"/>
      <c r="AE63" s="30"/>
      <c r="AF63" s="26"/>
      <c r="AG63" s="26"/>
      <c r="AH63" s="32"/>
      <c r="AJ63" s="8"/>
      <c r="AK63" s="2"/>
      <c r="AL63" s="26"/>
      <c r="AM63" s="26"/>
      <c r="AN63" s="26"/>
      <c r="AO63" s="27"/>
      <c r="AP63" s="30"/>
      <c r="AQ63" s="26"/>
      <c r="AR63" s="26"/>
      <c r="AS63" s="32"/>
      <c r="AT63" s="34"/>
    </row>
    <row r="64" spans="2:46" x14ac:dyDescent="0.3">
      <c r="B64" s="8"/>
      <c r="C64" s="2" t="s">
        <v>792</v>
      </c>
      <c r="D64" s="26">
        <v>0</v>
      </c>
      <c r="E64" s="26">
        <v>0</v>
      </c>
      <c r="F64" s="27">
        <v>0</v>
      </c>
      <c r="G64" s="26">
        <v>0</v>
      </c>
      <c r="H64" s="26">
        <v>0</v>
      </c>
      <c r="I64" s="27">
        <v>0</v>
      </c>
      <c r="J64" s="26">
        <v>0</v>
      </c>
      <c r="K64" s="26">
        <v>0</v>
      </c>
      <c r="L64" s="67">
        <v>1</v>
      </c>
      <c r="N64" s="8"/>
      <c r="O64" s="2" t="s">
        <v>835</v>
      </c>
      <c r="P64" s="26">
        <v>0</v>
      </c>
      <c r="Q64" s="27">
        <v>0</v>
      </c>
      <c r="R64" s="30">
        <v>0</v>
      </c>
      <c r="S64" s="27">
        <v>0</v>
      </c>
      <c r="T64" s="30">
        <v>0</v>
      </c>
      <c r="U64" s="34">
        <v>1</v>
      </c>
      <c r="V64" s="34">
        <v>1</v>
      </c>
      <c r="X64" s="8"/>
      <c r="Y64" s="2"/>
      <c r="Z64" s="26"/>
      <c r="AA64" s="26"/>
      <c r="AB64" s="26"/>
      <c r="AC64" s="26"/>
      <c r="AD64" s="27"/>
      <c r="AE64" s="30"/>
      <c r="AF64" s="26"/>
      <c r="AG64" s="26"/>
      <c r="AH64" s="32"/>
      <c r="AJ64" s="8"/>
      <c r="AK64" s="2"/>
      <c r="AL64" s="26"/>
      <c r="AM64" s="26"/>
      <c r="AN64" s="26"/>
      <c r="AO64" s="27"/>
      <c r="AP64" s="30"/>
      <c r="AQ64" s="26"/>
      <c r="AR64" s="26"/>
      <c r="AS64" s="32"/>
      <c r="AT64" s="34"/>
    </row>
    <row r="65" spans="2:46" x14ac:dyDescent="0.3">
      <c r="B65" s="8"/>
      <c r="C65" s="2" t="s">
        <v>793</v>
      </c>
      <c r="D65" s="26">
        <v>0</v>
      </c>
      <c r="E65" s="26">
        <v>0</v>
      </c>
      <c r="F65" s="27">
        <v>0</v>
      </c>
      <c r="G65" s="26">
        <v>0</v>
      </c>
      <c r="H65" s="26">
        <v>0</v>
      </c>
      <c r="I65" s="27">
        <v>0</v>
      </c>
      <c r="J65" s="26">
        <v>0</v>
      </c>
      <c r="K65" s="26">
        <v>0</v>
      </c>
      <c r="L65" s="67">
        <v>1</v>
      </c>
      <c r="N65" s="8"/>
      <c r="O65" s="2" t="s">
        <v>836</v>
      </c>
      <c r="P65" s="26">
        <v>0</v>
      </c>
      <c r="Q65" s="27">
        <v>0</v>
      </c>
      <c r="R65" s="30">
        <v>0</v>
      </c>
      <c r="S65" s="27">
        <v>0</v>
      </c>
      <c r="T65" s="30">
        <v>0</v>
      </c>
      <c r="U65" s="34">
        <v>1</v>
      </c>
      <c r="V65" s="34">
        <v>1</v>
      </c>
      <c r="X65" s="8"/>
      <c r="Y65" s="2"/>
      <c r="Z65" s="26"/>
      <c r="AA65" s="26"/>
      <c r="AB65" s="26"/>
      <c r="AC65" s="26"/>
      <c r="AD65" s="27"/>
      <c r="AE65" s="30"/>
      <c r="AF65" s="26"/>
      <c r="AG65" s="26"/>
      <c r="AH65" s="32"/>
      <c r="AJ65" s="8"/>
      <c r="AK65" s="2"/>
      <c r="AL65" s="26"/>
      <c r="AM65" s="26"/>
      <c r="AN65" s="26"/>
      <c r="AO65" s="27"/>
      <c r="AP65" s="30"/>
      <c r="AQ65" s="26"/>
      <c r="AR65" s="26"/>
      <c r="AS65" s="32"/>
      <c r="AT65" s="34"/>
    </row>
    <row r="66" spans="2:46" x14ac:dyDescent="0.3">
      <c r="B66" s="8"/>
      <c r="C66" s="2" t="s">
        <v>980</v>
      </c>
      <c r="D66" s="26">
        <v>0</v>
      </c>
      <c r="E66" s="26">
        <v>0</v>
      </c>
      <c r="F66" s="27">
        <v>0</v>
      </c>
      <c r="G66" s="26">
        <v>0</v>
      </c>
      <c r="H66" s="26">
        <v>0</v>
      </c>
      <c r="I66" s="27">
        <v>0</v>
      </c>
      <c r="J66" s="26">
        <v>0</v>
      </c>
      <c r="K66" s="26">
        <v>0</v>
      </c>
      <c r="L66" s="67">
        <v>1</v>
      </c>
      <c r="N66" s="8"/>
      <c r="O66" s="2" t="s">
        <v>950</v>
      </c>
      <c r="P66" s="26">
        <v>0</v>
      </c>
      <c r="Q66" s="27">
        <v>0</v>
      </c>
      <c r="R66" s="30">
        <v>0</v>
      </c>
      <c r="S66" s="27">
        <v>0</v>
      </c>
      <c r="T66" s="30">
        <v>0</v>
      </c>
      <c r="U66" s="34">
        <v>1</v>
      </c>
      <c r="V66" s="34">
        <v>1</v>
      </c>
      <c r="X66" s="8"/>
      <c r="Y66" s="2"/>
      <c r="Z66" s="26"/>
      <c r="AA66" s="26"/>
      <c r="AB66" s="26"/>
      <c r="AC66" s="26"/>
      <c r="AD66" s="27"/>
      <c r="AE66" s="30"/>
      <c r="AF66" s="26"/>
      <c r="AG66" s="26"/>
      <c r="AH66" s="32"/>
      <c r="AJ66" s="8"/>
      <c r="AK66" s="2"/>
      <c r="AL66" s="26"/>
      <c r="AM66" s="26"/>
      <c r="AN66" s="26"/>
      <c r="AO66" s="27"/>
      <c r="AP66" s="30"/>
      <c r="AQ66" s="26"/>
      <c r="AR66" s="26"/>
      <c r="AS66" s="32"/>
      <c r="AT66" s="34"/>
    </row>
    <row r="67" spans="2:46" x14ac:dyDescent="0.3">
      <c r="B67" s="8"/>
      <c r="C67" s="2" t="s">
        <v>981</v>
      </c>
      <c r="D67" s="26">
        <v>0</v>
      </c>
      <c r="E67" s="26">
        <v>0</v>
      </c>
      <c r="F67" s="27">
        <v>0</v>
      </c>
      <c r="G67" s="26">
        <v>0</v>
      </c>
      <c r="H67" s="26">
        <v>0</v>
      </c>
      <c r="I67" s="27">
        <v>0</v>
      </c>
      <c r="J67" s="26">
        <v>0</v>
      </c>
      <c r="K67" s="26">
        <v>0</v>
      </c>
      <c r="L67" s="67">
        <v>1</v>
      </c>
      <c r="N67" s="8"/>
      <c r="O67" s="2" t="s">
        <v>951</v>
      </c>
      <c r="P67" s="26">
        <v>0</v>
      </c>
      <c r="Q67" s="27">
        <v>0</v>
      </c>
      <c r="R67" s="30">
        <v>0</v>
      </c>
      <c r="S67" s="27">
        <v>0</v>
      </c>
      <c r="T67" s="30">
        <v>0</v>
      </c>
      <c r="U67" s="34">
        <v>1</v>
      </c>
      <c r="V67" s="34">
        <v>1</v>
      </c>
      <c r="X67" s="8"/>
      <c r="Y67" s="2"/>
      <c r="Z67" s="26"/>
      <c r="AA67" s="26"/>
      <c r="AB67" s="26"/>
      <c r="AC67" s="26"/>
      <c r="AD67" s="27"/>
      <c r="AE67" s="30"/>
      <c r="AF67" s="26"/>
      <c r="AG67" s="26"/>
      <c r="AH67" s="32"/>
      <c r="AJ67" s="8"/>
      <c r="AK67" s="2"/>
      <c r="AL67" s="26"/>
      <c r="AM67" s="26"/>
      <c r="AN67" s="26"/>
      <c r="AO67" s="27"/>
      <c r="AP67" s="30"/>
      <c r="AQ67" s="26"/>
      <c r="AR67" s="26"/>
      <c r="AS67" s="32"/>
      <c r="AT67" s="34"/>
    </row>
    <row r="68" spans="2:46" x14ac:dyDescent="0.3">
      <c r="B68" s="8"/>
      <c r="C68" s="2" t="s">
        <v>794</v>
      </c>
      <c r="D68" s="26">
        <v>0</v>
      </c>
      <c r="E68" s="26">
        <v>0</v>
      </c>
      <c r="F68" s="27">
        <v>0</v>
      </c>
      <c r="G68" s="26">
        <v>0</v>
      </c>
      <c r="H68" s="26">
        <v>0</v>
      </c>
      <c r="I68" s="27">
        <v>0</v>
      </c>
      <c r="J68" s="26">
        <v>0</v>
      </c>
      <c r="K68" s="26">
        <v>0</v>
      </c>
      <c r="L68" s="67">
        <v>1</v>
      </c>
      <c r="N68" s="8"/>
      <c r="O68" s="2" t="s">
        <v>837</v>
      </c>
      <c r="P68" s="26">
        <v>0</v>
      </c>
      <c r="Q68" s="27">
        <v>0</v>
      </c>
      <c r="R68" s="30">
        <v>0</v>
      </c>
      <c r="S68" s="27">
        <v>0</v>
      </c>
      <c r="T68" s="30">
        <v>0</v>
      </c>
      <c r="U68" s="34">
        <v>1</v>
      </c>
      <c r="V68" s="34">
        <v>1</v>
      </c>
      <c r="X68" s="8"/>
      <c r="Y68" s="2"/>
      <c r="Z68" s="26"/>
      <c r="AA68" s="26"/>
      <c r="AB68" s="26"/>
      <c r="AC68" s="26"/>
      <c r="AD68" s="27"/>
      <c r="AE68" s="30"/>
      <c r="AF68" s="26"/>
      <c r="AG68" s="26"/>
      <c r="AH68" s="32"/>
      <c r="AJ68" s="8"/>
      <c r="AK68" s="2"/>
      <c r="AL68" s="26"/>
      <c r="AM68" s="26"/>
      <c r="AN68" s="26"/>
      <c r="AO68" s="27"/>
      <c r="AP68" s="30"/>
      <c r="AQ68" s="26"/>
      <c r="AR68" s="26"/>
      <c r="AS68" s="32"/>
      <c r="AT68" s="34"/>
    </row>
    <row r="69" spans="2:46" x14ac:dyDescent="0.3">
      <c r="B69" s="8"/>
      <c r="C69" s="2" t="s">
        <v>795</v>
      </c>
      <c r="D69" s="26">
        <v>0</v>
      </c>
      <c r="E69" s="26">
        <v>0</v>
      </c>
      <c r="F69" s="27">
        <v>0</v>
      </c>
      <c r="G69" s="26">
        <v>0</v>
      </c>
      <c r="H69" s="26">
        <v>0</v>
      </c>
      <c r="I69" s="27">
        <v>0</v>
      </c>
      <c r="J69" s="26">
        <v>0</v>
      </c>
      <c r="K69" s="26">
        <v>0</v>
      </c>
      <c r="L69" s="67">
        <v>1</v>
      </c>
      <c r="N69" s="8"/>
      <c r="O69" s="2" t="s">
        <v>838</v>
      </c>
      <c r="P69" s="26">
        <v>0</v>
      </c>
      <c r="Q69" s="27">
        <v>0</v>
      </c>
      <c r="R69" s="30">
        <v>0</v>
      </c>
      <c r="S69" s="27">
        <v>0</v>
      </c>
      <c r="T69" s="30">
        <v>0</v>
      </c>
      <c r="U69" s="34">
        <v>1</v>
      </c>
      <c r="V69" s="34">
        <v>1</v>
      </c>
      <c r="X69" s="8"/>
      <c r="Y69" s="2"/>
      <c r="Z69" s="26"/>
      <c r="AA69" s="26"/>
      <c r="AB69" s="26"/>
      <c r="AC69" s="26"/>
      <c r="AD69" s="27"/>
      <c r="AE69" s="30"/>
      <c r="AF69" s="26"/>
      <c r="AG69" s="26"/>
      <c r="AH69" s="32"/>
      <c r="AJ69" s="8"/>
      <c r="AK69" s="2"/>
      <c r="AL69" s="26"/>
      <c r="AM69" s="26"/>
      <c r="AN69" s="26"/>
      <c r="AO69" s="27"/>
      <c r="AP69" s="30"/>
      <c r="AQ69" s="26"/>
      <c r="AR69" s="26"/>
      <c r="AS69" s="32"/>
      <c r="AT69" s="34"/>
    </row>
    <row r="70" spans="2:46" x14ac:dyDescent="0.3">
      <c r="B70" s="8"/>
      <c r="C70" s="2" t="s">
        <v>796</v>
      </c>
      <c r="D70" s="26">
        <v>0</v>
      </c>
      <c r="E70" s="26">
        <v>0</v>
      </c>
      <c r="F70" s="27">
        <v>0</v>
      </c>
      <c r="G70" s="26">
        <v>0</v>
      </c>
      <c r="H70" s="26">
        <v>0</v>
      </c>
      <c r="I70" s="27">
        <v>0</v>
      </c>
      <c r="J70" s="26">
        <v>0</v>
      </c>
      <c r="K70" s="26">
        <v>0</v>
      </c>
      <c r="L70" s="67">
        <v>1</v>
      </c>
      <c r="N70" s="8"/>
      <c r="O70" s="2" t="s">
        <v>839</v>
      </c>
      <c r="P70" s="26">
        <v>0</v>
      </c>
      <c r="Q70" s="27">
        <v>0</v>
      </c>
      <c r="R70" s="30">
        <v>0</v>
      </c>
      <c r="S70" s="27">
        <v>0</v>
      </c>
      <c r="T70" s="30">
        <v>0</v>
      </c>
      <c r="U70" s="34">
        <v>1</v>
      </c>
      <c r="V70" s="34">
        <v>1</v>
      </c>
      <c r="X70" s="8"/>
      <c r="Y70" s="2"/>
      <c r="Z70" s="26"/>
      <c r="AA70" s="26"/>
      <c r="AB70" s="26"/>
      <c r="AC70" s="26"/>
      <c r="AD70" s="27"/>
      <c r="AE70" s="30"/>
      <c r="AF70" s="26"/>
      <c r="AG70" s="26"/>
      <c r="AH70" s="32"/>
      <c r="AJ70" s="8"/>
      <c r="AK70" s="2"/>
      <c r="AL70" s="26"/>
      <c r="AM70" s="26"/>
      <c r="AN70" s="26"/>
      <c r="AO70" s="27"/>
      <c r="AP70" s="30"/>
      <c r="AQ70" s="26"/>
      <c r="AR70" s="26"/>
      <c r="AS70" s="32"/>
      <c r="AT70" s="34"/>
    </row>
    <row r="71" spans="2:46" x14ac:dyDescent="0.3">
      <c r="B71" s="8"/>
      <c r="C71" s="2" t="s">
        <v>797</v>
      </c>
      <c r="D71" s="26">
        <v>0</v>
      </c>
      <c r="E71" s="26">
        <v>0</v>
      </c>
      <c r="F71" s="27">
        <v>0</v>
      </c>
      <c r="G71" s="26">
        <v>0</v>
      </c>
      <c r="H71" s="26">
        <v>0</v>
      </c>
      <c r="I71" s="27">
        <v>0</v>
      </c>
      <c r="J71" s="26">
        <v>0</v>
      </c>
      <c r="K71" s="26">
        <v>0</v>
      </c>
      <c r="L71" s="67">
        <v>1</v>
      </c>
      <c r="N71" s="8"/>
      <c r="O71" s="2" t="s">
        <v>840</v>
      </c>
      <c r="P71" s="26">
        <v>0</v>
      </c>
      <c r="Q71" s="27">
        <v>0</v>
      </c>
      <c r="R71" s="30">
        <v>0</v>
      </c>
      <c r="S71" s="27">
        <v>0</v>
      </c>
      <c r="T71" s="30">
        <v>0</v>
      </c>
      <c r="U71" s="34">
        <v>1</v>
      </c>
      <c r="V71" s="34">
        <v>1</v>
      </c>
      <c r="X71" s="8"/>
      <c r="Y71" s="2"/>
      <c r="Z71" s="26"/>
      <c r="AA71" s="26"/>
      <c r="AB71" s="26"/>
      <c r="AC71" s="26"/>
      <c r="AD71" s="27"/>
      <c r="AE71" s="30"/>
      <c r="AF71" s="26"/>
      <c r="AG71" s="26"/>
      <c r="AH71" s="32"/>
      <c r="AJ71" s="8"/>
      <c r="AK71" s="2"/>
      <c r="AL71" s="26"/>
      <c r="AM71" s="26"/>
      <c r="AN71" s="26"/>
      <c r="AO71" s="27"/>
      <c r="AP71" s="30"/>
      <c r="AQ71" s="26"/>
      <c r="AR71" s="26"/>
      <c r="AS71" s="32"/>
      <c r="AT71" s="34"/>
    </row>
    <row r="72" spans="2:46" x14ac:dyDescent="0.3">
      <c r="B72" s="8"/>
      <c r="C72" s="2" t="s">
        <v>798</v>
      </c>
      <c r="D72" s="26">
        <v>0</v>
      </c>
      <c r="E72" s="26">
        <v>0</v>
      </c>
      <c r="F72" s="27">
        <v>0</v>
      </c>
      <c r="G72" s="26">
        <v>0</v>
      </c>
      <c r="H72" s="26">
        <v>0</v>
      </c>
      <c r="I72" s="27">
        <v>0</v>
      </c>
      <c r="J72" s="26">
        <v>0</v>
      </c>
      <c r="K72" s="26">
        <v>0</v>
      </c>
      <c r="L72" s="67">
        <v>1</v>
      </c>
      <c r="N72" s="8"/>
      <c r="O72" s="2" t="s">
        <v>841</v>
      </c>
      <c r="P72" s="26">
        <v>0</v>
      </c>
      <c r="Q72" s="27">
        <v>0</v>
      </c>
      <c r="R72" s="30">
        <v>0</v>
      </c>
      <c r="S72" s="27">
        <v>0</v>
      </c>
      <c r="T72" s="30">
        <v>0</v>
      </c>
      <c r="U72" s="34">
        <v>1</v>
      </c>
      <c r="V72" s="34">
        <v>1</v>
      </c>
      <c r="X72" s="8"/>
      <c r="Y72" s="2"/>
      <c r="Z72" s="26"/>
      <c r="AA72" s="26"/>
      <c r="AB72" s="26"/>
      <c r="AC72" s="26"/>
      <c r="AD72" s="27"/>
      <c r="AE72" s="30"/>
      <c r="AF72" s="26"/>
      <c r="AG72" s="26"/>
      <c r="AH72" s="32"/>
      <c r="AJ72" s="8"/>
      <c r="AK72" s="2"/>
      <c r="AL72" s="26"/>
      <c r="AM72" s="26"/>
      <c r="AN72" s="26"/>
      <c r="AO72" s="27"/>
      <c r="AP72" s="30"/>
      <c r="AQ72" s="26"/>
      <c r="AR72" s="26"/>
      <c r="AS72" s="32"/>
      <c r="AT72" s="34"/>
    </row>
    <row r="73" spans="2:46" x14ac:dyDescent="0.3">
      <c r="B73" s="8"/>
      <c r="C73" s="2" t="s">
        <v>730</v>
      </c>
      <c r="D73" s="26">
        <v>0</v>
      </c>
      <c r="E73" s="26">
        <v>0</v>
      </c>
      <c r="F73" s="27">
        <v>0</v>
      </c>
      <c r="G73" s="26">
        <v>0</v>
      </c>
      <c r="H73" s="26">
        <v>0</v>
      </c>
      <c r="I73" s="27">
        <v>0</v>
      </c>
      <c r="J73" s="26">
        <v>0</v>
      </c>
      <c r="K73" s="26">
        <v>0</v>
      </c>
      <c r="L73" s="67">
        <v>1</v>
      </c>
      <c r="N73" s="8"/>
      <c r="O73" s="2" t="s">
        <v>666</v>
      </c>
      <c r="P73" s="26">
        <v>0</v>
      </c>
      <c r="Q73" s="27">
        <v>0</v>
      </c>
      <c r="R73" s="30">
        <v>0</v>
      </c>
      <c r="S73" s="27">
        <v>0</v>
      </c>
      <c r="T73" s="30">
        <v>0</v>
      </c>
      <c r="U73" s="34">
        <v>1</v>
      </c>
      <c r="V73" s="34">
        <v>1</v>
      </c>
      <c r="X73" s="8"/>
      <c r="Y73" s="2"/>
      <c r="Z73" s="26"/>
      <c r="AA73" s="26"/>
      <c r="AB73" s="26"/>
      <c r="AC73" s="26"/>
      <c r="AD73" s="27"/>
      <c r="AE73" s="30"/>
      <c r="AF73" s="26"/>
      <c r="AG73" s="26"/>
      <c r="AH73" s="32"/>
      <c r="AJ73" s="8"/>
      <c r="AK73" s="2"/>
      <c r="AL73" s="26"/>
      <c r="AM73" s="26"/>
      <c r="AN73" s="26"/>
      <c r="AO73" s="27"/>
      <c r="AP73" s="30"/>
      <c r="AQ73" s="26"/>
      <c r="AR73" s="26"/>
      <c r="AS73" s="32"/>
      <c r="AT73" s="34"/>
    </row>
    <row r="74" spans="2:46" x14ac:dyDescent="0.3">
      <c r="B74" s="8"/>
      <c r="C74" s="2" t="s">
        <v>799</v>
      </c>
      <c r="D74" s="26">
        <v>0</v>
      </c>
      <c r="E74" s="26">
        <v>0</v>
      </c>
      <c r="F74" s="27">
        <v>0</v>
      </c>
      <c r="G74" s="26">
        <v>0</v>
      </c>
      <c r="H74" s="26">
        <v>0</v>
      </c>
      <c r="I74" s="27">
        <v>0</v>
      </c>
      <c r="J74" s="26">
        <v>0</v>
      </c>
      <c r="K74" s="26">
        <v>0</v>
      </c>
      <c r="L74" s="67">
        <v>1</v>
      </c>
      <c r="N74" s="8"/>
      <c r="O74" s="2" t="s">
        <v>842</v>
      </c>
      <c r="P74" s="26">
        <v>0</v>
      </c>
      <c r="Q74" s="27">
        <v>0</v>
      </c>
      <c r="R74" s="30">
        <v>0</v>
      </c>
      <c r="S74" s="27">
        <v>0</v>
      </c>
      <c r="T74" s="30">
        <v>0</v>
      </c>
      <c r="U74" s="34">
        <v>1</v>
      </c>
      <c r="V74" s="34">
        <v>1</v>
      </c>
      <c r="X74" s="8"/>
      <c r="Y74" s="2"/>
      <c r="Z74" s="26"/>
      <c r="AA74" s="26"/>
      <c r="AB74" s="26"/>
      <c r="AC74" s="26"/>
      <c r="AD74" s="27"/>
      <c r="AE74" s="30"/>
      <c r="AF74" s="26"/>
      <c r="AG74" s="26"/>
      <c r="AH74" s="32"/>
      <c r="AJ74" s="8"/>
      <c r="AK74" s="2"/>
      <c r="AL74" s="26"/>
      <c r="AM74" s="26"/>
      <c r="AN74" s="26"/>
      <c r="AO74" s="27"/>
      <c r="AP74" s="30"/>
      <c r="AQ74" s="26"/>
      <c r="AR74" s="26"/>
      <c r="AS74" s="32"/>
      <c r="AT74" s="34"/>
    </row>
    <row r="75" spans="2:46" x14ac:dyDescent="0.3">
      <c r="B75" s="8"/>
      <c r="C75" s="2" t="s">
        <v>731</v>
      </c>
      <c r="D75" s="26">
        <v>0</v>
      </c>
      <c r="E75" s="26">
        <v>0</v>
      </c>
      <c r="F75" s="27">
        <v>0</v>
      </c>
      <c r="G75" s="26">
        <v>0</v>
      </c>
      <c r="H75" s="26">
        <v>0</v>
      </c>
      <c r="I75" s="27">
        <v>0</v>
      </c>
      <c r="J75" s="26">
        <v>0</v>
      </c>
      <c r="K75" s="26">
        <v>0</v>
      </c>
      <c r="L75" s="67">
        <v>1</v>
      </c>
      <c r="N75" s="8"/>
      <c r="O75" s="2" t="s">
        <v>667</v>
      </c>
      <c r="P75" s="26">
        <v>0</v>
      </c>
      <c r="Q75" s="27">
        <v>0</v>
      </c>
      <c r="R75" s="30">
        <v>0</v>
      </c>
      <c r="S75" s="27">
        <v>0</v>
      </c>
      <c r="T75" s="30">
        <v>0</v>
      </c>
      <c r="U75" s="34">
        <v>1</v>
      </c>
      <c r="V75" s="34">
        <v>1</v>
      </c>
      <c r="X75" s="8"/>
      <c r="Y75" s="2"/>
      <c r="Z75" s="26"/>
      <c r="AA75" s="26"/>
      <c r="AB75" s="26"/>
      <c r="AC75" s="26"/>
      <c r="AD75" s="27"/>
      <c r="AE75" s="30"/>
      <c r="AF75" s="26"/>
      <c r="AG75" s="26"/>
      <c r="AH75" s="32"/>
      <c r="AJ75" s="8"/>
      <c r="AK75" s="2"/>
      <c r="AL75" s="26"/>
      <c r="AM75" s="26"/>
      <c r="AN75" s="26"/>
      <c r="AO75" s="27"/>
      <c r="AP75" s="30"/>
      <c r="AQ75" s="26"/>
      <c r="AR75" s="26"/>
      <c r="AS75" s="32"/>
      <c r="AT75" s="34"/>
    </row>
    <row r="76" spans="2:46" x14ac:dyDescent="0.3">
      <c r="B76" s="8"/>
      <c r="C76" s="2" t="s">
        <v>800</v>
      </c>
      <c r="D76" s="26">
        <v>0</v>
      </c>
      <c r="E76" s="26">
        <v>0</v>
      </c>
      <c r="F76" s="27">
        <v>0</v>
      </c>
      <c r="G76" s="26">
        <v>0</v>
      </c>
      <c r="H76" s="26">
        <v>0</v>
      </c>
      <c r="I76" s="27">
        <v>0</v>
      </c>
      <c r="J76" s="26">
        <v>0</v>
      </c>
      <c r="K76" s="26">
        <v>0</v>
      </c>
      <c r="L76" s="67">
        <v>1</v>
      </c>
      <c r="N76" s="8"/>
      <c r="O76" s="2" t="s">
        <v>843</v>
      </c>
      <c r="P76" s="26">
        <v>0</v>
      </c>
      <c r="Q76" s="27">
        <v>0</v>
      </c>
      <c r="R76" s="30">
        <v>0</v>
      </c>
      <c r="S76" s="27">
        <v>0</v>
      </c>
      <c r="T76" s="30">
        <v>0</v>
      </c>
      <c r="U76" s="34">
        <v>1</v>
      </c>
      <c r="V76" s="34">
        <v>1</v>
      </c>
      <c r="X76" s="8"/>
      <c r="Y76" s="2"/>
      <c r="Z76" s="26"/>
      <c r="AA76" s="26"/>
      <c r="AB76" s="26"/>
      <c r="AC76" s="26"/>
      <c r="AD76" s="27"/>
      <c r="AE76" s="30"/>
      <c r="AF76" s="26"/>
      <c r="AG76" s="26"/>
      <c r="AH76" s="32"/>
      <c r="AJ76" s="8"/>
      <c r="AK76" s="2"/>
      <c r="AL76" s="26"/>
      <c r="AM76" s="26"/>
      <c r="AN76" s="26"/>
      <c r="AO76" s="27"/>
      <c r="AP76" s="30"/>
      <c r="AQ76" s="26"/>
      <c r="AR76" s="26"/>
      <c r="AS76" s="32"/>
      <c r="AT76" s="34"/>
    </row>
    <row r="77" spans="2:46" x14ac:dyDescent="0.3">
      <c r="B77" s="8"/>
      <c r="C77" s="2" t="s">
        <v>982</v>
      </c>
      <c r="D77" s="26">
        <v>0</v>
      </c>
      <c r="E77" s="26">
        <v>0</v>
      </c>
      <c r="F77" s="27">
        <v>0</v>
      </c>
      <c r="G77" s="26">
        <v>0</v>
      </c>
      <c r="H77" s="26">
        <v>0</v>
      </c>
      <c r="I77" s="27">
        <v>0</v>
      </c>
      <c r="J77" s="26">
        <v>0</v>
      </c>
      <c r="K77" s="26">
        <v>0</v>
      </c>
      <c r="L77" s="67">
        <v>1</v>
      </c>
      <c r="N77" s="8"/>
      <c r="O77" s="2" t="s">
        <v>952</v>
      </c>
      <c r="P77" s="26">
        <v>0</v>
      </c>
      <c r="Q77" s="27">
        <v>0</v>
      </c>
      <c r="R77" s="30">
        <v>0</v>
      </c>
      <c r="S77" s="27">
        <v>0</v>
      </c>
      <c r="T77" s="30">
        <v>0</v>
      </c>
      <c r="U77" s="34">
        <v>1</v>
      </c>
      <c r="V77" s="34">
        <v>1</v>
      </c>
      <c r="X77" s="8"/>
      <c r="Y77" s="2"/>
      <c r="Z77" s="26"/>
      <c r="AA77" s="26"/>
      <c r="AB77" s="26"/>
      <c r="AC77" s="26"/>
      <c r="AD77" s="27"/>
      <c r="AE77" s="30"/>
      <c r="AF77" s="26"/>
      <c r="AG77" s="26"/>
      <c r="AH77" s="32"/>
      <c r="AJ77" s="8"/>
      <c r="AK77" s="2"/>
      <c r="AL77" s="26"/>
      <c r="AM77" s="26"/>
      <c r="AN77" s="26"/>
      <c r="AO77" s="27"/>
      <c r="AP77" s="30"/>
      <c r="AQ77" s="26"/>
      <c r="AR77" s="26"/>
      <c r="AS77" s="32"/>
      <c r="AT77" s="34"/>
    </row>
    <row r="78" spans="2:46" x14ac:dyDescent="0.3">
      <c r="B78" s="8"/>
      <c r="C78" s="2" t="s">
        <v>983</v>
      </c>
      <c r="D78" s="26">
        <v>0</v>
      </c>
      <c r="E78" s="26">
        <v>0</v>
      </c>
      <c r="F78" s="27">
        <v>0</v>
      </c>
      <c r="G78" s="26">
        <v>0</v>
      </c>
      <c r="H78" s="26">
        <v>0</v>
      </c>
      <c r="I78" s="27">
        <v>0</v>
      </c>
      <c r="J78" s="26">
        <v>0</v>
      </c>
      <c r="K78" s="26">
        <v>0</v>
      </c>
      <c r="L78" s="67">
        <v>1</v>
      </c>
      <c r="N78" s="8"/>
      <c r="O78" s="2" t="s">
        <v>953</v>
      </c>
      <c r="P78" s="26">
        <v>0</v>
      </c>
      <c r="Q78" s="27">
        <v>0</v>
      </c>
      <c r="R78" s="30">
        <v>0</v>
      </c>
      <c r="S78" s="27">
        <v>0</v>
      </c>
      <c r="T78" s="30">
        <v>0</v>
      </c>
      <c r="U78" s="34">
        <v>1</v>
      </c>
      <c r="V78" s="34">
        <v>1</v>
      </c>
      <c r="X78" s="8"/>
      <c r="Y78" s="2"/>
      <c r="Z78" s="26"/>
      <c r="AA78" s="26"/>
      <c r="AB78" s="26"/>
      <c r="AC78" s="26"/>
      <c r="AD78" s="27"/>
      <c r="AE78" s="30"/>
      <c r="AF78" s="26"/>
      <c r="AG78" s="26"/>
      <c r="AH78" s="32"/>
      <c r="AJ78" s="8"/>
      <c r="AK78" s="2"/>
      <c r="AL78" s="26"/>
      <c r="AM78" s="26"/>
      <c r="AN78" s="26"/>
      <c r="AO78" s="27"/>
      <c r="AP78" s="30"/>
      <c r="AQ78" s="26"/>
      <c r="AR78" s="26"/>
      <c r="AS78" s="32"/>
      <c r="AT78" s="34"/>
    </row>
    <row r="79" spans="2:46" x14ac:dyDescent="0.3">
      <c r="B79" s="8"/>
      <c r="C79" s="2" t="s">
        <v>984</v>
      </c>
      <c r="D79" s="26">
        <v>0</v>
      </c>
      <c r="E79" s="26">
        <v>0</v>
      </c>
      <c r="F79" s="27">
        <v>0</v>
      </c>
      <c r="G79" s="26">
        <v>0</v>
      </c>
      <c r="H79" s="26">
        <v>0</v>
      </c>
      <c r="I79" s="27">
        <v>0</v>
      </c>
      <c r="J79" s="26">
        <v>0</v>
      </c>
      <c r="K79" s="26">
        <v>0</v>
      </c>
      <c r="L79" s="67">
        <v>1</v>
      </c>
      <c r="N79" s="8"/>
      <c r="O79" s="2" t="s">
        <v>954</v>
      </c>
      <c r="P79" s="26">
        <v>0</v>
      </c>
      <c r="Q79" s="27">
        <v>0</v>
      </c>
      <c r="R79" s="30">
        <v>0</v>
      </c>
      <c r="S79" s="27">
        <v>0</v>
      </c>
      <c r="T79" s="30">
        <v>0</v>
      </c>
      <c r="U79" s="34">
        <v>1</v>
      </c>
      <c r="V79" s="34">
        <v>1</v>
      </c>
      <c r="X79" s="8"/>
      <c r="Y79" s="2"/>
      <c r="Z79" s="26"/>
      <c r="AA79" s="26"/>
      <c r="AB79" s="26"/>
      <c r="AC79" s="26"/>
      <c r="AD79" s="27"/>
      <c r="AE79" s="30"/>
      <c r="AF79" s="26"/>
      <c r="AG79" s="26"/>
      <c r="AH79" s="32"/>
      <c r="AJ79" s="8"/>
      <c r="AK79" s="2"/>
      <c r="AL79" s="26"/>
      <c r="AM79" s="26"/>
      <c r="AN79" s="26"/>
      <c r="AO79" s="27"/>
      <c r="AP79" s="30"/>
      <c r="AQ79" s="26"/>
      <c r="AR79" s="26"/>
      <c r="AS79" s="32"/>
      <c r="AT79" s="34"/>
    </row>
    <row r="80" spans="2:46" x14ac:dyDescent="0.3">
      <c r="B80" s="8"/>
      <c r="C80" s="2" t="s">
        <v>732</v>
      </c>
      <c r="D80" s="26">
        <v>0</v>
      </c>
      <c r="E80" s="26">
        <v>0</v>
      </c>
      <c r="F80" s="27">
        <v>0</v>
      </c>
      <c r="G80" s="26">
        <v>0</v>
      </c>
      <c r="H80" s="26">
        <v>0</v>
      </c>
      <c r="I80" s="27">
        <v>0</v>
      </c>
      <c r="J80" s="26">
        <v>0</v>
      </c>
      <c r="K80" s="26">
        <v>0</v>
      </c>
      <c r="L80" s="67">
        <v>1</v>
      </c>
      <c r="N80" s="8"/>
      <c r="O80" s="2" t="s">
        <v>668</v>
      </c>
      <c r="P80" s="26">
        <v>0</v>
      </c>
      <c r="Q80" s="27">
        <v>0</v>
      </c>
      <c r="R80" s="30">
        <v>0</v>
      </c>
      <c r="S80" s="27">
        <v>0</v>
      </c>
      <c r="T80" s="30">
        <v>0</v>
      </c>
      <c r="U80" s="34">
        <v>1</v>
      </c>
      <c r="V80" s="34">
        <v>1</v>
      </c>
      <c r="X80" s="8"/>
      <c r="Y80" s="2"/>
      <c r="Z80" s="26"/>
      <c r="AA80" s="26"/>
      <c r="AB80" s="26"/>
      <c r="AC80" s="26"/>
      <c r="AD80" s="27"/>
      <c r="AE80" s="30"/>
      <c r="AF80" s="26"/>
      <c r="AG80" s="26"/>
      <c r="AH80" s="32"/>
      <c r="AJ80" s="8"/>
      <c r="AK80" s="2"/>
      <c r="AL80" s="26"/>
      <c r="AM80" s="26"/>
      <c r="AN80" s="26"/>
      <c r="AO80" s="27"/>
      <c r="AP80" s="30"/>
      <c r="AQ80" s="26"/>
      <c r="AR80" s="26"/>
      <c r="AS80" s="32"/>
      <c r="AT80" s="34"/>
    </row>
    <row r="81" spans="2:46" x14ac:dyDescent="0.3">
      <c r="B81" s="8"/>
      <c r="C81" s="2" t="s">
        <v>801</v>
      </c>
      <c r="D81" s="26">
        <v>0</v>
      </c>
      <c r="E81" s="26">
        <v>0</v>
      </c>
      <c r="F81" s="27">
        <v>0</v>
      </c>
      <c r="G81" s="26">
        <v>0</v>
      </c>
      <c r="H81" s="26">
        <v>0</v>
      </c>
      <c r="I81" s="27">
        <v>0</v>
      </c>
      <c r="J81" s="26">
        <v>0</v>
      </c>
      <c r="K81" s="26">
        <v>0</v>
      </c>
      <c r="L81" s="67">
        <v>1</v>
      </c>
      <c r="N81" s="8"/>
      <c r="O81" s="2" t="s">
        <v>844</v>
      </c>
      <c r="P81" s="26">
        <v>0</v>
      </c>
      <c r="Q81" s="27">
        <v>0</v>
      </c>
      <c r="R81" s="30">
        <v>0</v>
      </c>
      <c r="S81" s="27">
        <v>0</v>
      </c>
      <c r="T81" s="30">
        <v>0</v>
      </c>
      <c r="U81" s="34">
        <v>1</v>
      </c>
      <c r="V81" s="34">
        <v>1</v>
      </c>
      <c r="X81" s="8"/>
      <c r="Y81" s="2"/>
      <c r="Z81" s="26"/>
      <c r="AA81" s="26"/>
      <c r="AB81" s="26"/>
      <c r="AC81" s="26"/>
      <c r="AD81" s="27"/>
      <c r="AE81" s="30"/>
      <c r="AF81" s="26"/>
      <c r="AG81" s="26"/>
      <c r="AH81" s="32"/>
      <c r="AJ81" s="8"/>
      <c r="AK81" s="2"/>
      <c r="AL81" s="26"/>
      <c r="AM81" s="26"/>
      <c r="AN81" s="26"/>
      <c r="AO81" s="27"/>
      <c r="AP81" s="30"/>
      <c r="AQ81" s="26"/>
      <c r="AR81" s="26"/>
      <c r="AS81" s="32"/>
      <c r="AT81" s="34"/>
    </row>
    <row r="82" spans="2:46" x14ac:dyDescent="0.3">
      <c r="B82" s="8"/>
      <c r="C82" s="2" t="s">
        <v>802</v>
      </c>
      <c r="D82" s="26">
        <v>0</v>
      </c>
      <c r="E82" s="26">
        <v>0</v>
      </c>
      <c r="F82" s="27">
        <v>0</v>
      </c>
      <c r="G82" s="26">
        <v>0</v>
      </c>
      <c r="H82" s="26">
        <v>0</v>
      </c>
      <c r="I82" s="27">
        <v>0</v>
      </c>
      <c r="J82" s="26">
        <v>0</v>
      </c>
      <c r="K82" s="26">
        <v>0</v>
      </c>
      <c r="L82" s="67">
        <v>1</v>
      </c>
      <c r="N82" s="8"/>
      <c r="O82" s="2" t="s">
        <v>845</v>
      </c>
      <c r="P82" s="26">
        <v>0</v>
      </c>
      <c r="Q82" s="27">
        <v>0</v>
      </c>
      <c r="R82" s="30">
        <v>0</v>
      </c>
      <c r="S82" s="27">
        <v>0</v>
      </c>
      <c r="T82" s="30">
        <v>0</v>
      </c>
      <c r="U82" s="34">
        <v>1</v>
      </c>
      <c r="V82" s="34">
        <v>1</v>
      </c>
      <c r="X82" s="8"/>
      <c r="Y82" s="2"/>
      <c r="Z82" s="26"/>
      <c r="AA82" s="26"/>
      <c r="AB82" s="26"/>
      <c r="AC82" s="26"/>
      <c r="AD82" s="27"/>
      <c r="AE82" s="30"/>
      <c r="AF82" s="26"/>
      <c r="AG82" s="26"/>
      <c r="AH82" s="32"/>
      <c r="AJ82" s="8"/>
      <c r="AK82" s="2"/>
      <c r="AL82" s="26"/>
      <c r="AM82" s="26"/>
      <c r="AN82" s="26"/>
      <c r="AO82" s="27"/>
      <c r="AP82" s="30"/>
      <c r="AQ82" s="26"/>
      <c r="AR82" s="26"/>
      <c r="AS82" s="32"/>
      <c r="AT82" s="34"/>
    </row>
    <row r="83" spans="2:46" x14ac:dyDescent="0.3">
      <c r="B83" s="8"/>
      <c r="C83" s="2" t="s">
        <v>733</v>
      </c>
      <c r="D83" s="26">
        <v>0</v>
      </c>
      <c r="E83" s="26">
        <v>0</v>
      </c>
      <c r="F83" s="27">
        <v>0</v>
      </c>
      <c r="G83" s="26">
        <v>0</v>
      </c>
      <c r="H83" s="26">
        <v>0</v>
      </c>
      <c r="I83" s="27">
        <v>0</v>
      </c>
      <c r="J83" s="26">
        <v>0</v>
      </c>
      <c r="K83" s="26">
        <v>0</v>
      </c>
      <c r="L83" s="67">
        <v>1</v>
      </c>
      <c r="N83" s="8"/>
      <c r="O83" s="2" t="s">
        <v>669</v>
      </c>
      <c r="P83" s="26">
        <v>0</v>
      </c>
      <c r="Q83" s="27">
        <v>0</v>
      </c>
      <c r="R83" s="30">
        <v>0</v>
      </c>
      <c r="S83" s="27">
        <v>0</v>
      </c>
      <c r="T83" s="30">
        <v>0</v>
      </c>
      <c r="U83" s="34">
        <v>1</v>
      </c>
      <c r="V83" s="34">
        <v>1</v>
      </c>
      <c r="X83" s="8"/>
      <c r="Y83" s="2"/>
      <c r="Z83" s="26"/>
      <c r="AA83" s="26"/>
      <c r="AB83" s="26"/>
      <c r="AC83" s="26"/>
      <c r="AD83" s="27"/>
      <c r="AE83" s="30"/>
      <c r="AF83" s="26"/>
      <c r="AG83" s="26"/>
      <c r="AH83" s="32"/>
      <c r="AJ83" s="8"/>
      <c r="AK83" s="2"/>
      <c r="AL83" s="26"/>
      <c r="AM83" s="26"/>
      <c r="AN83" s="26"/>
      <c r="AO83" s="27"/>
      <c r="AP83" s="30"/>
      <c r="AQ83" s="26"/>
      <c r="AR83" s="26"/>
      <c r="AS83" s="32"/>
      <c r="AT83" s="34"/>
    </row>
    <row r="84" spans="2:46" x14ac:dyDescent="0.3">
      <c r="B84" s="8"/>
      <c r="C84" s="2" t="s">
        <v>803</v>
      </c>
      <c r="D84" s="26">
        <v>0</v>
      </c>
      <c r="E84" s="26">
        <v>0</v>
      </c>
      <c r="F84" s="27">
        <v>0</v>
      </c>
      <c r="G84" s="26">
        <v>0</v>
      </c>
      <c r="H84" s="26">
        <v>0</v>
      </c>
      <c r="I84" s="27">
        <v>0</v>
      </c>
      <c r="J84" s="26">
        <v>0</v>
      </c>
      <c r="K84" s="26">
        <v>0</v>
      </c>
      <c r="L84" s="67">
        <v>1</v>
      </c>
      <c r="N84" s="8"/>
      <c r="O84" s="2" t="s">
        <v>846</v>
      </c>
      <c r="P84" s="26">
        <v>0</v>
      </c>
      <c r="Q84" s="27">
        <v>0</v>
      </c>
      <c r="R84" s="30">
        <v>0</v>
      </c>
      <c r="S84" s="27">
        <v>0</v>
      </c>
      <c r="T84" s="30">
        <v>0</v>
      </c>
      <c r="U84" s="34">
        <v>1</v>
      </c>
      <c r="V84" s="34">
        <v>1</v>
      </c>
      <c r="X84" s="8"/>
      <c r="Y84" s="2"/>
      <c r="Z84" s="26"/>
      <c r="AA84" s="26"/>
      <c r="AB84" s="26"/>
      <c r="AC84" s="26"/>
      <c r="AD84" s="27"/>
      <c r="AE84" s="30"/>
      <c r="AF84" s="26"/>
      <c r="AG84" s="26"/>
      <c r="AH84" s="32"/>
      <c r="AJ84" s="8"/>
      <c r="AK84" s="2"/>
      <c r="AL84" s="26"/>
      <c r="AM84" s="26"/>
      <c r="AN84" s="26"/>
      <c r="AO84" s="27"/>
      <c r="AP84" s="30"/>
      <c r="AQ84" s="26"/>
      <c r="AR84" s="26"/>
      <c r="AS84" s="32"/>
      <c r="AT84" s="34"/>
    </row>
    <row r="85" spans="2:46" x14ac:dyDescent="0.3">
      <c r="B85" s="8"/>
      <c r="C85" s="2" t="s">
        <v>804</v>
      </c>
      <c r="D85" s="26">
        <v>0</v>
      </c>
      <c r="E85" s="26">
        <v>0</v>
      </c>
      <c r="F85" s="27">
        <v>0</v>
      </c>
      <c r="G85" s="26">
        <v>0</v>
      </c>
      <c r="H85" s="26">
        <v>0</v>
      </c>
      <c r="I85" s="27">
        <v>0</v>
      </c>
      <c r="J85" s="26">
        <v>0</v>
      </c>
      <c r="K85" s="26">
        <v>0</v>
      </c>
      <c r="L85" s="67">
        <v>1</v>
      </c>
      <c r="N85" s="8"/>
      <c r="O85" s="2" t="s">
        <v>847</v>
      </c>
      <c r="P85" s="26">
        <v>0</v>
      </c>
      <c r="Q85" s="27">
        <v>0</v>
      </c>
      <c r="R85" s="30">
        <v>0</v>
      </c>
      <c r="S85" s="27">
        <v>0</v>
      </c>
      <c r="T85" s="30">
        <v>0</v>
      </c>
      <c r="U85" s="34">
        <v>1</v>
      </c>
      <c r="V85" s="34">
        <v>1</v>
      </c>
      <c r="X85" s="8"/>
      <c r="Y85" s="2"/>
      <c r="Z85" s="26"/>
      <c r="AA85" s="26"/>
      <c r="AB85" s="26"/>
      <c r="AC85" s="26"/>
      <c r="AD85" s="27"/>
      <c r="AE85" s="30"/>
      <c r="AF85" s="26"/>
      <c r="AG85" s="26"/>
      <c r="AH85" s="32"/>
      <c r="AJ85" s="8"/>
      <c r="AK85" s="2"/>
      <c r="AL85" s="26"/>
      <c r="AM85" s="26"/>
      <c r="AN85" s="26"/>
      <c r="AO85" s="27"/>
      <c r="AP85" s="30"/>
      <c r="AQ85" s="26"/>
      <c r="AR85" s="26"/>
      <c r="AS85" s="32"/>
      <c r="AT85" s="34"/>
    </row>
    <row r="86" spans="2:46" x14ac:dyDescent="0.3">
      <c r="B86" s="8"/>
      <c r="C86" s="2" t="s">
        <v>805</v>
      </c>
      <c r="D86" s="26">
        <v>0</v>
      </c>
      <c r="E86" s="26">
        <v>0</v>
      </c>
      <c r="F86" s="27">
        <v>0</v>
      </c>
      <c r="G86" s="26">
        <v>0</v>
      </c>
      <c r="H86" s="26">
        <v>0</v>
      </c>
      <c r="I86" s="27">
        <v>0</v>
      </c>
      <c r="J86" s="26">
        <v>0</v>
      </c>
      <c r="K86" s="26">
        <v>0</v>
      </c>
      <c r="L86" s="67">
        <v>1</v>
      </c>
      <c r="N86" s="8"/>
      <c r="O86" s="2" t="s">
        <v>848</v>
      </c>
      <c r="P86" s="26">
        <v>0</v>
      </c>
      <c r="Q86" s="27">
        <v>0</v>
      </c>
      <c r="R86" s="30">
        <v>0</v>
      </c>
      <c r="S86" s="27">
        <v>0</v>
      </c>
      <c r="T86" s="30">
        <v>0</v>
      </c>
      <c r="U86" s="34">
        <v>1</v>
      </c>
      <c r="V86" s="34">
        <v>1</v>
      </c>
      <c r="X86" s="8"/>
      <c r="Y86" s="2"/>
      <c r="Z86" s="26"/>
      <c r="AA86" s="26"/>
      <c r="AB86" s="26"/>
      <c r="AC86" s="26"/>
      <c r="AD86" s="27"/>
      <c r="AE86" s="30"/>
      <c r="AF86" s="26"/>
      <c r="AG86" s="26"/>
      <c r="AH86" s="32"/>
      <c r="AJ86" s="8"/>
      <c r="AK86" s="2"/>
      <c r="AL86" s="26"/>
      <c r="AM86" s="26"/>
      <c r="AN86" s="26"/>
      <c r="AO86" s="27"/>
      <c r="AP86" s="30"/>
      <c r="AQ86" s="26"/>
      <c r="AR86" s="26"/>
      <c r="AS86" s="32"/>
      <c r="AT86" s="34"/>
    </row>
    <row r="87" spans="2:46" x14ac:dyDescent="0.3">
      <c r="B87" s="8"/>
      <c r="C87" s="2" t="s">
        <v>734</v>
      </c>
      <c r="D87" s="26">
        <v>0</v>
      </c>
      <c r="E87" s="26">
        <v>0</v>
      </c>
      <c r="F87" s="27">
        <v>0</v>
      </c>
      <c r="G87" s="26">
        <v>0</v>
      </c>
      <c r="H87" s="26">
        <v>0</v>
      </c>
      <c r="I87" s="27">
        <v>0</v>
      </c>
      <c r="J87" s="26">
        <v>0</v>
      </c>
      <c r="K87" s="26">
        <v>0</v>
      </c>
      <c r="L87" s="67">
        <v>1</v>
      </c>
      <c r="N87" s="8"/>
      <c r="O87" s="2" t="s">
        <v>670</v>
      </c>
      <c r="P87" s="26">
        <v>0</v>
      </c>
      <c r="Q87" s="27">
        <v>0</v>
      </c>
      <c r="R87" s="30">
        <v>0</v>
      </c>
      <c r="S87" s="27">
        <v>0</v>
      </c>
      <c r="T87" s="30">
        <v>0</v>
      </c>
      <c r="U87" s="34">
        <v>1</v>
      </c>
      <c r="V87" s="34">
        <v>1</v>
      </c>
      <c r="X87" s="8"/>
      <c r="Y87" s="2"/>
      <c r="Z87" s="26"/>
      <c r="AA87" s="26"/>
      <c r="AB87" s="26"/>
      <c r="AC87" s="26"/>
      <c r="AD87" s="27"/>
      <c r="AE87" s="30"/>
      <c r="AF87" s="26"/>
      <c r="AG87" s="26"/>
      <c r="AH87" s="32"/>
      <c r="AJ87" s="8"/>
      <c r="AK87" s="2"/>
      <c r="AL87" s="26"/>
      <c r="AM87" s="26"/>
      <c r="AN87" s="26"/>
      <c r="AO87" s="27"/>
      <c r="AP87" s="30"/>
      <c r="AQ87" s="26"/>
      <c r="AR87" s="26"/>
      <c r="AS87" s="32"/>
      <c r="AT87" s="34"/>
    </row>
    <row r="88" spans="2:46" x14ac:dyDescent="0.3">
      <c r="B88" s="8"/>
      <c r="C88" s="2" t="s">
        <v>735</v>
      </c>
      <c r="D88" s="26">
        <v>0</v>
      </c>
      <c r="E88" s="26">
        <v>0</v>
      </c>
      <c r="F88" s="27">
        <v>0</v>
      </c>
      <c r="G88" s="26">
        <v>0</v>
      </c>
      <c r="H88" s="26">
        <v>0</v>
      </c>
      <c r="I88" s="27">
        <v>0</v>
      </c>
      <c r="J88" s="26">
        <v>0</v>
      </c>
      <c r="K88" s="26">
        <v>0</v>
      </c>
      <c r="L88" s="67">
        <v>1</v>
      </c>
      <c r="N88" s="8"/>
      <c r="O88" s="2" t="s">
        <v>671</v>
      </c>
      <c r="P88" s="26">
        <v>0</v>
      </c>
      <c r="Q88" s="27">
        <v>0</v>
      </c>
      <c r="R88" s="30">
        <v>0</v>
      </c>
      <c r="S88" s="27">
        <v>0</v>
      </c>
      <c r="T88" s="30">
        <v>0</v>
      </c>
      <c r="U88" s="34">
        <v>1</v>
      </c>
      <c r="V88" s="34">
        <v>1</v>
      </c>
      <c r="X88" s="8"/>
      <c r="Y88" s="2"/>
      <c r="Z88" s="26"/>
      <c r="AA88" s="26"/>
      <c r="AB88" s="26"/>
      <c r="AC88" s="26"/>
      <c r="AD88" s="27"/>
      <c r="AE88" s="30"/>
      <c r="AF88" s="26"/>
      <c r="AG88" s="26"/>
      <c r="AH88" s="32"/>
      <c r="AJ88" s="8"/>
      <c r="AK88" s="2"/>
      <c r="AL88" s="26"/>
      <c r="AM88" s="26"/>
      <c r="AN88" s="26"/>
      <c r="AO88" s="27"/>
      <c r="AP88" s="30"/>
      <c r="AQ88" s="26"/>
      <c r="AR88" s="26"/>
      <c r="AS88" s="32"/>
      <c r="AT88" s="34"/>
    </row>
    <row r="89" spans="2:46" x14ac:dyDescent="0.3">
      <c r="B89" s="8"/>
      <c r="C89" s="2" t="s">
        <v>736</v>
      </c>
      <c r="D89" s="26">
        <v>0</v>
      </c>
      <c r="E89" s="26">
        <v>0</v>
      </c>
      <c r="F89" s="27">
        <v>0</v>
      </c>
      <c r="G89" s="26">
        <v>0</v>
      </c>
      <c r="H89" s="26">
        <v>0</v>
      </c>
      <c r="I89" s="27">
        <v>0</v>
      </c>
      <c r="J89" s="26">
        <v>0</v>
      </c>
      <c r="K89" s="26">
        <v>0</v>
      </c>
      <c r="L89" s="67">
        <v>1</v>
      </c>
      <c r="N89" s="8"/>
      <c r="O89" s="2" t="s">
        <v>672</v>
      </c>
      <c r="P89" s="26">
        <v>0</v>
      </c>
      <c r="Q89" s="27">
        <v>0</v>
      </c>
      <c r="R89" s="30">
        <v>0</v>
      </c>
      <c r="S89" s="27">
        <v>0</v>
      </c>
      <c r="T89" s="30">
        <v>0</v>
      </c>
      <c r="U89" s="34">
        <v>1</v>
      </c>
      <c r="V89" s="34">
        <v>1</v>
      </c>
      <c r="X89" s="8"/>
      <c r="Y89" s="2"/>
      <c r="Z89" s="26"/>
      <c r="AA89" s="26"/>
      <c r="AB89" s="26"/>
      <c r="AC89" s="26"/>
      <c r="AD89" s="27"/>
      <c r="AE89" s="30"/>
      <c r="AF89" s="26"/>
      <c r="AG89" s="26"/>
      <c r="AH89" s="32"/>
      <c r="AJ89" s="8"/>
      <c r="AK89" s="2"/>
      <c r="AL89" s="26"/>
      <c r="AM89" s="26"/>
      <c r="AN89" s="26"/>
      <c r="AO89" s="27"/>
      <c r="AP89" s="30"/>
      <c r="AQ89" s="26"/>
      <c r="AR89" s="26"/>
      <c r="AS89" s="32"/>
      <c r="AT89" s="34"/>
    </row>
    <row r="90" spans="2:46" x14ac:dyDescent="0.3">
      <c r="B90" s="8"/>
      <c r="C90" s="2" t="s">
        <v>737</v>
      </c>
      <c r="D90" s="26">
        <v>0</v>
      </c>
      <c r="E90" s="26">
        <v>0</v>
      </c>
      <c r="F90" s="27">
        <v>0</v>
      </c>
      <c r="G90" s="26">
        <v>0</v>
      </c>
      <c r="H90" s="26">
        <v>0</v>
      </c>
      <c r="I90" s="27">
        <v>0</v>
      </c>
      <c r="J90" s="26">
        <v>0</v>
      </c>
      <c r="K90" s="26">
        <v>0</v>
      </c>
      <c r="L90" s="67">
        <v>1</v>
      </c>
      <c r="N90" s="8"/>
      <c r="O90" s="2" t="s">
        <v>673</v>
      </c>
      <c r="P90" s="26">
        <v>0</v>
      </c>
      <c r="Q90" s="27">
        <v>0</v>
      </c>
      <c r="R90" s="30">
        <v>0</v>
      </c>
      <c r="S90" s="27">
        <v>0</v>
      </c>
      <c r="T90" s="30">
        <v>0</v>
      </c>
      <c r="U90" s="34">
        <v>1</v>
      </c>
      <c r="V90" s="34">
        <v>1</v>
      </c>
      <c r="X90" s="8"/>
      <c r="Y90" s="2"/>
      <c r="Z90" s="26"/>
      <c r="AA90" s="26"/>
      <c r="AB90" s="26"/>
      <c r="AC90" s="26"/>
      <c r="AD90" s="27"/>
      <c r="AE90" s="30"/>
      <c r="AF90" s="26"/>
      <c r="AG90" s="26"/>
      <c r="AH90" s="32"/>
      <c r="AJ90" s="8"/>
      <c r="AK90" s="2"/>
      <c r="AL90" s="26"/>
      <c r="AM90" s="26"/>
      <c r="AN90" s="26"/>
      <c r="AO90" s="27"/>
      <c r="AP90" s="30"/>
      <c r="AQ90" s="26"/>
      <c r="AR90" s="26"/>
      <c r="AS90" s="32"/>
      <c r="AT90" s="34"/>
    </row>
    <row r="91" spans="2:46" x14ac:dyDescent="0.3">
      <c r="B91" s="8"/>
      <c r="C91" s="2" t="s">
        <v>806</v>
      </c>
      <c r="D91" s="26">
        <v>0</v>
      </c>
      <c r="E91" s="26">
        <v>0</v>
      </c>
      <c r="F91" s="27">
        <v>0</v>
      </c>
      <c r="G91" s="26">
        <v>0</v>
      </c>
      <c r="H91" s="26">
        <v>0</v>
      </c>
      <c r="I91" s="27">
        <v>0</v>
      </c>
      <c r="J91" s="26">
        <v>0</v>
      </c>
      <c r="K91" s="26">
        <v>0</v>
      </c>
      <c r="L91" s="67">
        <v>1</v>
      </c>
      <c r="N91" s="8"/>
      <c r="O91" s="2" t="s">
        <v>849</v>
      </c>
      <c r="P91" s="26">
        <v>0</v>
      </c>
      <c r="Q91" s="27">
        <v>0</v>
      </c>
      <c r="R91" s="30">
        <v>0</v>
      </c>
      <c r="S91" s="27">
        <v>0</v>
      </c>
      <c r="T91" s="30">
        <v>0</v>
      </c>
      <c r="U91" s="34">
        <v>1</v>
      </c>
      <c r="V91" s="34">
        <v>1</v>
      </c>
      <c r="X91" s="8"/>
      <c r="Y91" s="2"/>
      <c r="Z91" s="26"/>
      <c r="AA91" s="26"/>
      <c r="AB91" s="26"/>
      <c r="AC91" s="26"/>
      <c r="AD91" s="27"/>
      <c r="AE91" s="30"/>
      <c r="AF91" s="26"/>
      <c r="AG91" s="26"/>
      <c r="AH91" s="32"/>
      <c r="AJ91" s="8"/>
      <c r="AK91" s="2"/>
      <c r="AL91" s="26"/>
      <c r="AM91" s="26"/>
      <c r="AN91" s="26"/>
      <c r="AO91" s="27"/>
      <c r="AP91" s="30"/>
      <c r="AQ91" s="26"/>
      <c r="AR91" s="26"/>
      <c r="AS91" s="32"/>
      <c r="AT91" s="34"/>
    </row>
    <row r="92" spans="2:46" x14ac:dyDescent="0.3">
      <c r="B92" s="8"/>
      <c r="C92" s="2" t="s">
        <v>807</v>
      </c>
      <c r="D92" s="26">
        <v>0</v>
      </c>
      <c r="E92" s="26">
        <v>0</v>
      </c>
      <c r="F92" s="27">
        <v>0</v>
      </c>
      <c r="G92" s="26">
        <v>0</v>
      </c>
      <c r="H92" s="26">
        <v>0</v>
      </c>
      <c r="I92" s="27">
        <v>0</v>
      </c>
      <c r="J92" s="26">
        <v>0</v>
      </c>
      <c r="K92" s="26">
        <v>0</v>
      </c>
      <c r="L92" s="67">
        <v>1</v>
      </c>
      <c r="N92" s="8"/>
      <c r="O92" s="2" t="s">
        <v>850</v>
      </c>
      <c r="P92" s="26">
        <v>0</v>
      </c>
      <c r="Q92" s="27">
        <v>0</v>
      </c>
      <c r="R92" s="30">
        <v>0</v>
      </c>
      <c r="S92" s="27">
        <v>0</v>
      </c>
      <c r="T92" s="30">
        <v>0</v>
      </c>
      <c r="U92" s="34">
        <v>1</v>
      </c>
      <c r="V92" s="34">
        <v>1</v>
      </c>
      <c r="X92" s="8"/>
      <c r="Y92" s="2"/>
      <c r="Z92" s="26"/>
      <c r="AA92" s="26"/>
      <c r="AB92" s="26"/>
      <c r="AC92" s="26"/>
      <c r="AD92" s="27"/>
      <c r="AE92" s="30"/>
      <c r="AF92" s="26"/>
      <c r="AG92" s="26"/>
      <c r="AH92" s="32"/>
      <c r="AJ92" s="8"/>
      <c r="AK92" s="2"/>
      <c r="AL92" s="26"/>
      <c r="AM92" s="26"/>
      <c r="AN92" s="26"/>
      <c r="AO92" s="27"/>
      <c r="AP92" s="30"/>
      <c r="AQ92" s="26"/>
      <c r="AR92" s="26"/>
      <c r="AS92" s="32"/>
      <c r="AT92" s="34"/>
    </row>
    <row r="93" spans="2:46" x14ac:dyDescent="0.3">
      <c r="B93" s="8"/>
      <c r="C93" s="2" t="s">
        <v>738</v>
      </c>
      <c r="D93" s="26">
        <v>0</v>
      </c>
      <c r="E93" s="26">
        <v>0</v>
      </c>
      <c r="F93" s="27">
        <v>0</v>
      </c>
      <c r="G93" s="26">
        <v>0</v>
      </c>
      <c r="H93" s="26">
        <v>0</v>
      </c>
      <c r="I93" s="27">
        <v>0</v>
      </c>
      <c r="J93" s="26">
        <v>0</v>
      </c>
      <c r="K93" s="26">
        <v>0</v>
      </c>
      <c r="L93" s="67">
        <v>1</v>
      </c>
      <c r="N93" s="8"/>
      <c r="O93" s="2" t="s">
        <v>674</v>
      </c>
      <c r="P93" s="26">
        <v>0</v>
      </c>
      <c r="Q93" s="27">
        <v>0</v>
      </c>
      <c r="R93" s="30">
        <v>0</v>
      </c>
      <c r="S93" s="27">
        <v>0</v>
      </c>
      <c r="T93" s="30">
        <v>0</v>
      </c>
      <c r="U93" s="34">
        <v>1</v>
      </c>
      <c r="V93" s="34">
        <v>1</v>
      </c>
      <c r="X93" s="8"/>
      <c r="Y93" s="2"/>
      <c r="Z93" s="26"/>
      <c r="AA93" s="26"/>
      <c r="AB93" s="26"/>
      <c r="AC93" s="26"/>
      <c r="AD93" s="27"/>
      <c r="AE93" s="30"/>
      <c r="AF93" s="26"/>
      <c r="AG93" s="26"/>
      <c r="AH93" s="32"/>
      <c r="AJ93" s="8"/>
      <c r="AK93" s="2"/>
      <c r="AL93" s="26"/>
      <c r="AM93" s="26"/>
      <c r="AN93" s="26"/>
      <c r="AO93" s="27"/>
      <c r="AP93" s="30"/>
      <c r="AQ93" s="26"/>
      <c r="AR93" s="26"/>
      <c r="AS93" s="32"/>
      <c r="AT93" s="34"/>
    </row>
    <row r="94" spans="2:46" x14ac:dyDescent="0.3">
      <c r="B94" s="8"/>
      <c r="C94" s="2" t="s">
        <v>739</v>
      </c>
      <c r="D94" s="26">
        <v>0</v>
      </c>
      <c r="E94" s="26">
        <v>0</v>
      </c>
      <c r="F94" s="27">
        <v>0</v>
      </c>
      <c r="G94" s="26">
        <v>0</v>
      </c>
      <c r="H94" s="26">
        <v>0</v>
      </c>
      <c r="I94" s="27">
        <v>0</v>
      </c>
      <c r="J94" s="26">
        <v>0</v>
      </c>
      <c r="K94" s="26">
        <v>0</v>
      </c>
      <c r="L94" s="67">
        <v>1</v>
      </c>
      <c r="N94" s="8"/>
      <c r="O94" s="2" t="s">
        <v>675</v>
      </c>
      <c r="P94" s="26">
        <v>0</v>
      </c>
      <c r="Q94" s="27">
        <v>0</v>
      </c>
      <c r="R94" s="30">
        <v>0</v>
      </c>
      <c r="S94" s="27">
        <v>0</v>
      </c>
      <c r="T94" s="30">
        <v>0</v>
      </c>
      <c r="U94" s="34">
        <v>1</v>
      </c>
      <c r="V94" s="34">
        <v>1</v>
      </c>
      <c r="X94" s="8"/>
      <c r="Y94" s="2"/>
      <c r="Z94" s="26"/>
      <c r="AA94" s="26"/>
      <c r="AB94" s="26"/>
      <c r="AC94" s="26"/>
      <c r="AD94" s="27"/>
      <c r="AE94" s="30"/>
      <c r="AF94" s="26"/>
      <c r="AG94" s="26"/>
      <c r="AH94" s="32"/>
      <c r="AJ94" s="8"/>
      <c r="AK94" s="2"/>
      <c r="AL94" s="26"/>
      <c r="AM94" s="26"/>
      <c r="AN94" s="26"/>
      <c r="AO94" s="27"/>
      <c r="AP94" s="30"/>
      <c r="AQ94" s="26"/>
      <c r="AR94" s="26"/>
      <c r="AS94" s="32"/>
      <c r="AT94" s="34"/>
    </row>
    <row r="95" spans="2:46" x14ac:dyDescent="0.3">
      <c r="B95" s="8"/>
      <c r="C95" s="2" t="s">
        <v>740</v>
      </c>
      <c r="D95" s="26">
        <v>0</v>
      </c>
      <c r="E95" s="26">
        <v>0</v>
      </c>
      <c r="F95" s="27">
        <v>0</v>
      </c>
      <c r="G95" s="26">
        <v>0</v>
      </c>
      <c r="H95" s="26">
        <v>0</v>
      </c>
      <c r="I95" s="27">
        <v>0</v>
      </c>
      <c r="J95" s="26">
        <v>0</v>
      </c>
      <c r="K95" s="26">
        <v>0</v>
      </c>
      <c r="L95" s="67">
        <v>1</v>
      </c>
      <c r="N95" s="8"/>
      <c r="O95" s="2" t="s">
        <v>676</v>
      </c>
      <c r="P95" s="26">
        <v>0</v>
      </c>
      <c r="Q95" s="27">
        <v>0</v>
      </c>
      <c r="R95" s="30">
        <v>0</v>
      </c>
      <c r="S95" s="27">
        <v>0</v>
      </c>
      <c r="T95" s="30">
        <v>0</v>
      </c>
      <c r="U95" s="34">
        <v>1</v>
      </c>
      <c r="V95" s="34">
        <v>1</v>
      </c>
      <c r="X95" s="8"/>
      <c r="Y95" s="2"/>
      <c r="Z95" s="26"/>
      <c r="AA95" s="26"/>
      <c r="AB95" s="26"/>
      <c r="AC95" s="26"/>
      <c r="AD95" s="27"/>
      <c r="AE95" s="30"/>
      <c r="AF95" s="26"/>
      <c r="AG95" s="26"/>
      <c r="AH95" s="32"/>
      <c r="AJ95" s="8"/>
      <c r="AK95" s="2"/>
      <c r="AL95" s="26"/>
      <c r="AM95" s="26"/>
      <c r="AN95" s="26"/>
      <c r="AO95" s="27"/>
      <c r="AP95" s="30"/>
      <c r="AQ95" s="26"/>
      <c r="AR95" s="26"/>
      <c r="AS95" s="32"/>
      <c r="AT95" s="34"/>
    </row>
    <row r="96" spans="2:46" x14ac:dyDescent="0.3">
      <c r="B96" s="8"/>
      <c r="C96" s="2" t="s">
        <v>741</v>
      </c>
      <c r="D96" s="26">
        <v>0</v>
      </c>
      <c r="E96" s="26">
        <v>0</v>
      </c>
      <c r="F96" s="27">
        <v>0</v>
      </c>
      <c r="G96" s="26">
        <v>0</v>
      </c>
      <c r="H96" s="26">
        <v>0</v>
      </c>
      <c r="I96" s="27">
        <v>0</v>
      </c>
      <c r="J96" s="26">
        <v>0</v>
      </c>
      <c r="K96" s="26">
        <v>0</v>
      </c>
      <c r="L96" s="67">
        <v>1</v>
      </c>
      <c r="N96" s="8"/>
      <c r="O96" s="2" t="s">
        <v>677</v>
      </c>
      <c r="P96" s="26">
        <v>0</v>
      </c>
      <c r="Q96" s="27">
        <v>0</v>
      </c>
      <c r="R96" s="30">
        <v>0</v>
      </c>
      <c r="S96" s="27">
        <v>0</v>
      </c>
      <c r="T96" s="30">
        <v>0</v>
      </c>
      <c r="U96" s="34">
        <v>1</v>
      </c>
      <c r="V96" s="34">
        <v>1</v>
      </c>
      <c r="X96" s="8"/>
      <c r="Y96" s="2"/>
      <c r="Z96" s="26"/>
      <c r="AA96" s="26"/>
      <c r="AB96" s="26"/>
      <c r="AC96" s="26"/>
      <c r="AD96" s="27"/>
      <c r="AE96" s="30"/>
      <c r="AF96" s="26"/>
      <c r="AG96" s="26"/>
      <c r="AH96" s="32"/>
      <c r="AJ96" s="8"/>
      <c r="AK96" s="2"/>
      <c r="AL96" s="26"/>
      <c r="AM96" s="26"/>
      <c r="AN96" s="26"/>
      <c r="AO96" s="27"/>
      <c r="AP96" s="30"/>
      <c r="AQ96" s="26"/>
      <c r="AR96" s="26"/>
      <c r="AS96" s="32"/>
      <c r="AT96" s="34"/>
    </row>
    <row r="97" spans="2:46" x14ac:dyDescent="0.3">
      <c r="B97" s="8"/>
      <c r="C97" s="2" t="s">
        <v>742</v>
      </c>
      <c r="D97" s="26">
        <v>0</v>
      </c>
      <c r="E97" s="26">
        <v>0</v>
      </c>
      <c r="F97" s="27">
        <v>0</v>
      </c>
      <c r="G97" s="26">
        <v>0</v>
      </c>
      <c r="H97" s="26">
        <v>0</v>
      </c>
      <c r="I97" s="27">
        <v>0</v>
      </c>
      <c r="J97" s="26">
        <v>0</v>
      </c>
      <c r="K97" s="26">
        <v>0</v>
      </c>
      <c r="L97" s="67">
        <v>1</v>
      </c>
      <c r="N97" s="8"/>
      <c r="O97" s="2" t="s">
        <v>678</v>
      </c>
      <c r="P97" s="26">
        <v>0</v>
      </c>
      <c r="Q97" s="27">
        <v>0</v>
      </c>
      <c r="R97" s="30">
        <v>0</v>
      </c>
      <c r="S97" s="27">
        <v>0</v>
      </c>
      <c r="T97" s="30">
        <v>0</v>
      </c>
      <c r="U97" s="34">
        <v>1</v>
      </c>
      <c r="V97" s="34">
        <v>1</v>
      </c>
      <c r="X97" s="8"/>
      <c r="Y97" s="2"/>
      <c r="Z97" s="26"/>
      <c r="AA97" s="26"/>
      <c r="AB97" s="26"/>
      <c r="AC97" s="26"/>
      <c r="AD97" s="27"/>
      <c r="AE97" s="30"/>
      <c r="AF97" s="26"/>
      <c r="AG97" s="26"/>
      <c r="AH97" s="32"/>
      <c r="AJ97" s="8"/>
      <c r="AK97" s="2"/>
      <c r="AL97" s="26"/>
      <c r="AM97" s="26"/>
      <c r="AN97" s="26"/>
      <c r="AO97" s="27"/>
      <c r="AP97" s="30"/>
      <c r="AQ97" s="26"/>
      <c r="AR97" s="26"/>
      <c r="AS97" s="32"/>
      <c r="AT97" s="34"/>
    </row>
    <row r="98" spans="2:46" x14ac:dyDescent="0.3">
      <c r="B98" s="8"/>
      <c r="C98" s="2" t="s">
        <v>743</v>
      </c>
      <c r="D98" s="26">
        <v>0</v>
      </c>
      <c r="E98" s="26">
        <v>0</v>
      </c>
      <c r="F98" s="27">
        <v>0</v>
      </c>
      <c r="G98" s="26">
        <v>0</v>
      </c>
      <c r="H98" s="26">
        <v>0</v>
      </c>
      <c r="I98" s="27">
        <v>0</v>
      </c>
      <c r="J98" s="26">
        <v>0</v>
      </c>
      <c r="K98" s="26">
        <v>0</v>
      </c>
      <c r="L98" s="67">
        <v>1</v>
      </c>
      <c r="N98" s="8"/>
      <c r="O98" s="2" t="s">
        <v>679</v>
      </c>
      <c r="P98" s="26">
        <v>0</v>
      </c>
      <c r="Q98" s="27">
        <v>0</v>
      </c>
      <c r="R98" s="30">
        <v>0</v>
      </c>
      <c r="S98" s="27">
        <v>0</v>
      </c>
      <c r="T98" s="30">
        <v>0</v>
      </c>
      <c r="U98" s="34">
        <v>1</v>
      </c>
      <c r="V98" s="34">
        <v>1</v>
      </c>
      <c r="X98" s="8"/>
      <c r="Y98" s="2"/>
      <c r="Z98" s="26"/>
      <c r="AA98" s="26"/>
      <c r="AB98" s="26"/>
      <c r="AC98" s="26"/>
      <c r="AD98" s="27"/>
      <c r="AE98" s="30"/>
      <c r="AF98" s="26"/>
      <c r="AG98" s="26"/>
      <c r="AH98" s="32"/>
      <c r="AJ98" s="8"/>
      <c r="AK98" s="2"/>
      <c r="AL98" s="26"/>
      <c r="AM98" s="26"/>
      <c r="AN98" s="26"/>
      <c r="AO98" s="27"/>
      <c r="AP98" s="30"/>
      <c r="AQ98" s="26"/>
      <c r="AR98" s="26"/>
      <c r="AS98" s="32"/>
      <c r="AT98" s="34"/>
    </row>
    <row r="99" spans="2:46" x14ac:dyDescent="0.3">
      <c r="B99" s="8"/>
      <c r="C99" s="2" t="s">
        <v>744</v>
      </c>
      <c r="D99" s="26">
        <v>0</v>
      </c>
      <c r="E99" s="26">
        <v>0</v>
      </c>
      <c r="F99" s="27">
        <v>0</v>
      </c>
      <c r="G99" s="26">
        <v>0</v>
      </c>
      <c r="H99" s="26">
        <v>0</v>
      </c>
      <c r="I99" s="27">
        <v>0</v>
      </c>
      <c r="J99" s="26">
        <v>0</v>
      </c>
      <c r="K99" s="26">
        <v>0</v>
      </c>
      <c r="L99" s="67">
        <v>1</v>
      </c>
      <c r="N99" s="8"/>
      <c r="O99" s="2" t="s">
        <v>680</v>
      </c>
      <c r="P99" s="26">
        <v>0</v>
      </c>
      <c r="Q99" s="27">
        <v>0</v>
      </c>
      <c r="R99" s="30">
        <v>0</v>
      </c>
      <c r="S99" s="27">
        <v>0</v>
      </c>
      <c r="T99" s="30">
        <v>0</v>
      </c>
      <c r="U99" s="34">
        <v>1</v>
      </c>
      <c r="V99" s="34">
        <v>1</v>
      </c>
      <c r="X99" s="8"/>
      <c r="Y99" s="2"/>
      <c r="Z99" s="26"/>
      <c r="AA99" s="26"/>
      <c r="AB99" s="26"/>
      <c r="AC99" s="26"/>
      <c r="AD99" s="27"/>
      <c r="AE99" s="30"/>
      <c r="AF99" s="26"/>
      <c r="AG99" s="26"/>
      <c r="AH99" s="32"/>
      <c r="AJ99" s="8"/>
      <c r="AK99" s="2"/>
      <c r="AL99" s="26"/>
      <c r="AM99" s="26"/>
      <c r="AN99" s="26"/>
      <c r="AO99" s="27"/>
      <c r="AP99" s="30"/>
      <c r="AQ99" s="26"/>
      <c r="AR99" s="26"/>
      <c r="AS99" s="32"/>
      <c r="AT99" s="34"/>
    </row>
    <row r="100" spans="2:46" x14ac:dyDescent="0.3">
      <c r="B100" s="8"/>
      <c r="C100" s="2" t="s">
        <v>808</v>
      </c>
      <c r="D100" s="26">
        <v>0</v>
      </c>
      <c r="E100" s="26">
        <v>0</v>
      </c>
      <c r="F100" s="27">
        <v>0</v>
      </c>
      <c r="G100" s="26">
        <v>0</v>
      </c>
      <c r="H100" s="26">
        <v>0</v>
      </c>
      <c r="I100" s="27">
        <v>0</v>
      </c>
      <c r="J100" s="26">
        <v>0</v>
      </c>
      <c r="K100" s="26">
        <v>0</v>
      </c>
      <c r="L100" s="67">
        <v>1</v>
      </c>
      <c r="N100" s="8"/>
      <c r="O100" s="2" t="s">
        <v>851</v>
      </c>
      <c r="P100" s="26">
        <v>0</v>
      </c>
      <c r="Q100" s="27">
        <v>0</v>
      </c>
      <c r="R100" s="30">
        <v>0</v>
      </c>
      <c r="S100" s="27">
        <v>0</v>
      </c>
      <c r="T100" s="30">
        <v>0</v>
      </c>
      <c r="U100" s="34">
        <v>1</v>
      </c>
      <c r="V100" s="34">
        <v>1</v>
      </c>
      <c r="X100" s="8"/>
      <c r="Y100" s="2"/>
      <c r="Z100" s="26"/>
      <c r="AA100" s="26"/>
      <c r="AB100" s="26"/>
      <c r="AC100" s="26"/>
      <c r="AD100" s="27"/>
      <c r="AE100" s="30"/>
      <c r="AF100" s="26"/>
      <c r="AG100" s="26"/>
      <c r="AH100" s="32"/>
      <c r="AJ100" s="8"/>
      <c r="AK100" s="2"/>
      <c r="AL100" s="26"/>
      <c r="AM100" s="26"/>
      <c r="AN100" s="26"/>
      <c r="AO100" s="27"/>
      <c r="AP100" s="30"/>
      <c r="AQ100" s="26"/>
      <c r="AR100" s="26"/>
      <c r="AS100" s="32"/>
      <c r="AT100" s="34"/>
    </row>
    <row r="101" spans="2:46" x14ac:dyDescent="0.3">
      <c r="B101" s="8"/>
      <c r="C101" s="2" t="s">
        <v>745</v>
      </c>
      <c r="D101" s="26">
        <v>0</v>
      </c>
      <c r="E101" s="26">
        <v>0</v>
      </c>
      <c r="F101" s="27">
        <v>0</v>
      </c>
      <c r="G101" s="26">
        <v>0</v>
      </c>
      <c r="H101" s="26">
        <v>0</v>
      </c>
      <c r="I101" s="27">
        <v>0</v>
      </c>
      <c r="J101" s="26">
        <v>0</v>
      </c>
      <c r="K101" s="26">
        <v>0</v>
      </c>
      <c r="L101" s="67">
        <v>1</v>
      </c>
      <c r="N101" s="8"/>
      <c r="O101" s="2" t="s">
        <v>681</v>
      </c>
      <c r="P101" s="26">
        <v>0</v>
      </c>
      <c r="Q101" s="27">
        <v>0</v>
      </c>
      <c r="R101" s="30">
        <v>0</v>
      </c>
      <c r="S101" s="27">
        <v>0</v>
      </c>
      <c r="T101" s="30">
        <v>0</v>
      </c>
      <c r="U101" s="34">
        <v>1</v>
      </c>
      <c r="V101" s="34">
        <v>1</v>
      </c>
      <c r="X101" s="8"/>
      <c r="Y101" s="2"/>
      <c r="Z101" s="26"/>
      <c r="AA101" s="26"/>
      <c r="AB101" s="26"/>
      <c r="AC101" s="26"/>
      <c r="AD101" s="27"/>
      <c r="AE101" s="30"/>
      <c r="AF101" s="26"/>
      <c r="AG101" s="26"/>
      <c r="AH101" s="32"/>
      <c r="AJ101" s="8"/>
      <c r="AK101" s="2"/>
      <c r="AL101" s="26"/>
      <c r="AM101" s="26"/>
      <c r="AN101" s="26"/>
      <c r="AO101" s="27"/>
      <c r="AP101" s="30"/>
      <c r="AQ101" s="26"/>
      <c r="AR101" s="26"/>
      <c r="AS101" s="32"/>
      <c r="AT101" s="34"/>
    </row>
    <row r="102" spans="2:46" x14ac:dyDescent="0.3">
      <c r="B102" s="8"/>
      <c r="C102" s="2" t="s">
        <v>746</v>
      </c>
      <c r="D102" s="26">
        <v>0</v>
      </c>
      <c r="E102" s="26">
        <v>0</v>
      </c>
      <c r="F102" s="27">
        <v>0</v>
      </c>
      <c r="G102" s="26">
        <v>0</v>
      </c>
      <c r="H102" s="26">
        <v>0</v>
      </c>
      <c r="I102" s="27">
        <v>0</v>
      </c>
      <c r="J102" s="26">
        <v>0</v>
      </c>
      <c r="K102" s="26">
        <v>0</v>
      </c>
      <c r="L102" s="67">
        <v>1</v>
      </c>
      <c r="N102" s="8"/>
      <c r="O102" s="2" t="s">
        <v>682</v>
      </c>
      <c r="P102" s="26">
        <v>0</v>
      </c>
      <c r="Q102" s="27">
        <v>0</v>
      </c>
      <c r="R102" s="30">
        <v>0</v>
      </c>
      <c r="S102" s="27">
        <v>0</v>
      </c>
      <c r="T102" s="30">
        <v>0</v>
      </c>
      <c r="U102" s="34">
        <v>1</v>
      </c>
      <c r="V102" s="34">
        <v>1</v>
      </c>
      <c r="X102" s="8"/>
      <c r="Y102" s="2"/>
      <c r="Z102" s="26"/>
      <c r="AA102" s="26"/>
      <c r="AB102" s="26"/>
      <c r="AC102" s="26"/>
      <c r="AD102" s="27"/>
      <c r="AE102" s="30"/>
      <c r="AF102" s="26"/>
      <c r="AG102" s="26"/>
      <c r="AH102" s="32"/>
      <c r="AJ102" s="8"/>
      <c r="AK102" s="2"/>
      <c r="AL102" s="26"/>
      <c r="AM102" s="26"/>
      <c r="AN102" s="26"/>
      <c r="AO102" s="27"/>
      <c r="AP102" s="30"/>
      <c r="AQ102" s="26"/>
      <c r="AR102" s="26"/>
      <c r="AS102" s="32"/>
      <c r="AT102" s="34"/>
    </row>
    <row r="103" spans="2:46" x14ac:dyDescent="0.3">
      <c r="B103" s="8"/>
      <c r="C103" s="2" t="s">
        <v>747</v>
      </c>
      <c r="D103" s="26">
        <v>0</v>
      </c>
      <c r="E103" s="26">
        <v>0</v>
      </c>
      <c r="F103" s="27">
        <v>0</v>
      </c>
      <c r="G103" s="26">
        <v>0</v>
      </c>
      <c r="H103" s="26">
        <v>0</v>
      </c>
      <c r="I103" s="27">
        <v>0</v>
      </c>
      <c r="J103" s="26">
        <v>0</v>
      </c>
      <c r="K103" s="26">
        <v>0</v>
      </c>
      <c r="L103" s="67">
        <v>1</v>
      </c>
      <c r="N103" s="8"/>
      <c r="O103" s="2" t="s">
        <v>683</v>
      </c>
      <c r="P103" s="26">
        <v>0</v>
      </c>
      <c r="Q103" s="27">
        <v>0</v>
      </c>
      <c r="R103" s="30">
        <v>0</v>
      </c>
      <c r="S103" s="27">
        <v>0</v>
      </c>
      <c r="T103" s="30">
        <v>0</v>
      </c>
      <c r="U103" s="34">
        <v>1</v>
      </c>
      <c r="V103" s="34">
        <v>1</v>
      </c>
      <c r="X103" s="8"/>
      <c r="Y103" s="2"/>
      <c r="Z103" s="26"/>
      <c r="AA103" s="26"/>
      <c r="AB103" s="26"/>
      <c r="AC103" s="26"/>
      <c r="AD103" s="27"/>
      <c r="AE103" s="30"/>
      <c r="AF103" s="26"/>
      <c r="AG103" s="26"/>
      <c r="AH103" s="32"/>
      <c r="AJ103" s="8"/>
      <c r="AK103" s="2"/>
      <c r="AL103" s="26"/>
      <c r="AM103" s="26"/>
      <c r="AN103" s="26"/>
      <c r="AO103" s="27"/>
      <c r="AP103" s="30"/>
      <c r="AQ103" s="26"/>
      <c r="AR103" s="26"/>
      <c r="AS103" s="32"/>
      <c r="AT103" s="34"/>
    </row>
    <row r="104" spans="2:46" x14ac:dyDescent="0.3">
      <c r="B104" s="8"/>
      <c r="C104" s="2" t="s">
        <v>748</v>
      </c>
      <c r="D104" s="26">
        <v>0</v>
      </c>
      <c r="E104" s="26">
        <v>0</v>
      </c>
      <c r="F104" s="27">
        <v>0</v>
      </c>
      <c r="G104" s="26">
        <v>0</v>
      </c>
      <c r="H104" s="26">
        <v>0</v>
      </c>
      <c r="I104" s="27">
        <v>0</v>
      </c>
      <c r="J104" s="26">
        <v>0</v>
      </c>
      <c r="K104" s="26">
        <v>0</v>
      </c>
      <c r="L104" s="67">
        <v>1</v>
      </c>
      <c r="N104" s="8"/>
      <c r="O104" s="2" t="s">
        <v>684</v>
      </c>
      <c r="P104" s="26">
        <v>0</v>
      </c>
      <c r="Q104" s="27">
        <v>0</v>
      </c>
      <c r="R104" s="30">
        <v>0</v>
      </c>
      <c r="S104" s="27">
        <v>0</v>
      </c>
      <c r="T104" s="30">
        <v>0</v>
      </c>
      <c r="U104" s="34">
        <v>1</v>
      </c>
      <c r="V104" s="34">
        <v>1</v>
      </c>
      <c r="X104" s="8"/>
      <c r="Y104" s="2"/>
      <c r="Z104" s="26"/>
      <c r="AA104" s="26"/>
      <c r="AB104" s="26"/>
      <c r="AC104" s="26"/>
      <c r="AD104" s="27"/>
      <c r="AE104" s="30"/>
      <c r="AF104" s="26"/>
      <c r="AG104" s="26"/>
      <c r="AH104" s="32"/>
      <c r="AJ104" s="8"/>
      <c r="AK104" s="2"/>
      <c r="AL104" s="26"/>
      <c r="AM104" s="26"/>
      <c r="AN104" s="26"/>
      <c r="AO104" s="27"/>
      <c r="AP104" s="30"/>
      <c r="AQ104" s="26"/>
      <c r="AR104" s="26"/>
      <c r="AS104" s="32"/>
      <c r="AT104" s="34"/>
    </row>
    <row r="105" spans="2:46" x14ac:dyDescent="0.3">
      <c r="B105" s="8"/>
      <c r="C105" s="2" t="s">
        <v>749</v>
      </c>
      <c r="D105" s="26">
        <v>0</v>
      </c>
      <c r="E105" s="26">
        <v>0</v>
      </c>
      <c r="F105" s="27">
        <v>0</v>
      </c>
      <c r="G105" s="26">
        <v>0</v>
      </c>
      <c r="H105" s="26">
        <v>0</v>
      </c>
      <c r="I105" s="27">
        <v>0</v>
      </c>
      <c r="J105" s="26">
        <v>0</v>
      </c>
      <c r="K105" s="26">
        <v>0</v>
      </c>
      <c r="L105" s="67">
        <v>1</v>
      </c>
      <c r="N105" s="8"/>
      <c r="O105" s="2" t="s">
        <v>685</v>
      </c>
      <c r="P105" s="26">
        <v>0</v>
      </c>
      <c r="Q105" s="27">
        <v>0</v>
      </c>
      <c r="R105" s="30">
        <v>0</v>
      </c>
      <c r="S105" s="27">
        <v>0</v>
      </c>
      <c r="T105" s="30">
        <v>0</v>
      </c>
      <c r="U105" s="34">
        <v>1</v>
      </c>
      <c r="V105" s="34">
        <v>1</v>
      </c>
      <c r="X105" s="8"/>
      <c r="Y105" s="2"/>
      <c r="Z105" s="26"/>
      <c r="AA105" s="26"/>
      <c r="AB105" s="26"/>
      <c r="AC105" s="26"/>
      <c r="AD105" s="27"/>
      <c r="AE105" s="30"/>
      <c r="AF105" s="26"/>
      <c r="AG105" s="26"/>
      <c r="AH105" s="32"/>
      <c r="AJ105" s="8"/>
      <c r="AK105" s="2"/>
      <c r="AL105" s="26"/>
      <c r="AM105" s="26"/>
      <c r="AN105" s="26"/>
      <c r="AO105" s="27"/>
      <c r="AP105" s="30"/>
      <c r="AQ105" s="26"/>
      <c r="AR105" s="26"/>
      <c r="AS105" s="32"/>
      <c r="AT105" s="34"/>
    </row>
    <row r="106" spans="2:46" x14ac:dyDescent="0.3">
      <c r="B106" s="8"/>
      <c r="C106" s="2" t="s">
        <v>750</v>
      </c>
      <c r="D106" s="26">
        <v>0</v>
      </c>
      <c r="E106" s="26">
        <v>0</v>
      </c>
      <c r="F106" s="27">
        <v>0</v>
      </c>
      <c r="G106" s="26">
        <v>0</v>
      </c>
      <c r="H106" s="26">
        <v>0</v>
      </c>
      <c r="I106" s="27">
        <v>0</v>
      </c>
      <c r="J106" s="26">
        <v>0</v>
      </c>
      <c r="K106" s="26">
        <v>0</v>
      </c>
      <c r="L106" s="67">
        <v>1</v>
      </c>
      <c r="N106" s="8"/>
      <c r="O106" s="2" t="s">
        <v>686</v>
      </c>
      <c r="P106" s="26">
        <v>0</v>
      </c>
      <c r="Q106" s="27">
        <v>0</v>
      </c>
      <c r="R106" s="30">
        <v>0</v>
      </c>
      <c r="S106" s="27">
        <v>0</v>
      </c>
      <c r="T106" s="30">
        <v>0</v>
      </c>
      <c r="U106" s="34">
        <v>1</v>
      </c>
      <c r="V106" s="34">
        <v>1</v>
      </c>
      <c r="X106" s="8"/>
      <c r="Y106" s="2"/>
      <c r="Z106" s="26"/>
      <c r="AA106" s="26"/>
      <c r="AB106" s="26"/>
      <c r="AC106" s="26"/>
      <c r="AD106" s="27"/>
      <c r="AE106" s="30"/>
      <c r="AF106" s="26"/>
      <c r="AG106" s="26"/>
      <c r="AH106" s="32"/>
      <c r="AJ106" s="8"/>
      <c r="AK106" s="2"/>
      <c r="AL106" s="26"/>
      <c r="AM106" s="26"/>
      <c r="AN106" s="26"/>
      <c r="AO106" s="27"/>
      <c r="AP106" s="30"/>
      <c r="AQ106" s="26"/>
      <c r="AR106" s="26"/>
      <c r="AS106" s="32"/>
      <c r="AT106" s="34"/>
    </row>
    <row r="107" spans="2:46" x14ac:dyDescent="0.3">
      <c r="B107" s="8"/>
      <c r="C107" s="2" t="s">
        <v>751</v>
      </c>
      <c r="D107" s="26">
        <v>0</v>
      </c>
      <c r="E107" s="26">
        <v>0</v>
      </c>
      <c r="F107" s="27">
        <v>0</v>
      </c>
      <c r="G107" s="26">
        <v>0</v>
      </c>
      <c r="H107" s="26">
        <v>0</v>
      </c>
      <c r="I107" s="27">
        <v>0</v>
      </c>
      <c r="J107" s="26">
        <v>0</v>
      </c>
      <c r="K107" s="26">
        <v>0</v>
      </c>
      <c r="L107" s="67">
        <v>1</v>
      </c>
      <c r="N107" s="8"/>
      <c r="O107" s="2" t="s">
        <v>687</v>
      </c>
      <c r="P107" s="26">
        <v>0</v>
      </c>
      <c r="Q107" s="27">
        <v>0</v>
      </c>
      <c r="R107" s="30">
        <v>0</v>
      </c>
      <c r="S107" s="27">
        <v>0</v>
      </c>
      <c r="T107" s="30">
        <v>0</v>
      </c>
      <c r="U107" s="34">
        <v>1</v>
      </c>
      <c r="V107" s="34">
        <v>1</v>
      </c>
      <c r="X107" s="8"/>
      <c r="Y107" s="2"/>
      <c r="Z107" s="26"/>
      <c r="AA107" s="26"/>
      <c r="AB107" s="26"/>
      <c r="AC107" s="26"/>
      <c r="AD107" s="27"/>
      <c r="AE107" s="30"/>
      <c r="AF107" s="26"/>
      <c r="AG107" s="26"/>
      <c r="AH107" s="32"/>
      <c r="AJ107" s="8"/>
      <c r="AK107" s="2"/>
      <c r="AL107" s="26"/>
      <c r="AM107" s="26"/>
      <c r="AN107" s="26"/>
      <c r="AO107" s="27"/>
      <c r="AP107" s="30"/>
      <c r="AQ107" s="26"/>
      <c r="AR107" s="26"/>
      <c r="AS107" s="32"/>
      <c r="AT107" s="34"/>
    </row>
    <row r="108" spans="2:46" x14ac:dyDescent="0.3">
      <c r="B108" s="8"/>
      <c r="C108" s="2" t="s">
        <v>752</v>
      </c>
      <c r="D108" s="26">
        <v>0</v>
      </c>
      <c r="E108" s="26">
        <v>0</v>
      </c>
      <c r="F108" s="27">
        <v>0</v>
      </c>
      <c r="G108" s="26">
        <v>0</v>
      </c>
      <c r="H108" s="26">
        <v>0</v>
      </c>
      <c r="I108" s="27">
        <v>0</v>
      </c>
      <c r="J108" s="26">
        <v>0</v>
      </c>
      <c r="K108" s="26">
        <v>0</v>
      </c>
      <c r="L108" s="67">
        <v>1</v>
      </c>
      <c r="N108" s="8"/>
      <c r="O108" s="2" t="s">
        <v>688</v>
      </c>
      <c r="P108" s="26">
        <v>0</v>
      </c>
      <c r="Q108" s="27">
        <v>0</v>
      </c>
      <c r="R108" s="30">
        <v>0</v>
      </c>
      <c r="S108" s="27">
        <v>0</v>
      </c>
      <c r="T108" s="30">
        <v>0</v>
      </c>
      <c r="U108" s="34">
        <v>1</v>
      </c>
      <c r="V108" s="34">
        <v>1</v>
      </c>
      <c r="X108" s="8"/>
      <c r="Y108" s="2"/>
      <c r="Z108" s="26"/>
      <c r="AA108" s="26"/>
      <c r="AB108" s="26"/>
      <c r="AC108" s="26"/>
      <c r="AD108" s="27"/>
      <c r="AE108" s="30"/>
      <c r="AF108" s="26"/>
      <c r="AG108" s="26"/>
      <c r="AH108" s="32"/>
      <c r="AJ108" s="8"/>
      <c r="AK108" s="2"/>
      <c r="AL108" s="26"/>
      <c r="AM108" s="26"/>
      <c r="AN108" s="26"/>
      <c r="AO108" s="27"/>
      <c r="AP108" s="30"/>
      <c r="AQ108" s="26"/>
      <c r="AR108" s="26"/>
      <c r="AS108" s="32"/>
      <c r="AT108" s="34"/>
    </row>
    <row r="109" spans="2:46" x14ac:dyDescent="0.3">
      <c r="B109" s="8"/>
      <c r="C109" s="2"/>
      <c r="D109" s="26"/>
      <c r="E109" s="26"/>
      <c r="F109" s="27"/>
      <c r="G109" s="26"/>
      <c r="H109" s="26"/>
      <c r="I109" s="27"/>
      <c r="J109" s="26"/>
      <c r="K109" s="26"/>
      <c r="L109" s="67"/>
      <c r="N109" s="8"/>
      <c r="O109" s="2"/>
      <c r="P109" s="26"/>
      <c r="Q109" s="27"/>
      <c r="R109" s="30"/>
      <c r="S109" s="27"/>
      <c r="T109" s="30"/>
      <c r="U109" s="34"/>
      <c r="V109" s="34"/>
      <c r="X109" s="8"/>
      <c r="Y109" s="2"/>
      <c r="Z109" s="26"/>
      <c r="AA109" s="26"/>
      <c r="AB109" s="26"/>
      <c r="AC109" s="26"/>
      <c r="AD109" s="27"/>
      <c r="AE109" s="30"/>
      <c r="AF109" s="26"/>
      <c r="AG109" s="26"/>
      <c r="AH109" s="32"/>
      <c r="AJ109" s="8"/>
      <c r="AK109" s="2"/>
      <c r="AL109" s="26"/>
      <c r="AM109" s="26"/>
      <c r="AN109" s="26"/>
      <c r="AO109" s="27"/>
      <c r="AP109" s="30"/>
      <c r="AQ109" s="26"/>
      <c r="AR109" s="26"/>
      <c r="AS109" s="32"/>
      <c r="AT109" s="34"/>
    </row>
    <row r="110" spans="2:46" x14ac:dyDescent="0.3">
      <c r="B110" s="8"/>
      <c r="C110" s="2"/>
      <c r="D110" s="26"/>
      <c r="E110" s="26"/>
      <c r="F110" s="27"/>
      <c r="G110" s="26"/>
      <c r="H110" s="26"/>
      <c r="I110" s="27"/>
      <c r="J110" s="26"/>
      <c r="K110" s="26"/>
      <c r="L110" s="67"/>
      <c r="N110" s="8"/>
      <c r="O110" s="2"/>
      <c r="P110" s="26"/>
      <c r="Q110" s="27"/>
      <c r="R110" s="30"/>
      <c r="S110" s="27"/>
      <c r="T110" s="30"/>
      <c r="U110" s="34"/>
      <c r="V110" s="34"/>
      <c r="X110" s="8"/>
      <c r="Y110" s="2"/>
      <c r="Z110" s="26"/>
      <c r="AA110" s="26"/>
      <c r="AB110" s="26"/>
      <c r="AC110" s="26"/>
      <c r="AD110" s="27"/>
      <c r="AE110" s="30"/>
      <c r="AF110" s="26"/>
      <c r="AG110" s="26"/>
      <c r="AH110" s="32"/>
      <c r="AJ110" s="8"/>
      <c r="AK110" s="2"/>
      <c r="AL110" s="26"/>
      <c r="AM110" s="26"/>
      <c r="AN110" s="26"/>
      <c r="AO110" s="27"/>
      <c r="AP110" s="30"/>
      <c r="AQ110" s="26"/>
      <c r="AR110" s="26"/>
      <c r="AS110" s="32"/>
      <c r="AT110" s="34"/>
    </row>
    <row r="111" spans="2:46" x14ac:dyDescent="0.3">
      <c r="B111" s="8"/>
      <c r="C111" s="2"/>
      <c r="D111" s="26"/>
      <c r="E111" s="26"/>
      <c r="F111" s="27"/>
      <c r="G111" s="26"/>
      <c r="H111" s="26"/>
      <c r="I111" s="27"/>
      <c r="J111" s="26"/>
      <c r="K111" s="26"/>
      <c r="L111" s="67"/>
      <c r="N111" s="8"/>
      <c r="O111" s="2"/>
      <c r="P111" s="26"/>
      <c r="Q111" s="27"/>
      <c r="R111" s="30"/>
      <c r="S111" s="27"/>
      <c r="T111" s="30"/>
      <c r="U111" s="34"/>
      <c r="V111" s="34"/>
      <c r="X111" s="8"/>
      <c r="Y111" s="2"/>
      <c r="Z111" s="26"/>
      <c r="AA111" s="26"/>
      <c r="AB111" s="26"/>
      <c r="AC111" s="26"/>
      <c r="AD111" s="27"/>
      <c r="AE111" s="30"/>
      <c r="AF111" s="26"/>
      <c r="AG111" s="26"/>
      <c r="AH111" s="32"/>
      <c r="AJ111" s="8"/>
      <c r="AK111" s="2"/>
      <c r="AL111" s="26"/>
      <c r="AM111" s="26"/>
      <c r="AN111" s="26"/>
      <c r="AO111" s="27"/>
      <c r="AP111" s="30"/>
      <c r="AQ111" s="26"/>
      <c r="AR111" s="26"/>
      <c r="AS111" s="32"/>
      <c r="AT111" s="34"/>
    </row>
    <row r="112" spans="2:46" x14ac:dyDescent="0.3">
      <c r="B112" s="8"/>
      <c r="C112" s="2"/>
      <c r="D112" s="26"/>
      <c r="E112" s="26"/>
      <c r="F112" s="27"/>
      <c r="G112" s="26"/>
      <c r="H112" s="26"/>
      <c r="I112" s="27"/>
      <c r="J112" s="26"/>
      <c r="K112" s="26"/>
      <c r="L112" s="67"/>
      <c r="N112" s="8"/>
      <c r="O112" s="2"/>
      <c r="P112" s="26"/>
      <c r="Q112" s="27"/>
      <c r="R112" s="30"/>
      <c r="S112" s="27"/>
      <c r="T112" s="30"/>
      <c r="U112" s="34"/>
      <c r="V112" s="34"/>
      <c r="X112" s="8"/>
      <c r="Y112" s="2"/>
      <c r="Z112" s="26"/>
      <c r="AA112" s="26"/>
      <c r="AB112" s="26"/>
      <c r="AC112" s="26"/>
      <c r="AD112" s="27"/>
      <c r="AE112" s="30"/>
      <c r="AF112" s="26"/>
      <c r="AG112" s="26"/>
      <c r="AH112" s="32"/>
      <c r="AJ112" s="8"/>
      <c r="AK112" s="2"/>
      <c r="AL112" s="26"/>
      <c r="AM112" s="26"/>
      <c r="AN112" s="26"/>
      <c r="AO112" s="27"/>
      <c r="AP112" s="30"/>
      <c r="AQ112" s="26"/>
      <c r="AR112" s="26"/>
      <c r="AS112" s="32"/>
      <c r="AT112" s="34"/>
    </row>
    <row r="113" spans="2:46" x14ac:dyDescent="0.3">
      <c r="B113" s="8"/>
      <c r="C113" s="2"/>
      <c r="D113" s="26"/>
      <c r="E113" s="26"/>
      <c r="F113" s="27"/>
      <c r="G113" s="26"/>
      <c r="H113" s="26"/>
      <c r="I113" s="27"/>
      <c r="J113" s="26"/>
      <c r="K113" s="26"/>
      <c r="L113" s="67"/>
      <c r="N113" s="8"/>
      <c r="O113" s="2"/>
      <c r="P113" s="26"/>
      <c r="Q113" s="27"/>
      <c r="R113" s="30"/>
      <c r="S113" s="27"/>
      <c r="T113" s="30"/>
      <c r="U113" s="34"/>
      <c r="V113" s="34"/>
      <c r="X113" s="8"/>
      <c r="Y113" s="2"/>
      <c r="Z113" s="26"/>
      <c r="AA113" s="26"/>
      <c r="AB113" s="26"/>
      <c r="AC113" s="26"/>
      <c r="AD113" s="27"/>
      <c r="AE113" s="30"/>
      <c r="AF113" s="26"/>
      <c r="AG113" s="26"/>
      <c r="AH113" s="32"/>
      <c r="AJ113" s="8"/>
      <c r="AK113" s="2"/>
      <c r="AL113" s="26"/>
      <c r="AM113" s="26"/>
      <c r="AN113" s="26"/>
      <c r="AO113" s="27"/>
      <c r="AP113" s="30"/>
      <c r="AQ113" s="26"/>
      <c r="AR113" s="26"/>
      <c r="AS113" s="32"/>
      <c r="AT113" s="34"/>
    </row>
    <row r="114" spans="2:46" x14ac:dyDescent="0.3">
      <c r="B114" s="8"/>
      <c r="C114" s="2"/>
      <c r="D114" s="26"/>
      <c r="E114" s="26"/>
      <c r="F114" s="27"/>
      <c r="G114" s="26"/>
      <c r="H114" s="26"/>
      <c r="I114" s="27"/>
      <c r="J114" s="26"/>
      <c r="K114" s="26"/>
      <c r="L114" s="67"/>
      <c r="N114" s="8"/>
      <c r="O114" s="2"/>
      <c r="P114" s="26"/>
      <c r="Q114" s="27"/>
      <c r="R114" s="30"/>
      <c r="S114" s="27"/>
      <c r="T114" s="30"/>
      <c r="U114" s="34"/>
      <c r="V114" s="34"/>
      <c r="X114" s="8"/>
      <c r="Y114" s="2"/>
      <c r="Z114" s="26"/>
      <c r="AA114" s="26"/>
      <c r="AB114" s="26"/>
      <c r="AC114" s="26"/>
      <c r="AD114" s="27"/>
      <c r="AE114" s="30"/>
      <c r="AF114" s="26"/>
      <c r="AG114" s="26"/>
      <c r="AH114" s="32"/>
      <c r="AJ114" s="8"/>
      <c r="AK114" s="2"/>
      <c r="AL114" s="26"/>
      <c r="AM114" s="26"/>
      <c r="AN114" s="26"/>
      <c r="AO114" s="27"/>
      <c r="AP114" s="30"/>
      <c r="AQ114" s="26"/>
      <c r="AR114" s="26"/>
      <c r="AS114" s="32"/>
      <c r="AT114" s="34"/>
    </row>
    <row r="115" spans="2:46" x14ac:dyDescent="0.3">
      <c r="B115" s="8"/>
      <c r="C115" s="2"/>
      <c r="D115" s="26"/>
      <c r="E115" s="26"/>
      <c r="F115" s="27"/>
      <c r="G115" s="26"/>
      <c r="H115" s="26"/>
      <c r="I115" s="27"/>
      <c r="J115" s="26"/>
      <c r="K115" s="26"/>
      <c r="L115" s="67"/>
      <c r="N115" s="8"/>
      <c r="O115" s="2"/>
      <c r="P115" s="26"/>
      <c r="Q115" s="27"/>
      <c r="R115" s="30"/>
      <c r="S115" s="27"/>
      <c r="T115" s="30"/>
      <c r="U115" s="34"/>
      <c r="V115" s="34"/>
      <c r="X115" s="8"/>
      <c r="Y115" s="2"/>
      <c r="Z115" s="26"/>
      <c r="AA115" s="26"/>
      <c r="AB115" s="26"/>
      <c r="AC115" s="26"/>
      <c r="AD115" s="27"/>
      <c r="AE115" s="30"/>
      <c r="AF115" s="26"/>
      <c r="AG115" s="26"/>
      <c r="AH115" s="32"/>
      <c r="AJ115" s="8"/>
      <c r="AK115" s="2"/>
      <c r="AL115" s="26"/>
      <c r="AM115" s="26"/>
      <c r="AN115" s="26"/>
      <c r="AO115" s="27"/>
      <c r="AP115" s="30"/>
      <c r="AQ115" s="26"/>
      <c r="AR115" s="26"/>
      <c r="AS115" s="32"/>
      <c r="AT115" s="34"/>
    </row>
    <row r="116" spans="2:46" x14ac:dyDescent="0.3">
      <c r="B116" s="8"/>
      <c r="C116" s="2"/>
      <c r="D116" s="26"/>
      <c r="E116" s="26"/>
      <c r="F116" s="27"/>
      <c r="G116" s="26"/>
      <c r="H116" s="26"/>
      <c r="I116" s="27"/>
      <c r="J116" s="26"/>
      <c r="K116" s="26"/>
      <c r="L116" s="67"/>
      <c r="N116" s="8"/>
      <c r="O116" s="2"/>
      <c r="P116" s="26"/>
      <c r="Q116" s="27"/>
      <c r="R116" s="30"/>
      <c r="S116" s="27"/>
      <c r="T116" s="30"/>
      <c r="U116" s="34"/>
      <c r="V116" s="34"/>
      <c r="X116" s="8"/>
      <c r="Y116" s="2"/>
      <c r="Z116" s="26"/>
      <c r="AA116" s="26"/>
      <c r="AB116" s="26"/>
      <c r="AC116" s="26"/>
      <c r="AD116" s="27"/>
      <c r="AE116" s="30"/>
      <c r="AF116" s="26"/>
      <c r="AG116" s="26"/>
      <c r="AH116" s="32"/>
      <c r="AJ116" s="8"/>
      <c r="AK116" s="2"/>
      <c r="AL116" s="26"/>
      <c r="AM116" s="26"/>
      <c r="AN116" s="26"/>
      <c r="AO116" s="27"/>
      <c r="AP116" s="30"/>
      <c r="AQ116" s="26"/>
      <c r="AR116" s="26"/>
      <c r="AS116" s="32"/>
      <c r="AT116" s="34"/>
    </row>
    <row r="117" spans="2:46" x14ac:dyDescent="0.3">
      <c r="B117" s="8"/>
      <c r="C117" s="2"/>
      <c r="D117" s="26"/>
      <c r="E117" s="26"/>
      <c r="F117" s="27"/>
      <c r="G117" s="26"/>
      <c r="H117" s="26"/>
      <c r="I117" s="27"/>
      <c r="J117" s="26"/>
      <c r="K117" s="26"/>
      <c r="L117" s="67"/>
      <c r="N117" s="8"/>
      <c r="O117" s="2"/>
      <c r="P117" s="26"/>
      <c r="Q117" s="27"/>
      <c r="R117" s="30"/>
      <c r="S117" s="27"/>
      <c r="T117" s="30"/>
      <c r="U117" s="34"/>
      <c r="V117" s="34"/>
      <c r="X117" s="8"/>
      <c r="Y117" s="2"/>
      <c r="Z117" s="26"/>
      <c r="AA117" s="26"/>
      <c r="AB117" s="26"/>
      <c r="AC117" s="26"/>
      <c r="AD117" s="27"/>
      <c r="AE117" s="30"/>
      <c r="AF117" s="26"/>
      <c r="AG117" s="26"/>
      <c r="AH117" s="32"/>
      <c r="AJ117" s="8"/>
      <c r="AK117" s="2"/>
      <c r="AL117" s="26"/>
      <c r="AM117" s="26"/>
      <c r="AN117" s="26"/>
      <c r="AO117" s="27"/>
      <c r="AP117" s="30"/>
      <c r="AQ117" s="26"/>
      <c r="AR117" s="26"/>
      <c r="AS117" s="32"/>
      <c r="AT117" s="34"/>
    </row>
    <row r="118" spans="2:46" x14ac:dyDescent="0.3">
      <c r="B118" s="8"/>
      <c r="C118" s="2"/>
      <c r="D118" s="26"/>
      <c r="E118" s="26"/>
      <c r="F118" s="27"/>
      <c r="G118" s="26"/>
      <c r="H118" s="26"/>
      <c r="I118" s="27"/>
      <c r="J118" s="26"/>
      <c r="K118" s="26"/>
      <c r="L118" s="67"/>
      <c r="N118" s="8"/>
      <c r="O118" s="2"/>
      <c r="P118" s="26"/>
      <c r="Q118" s="27"/>
      <c r="R118" s="30"/>
      <c r="S118" s="27"/>
      <c r="T118" s="30"/>
      <c r="U118" s="34"/>
      <c r="V118" s="34"/>
      <c r="X118" s="8"/>
      <c r="Y118" s="2"/>
      <c r="Z118" s="26"/>
      <c r="AA118" s="26"/>
      <c r="AB118" s="26"/>
      <c r="AC118" s="26"/>
      <c r="AD118" s="27"/>
      <c r="AE118" s="30"/>
      <c r="AF118" s="26"/>
      <c r="AG118" s="26"/>
      <c r="AH118" s="32"/>
      <c r="AJ118" s="8"/>
      <c r="AK118" s="2"/>
      <c r="AL118" s="26"/>
      <c r="AM118" s="26"/>
      <c r="AN118" s="26"/>
      <c r="AO118" s="27"/>
      <c r="AP118" s="30"/>
      <c r="AQ118" s="26"/>
      <c r="AR118" s="26"/>
      <c r="AS118" s="32"/>
      <c r="AT118" s="34"/>
    </row>
    <row r="119" spans="2:46" x14ac:dyDescent="0.3">
      <c r="B119" s="8"/>
      <c r="C119" s="2"/>
      <c r="D119" s="26"/>
      <c r="E119" s="26"/>
      <c r="F119" s="27"/>
      <c r="G119" s="26"/>
      <c r="H119" s="26"/>
      <c r="I119" s="27"/>
      <c r="J119" s="26"/>
      <c r="K119" s="26"/>
      <c r="L119" s="67"/>
      <c r="N119" s="8"/>
      <c r="O119" s="2"/>
      <c r="P119" s="26"/>
      <c r="Q119" s="27"/>
      <c r="R119" s="30"/>
      <c r="S119" s="27"/>
      <c r="T119" s="30"/>
      <c r="U119" s="34"/>
      <c r="V119" s="34"/>
      <c r="X119" s="8"/>
      <c r="Y119" s="2"/>
      <c r="Z119" s="26"/>
      <c r="AA119" s="26"/>
      <c r="AB119" s="26"/>
      <c r="AC119" s="26"/>
      <c r="AD119" s="27"/>
      <c r="AE119" s="30"/>
      <c r="AF119" s="26"/>
      <c r="AG119" s="26"/>
      <c r="AH119" s="32"/>
      <c r="AJ119" s="8"/>
      <c r="AK119" s="2"/>
      <c r="AL119" s="26"/>
      <c r="AM119" s="26"/>
      <c r="AN119" s="26"/>
      <c r="AO119" s="27"/>
      <c r="AP119" s="30"/>
      <c r="AQ119" s="26"/>
      <c r="AR119" s="26"/>
      <c r="AS119" s="32"/>
      <c r="AT119" s="34"/>
    </row>
    <row r="120" spans="2:46" x14ac:dyDescent="0.3">
      <c r="B120" s="8"/>
      <c r="C120" s="2"/>
      <c r="D120" s="26"/>
      <c r="E120" s="26"/>
      <c r="F120" s="27"/>
      <c r="G120" s="26"/>
      <c r="H120" s="26"/>
      <c r="I120" s="27"/>
      <c r="J120" s="26"/>
      <c r="K120" s="26"/>
      <c r="L120" s="67"/>
      <c r="N120" s="8"/>
      <c r="O120" s="2"/>
      <c r="P120" s="26"/>
      <c r="Q120" s="27"/>
      <c r="R120" s="30"/>
      <c r="S120" s="27"/>
      <c r="T120" s="30"/>
      <c r="U120" s="34"/>
      <c r="V120" s="34"/>
      <c r="X120" s="8"/>
      <c r="Y120" s="2"/>
      <c r="Z120" s="26"/>
      <c r="AA120" s="26"/>
      <c r="AB120" s="26"/>
      <c r="AC120" s="26"/>
      <c r="AD120" s="27"/>
      <c r="AE120" s="30"/>
      <c r="AF120" s="26"/>
      <c r="AG120" s="26"/>
      <c r="AH120" s="32"/>
      <c r="AJ120" s="8"/>
      <c r="AK120" s="2"/>
      <c r="AL120" s="26"/>
      <c r="AM120" s="26"/>
      <c r="AN120" s="26"/>
      <c r="AO120" s="27"/>
      <c r="AP120" s="30"/>
      <c r="AQ120" s="26"/>
      <c r="AR120" s="26"/>
      <c r="AS120" s="32"/>
      <c r="AT120" s="34"/>
    </row>
    <row r="121" spans="2:46" x14ac:dyDescent="0.3">
      <c r="B121" s="8"/>
      <c r="C121" s="2"/>
      <c r="D121" s="26"/>
      <c r="E121" s="26"/>
      <c r="F121" s="27"/>
      <c r="G121" s="26"/>
      <c r="H121" s="26"/>
      <c r="I121" s="27"/>
      <c r="J121" s="26"/>
      <c r="K121" s="26"/>
      <c r="L121" s="67"/>
      <c r="N121" s="8"/>
      <c r="O121" s="2"/>
      <c r="P121" s="26"/>
      <c r="Q121" s="27"/>
      <c r="R121" s="30"/>
      <c r="S121" s="27"/>
      <c r="T121" s="30"/>
      <c r="U121" s="34"/>
      <c r="V121" s="34"/>
      <c r="X121" s="8"/>
      <c r="Y121" s="2"/>
      <c r="Z121" s="26"/>
      <c r="AA121" s="26"/>
      <c r="AB121" s="26"/>
      <c r="AC121" s="26"/>
      <c r="AD121" s="27"/>
      <c r="AE121" s="30"/>
      <c r="AF121" s="26"/>
      <c r="AG121" s="26"/>
      <c r="AH121" s="32"/>
      <c r="AJ121" s="8"/>
      <c r="AK121" s="2"/>
      <c r="AL121" s="26"/>
      <c r="AM121" s="26"/>
      <c r="AN121" s="26"/>
      <c r="AO121" s="27"/>
      <c r="AP121" s="30"/>
      <c r="AQ121" s="26"/>
      <c r="AR121" s="26"/>
      <c r="AS121" s="32"/>
      <c r="AT121" s="34"/>
    </row>
    <row r="122" spans="2:46" x14ac:dyDescent="0.3">
      <c r="B122" s="8"/>
      <c r="C122" s="2"/>
      <c r="D122" s="26"/>
      <c r="E122" s="26"/>
      <c r="F122" s="27"/>
      <c r="G122" s="26"/>
      <c r="H122" s="26"/>
      <c r="I122" s="27"/>
      <c r="J122" s="26"/>
      <c r="K122" s="26"/>
      <c r="L122" s="67"/>
      <c r="N122" s="8"/>
      <c r="O122" s="2"/>
      <c r="P122" s="26"/>
      <c r="Q122" s="27"/>
      <c r="R122" s="30"/>
      <c r="S122" s="27"/>
      <c r="T122" s="30"/>
      <c r="U122" s="34"/>
      <c r="V122" s="34"/>
      <c r="X122" s="8"/>
      <c r="Y122" s="2"/>
      <c r="Z122" s="26"/>
      <c r="AA122" s="26"/>
      <c r="AB122" s="26"/>
      <c r="AC122" s="26"/>
      <c r="AD122" s="27"/>
      <c r="AE122" s="30"/>
      <c r="AF122" s="26"/>
      <c r="AG122" s="26"/>
      <c r="AH122" s="32"/>
      <c r="AJ122" s="8"/>
      <c r="AK122" s="2"/>
      <c r="AL122" s="26"/>
      <c r="AM122" s="26"/>
      <c r="AN122" s="26"/>
      <c r="AO122" s="27"/>
      <c r="AP122" s="30"/>
      <c r="AQ122" s="26"/>
      <c r="AR122" s="26"/>
      <c r="AS122" s="32"/>
      <c r="AT122" s="34"/>
    </row>
    <row r="123" spans="2:46" x14ac:dyDescent="0.3">
      <c r="B123" s="8"/>
      <c r="C123" s="2"/>
      <c r="D123" s="26"/>
      <c r="E123" s="26"/>
      <c r="F123" s="27"/>
      <c r="G123" s="26"/>
      <c r="H123" s="26"/>
      <c r="I123" s="27"/>
      <c r="J123" s="26"/>
      <c r="K123" s="26"/>
      <c r="L123" s="67"/>
      <c r="N123" s="8"/>
      <c r="O123" s="2"/>
      <c r="P123" s="26"/>
      <c r="Q123" s="27"/>
      <c r="R123" s="30"/>
      <c r="S123" s="27"/>
      <c r="T123" s="30"/>
      <c r="U123" s="34"/>
      <c r="V123" s="34"/>
      <c r="X123" s="8"/>
      <c r="Y123" s="2"/>
      <c r="Z123" s="26"/>
      <c r="AA123" s="26"/>
      <c r="AB123" s="26"/>
      <c r="AC123" s="26"/>
      <c r="AD123" s="27"/>
      <c r="AE123" s="30"/>
      <c r="AF123" s="26"/>
      <c r="AG123" s="26"/>
      <c r="AH123" s="32"/>
      <c r="AJ123" s="8"/>
      <c r="AK123" s="2"/>
      <c r="AL123" s="26"/>
      <c r="AM123" s="26"/>
      <c r="AN123" s="26"/>
      <c r="AO123" s="27"/>
      <c r="AP123" s="30"/>
      <c r="AQ123" s="26"/>
      <c r="AR123" s="26"/>
      <c r="AS123" s="32"/>
      <c r="AT123" s="34"/>
    </row>
    <row r="124" spans="2:46" x14ac:dyDescent="0.3">
      <c r="B124" s="8"/>
      <c r="C124" s="2"/>
      <c r="D124" s="26"/>
      <c r="E124" s="26"/>
      <c r="F124" s="27"/>
      <c r="G124" s="26"/>
      <c r="H124" s="26"/>
      <c r="I124" s="27"/>
      <c r="J124" s="26"/>
      <c r="K124" s="26"/>
      <c r="L124" s="67"/>
      <c r="N124" s="8"/>
      <c r="O124" s="2"/>
      <c r="P124" s="26"/>
      <c r="Q124" s="27"/>
      <c r="R124" s="30"/>
      <c r="S124" s="27"/>
      <c r="T124" s="30"/>
      <c r="U124" s="34"/>
      <c r="V124" s="34"/>
      <c r="X124" s="8"/>
      <c r="Y124" s="2"/>
      <c r="Z124" s="26"/>
      <c r="AA124" s="26"/>
      <c r="AB124" s="26"/>
      <c r="AC124" s="26"/>
      <c r="AD124" s="27"/>
      <c r="AE124" s="30"/>
      <c r="AF124" s="26"/>
      <c r="AG124" s="26"/>
      <c r="AH124" s="32"/>
      <c r="AJ124" s="8"/>
      <c r="AK124" s="2"/>
      <c r="AL124" s="26"/>
      <c r="AM124" s="26"/>
      <c r="AN124" s="26"/>
      <c r="AO124" s="27"/>
      <c r="AP124" s="30"/>
      <c r="AQ124" s="26"/>
      <c r="AR124" s="26"/>
      <c r="AS124" s="32"/>
      <c r="AT124" s="34"/>
    </row>
    <row r="125" spans="2:46" x14ac:dyDescent="0.3">
      <c r="B125" s="8"/>
      <c r="C125" s="2"/>
      <c r="D125" s="26"/>
      <c r="E125" s="26"/>
      <c r="F125" s="27"/>
      <c r="G125" s="26"/>
      <c r="H125" s="26"/>
      <c r="I125" s="27"/>
      <c r="J125" s="26"/>
      <c r="K125" s="26"/>
      <c r="L125" s="67"/>
      <c r="N125" s="8"/>
      <c r="O125" s="2"/>
      <c r="P125" s="26"/>
      <c r="Q125" s="27"/>
      <c r="R125" s="30"/>
      <c r="S125" s="27"/>
      <c r="T125" s="30"/>
      <c r="U125" s="34"/>
      <c r="V125" s="34"/>
      <c r="X125" s="8"/>
      <c r="Y125" s="2"/>
      <c r="Z125" s="26"/>
      <c r="AA125" s="26"/>
      <c r="AB125" s="26"/>
      <c r="AC125" s="26"/>
      <c r="AD125" s="27"/>
      <c r="AE125" s="30"/>
      <c r="AF125" s="26"/>
      <c r="AG125" s="26"/>
      <c r="AH125" s="32"/>
      <c r="AJ125" s="8"/>
      <c r="AK125" s="2"/>
      <c r="AL125" s="26"/>
      <c r="AM125" s="26"/>
      <c r="AN125" s="26"/>
      <c r="AO125" s="27"/>
      <c r="AP125" s="30"/>
      <c r="AQ125" s="26"/>
      <c r="AR125" s="26"/>
      <c r="AS125" s="32"/>
      <c r="AT125" s="34"/>
    </row>
    <row r="126" spans="2:46" x14ac:dyDescent="0.3">
      <c r="B126" s="8"/>
      <c r="C126" s="2"/>
      <c r="D126" s="26"/>
      <c r="E126" s="26"/>
      <c r="F126" s="27"/>
      <c r="G126" s="26"/>
      <c r="H126" s="26"/>
      <c r="I126" s="27"/>
      <c r="J126" s="26"/>
      <c r="K126" s="26"/>
      <c r="L126" s="67"/>
      <c r="N126" s="8"/>
      <c r="O126" s="2"/>
      <c r="P126" s="26"/>
      <c r="Q126" s="27"/>
      <c r="R126" s="30"/>
      <c r="S126" s="27"/>
      <c r="T126" s="30"/>
      <c r="U126" s="34"/>
      <c r="V126" s="34"/>
      <c r="X126" s="8"/>
      <c r="Y126" s="2"/>
      <c r="Z126" s="26"/>
      <c r="AA126" s="26"/>
      <c r="AB126" s="26"/>
      <c r="AC126" s="26"/>
      <c r="AD126" s="27"/>
      <c r="AE126" s="30"/>
      <c r="AF126" s="26"/>
      <c r="AG126" s="26"/>
      <c r="AH126" s="32"/>
      <c r="AJ126" s="8"/>
      <c r="AK126" s="2"/>
      <c r="AL126" s="26"/>
      <c r="AM126" s="26"/>
      <c r="AN126" s="26"/>
      <c r="AO126" s="27"/>
      <c r="AP126" s="30"/>
      <c r="AQ126" s="26"/>
      <c r="AR126" s="26"/>
      <c r="AS126" s="32"/>
      <c r="AT126" s="34"/>
    </row>
    <row r="127" spans="2:46" x14ac:dyDescent="0.3">
      <c r="B127" s="8"/>
      <c r="C127" s="2"/>
      <c r="D127" s="26"/>
      <c r="E127" s="26"/>
      <c r="F127" s="27"/>
      <c r="G127" s="26"/>
      <c r="H127" s="26"/>
      <c r="I127" s="27"/>
      <c r="J127" s="26"/>
      <c r="K127" s="26"/>
      <c r="L127" s="67"/>
      <c r="N127" s="8"/>
      <c r="O127" s="2"/>
      <c r="P127" s="26"/>
      <c r="Q127" s="27"/>
      <c r="R127" s="30"/>
      <c r="S127" s="27"/>
      <c r="T127" s="30"/>
      <c r="U127" s="34"/>
      <c r="V127" s="34"/>
      <c r="X127" s="8"/>
      <c r="Y127" s="2"/>
      <c r="Z127" s="26"/>
      <c r="AA127" s="26"/>
      <c r="AB127" s="26"/>
      <c r="AC127" s="26"/>
      <c r="AD127" s="27"/>
      <c r="AE127" s="30"/>
      <c r="AF127" s="26"/>
      <c r="AG127" s="26"/>
      <c r="AH127" s="32"/>
      <c r="AJ127" s="8"/>
      <c r="AK127" s="2"/>
      <c r="AL127" s="26"/>
      <c r="AM127" s="26"/>
      <c r="AN127" s="26"/>
      <c r="AO127" s="27"/>
      <c r="AP127" s="30"/>
      <c r="AQ127" s="26"/>
      <c r="AR127" s="26"/>
      <c r="AS127" s="32"/>
      <c r="AT127" s="34"/>
    </row>
    <row r="128" spans="2:46" x14ac:dyDescent="0.3">
      <c r="B128" s="8"/>
      <c r="C128" s="2"/>
      <c r="D128" s="26"/>
      <c r="E128" s="26"/>
      <c r="F128" s="27"/>
      <c r="G128" s="26"/>
      <c r="H128" s="26"/>
      <c r="I128" s="27"/>
      <c r="J128" s="26"/>
      <c r="K128" s="26"/>
      <c r="L128" s="67"/>
      <c r="N128" s="8"/>
      <c r="O128" s="2"/>
      <c r="P128" s="26"/>
      <c r="Q128" s="27"/>
      <c r="R128" s="30"/>
      <c r="S128" s="27"/>
      <c r="T128" s="30"/>
      <c r="U128" s="34"/>
      <c r="V128" s="34"/>
      <c r="X128" s="8"/>
      <c r="Y128" s="2"/>
      <c r="Z128" s="26"/>
      <c r="AA128" s="26"/>
      <c r="AB128" s="26"/>
      <c r="AC128" s="26"/>
      <c r="AD128" s="27"/>
      <c r="AE128" s="30"/>
      <c r="AF128" s="26"/>
      <c r="AG128" s="26"/>
      <c r="AH128" s="32"/>
      <c r="AJ128" s="8"/>
      <c r="AK128" s="2"/>
      <c r="AL128" s="26"/>
      <c r="AM128" s="26"/>
      <c r="AN128" s="26"/>
      <c r="AO128" s="27"/>
      <c r="AP128" s="30"/>
      <c r="AQ128" s="26"/>
      <c r="AR128" s="26"/>
      <c r="AS128" s="32"/>
      <c r="AT128" s="34"/>
    </row>
    <row r="129" spans="2:46" x14ac:dyDescent="0.3">
      <c r="B129" s="8"/>
      <c r="C129" s="2"/>
      <c r="D129" s="26"/>
      <c r="E129" s="26"/>
      <c r="F129" s="27"/>
      <c r="G129" s="26"/>
      <c r="H129" s="26"/>
      <c r="I129" s="27"/>
      <c r="J129" s="26"/>
      <c r="K129" s="26"/>
      <c r="L129" s="67"/>
      <c r="N129" s="8"/>
      <c r="O129" s="2"/>
      <c r="P129" s="26"/>
      <c r="Q129" s="27"/>
      <c r="R129" s="30"/>
      <c r="S129" s="27"/>
      <c r="T129" s="30"/>
      <c r="U129" s="34"/>
      <c r="V129" s="34"/>
      <c r="X129" s="8"/>
      <c r="Y129" s="2"/>
      <c r="Z129" s="26"/>
      <c r="AA129" s="26"/>
      <c r="AB129" s="26"/>
      <c r="AC129" s="26"/>
      <c r="AD129" s="27"/>
      <c r="AE129" s="30"/>
      <c r="AF129" s="26"/>
      <c r="AG129" s="26"/>
      <c r="AH129" s="32"/>
      <c r="AJ129" s="8"/>
      <c r="AK129" s="2"/>
      <c r="AL129" s="26"/>
      <c r="AM129" s="26"/>
      <c r="AN129" s="26"/>
      <c r="AO129" s="27"/>
      <c r="AP129" s="30"/>
      <c r="AQ129" s="26"/>
      <c r="AR129" s="26"/>
      <c r="AS129" s="32"/>
      <c r="AT129" s="34"/>
    </row>
    <row r="130" spans="2:46" x14ac:dyDescent="0.3">
      <c r="B130" s="8"/>
      <c r="C130" s="2"/>
      <c r="D130" s="26"/>
      <c r="E130" s="26"/>
      <c r="F130" s="27"/>
      <c r="G130" s="26"/>
      <c r="H130" s="26"/>
      <c r="I130" s="27"/>
      <c r="J130" s="26"/>
      <c r="K130" s="26"/>
      <c r="L130" s="67"/>
      <c r="N130" s="8"/>
      <c r="O130" s="2"/>
      <c r="P130" s="26"/>
      <c r="Q130" s="27"/>
      <c r="R130" s="30"/>
      <c r="S130" s="27"/>
      <c r="T130" s="30"/>
      <c r="U130" s="34"/>
      <c r="V130" s="34"/>
      <c r="X130" s="8"/>
      <c r="Y130" s="2"/>
      <c r="Z130" s="26"/>
      <c r="AA130" s="26"/>
      <c r="AB130" s="26"/>
      <c r="AC130" s="26"/>
      <c r="AD130" s="27"/>
      <c r="AE130" s="30"/>
      <c r="AF130" s="26"/>
      <c r="AG130" s="26"/>
      <c r="AH130" s="32"/>
      <c r="AJ130" s="8"/>
      <c r="AK130" s="2"/>
      <c r="AL130" s="26"/>
      <c r="AM130" s="26"/>
      <c r="AN130" s="26"/>
      <c r="AO130" s="27"/>
      <c r="AP130" s="30"/>
      <c r="AQ130" s="26"/>
      <c r="AR130" s="26"/>
      <c r="AS130" s="32"/>
      <c r="AT130" s="34"/>
    </row>
    <row r="131" spans="2:46" x14ac:dyDescent="0.3">
      <c r="B131" s="8"/>
      <c r="C131" s="2"/>
      <c r="D131" s="26"/>
      <c r="E131" s="26"/>
      <c r="F131" s="27"/>
      <c r="G131" s="26"/>
      <c r="H131" s="26"/>
      <c r="I131" s="27"/>
      <c r="J131" s="26"/>
      <c r="K131" s="26"/>
      <c r="L131" s="67"/>
      <c r="N131" s="8"/>
      <c r="O131" s="2"/>
      <c r="P131" s="26"/>
      <c r="Q131" s="27"/>
      <c r="R131" s="30"/>
      <c r="S131" s="27"/>
      <c r="T131" s="30"/>
      <c r="U131" s="34"/>
      <c r="V131" s="34"/>
      <c r="X131" s="8"/>
      <c r="Y131" s="2"/>
      <c r="Z131" s="26"/>
      <c r="AA131" s="26"/>
      <c r="AB131" s="26"/>
      <c r="AC131" s="26"/>
      <c r="AD131" s="27"/>
      <c r="AE131" s="30"/>
      <c r="AF131" s="26"/>
      <c r="AG131" s="26"/>
      <c r="AH131" s="32"/>
      <c r="AJ131" s="8"/>
      <c r="AK131" s="2"/>
      <c r="AL131" s="26"/>
      <c r="AM131" s="26"/>
      <c r="AN131" s="26"/>
      <c r="AO131" s="27"/>
      <c r="AP131" s="30"/>
      <c r="AQ131" s="26"/>
      <c r="AR131" s="26"/>
      <c r="AS131" s="32"/>
      <c r="AT131" s="34"/>
    </row>
    <row r="132" spans="2:46" x14ac:dyDescent="0.3">
      <c r="B132" s="8"/>
      <c r="C132" s="2"/>
      <c r="D132" s="26"/>
      <c r="E132" s="26"/>
      <c r="F132" s="27"/>
      <c r="G132" s="26"/>
      <c r="H132" s="26"/>
      <c r="I132" s="27"/>
      <c r="J132" s="26"/>
      <c r="K132" s="26"/>
      <c r="L132" s="67"/>
      <c r="N132" s="8"/>
      <c r="O132" s="2"/>
      <c r="P132" s="26"/>
      <c r="Q132" s="27"/>
      <c r="R132" s="30"/>
      <c r="S132" s="27"/>
      <c r="T132" s="30"/>
      <c r="U132" s="34"/>
      <c r="V132" s="34"/>
      <c r="X132" s="8"/>
      <c r="Y132" s="2"/>
      <c r="Z132" s="26"/>
      <c r="AA132" s="26"/>
      <c r="AB132" s="26"/>
      <c r="AC132" s="26"/>
      <c r="AD132" s="27"/>
      <c r="AE132" s="30"/>
      <c r="AF132" s="26"/>
      <c r="AG132" s="26"/>
      <c r="AH132" s="32"/>
      <c r="AJ132" s="8"/>
      <c r="AK132" s="2"/>
      <c r="AL132" s="26"/>
      <c r="AM132" s="26"/>
      <c r="AN132" s="26"/>
      <c r="AO132" s="27"/>
      <c r="AP132" s="30"/>
      <c r="AQ132" s="26"/>
      <c r="AR132" s="26"/>
      <c r="AS132" s="32"/>
      <c r="AT132" s="34"/>
    </row>
    <row r="133" spans="2:46" x14ac:dyDescent="0.3">
      <c r="B133" s="8"/>
      <c r="C133" s="2"/>
      <c r="D133" s="26"/>
      <c r="E133" s="26"/>
      <c r="F133" s="27"/>
      <c r="G133" s="26"/>
      <c r="H133" s="26"/>
      <c r="I133" s="27"/>
      <c r="J133" s="26"/>
      <c r="K133" s="26"/>
      <c r="L133" s="67"/>
      <c r="N133" s="8"/>
      <c r="O133" s="2"/>
      <c r="P133" s="26"/>
      <c r="Q133" s="27"/>
      <c r="R133" s="30"/>
      <c r="S133" s="27"/>
      <c r="T133" s="30"/>
      <c r="U133" s="34"/>
      <c r="V133" s="34"/>
      <c r="X133" s="8"/>
      <c r="Y133" s="2"/>
      <c r="Z133" s="26"/>
      <c r="AA133" s="26"/>
      <c r="AB133" s="26"/>
      <c r="AC133" s="26"/>
      <c r="AD133" s="27"/>
      <c r="AE133" s="30"/>
      <c r="AF133" s="26"/>
      <c r="AG133" s="26"/>
      <c r="AH133" s="32"/>
      <c r="AJ133" s="8"/>
      <c r="AK133" s="2"/>
      <c r="AL133" s="26"/>
      <c r="AM133" s="26"/>
      <c r="AN133" s="26"/>
      <c r="AO133" s="27"/>
      <c r="AP133" s="30"/>
      <c r="AQ133" s="26"/>
      <c r="AR133" s="26"/>
      <c r="AS133" s="32"/>
      <c r="AT133" s="34"/>
    </row>
    <row r="134" spans="2:46" x14ac:dyDescent="0.3">
      <c r="B134" s="8"/>
      <c r="C134" s="2"/>
      <c r="D134" s="26"/>
      <c r="E134" s="26"/>
      <c r="F134" s="27"/>
      <c r="G134" s="26"/>
      <c r="H134" s="26"/>
      <c r="I134" s="27"/>
      <c r="J134" s="26"/>
      <c r="K134" s="26"/>
      <c r="L134" s="67"/>
      <c r="N134" s="8"/>
      <c r="O134" s="2"/>
      <c r="P134" s="26"/>
      <c r="Q134" s="27"/>
      <c r="R134" s="30"/>
      <c r="S134" s="27"/>
      <c r="T134" s="30"/>
      <c r="U134" s="34"/>
      <c r="V134" s="34"/>
      <c r="X134" s="8"/>
      <c r="Y134" s="2"/>
      <c r="Z134" s="26"/>
      <c r="AA134" s="26"/>
      <c r="AB134" s="26"/>
      <c r="AC134" s="26"/>
      <c r="AD134" s="27"/>
      <c r="AE134" s="30"/>
      <c r="AF134" s="26"/>
      <c r="AG134" s="26"/>
      <c r="AH134" s="32"/>
      <c r="AJ134" s="8"/>
      <c r="AK134" s="2"/>
      <c r="AL134" s="26"/>
      <c r="AM134" s="26"/>
      <c r="AN134" s="26"/>
      <c r="AO134" s="27"/>
      <c r="AP134" s="30"/>
      <c r="AQ134" s="26"/>
      <c r="AR134" s="26"/>
      <c r="AS134" s="32"/>
      <c r="AT134" s="34"/>
    </row>
    <row r="135" spans="2:46" x14ac:dyDescent="0.3">
      <c r="B135" s="8"/>
      <c r="C135" s="2"/>
      <c r="D135" s="26"/>
      <c r="E135" s="26"/>
      <c r="F135" s="27"/>
      <c r="G135" s="26"/>
      <c r="H135" s="26"/>
      <c r="I135" s="27"/>
      <c r="J135" s="26"/>
      <c r="K135" s="26"/>
      <c r="L135" s="67"/>
      <c r="N135" s="8"/>
      <c r="O135" s="2"/>
      <c r="P135" s="26"/>
      <c r="Q135" s="27"/>
      <c r="R135" s="30"/>
      <c r="S135" s="27"/>
      <c r="T135" s="30"/>
      <c r="U135" s="34"/>
      <c r="V135" s="34"/>
      <c r="X135" s="8"/>
      <c r="Y135" s="2"/>
      <c r="Z135" s="26"/>
      <c r="AA135" s="26"/>
      <c r="AB135" s="26"/>
      <c r="AC135" s="26"/>
      <c r="AD135" s="27"/>
      <c r="AE135" s="30"/>
      <c r="AF135" s="26"/>
      <c r="AG135" s="26"/>
      <c r="AH135" s="32"/>
      <c r="AJ135" s="8"/>
      <c r="AK135" s="2"/>
      <c r="AL135" s="26"/>
      <c r="AM135" s="26"/>
      <c r="AN135" s="26"/>
      <c r="AO135" s="27"/>
      <c r="AP135" s="30"/>
      <c r="AQ135" s="26"/>
      <c r="AR135" s="26"/>
      <c r="AS135" s="32"/>
      <c r="AT135" s="34"/>
    </row>
    <row r="136" spans="2:46" x14ac:dyDescent="0.3">
      <c r="B136" s="8"/>
      <c r="C136" s="2"/>
      <c r="D136" s="26"/>
      <c r="E136" s="26"/>
      <c r="F136" s="27"/>
      <c r="G136" s="26"/>
      <c r="H136" s="26"/>
      <c r="I136" s="27"/>
      <c r="J136" s="26"/>
      <c r="K136" s="26"/>
      <c r="L136" s="67"/>
      <c r="N136" s="8"/>
      <c r="O136" s="2"/>
      <c r="P136" s="26"/>
      <c r="Q136" s="27"/>
      <c r="R136" s="30"/>
      <c r="S136" s="27"/>
      <c r="T136" s="30"/>
      <c r="U136" s="34"/>
      <c r="V136" s="34"/>
      <c r="X136" s="8"/>
      <c r="Y136" s="2"/>
      <c r="Z136" s="26"/>
      <c r="AA136" s="26"/>
      <c r="AB136" s="26"/>
      <c r="AC136" s="26"/>
      <c r="AD136" s="27"/>
      <c r="AE136" s="30"/>
      <c r="AF136" s="26"/>
      <c r="AG136" s="26"/>
      <c r="AH136" s="32"/>
      <c r="AJ136" s="8"/>
      <c r="AK136" s="2"/>
      <c r="AL136" s="26"/>
      <c r="AM136" s="26"/>
      <c r="AN136" s="26"/>
      <c r="AO136" s="27"/>
      <c r="AP136" s="30"/>
      <c r="AQ136" s="26"/>
      <c r="AR136" s="26"/>
      <c r="AS136" s="32"/>
      <c r="AT136" s="34"/>
    </row>
    <row r="137" spans="2:46" x14ac:dyDescent="0.3">
      <c r="B137" s="8"/>
      <c r="C137" s="2"/>
      <c r="D137" s="26"/>
      <c r="E137" s="26"/>
      <c r="F137" s="27"/>
      <c r="G137" s="26"/>
      <c r="H137" s="26"/>
      <c r="I137" s="27"/>
      <c r="J137" s="26"/>
      <c r="K137" s="26"/>
      <c r="L137" s="67"/>
      <c r="N137" s="8"/>
      <c r="O137" s="2"/>
      <c r="P137" s="26"/>
      <c r="Q137" s="27"/>
      <c r="R137" s="30"/>
      <c r="S137" s="27"/>
      <c r="T137" s="30"/>
      <c r="U137" s="34"/>
      <c r="V137" s="34"/>
      <c r="X137" s="8"/>
      <c r="Y137" s="2"/>
      <c r="Z137" s="26"/>
      <c r="AA137" s="26"/>
      <c r="AB137" s="26"/>
      <c r="AC137" s="26"/>
      <c r="AD137" s="27"/>
      <c r="AE137" s="30"/>
      <c r="AF137" s="26"/>
      <c r="AG137" s="26"/>
      <c r="AH137" s="32"/>
      <c r="AJ137" s="8"/>
      <c r="AK137" s="2"/>
      <c r="AL137" s="26"/>
      <c r="AM137" s="26"/>
      <c r="AN137" s="26"/>
      <c r="AO137" s="27"/>
      <c r="AP137" s="30"/>
      <c r="AQ137" s="26"/>
      <c r="AR137" s="26"/>
      <c r="AS137" s="32"/>
      <c r="AT137" s="34"/>
    </row>
    <row r="138" spans="2:46" x14ac:dyDescent="0.3">
      <c r="B138" s="8"/>
      <c r="C138" s="2"/>
      <c r="D138" s="26"/>
      <c r="E138" s="26"/>
      <c r="F138" s="27"/>
      <c r="G138" s="26"/>
      <c r="H138" s="26"/>
      <c r="I138" s="27"/>
      <c r="J138" s="26"/>
      <c r="K138" s="26"/>
      <c r="L138" s="67"/>
      <c r="N138" s="8"/>
      <c r="O138" s="2"/>
      <c r="P138" s="26"/>
      <c r="Q138" s="27"/>
      <c r="R138" s="30"/>
      <c r="S138" s="27"/>
      <c r="T138" s="30"/>
      <c r="U138" s="34"/>
      <c r="V138" s="34"/>
      <c r="X138" s="8"/>
      <c r="Y138" s="2"/>
      <c r="Z138" s="26"/>
      <c r="AA138" s="26"/>
      <c r="AB138" s="26"/>
      <c r="AC138" s="26"/>
      <c r="AD138" s="27"/>
      <c r="AE138" s="30"/>
      <c r="AF138" s="26"/>
      <c r="AG138" s="26"/>
      <c r="AH138" s="32"/>
      <c r="AJ138" s="8"/>
      <c r="AK138" s="2"/>
      <c r="AL138" s="26"/>
      <c r="AM138" s="26"/>
      <c r="AN138" s="26"/>
      <c r="AO138" s="27"/>
      <c r="AP138" s="30"/>
      <c r="AQ138" s="26"/>
      <c r="AR138" s="26"/>
      <c r="AS138" s="32"/>
      <c r="AT138" s="34"/>
    </row>
    <row r="139" spans="2:46" x14ac:dyDescent="0.3">
      <c r="B139" s="8"/>
      <c r="C139" s="2"/>
      <c r="D139" s="26"/>
      <c r="E139" s="26"/>
      <c r="F139" s="27"/>
      <c r="G139" s="26"/>
      <c r="H139" s="26"/>
      <c r="I139" s="27"/>
      <c r="J139" s="26"/>
      <c r="K139" s="26"/>
      <c r="L139" s="67"/>
      <c r="N139" s="8"/>
      <c r="O139" s="2"/>
      <c r="P139" s="26"/>
      <c r="Q139" s="27"/>
      <c r="R139" s="30"/>
      <c r="S139" s="27"/>
      <c r="T139" s="30"/>
      <c r="U139" s="34"/>
      <c r="V139" s="34"/>
      <c r="X139" s="8"/>
      <c r="Y139" s="2"/>
      <c r="Z139" s="26"/>
      <c r="AA139" s="26"/>
      <c r="AB139" s="26"/>
      <c r="AC139" s="26"/>
      <c r="AD139" s="27"/>
      <c r="AE139" s="30"/>
      <c r="AF139" s="26"/>
      <c r="AG139" s="26"/>
      <c r="AH139" s="32"/>
      <c r="AJ139" s="8"/>
      <c r="AK139" s="2"/>
      <c r="AL139" s="26"/>
      <c r="AM139" s="26"/>
      <c r="AN139" s="26"/>
      <c r="AO139" s="27"/>
      <c r="AP139" s="30"/>
      <c r="AQ139" s="26"/>
      <c r="AR139" s="26"/>
      <c r="AS139" s="32"/>
      <c r="AT139" s="34"/>
    </row>
    <row r="140" spans="2:46" x14ac:dyDescent="0.3">
      <c r="B140" s="8"/>
      <c r="C140" s="2"/>
      <c r="D140" s="26"/>
      <c r="E140" s="26"/>
      <c r="F140" s="27"/>
      <c r="G140" s="26"/>
      <c r="H140" s="26"/>
      <c r="I140" s="27"/>
      <c r="J140" s="26"/>
      <c r="K140" s="26"/>
      <c r="L140" s="67"/>
      <c r="N140" s="8"/>
      <c r="O140" s="2"/>
      <c r="P140" s="26"/>
      <c r="Q140" s="27"/>
      <c r="R140" s="30"/>
      <c r="S140" s="27"/>
      <c r="T140" s="30"/>
      <c r="U140" s="34"/>
      <c r="V140" s="34"/>
      <c r="X140" s="8"/>
      <c r="Y140" s="2"/>
      <c r="Z140" s="26"/>
      <c r="AA140" s="26"/>
      <c r="AB140" s="26"/>
      <c r="AC140" s="26"/>
      <c r="AD140" s="27"/>
      <c r="AE140" s="30"/>
      <c r="AF140" s="26"/>
      <c r="AG140" s="26"/>
      <c r="AH140" s="32"/>
      <c r="AJ140" s="8"/>
      <c r="AK140" s="2"/>
      <c r="AL140" s="26"/>
      <c r="AM140" s="26"/>
      <c r="AN140" s="26"/>
      <c r="AO140" s="27"/>
      <c r="AP140" s="30"/>
      <c r="AQ140" s="26"/>
      <c r="AR140" s="26"/>
      <c r="AS140" s="32"/>
      <c r="AT140" s="34"/>
    </row>
    <row r="141" spans="2:46" x14ac:dyDescent="0.3">
      <c r="B141" s="8"/>
      <c r="C141" s="2"/>
      <c r="D141" s="26"/>
      <c r="E141" s="26"/>
      <c r="F141" s="27"/>
      <c r="G141" s="26"/>
      <c r="H141" s="26"/>
      <c r="I141" s="27"/>
      <c r="J141" s="26"/>
      <c r="K141" s="26"/>
      <c r="L141" s="67"/>
      <c r="N141" s="8"/>
      <c r="O141" s="2"/>
      <c r="P141" s="26"/>
      <c r="Q141" s="27"/>
      <c r="R141" s="30"/>
      <c r="S141" s="27"/>
      <c r="T141" s="30"/>
      <c r="U141" s="34"/>
      <c r="V141" s="34"/>
      <c r="X141" s="8"/>
      <c r="Y141" s="2"/>
      <c r="Z141" s="26"/>
      <c r="AA141" s="26"/>
      <c r="AB141" s="26"/>
      <c r="AC141" s="26"/>
      <c r="AD141" s="27"/>
      <c r="AE141" s="30"/>
      <c r="AF141" s="26"/>
      <c r="AG141" s="26"/>
      <c r="AH141" s="32"/>
      <c r="AJ141" s="8"/>
      <c r="AK141" s="2"/>
      <c r="AL141" s="26"/>
      <c r="AM141" s="26"/>
      <c r="AN141" s="26"/>
      <c r="AO141" s="27"/>
      <c r="AP141" s="30"/>
      <c r="AQ141" s="26"/>
      <c r="AR141" s="26"/>
      <c r="AS141" s="32"/>
      <c r="AT141" s="34"/>
    </row>
    <row r="142" spans="2:46" x14ac:dyDescent="0.3">
      <c r="B142" s="8"/>
      <c r="C142" s="2"/>
      <c r="D142" s="26"/>
      <c r="E142" s="26"/>
      <c r="F142" s="27"/>
      <c r="G142" s="26"/>
      <c r="H142" s="26"/>
      <c r="I142" s="27"/>
      <c r="J142" s="26"/>
      <c r="K142" s="26"/>
      <c r="L142" s="67"/>
      <c r="N142" s="8"/>
      <c r="O142" s="2"/>
      <c r="P142" s="26"/>
      <c r="Q142" s="27"/>
      <c r="R142" s="30"/>
      <c r="S142" s="27"/>
      <c r="T142" s="30"/>
      <c r="U142" s="34"/>
      <c r="V142" s="34"/>
      <c r="X142" s="8"/>
      <c r="Y142" s="2"/>
      <c r="Z142" s="26"/>
      <c r="AA142" s="26"/>
      <c r="AB142" s="26"/>
      <c r="AC142" s="26"/>
      <c r="AD142" s="27"/>
      <c r="AE142" s="30"/>
      <c r="AF142" s="26"/>
      <c r="AG142" s="26"/>
      <c r="AH142" s="32"/>
      <c r="AJ142" s="8"/>
      <c r="AK142" s="2"/>
      <c r="AL142" s="26"/>
      <c r="AM142" s="26"/>
      <c r="AN142" s="26"/>
      <c r="AO142" s="27"/>
      <c r="AP142" s="30"/>
      <c r="AQ142" s="26"/>
      <c r="AR142" s="26"/>
      <c r="AS142" s="32"/>
      <c r="AT142" s="34"/>
    </row>
    <row r="143" spans="2:46" x14ac:dyDescent="0.3">
      <c r="B143" s="8"/>
      <c r="C143" s="2"/>
      <c r="D143" s="26"/>
      <c r="E143" s="26"/>
      <c r="F143" s="27"/>
      <c r="G143" s="26"/>
      <c r="H143" s="26"/>
      <c r="I143" s="27"/>
      <c r="J143" s="26"/>
      <c r="K143" s="26"/>
      <c r="L143" s="67"/>
      <c r="N143" s="8"/>
      <c r="O143" s="2"/>
      <c r="P143" s="26"/>
      <c r="Q143" s="27"/>
      <c r="R143" s="30"/>
      <c r="S143" s="27"/>
      <c r="T143" s="30"/>
      <c r="U143" s="34"/>
      <c r="V143" s="34"/>
      <c r="X143" s="8"/>
      <c r="Y143" s="2"/>
      <c r="Z143" s="26"/>
      <c r="AA143" s="26"/>
      <c r="AB143" s="26"/>
      <c r="AC143" s="26"/>
      <c r="AD143" s="27"/>
      <c r="AE143" s="30"/>
      <c r="AF143" s="26"/>
      <c r="AG143" s="26"/>
      <c r="AH143" s="32"/>
      <c r="AJ143" s="8"/>
      <c r="AK143" s="2"/>
      <c r="AL143" s="26"/>
      <c r="AM143" s="26"/>
      <c r="AN143" s="26"/>
      <c r="AO143" s="27"/>
      <c r="AP143" s="30"/>
      <c r="AQ143" s="26"/>
      <c r="AR143" s="26"/>
      <c r="AS143" s="32"/>
      <c r="AT143" s="34"/>
    </row>
    <row r="144" spans="2:46" x14ac:dyDescent="0.3">
      <c r="B144" s="8"/>
      <c r="C144" s="2"/>
      <c r="D144" s="26"/>
      <c r="E144" s="26"/>
      <c r="F144" s="27"/>
      <c r="G144" s="26"/>
      <c r="H144" s="26"/>
      <c r="I144" s="27"/>
      <c r="J144" s="26"/>
      <c r="K144" s="26"/>
      <c r="L144" s="67"/>
      <c r="N144" s="8"/>
      <c r="O144" s="2"/>
      <c r="P144" s="26"/>
      <c r="Q144" s="27"/>
      <c r="R144" s="30"/>
      <c r="S144" s="27"/>
      <c r="T144" s="30"/>
      <c r="U144" s="34"/>
      <c r="V144" s="34"/>
      <c r="X144" s="8"/>
      <c r="Y144" s="2"/>
      <c r="Z144" s="26"/>
      <c r="AA144" s="26"/>
      <c r="AB144" s="26"/>
      <c r="AC144" s="26"/>
      <c r="AD144" s="27"/>
      <c r="AE144" s="30"/>
      <c r="AF144" s="26"/>
      <c r="AG144" s="26"/>
      <c r="AH144" s="32"/>
      <c r="AJ144" s="8"/>
      <c r="AK144" s="2"/>
      <c r="AL144" s="26"/>
      <c r="AM144" s="26"/>
      <c r="AN144" s="26"/>
      <c r="AO144" s="27"/>
      <c r="AP144" s="30"/>
      <c r="AQ144" s="26"/>
      <c r="AR144" s="26"/>
      <c r="AS144" s="32"/>
      <c r="AT144" s="34"/>
    </row>
    <row r="145" spans="2:46" x14ac:dyDescent="0.3">
      <c r="B145" s="8"/>
      <c r="C145" s="2"/>
      <c r="D145" s="26"/>
      <c r="E145" s="26"/>
      <c r="F145" s="27"/>
      <c r="G145" s="26"/>
      <c r="H145" s="26"/>
      <c r="I145" s="27"/>
      <c r="J145" s="26"/>
      <c r="K145" s="26"/>
      <c r="L145" s="67"/>
      <c r="N145" s="8"/>
      <c r="O145" s="2"/>
      <c r="P145" s="26"/>
      <c r="Q145" s="27"/>
      <c r="R145" s="30"/>
      <c r="S145" s="27"/>
      <c r="T145" s="30"/>
      <c r="U145" s="34"/>
      <c r="V145" s="34"/>
      <c r="X145" s="8"/>
      <c r="Y145" s="2"/>
      <c r="Z145" s="26"/>
      <c r="AA145" s="26"/>
      <c r="AB145" s="26"/>
      <c r="AC145" s="26"/>
      <c r="AD145" s="27"/>
      <c r="AE145" s="30"/>
      <c r="AF145" s="26"/>
      <c r="AG145" s="26"/>
      <c r="AH145" s="32"/>
      <c r="AJ145" s="8"/>
      <c r="AK145" s="2"/>
      <c r="AL145" s="26"/>
      <c r="AM145" s="26"/>
      <c r="AN145" s="26"/>
      <c r="AO145" s="27"/>
      <c r="AP145" s="30"/>
      <c r="AQ145" s="26"/>
      <c r="AR145" s="26"/>
      <c r="AS145" s="32"/>
      <c r="AT145" s="34"/>
    </row>
    <row r="146" spans="2:46" x14ac:dyDescent="0.3">
      <c r="B146" s="8"/>
      <c r="C146" s="2"/>
      <c r="D146" s="26"/>
      <c r="E146" s="26"/>
      <c r="F146" s="27"/>
      <c r="G146" s="26"/>
      <c r="H146" s="26"/>
      <c r="I146" s="27"/>
      <c r="J146" s="26"/>
      <c r="K146" s="26"/>
      <c r="L146" s="67"/>
      <c r="N146" s="8"/>
      <c r="O146" s="2"/>
      <c r="P146" s="26"/>
      <c r="Q146" s="27"/>
      <c r="R146" s="30"/>
      <c r="S146" s="27"/>
      <c r="T146" s="30"/>
      <c r="U146" s="34"/>
      <c r="V146" s="34"/>
      <c r="X146" s="8"/>
      <c r="Y146" s="2"/>
      <c r="Z146" s="26"/>
      <c r="AA146" s="26"/>
      <c r="AB146" s="26"/>
      <c r="AC146" s="26"/>
      <c r="AD146" s="27"/>
      <c r="AE146" s="30"/>
      <c r="AF146" s="26"/>
      <c r="AG146" s="26"/>
      <c r="AH146" s="32"/>
      <c r="AJ146" s="8"/>
      <c r="AK146" s="2"/>
      <c r="AL146" s="26"/>
      <c r="AM146" s="26"/>
      <c r="AN146" s="26"/>
      <c r="AO146" s="27"/>
      <c r="AP146" s="30"/>
      <c r="AQ146" s="26"/>
      <c r="AR146" s="26"/>
      <c r="AS146" s="32"/>
      <c r="AT146" s="34"/>
    </row>
    <row r="147" spans="2:46" x14ac:dyDescent="0.3">
      <c r="B147" s="8"/>
      <c r="C147" s="2"/>
      <c r="D147" s="26"/>
      <c r="E147" s="26"/>
      <c r="F147" s="27"/>
      <c r="G147" s="26"/>
      <c r="H147" s="26"/>
      <c r="I147" s="27"/>
      <c r="J147" s="26"/>
      <c r="K147" s="26"/>
      <c r="L147" s="67"/>
      <c r="N147" s="8"/>
      <c r="O147" s="2"/>
      <c r="P147" s="26"/>
      <c r="Q147" s="27"/>
      <c r="R147" s="30"/>
      <c r="S147" s="27"/>
      <c r="T147" s="30"/>
      <c r="U147" s="34"/>
      <c r="V147" s="34"/>
      <c r="X147" s="8"/>
      <c r="Y147" s="2"/>
      <c r="Z147" s="26"/>
      <c r="AA147" s="26"/>
      <c r="AB147" s="26"/>
      <c r="AC147" s="26"/>
      <c r="AD147" s="27"/>
      <c r="AE147" s="30"/>
      <c r="AF147" s="26"/>
      <c r="AG147" s="26"/>
      <c r="AH147" s="32"/>
      <c r="AJ147" s="8"/>
      <c r="AK147" s="2"/>
      <c r="AL147" s="26"/>
      <c r="AM147" s="26"/>
      <c r="AN147" s="26"/>
      <c r="AO147" s="27"/>
      <c r="AP147" s="30"/>
      <c r="AQ147" s="26"/>
      <c r="AR147" s="26"/>
      <c r="AS147" s="32"/>
      <c r="AT147" s="34"/>
    </row>
    <row r="148" spans="2:46" x14ac:dyDescent="0.3">
      <c r="B148" s="8"/>
      <c r="C148" s="2"/>
      <c r="D148" s="26"/>
      <c r="E148" s="26"/>
      <c r="F148" s="27"/>
      <c r="G148" s="26"/>
      <c r="H148" s="26"/>
      <c r="I148" s="27"/>
      <c r="J148" s="26"/>
      <c r="K148" s="26"/>
      <c r="L148" s="67"/>
      <c r="N148" s="8"/>
      <c r="O148" s="2"/>
      <c r="P148" s="26"/>
      <c r="Q148" s="27"/>
      <c r="R148" s="30"/>
      <c r="S148" s="27"/>
      <c r="T148" s="30"/>
      <c r="U148" s="34"/>
      <c r="V148" s="34"/>
      <c r="X148" s="8"/>
      <c r="Y148" s="2"/>
      <c r="Z148" s="26"/>
      <c r="AA148" s="26"/>
      <c r="AB148" s="26"/>
      <c r="AC148" s="26"/>
      <c r="AD148" s="27"/>
      <c r="AE148" s="30"/>
      <c r="AF148" s="26"/>
      <c r="AG148" s="26"/>
      <c r="AH148" s="32"/>
      <c r="AJ148" s="8"/>
      <c r="AK148" s="2"/>
      <c r="AL148" s="26"/>
      <c r="AM148" s="26"/>
      <c r="AN148" s="26"/>
      <c r="AO148" s="27"/>
      <c r="AP148" s="30"/>
      <c r="AQ148" s="26"/>
      <c r="AR148" s="26"/>
      <c r="AS148" s="32"/>
      <c r="AT148" s="34"/>
    </row>
    <row r="149" spans="2:46" x14ac:dyDescent="0.3">
      <c r="B149" s="8"/>
      <c r="C149" s="2"/>
      <c r="D149" s="26"/>
      <c r="E149" s="26"/>
      <c r="F149" s="27"/>
      <c r="G149" s="26"/>
      <c r="H149" s="26"/>
      <c r="I149" s="27"/>
      <c r="J149" s="26"/>
      <c r="K149" s="26"/>
      <c r="L149" s="67"/>
      <c r="N149" s="8"/>
      <c r="O149" s="2"/>
      <c r="P149" s="26"/>
      <c r="Q149" s="27"/>
      <c r="R149" s="30"/>
      <c r="S149" s="27"/>
      <c r="T149" s="30"/>
      <c r="U149" s="34"/>
      <c r="V149" s="34"/>
      <c r="X149" s="8"/>
      <c r="Y149" s="2"/>
      <c r="Z149" s="26"/>
      <c r="AA149" s="26"/>
      <c r="AB149" s="26"/>
      <c r="AC149" s="26"/>
      <c r="AD149" s="27"/>
      <c r="AE149" s="30"/>
      <c r="AF149" s="26"/>
      <c r="AG149" s="26"/>
      <c r="AH149" s="32"/>
      <c r="AJ149" s="8"/>
      <c r="AK149" s="2"/>
      <c r="AL149" s="26"/>
      <c r="AM149" s="26"/>
      <c r="AN149" s="26"/>
      <c r="AO149" s="27"/>
      <c r="AP149" s="30"/>
      <c r="AQ149" s="26"/>
      <c r="AR149" s="26"/>
      <c r="AS149" s="32"/>
      <c r="AT149" s="34"/>
    </row>
    <row r="150" spans="2:46" x14ac:dyDescent="0.3">
      <c r="B150" s="8"/>
      <c r="C150" s="2"/>
      <c r="D150" s="26"/>
      <c r="E150" s="26"/>
      <c r="F150" s="27"/>
      <c r="G150" s="26"/>
      <c r="H150" s="26"/>
      <c r="I150" s="27"/>
      <c r="J150" s="26"/>
      <c r="K150" s="26"/>
      <c r="L150" s="67"/>
      <c r="N150" s="8"/>
      <c r="O150" s="2"/>
      <c r="P150" s="26"/>
      <c r="Q150" s="27"/>
      <c r="R150" s="30"/>
      <c r="S150" s="27"/>
      <c r="T150" s="30"/>
      <c r="U150" s="34"/>
      <c r="V150" s="34"/>
      <c r="X150" s="8"/>
      <c r="Y150" s="2"/>
      <c r="Z150" s="26"/>
      <c r="AA150" s="26"/>
      <c r="AB150" s="26"/>
      <c r="AC150" s="26"/>
      <c r="AD150" s="27"/>
      <c r="AE150" s="30"/>
      <c r="AF150" s="26"/>
      <c r="AG150" s="26"/>
      <c r="AH150" s="32"/>
      <c r="AJ150" s="8"/>
      <c r="AK150" s="2"/>
      <c r="AL150" s="26"/>
      <c r="AM150" s="26"/>
      <c r="AN150" s="26"/>
      <c r="AO150" s="27"/>
      <c r="AP150" s="30"/>
      <c r="AQ150" s="26"/>
      <c r="AR150" s="26"/>
      <c r="AS150" s="32"/>
      <c r="AT150" s="34"/>
    </row>
    <row r="151" spans="2:46" x14ac:dyDescent="0.3">
      <c r="B151" s="8"/>
      <c r="C151" s="2"/>
      <c r="D151" s="26"/>
      <c r="E151" s="26"/>
      <c r="F151" s="27"/>
      <c r="G151" s="26"/>
      <c r="H151" s="26"/>
      <c r="I151" s="27"/>
      <c r="J151" s="26"/>
      <c r="K151" s="26"/>
      <c r="L151" s="67"/>
      <c r="N151" s="8"/>
      <c r="O151" s="2"/>
      <c r="P151" s="26"/>
      <c r="Q151" s="27"/>
      <c r="R151" s="30"/>
      <c r="S151" s="27"/>
      <c r="T151" s="30"/>
      <c r="U151" s="34"/>
      <c r="V151" s="34"/>
      <c r="X151" s="8"/>
      <c r="Y151" s="2"/>
      <c r="Z151" s="26"/>
      <c r="AA151" s="26"/>
      <c r="AB151" s="26"/>
      <c r="AC151" s="26"/>
      <c r="AD151" s="27"/>
      <c r="AE151" s="30"/>
      <c r="AF151" s="26"/>
      <c r="AG151" s="26"/>
      <c r="AH151" s="32"/>
      <c r="AJ151" s="8"/>
      <c r="AK151" s="2"/>
      <c r="AL151" s="26"/>
      <c r="AM151" s="26"/>
      <c r="AN151" s="26"/>
      <c r="AO151" s="27"/>
      <c r="AP151" s="30"/>
      <c r="AQ151" s="26"/>
      <c r="AR151" s="26"/>
      <c r="AS151" s="32"/>
      <c r="AT151" s="34"/>
    </row>
    <row r="152" spans="2:46" x14ac:dyDescent="0.3">
      <c r="B152" s="8"/>
      <c r="C152" s="2"/>
      <c r="D152" s="26"/>
      <c r="E152" s="26"/>
      <c r="F152" s="27"/>
      <c r="G152" s="26"/>
      <c r="H152" s="26"/>
      <c r="I152" s="27"/>
      <c r="J152" s="26"/>
      <c r="K152" s="26"/>
      <c r="L152" s="67"/>
      <c r="N152" s="8"/>
      <c r="O152" s="2"/>
      <c r="P152" s="26"/>
      <c r="Q152" s="27"/>
      <c r="R152" s="30"/>
      <c r="S152" s="27"/>
      <c r="T152" s="30"/>
      <c r="U152" s="34"/>
      <c r="V152" s="34"/>
      <c r="X152" s="8"/>
      <c r="Y152" s="2"/>
      <c r="Z152" s="26"/>
      <c r="AA152" s="26"/>
      <c r="AB152" s="26"/>
      <c r="AC152" s="26"/>
      <c r="AD152" s="27"/>
      <c r="AE152" s="30"/>
      <c r="AF152" s="26"/>
      <c r="AG152" s="26"/>
      <c r="AH152" s="32"/>
      <c r="AJ152" s="8"/>
      <c r="AK152" s="2"/>
      <c r="AL152" s="26"/>
      <c r="AM152" s="26"/>
      <c r="AN152" s="26"/>
      <c r="AO152" s="27"/>
      <c r="AP152" s="30"/>
      <c r="AQ152" s="26"/>
      <c r="AR152" s="26"/>
      <c r="AS152" s="32"/>
      <c r="AT152" s="34"/>
    </row>
    <row r="153" spans="2:46" x14ac:dyDescent="0.3">
      <c r="B153" s="8"/>
      <c r="C153" s="2"/>
      <c r="D153" s="26"/>
      <c r="E153" s="26"/>
      <c r="F153" s="27"/>
      <c r="G153" s="26"/>
      <c r="H153" s="26"/>
      <c r="I153" s="27"/>
      <c r="J153" s="26"/>
      <c r="K153" s="26"/>
      <c r="L153" s="67"/>
      <c r="N153" s="8"/>
      <c r="O153" s="2"/>
      <c r="P153" s="26"/>
      <c r="Q153" s="27"/>
      <c r="R153" s="30"/>
      <c r="S153" s="27"/>
      <c r="T153" s="30"/>
      <c r="U153" s="34"/>
      <c r="V153" s="34"/>
      <c r="X153" s="8"/>
      <c r="Y153" s="2"/>
      <c r="Z153" s="26"/>
      <c r="AA153" s="26"/>
      <c r="AB153" s="26"/>
      <c r="AC153" s="26"/>
      <c r="AD153" s="27"/>
      <c r="AE153" s="30"/>
      <c r="AF153" s="26"/>
      <c r="AG153" s="26"/>
      <c r="AH153" s="32"/>
      <c r="AJ153" s="8"/>
      <c r="AK153" s="2"/>
      <c r="AL153" s="26"/>
      <c r="AM153" s="26"/>
      <c r="AN153" s="26"/>
      <c r="AO153" s="27"/>
      <c r="AP153" s="30"/>
      <c r="AQ153" s="26"/>
      <c r="AR153" s="26"/>
      <c r="AS153" s="32"/>
      <c r="AT153" s="34"/>
    </row>
    <row r="154" spans="2:46" x14ac:dyDescent="0.3">
      <c r="B154" s="8"/>
      <c r="C154" s="2"/>
      <c r="D154" s="26"/>
      <c r="E154" s="26"/>
      <c r="F154" s="27"/>
      <c r="G154" s="26"/>
      <c r="H154" s="26"/>
      <c r="I154" s="27"/>
      <c r="J154" s="26"/>
      <c r="K154" s="26"/>
      <c r="L154" s="67"/>
      <c r="N154" s="8"/>
      <c r="O154" s="2"/>
      <c r="P154" s="26"/>
      <c r="Q154" s="27"/>
      <c r="R154" s="30"/>
      <c r="S154" s="27"/>
      <c r="T154" s="30"/>
      <c r="U154" s="34"/>
      <c r="V154" s="34"/>
      <c r="X154" s="8"/>
      <c r="Y154" s="2"/>
      <c r="Z154" s="26"/>
      <c r="AA154" s="26"/>
      <c r="AB154" s="26"/>
      <c r="AC154" s="26"/>
      <c r="AD154" s="27"/>
      <c r="AE154" s="30"/>
      <c r="AF154" s="26"/>
      <c r="AG154" s="26"/>
      <c r="AH154" s="32"/>
      <c r="AJ154" s="8"/>
      <c r="AK154" s="2"/>
      <c r="AL154" s="26"/>
      <c r="AM154" s="26"/>
      <c r="AN154" s="26"/>
      <c r="AO154" s="27"/>
      <c r="AP154" s="30"/>
      <c r="AQ154" s="26"/>
      <c r="AR154" s="26"/>
      <c r="AS154" s="32"/>
      <c r="AT154" s="34"/>
    </row>
    <row r="155" spans="2:46" x14ac:dyDescent="0.3">
      <c r="B155" s="8"/>
      <c r="C155" s="2"/>
      <c r="D155" s="26"/>
      <c r="E155" s="26"/>
      <c r="F155" s="27"/>
      <c r="G155" s="26"/>
      <c r="H155" s="26"/>
      <c r="I155" s="27"/>
      <c r="J155" s="26"/>
      <c r="K155" s="26"/>
      <c r="L155" s="67"/>
      <c r="N155" s="8"/>
      <c r="O155" s="2"/>
      <c r="P155" s="26"/>
      <c r="Q155" s="27"/>
      <c r="R155" s="30"/>
      <c r="S155" s="27"/>
      <c r="T155" s="30"/>
      <c r="U155" s="34"/>
      <c r="V155" s="34"/>
      <c r="X155" s="8"/>
      <c r="Y155" s="2"/>
      <c r="Z155" s="26"/>
      <c r="AA155" s="26"/>
      <c r="AB155" s="26"/>
      <c r="AC155" s="26"/>
      <c r="AD155" s="27"/>
      <c r="AE155" s="30"/>
      <c r="AF155" s="26"/>
      <c r="AG155" s="26"/>
      <c r="AH155" s="32"/>
      <c r="AJ155" s="8"/>
      <c r="AK155" s="2"/>
      <c r="AL155" s="26"/>
      <c r="AM155" s="26"/>
      <c r="AN155" s="26"/>
      <c r="AO155" s="27"/>
      <c r="AP155" s="30"/>
      <c r="AQ155" s="26"/>
      <c r="AR155" s="26"/>
      <c r="AS155" s="32"/>
      <c r="AT155" s="34"/>
    </row>
    <row r="156" spans="2:46" x14ac:dyDescent="0.3">
      <c r="B156" s="8"/>
      <c r="C156" s="2"/>
      <c r="D156" s="26"/>
      <c r="E156" s="26"/>
      <c r="F156" s="27"/>
      <c r="G156" s="26"/>
      <c r="H156" s="26"/>
      <c r="I156" s="27"/>
      <c r="J156" s="26"/>
      <c r="K156" s="26"/>
      <c r="L156" s="67"/>
      <c r="N156" s="8"/>
      <c r="O156" s="2"/>
      <c r="P156" s="26"/>
      <c r="Q156" s="27"/>
      <c r="R156" s="30"/>
      <c r="S156" s="27"/>
      <c r="T156" s="30"/>
      <c r="U156" s="34"/>
      <c r="V156" s="34"/>
      <c r="X156" s="8"/>
      <c r="Y156" s="2"/>
      <c r="Z156" s="26"/>
      <c r="AA156" s="26"/>
      <c r="AB156" s="26"/>
      <c r="AC156" s="26"/>
      <c r="AD156" s="27"/>
      <c r="AE156" s="30"/>
      <c r="AF156" s="26"/>
      <c r="AG156" s="26"/>
      <c r="AH156" s="32"/>
      <c r="AJ156" s="8"/>
      <c r="AK156" s="2"/>
      <c r="AL156" s="26"/>
      <c r="AM156" s="26"/>
      <c r="AN156" s="26"/>
      <c r="AO156" s="27"/>
      <c r="AP156" s="30"/>
      <c r="AQ156" s="26"/>
      <c r="AR156" s="26"/>
      <c r="AS156" s="32"/>
      <c r="AT156" s="34"/>
    </row>
    <row r="157" spans="2:46" x14ac:dyDescent="0.3">
      <c r="B157" s="8"/>
      <c r="C157" s="2"/>
      <c r="D157" s="26"/>
      <c r="E157" s="26"/>
      <c r="F157" s="27"/>
      <c r="G157" s="26"/>
      <c r="H157" s="26"/>
      <c r="I157" s="27"/>
      <c r="J157" s="26"/>
      <c r="K157" s="26"/>
      <c r="L157" s="67"/>
      <c r="N157" s="8"/>
      <c r="O157" s="2"/>
      <c r="P157" s="26"/>
      <c r="Q157" s="27"/>
      <c r="R157" s="30"/>
      <c r="S157" s="27"/>
      <c r="T157" s="30"/>
      <c r="U157" s="34"/>
      <c r="V157" s="34"/>
      <c r="X157" s="8"/>
      <c r="Y157" s="2"/>
      <c r="Z157" s="26"/>
      <c r="AA157" s="26"/>
      <c r="AB157" s="26"/>
      <c r="AC157" s="26"/>
      <c r="AD157" s="27"/>
      <c r="AE157" s="30"/>
      <c r="AF157" s="26"/>
      <c r="AG157" s="26"/>
      <c r="AH157" s="32"/>
      <c r="AJ157" s="8"/>
      <c r="AK157" s="2"/>
      <c r="AL157" s="26"/>
      <c r="AM157" s="26"/>
      <c r="AN157" s="26"/>
      <c r="AO157" s="27"/>
      <c r="AP157" s="30"/>
      <c r="AQ157" s="26"/>
      <c r="AR157" s="26"/>
      <c r="AS157" s="32"/>
      <c r="AT157" s="34"/>
    </row>
    <row r="158" spans="2:46" x14ac:dyDescent="0.3">
      <c r="B158" s="8"/>
      <c r="C158" s="2"/>
      <c r="D158" s="26"/>
      <c r="E158" s="26"/>
      <c r="F158" s="27"/>
      <c r="G158" s="26"/>
      <c r="H158" s="26"/>
      <c r="I158" s="27"/>
      <c r="J158" s="26"/>
      <c r="K158" s="26"/>
      <c r="L158" s="67"/>
      <c r="N158" s="8"/>
      <c r="O158" s="2"/>
      <c r="P158" s="26"/>
      <c r="Q158" s="27"/>
      <c r="R158" s="30"/>
      <c r="S158" s="27"/>
      <c r="T158" s="30"/>
      <c r="U158" s="34"/>
      <c r="V158" s="34"/>
      <c r="X158" s="8"/>
      <c r="Y158" s="2"/>
      <c r="Z158" s="26"/>
      <c r="AA158" s="26"/>
      <c r="AB158" s="26"/>
      <c r="AC158" s="26"/>
      <c r="AD158" s="27"/>
      <c r="AE158" s="30"/>
      <c r="AF158" s="26"/>
      <c r="AG158" s="26"/>
      <c r="AH158" s="32"/>
      <c r="AJ158" s="8"/>
      <c r="AK158" s="2"/>
      <c r="AL158" s="26"/>
      <c r="AM158" s="26"/>
      <c r="AN158" s="26"/>
      <c r="AO158" s="27"/>
      <c r="AP158" s="30"/>
      <c r="AQ158" s="26"/>
      <c r="AR158" s="26"/>
      <c r="AS158" s="32"/>
      <c r="AT158" s="34"/>
    </row>
    <row r="159" spans="2:46" x14ac:dyDescent="0.3">
      <c r="B159" s="8"/>
      <c r="C159" s="2"/>
      <c r="D159" s="26"/>
      <c r="E159" s="26"/>
      <c r="F159" s="27"/>
      <c r="G159" s="26"/>
      <c r="H159" s="26"/>
      <c r="I159" s="27"/>
      <c r="J159" s="26"/>
      <c r="K159" s="26"/>
      <c r="L159" s="67"/>
      <c r="N159" s="8"/>
      <c r="O159" s="2"/>
      <c r="P159" s="26"/>
      <c r="Q159" s="27"/>
      <c r="R159" s="30"/>
      <c r="S159" s="27"/>
      <c r="T159" s="30"/>
      <c r="U159" s="34"/>
      <c r="V159" s="34"/>
      <c r="X159" s="8"/>
      <c r="Y159" s="2"/>
      <c r="Z159" s="26"/>
      <c r="AA159" s="26"/>
      <c r="AB159" s="26"/>
      <c r="AC159" s="26"/>
      <c r="AD159" s="27"/>
      <c r="AE159" s="30"/>
      <c r="AF159" s="26"/>
      <c r="AG159" s="26"/>
      <c r="AH159" s="32"/>
      <c r="AJ159" s="8"/>
      <c r="AK159" s="2"/>
      <c r="AL159" s="26"/>
      <c r="AM159" s="26"/>
      <c r="AN159" s="26"/>
      <c r="AO159" s="27"/>
      <c r="AP159" s="30"/>
      <c r="AQ159" s="26"/>
      <c r="AR159" s="26"/>
      <c r="AS159" s="32"/>
      <c r="AT159" s="34"/>
    </row>
    <row r="160" spans="2:46" x14ac:dyDescent="0.3">
      <c r="B160" s="8"/>
      <c r="C160" s="2"/>
      <c r="D160" s="26"/>
      <c r="E160" s="26"/>
      <c r="F160" s="27"/>
      <c r="G160" s="26"/>
      <c r="H160" s="26"/>
      <c r="I160" s="27"/>
      <c r="J160" s="26"/>
      <c r="K160" s="26"/>
      <c r="L160" s="67"/>
      <c r="N160" s="8"/>
      <c r="O160" s="2"/>
      <c r="P160" s="26"/>
      <c r="Q160" s="27"/>
      <c r="R160" s="30"/>
      <c r="S160" s="27"/>
      <c r="T160" s="30"/>
      <c r="U160" s="34"/>
      <c r="V160" s="34"/>
      <c r="X160" s="8"/>
      <c r="Y160" s="2"/>
      <c r="Z160" s="26"/>
      <c r="AA160" s="26"/>
      <c r="AB160" s="26"/>
      <c r="AC160" s="26"/>
      <c r="AD160" s="27"/>
      <c r="AE160" s="30"/>
      <c r="AF160" s="26"/>
      <c r="AG160" s="26"/>
      <c r="AH160" s="32"/>
      <c r="AJ160" s="8"/>
      <c r="AK160" s="2"/>
      <c r="AL160" s="26"/>
      <c r="AM160" s="26"/>
      <c r="AN160" s="26"/>
      <c r="AO160" s="27"/>
      <c r="AP160" s="30"/>
      <c r="AQ160" s="26"/>
      <c r="AR160" s="26"/>
      <c r="AS160" s="32"/>
      <c r="AT160" s="34"/>
    </row>
    <row r="161" spans="2:46" x14ac:dyDescent="0.3">
      <c r="B161" s="8"/>
      <c r="C161" s="2"/>
      <c r="D161" s="26"/>
      <c r="E161" s="26"/>
      <c r="F161" s="27"/>
      <c r="G161" s="26"/>
      <c r="H161" s="26"/>
      <c r="I161" s="27"/>
      <c r="J161" s="26"/>
      <c r="K161" s="26"/>
      <c r="L161" s="67"/>
      <c r="N161" s="8"/>
      <c r="O161" s="2"/>
      <c r="P161" s="26"/>
      <c r="Q161" s="27"/>
      <c r="R161" s="30"/>
      <c r="S161" s="27"/>
      <c r="T161" s="30"/>
      <c r="U161" s="34"/>
      <c r="V161" s="34"/>
      <c r="X161" s="8"/>
      <c r="Y161" s="2"/>
      <c r="Z161" s="26"/>
      <c r="AA161" s="26"/>
      <c r="AB161" s="26"/>
      <c r="AC161" s="26"/>
      <c r="AD161" s="27"/>
      <c r="AE161" s="30"/>
      <c r="AF161" s="26"/>
      <c r="AG161" s="26"/>
      <c r="AH161" s="32"/>
      <c r="AJ161" s="8"/>
      <c r="AK161" s="2"/>
      <c r="AL161" s="26"/>
      <c r="AM161" s="26"/>
      <c r="AN161" s="26"/>
      <c r="AO161" s="27"/>
      <c r="AP161" s="30"/>
      <c r="AQ161" s="26"/>
      <c r="AR161" s="26"/>
      <c r="AS161" s="32"/>
      <c r="AT161" s="34"/>
    </row>
    <row r="162" spans="2:46" x14ac:dyDescent="0.3">
      <c r="B162" s="8"/>
      <c r="C162" s="2"/>
      <c r="D162" s="26"/>
      <c r="E162" s="26"/>
      <c r="F162" s="27"/>
      <c r="G162" s="26"/>
      <c r="H162" s="26"/>
      <c r="I162" s="27"/>
      <c r="J162" s="26"/>
      <c r="K162" s="26"/>
      <c r="L162" s="67"/>
      <c r="N162" s="8"/>
      <c r="O162" s="2"/>
      <c r="P162" s="26"/>
      <c r="Q162" s="27"/>
      <c r="R162" s="30"/>
      <c r="S162" s="27"/>
      <c r="T162" s="30"/>
      <c r="U162" s="34"/>
      <c r="V162" s="34"/>
      <c r="X162" s="8"/>
      <c r="Y162" s="2"/>
      <c r="Z162" s="26"/>
      <c r="AA162" s="26"/>
      <c r="AB162" s="26"/>
      <c r="AC162" s="26"/>
      <c r="AD162" s="27"/>
      <c r="AE162" s="30"/>
      <c r="AF162" s="26"/>
      <c r="AG162" s="26"/>
      <c r="AH162" s="32"/>
      <c r="AJ162" s="8"/>
      <c r="AK162" s="2"/>
      <c r="AL162" s="26"/>
      <c r="AM162" s="26"/>
      <c r="AN162" s="26"/>
      <c r="AO162" s="27"/>
      <c r="AP162" s="30"/>
      <c r="AQ162" s="26"/>
      <c r="AR162" s="26"/>
      <c r="AS162" s="32"/>
      <c r="AT162" s="34"/>
    </row>
    <row r="163" spans="2:46" x14ac:dyDescent="0.3">
      <c r="B163" s="8"/>
      <c r="C163" s="2"/>
      <c r="D163" s="26"/>
      <c r="E163" s="26"/>
      <c r="F163" s="27"/>
      <c r="G163" s="26"/>
      <c r="H163" s="26"/>
      <c r="I163" s="27"/>
      <c r="J163" s="26"/>
      <c r="K163" s="26"/>
      <c r="L163" s="67"/>
      <c r="N163" s="8"/>
      <c r="O163" s="2"/>
      <c r="P163" s="26"/>
      <c r="Q163" s="27"/>
      <c r="R163" s="30"/>
      <c r="S163" s="27"/>
      <c r="T163" s="30"/>
      <c r="U163" s="34"/>
      <c r="V163" s="34"/>
      <c r="X163" s="8"/>
      <c r="Y163" s="2"/>
      <c r="Z163" s="26"/>
      <c r="AA163" s="26"/>
      <c r="AB163" s="26"/>
      <c r="AC163" s="26"/>
      <c r="AD163" s="27"/>
      <c r="AE163" s="30"/>
      <c r="AF163" s="26"/>
      <c r="AG163" s="26"/>
      <c r="AH163" s="32"/>
      <c r="AJ163" s="8"/>
      <c r="AK163" s="2"/>
      <c r="AL163" s="26"/>
      <c r="AM163" s="26"/>
      <c r="AN163" s="26"/>
      <c r="AO163" s="27"/>
      <c r="AP163" s="30"/>
      <c r="AQ163" s="26"/>
      <c r="AR163" s="26"/>
      <c r="AS163" s="32"/>
      <c r="AT163" s="34"/>
    </row>
    <row r="164" spans="2:46" x14ac:dyDescent="0.3">
      <c r="B164" s="8"/>
      <c r="C164" s="2"/>
      <c r="D164" s="26"/>
      <c r="E164" s="26"/>
      <c r="F164" s="27"/>
      <c r="G164" s="26"/>
      <c r="H164" s="26"/>
      <c r="I164" s="27"/>
      <c r="J164" s="26"/>
      <c r="K164" s="26"/>
      <c r="L164" s="67"/>
      <c r="N164" s="8"/>
      <c r="O164" s="2"/>
      <c r="P164" s="26"/>
      <c r="Q164" s="27"/>
      <c r="R164" s="30"/>
      <c r="S164" s="27"/>
      <c r="T164" s="30"/>
      <c r="U164" s="34"/>
      <c r="V164" s="34"/>
      <c r="X164" s="8"/>
      <c r="Y164" s="2"/>
      <c r="Z164" s="26"/>
      <c r="AA164" s="26"/>
      <c r="AB164" s="26"/>
      <c r="AC164" s="26"/>
      <c r="AD164" s="27"/>
      <c r="AE164" s="30"/>
      <c r="AF164" s="26"/>
      <c r="AG164" s="26"/>
      <c r="AH164" s="32"/>
      <c r="AJ164" s="8"/>
      <c r="AK164" s="2"/>
      <c r="AL164" s="26"/>
      <c r="AM164" s="26"/>
      <c r="AN164" s="26"/>
      <c r="AO164" s="27"/>
      <c r="AP164" s="30"/>
      <c r="AQ164" s="26"/>
      <c r="AR164" s="26"/>
      <c r="AS164" s="32"/>
      <c r="AT164" s="34"/>
    </row>
    <row r="165" spans="2:46" x14ac:dyDescent="0.3">
      <c r="B165" s="8"/>
      <c r="C165" s="2"/>
      <c r="D165" s="26"/>
      <c r="E165" s="26"/>
      <c r="F165" s="27"/>
      <c r="G165" s="26"/>
      <c r="H165" s="26"/>
      <c r="I165" s="27"/>
      <c r="J165" s="26"/>
      <c r="K165" s="26"/>
      <c r="L165" s="67"/>
      <c r="N165" s="8"/>
      <c r="O165" s="2"/>
      <c r="P165" s="26"/>
      <c r="Q165" s="27"/>
      <c r="R165" s="30"/>
      <c r="S165" s="27"/>
      <c r="T165" s="30"/>
      <c r="U165" s="34"/>
      <c r="V165" s="34"/>
      <c r="X165" s="8"/>
      <c r="Y165" s="2"/>
      <c r="Z165" s="26"/>
      <c r="AA165" s="26"/>
      <c r="AB165" s="26"/>
      <c r="AC165" s="26"/>
      <c r="AD165" s="27"/>
      <c r="AE165" s="30"/>
      <c r="AF165" s="26"/>
      <c r="AG165" s="26"/>
      <c r="AH165" s="32"/>
      <c r="AJ165" s="8"/>
      <c r="AK165" s="2"/>
      <c r="AL165" s="26"/>
      <c r="AM165" s="26"/>
      <c r="AN165" s="26"/>
      <c r="AO165" s="27"/>
      <c r="AP165" s="30"/>
      <c r="AQ165" s="26"/>
      <c r="AR165" s="26"/>
      <c r="AS165" s="32"/>
      <c r="AT165" s="34"/>
    </row>
    <row r="166" spans="2:46" x14ac:dyDescent="0.3">
      <c r="B166" s="8"/>
      <c r="C166" s="2"/>
      <c r="D166" s="26"/>
      <c r="E166" s="26"/>
      <c r="F166" s="28"/>
      <c r="G166" s="29"/>
      <c r="H166" s="29"/>
      <c r="I166" s="28"/>
      <c r="J166" s="29"/>
      <c r="K166" s="29"/>
      <c r="L166" s="68"/>
      <c r="N166" s="8"/>
      <c r="O166" s="2"/>
      <c r="P166" s="26"/>
      <c r="Q166" s="28"/>
      <c r="R166" s="31"/>
      <c r="S166" s="28"/>
      <c r="T166" s="31"/>
      <c r="U166" s="34"/>
      <c r="V166" s="34"/>
      <c r="X166" s="8"/>
      <c r="Y166" s="2"/>
      <c r="Z166" s="26"/>
      <c r="AA166" s="26"/>
      <c r="AB166" s="26"/>
      <c r="AC166" s="26"/>
      <c r="AD166" s="28"/>
      <c r="AE166" s="31"/>
      <c r="AF166" s="26"/>
      <c r="AG166" s="26"/>
      <c r="AH166" s="33"/>
      <c r="AJ166" s="8"/>
      <c r="AK166" s="2"/>
      <c r="AL166" s="26"/>
      <c r="AM166" s="26"/>
      <c r="AN166" s="26"/>
      <c r="AO166" s="28"/>
      <c r="AP166" s="31"/>
      <c r="AQ166" s="26"/>
      <c r="AR166" s="26"/>
      <c r="AS166" s="32"/>
      <c r="AT166" s="34"/>
    </row>
    <row r="167" spans="2:46" x14ac:dyDescent="0.3">
      <c r="B167" s="22"/>
      <c r="C167" s="22"/>
      <c r="D167" s="22"/>
      <c r="E167" s="22"/>
      <c r="F167" s="22"/>
      <c r="G167" s="22"/>
      <c r="H167" s="22"/>
      <c r="I167" s="22"/>
      <c r="J167" s="22"/>
      <c r="K167" s="22"/>
      <c r="L167" s="22"/>
      <c r="N167" s="22"/>
      <c r="O167" s="22"/>
      <c r="P167" s="22"/>
      <c r="Q167" s="22"/>
      <c r="R167" s="22"/>
      <c r="S167" s="22"/>
      <c r="T167" s="22"/>
      <c r="U167" s="22"/>
      <c r="V167" s="22"/>
      <c r="X167" s="22"/>
      <c r="Y167" s="22"/>
      <c r="Z167" s="22"/>
      <c r="AA167" s="22"/>
      <c r="AB167" s="22"/>
      <c r="AC167" s="22"/>
      <c r="AD167" s="22"/>
      <c r="AE167" s="22"/>
      <c r="AF167" s="22"/>
      <c r="AG167" s="22"/>
      <c r="AH167" s="22"/>
      <c r="AJ167" s="22"/>
      <c r="AK167" s="22"/>
      <c r="AL167" s="22"/>
      <c r="AM167" s="22"/>
      <c r="AN167" s="22"/>
      <c r="AO167" s="22"/>
      <c r="AP167" s="22"/>
      <c r="AQ167" s="22"/>
      <c r="AR167" s="22"/>
      <c r="AS167" s="22"/>
      <c r="AT167" s="22"/>
    </row>
  </sheetData>
  <mergeCells count="11">
    <mergeCell ref="AF4:AG4"/>
    <mergeCell ref="AO4:AP4"/>
    <mergeCell ref="AQ4:AR4"/>
    <mergeCell ref="AS4:AT4"/>
    <mergeCell ref="D4:E4"/>
    <mergeCell ref="F4:H4"/>
    <mergeCell ref="I4:K4"/>
    <mergeCell ref="Q4:R4"/>
    <mergeCell ref="AD4:AE4"/>
    <mergeCell ref="S4:T4"/>
    <mergeCell ref="U4:V4"/>
  </mergeCells>
  <conditionalFormatting sqref="D13:K13 P13:R13 Z13:AG13 AL13:AR13">
    <cfRule type="cellIs" dxfId="76" priority="11" operator="greaterThan">
      <formula>1</formula>
    </cfRule>
  </conditionalFormatting>
  <conditionalFormatting sqref="D17:K166 Z17:AG166 AL17:AR166">
    <cfRule type="cellIs" dxfId="75" priority="12" operator="lessThan">
      <formula>0</formula>
    </cfRule>
    <cfRule type="cellIs" dxfId="74" priority="13" operator="greaterThan">
      <formula>0</formula>
    </cfRule>
  </conditionalFormatting>
  <conditionalFormatting sqref="U17:V166">
    <cfRule type="cellIs" dxfId="73" priority="9" operator="greaterThan">
      <formula>1</formula>
    </cfRule>
  </conditionalFormatting>
  <conditionalFormatting sqref="AH17:AH166">
    <cfRule type="cellIs" dxfId="72" priority="8" operator="greaterThan">
      <formula>1</formula>
    </cfRule>
  </conditionalFormatting>
  <conditionalFormatting sqref="AS17:AT166">
    <cfRule type="cellIs" dxfId="71" priority="6" operator="greaterThan">
      <formula>1</formula>
    </cfRule>
  </conditionalFormatting>
  <conditionalFormatting sqref="BA7:BA24 P17:T166">
    <cfRule type="cellIs" dxfId="68" priority="3" operator="lessThan">
      <formula>0</formula>
    </cfRule>
    <cfRule type="cellIs" dxfId="67" priority="4" operator="greaterThan">
      <formula>0</formula>
    </cfRule>
  </conditionalFormatting>
  <conditionalFormatting sqref="BB7:BB24 L17:L166">
    <cfRule type="cellIs" dxfId="66" priority="5" operator="greaterThan">
      <formula>1</formula>
    </cfRule>
  </conditionalFormatting>
  <dataValidations count="4">
    <dataValidation type="whole" errorStyle="information" allowBlank="1" showInputMessage="1" showErrorMessage="1" errorTitle="Must select 1 or 2" error="1 = Included in closure_x000a_2 = Excluded" sqref="V17:V166 AH17:AH166 L17:L166 AS17:AT166" xr:uid="{83F4EF1E-E776-46E9-929C-71C8E4EF1010}">
      <formula1>1</formula1>
      <formula2>2</formula2>
    </dataValidation>
    <dataValidation type="whole" errorStyle="information" allowBlank="1" showInputMessage="1" showErrorMessage="1" errorTitle="Must select 1 or 2" error="1 = Included in shock_x000a_2 = Excluded" sqref="U17:U166" xr:uid="{54FCA3CB-421F-4389-8C6F-CA28991E0FAF}">
      <formula1>1</formula1>
      <formula2>2</formula2>
    </dataValidation>
    <dataValidation type="decimal" errorStyle="information" allowBlank="1" showInputMessage="1" showErrorMessage="1" errorTitle="Must select a number" error="Cannot choose letters or special characters." sqref="D17:K166 BA7:BA24 AL17:AN37 P17:T166 Z17:AG166 AO17:AR166" xr:uid="{77EA2D81-6027-4FA0-A984-914DAD34DEEA}">
      <formula1>-1000000000</formula1>
      <formula2>1000000000</formula2>
    </dataValidation>
    <dataValidation type="whole" errorStyle="information" allowBlank="1" showInputMessage="1" showErrorMessage="1" errorTitle="Must select 1 or 2" error="1 = Multiplicative_x000a_2 = Additive" sqref="AL13:AR13 Z13:AG13 P13:R13 D13:K13 BB7:BB24" xr:uid="{58B2F23A-4A4E-4B5F-BF9F-930EFE6BBE69}">
      <formula1>1</formula1>
      <formula2>2</formula2>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ellIs" priority="15" operator="equal" id="{3B9AFC76-636B-439B-B2F6-279F04EC48FE}">
            <xm:f>Notes!$L$4</xm:f>
            <x14:dxf>
              <font>
                <b val="0"/>
                <i val="0"/>
                <strike val="0"/>
                <color theme="0" tint="-0.34998626667073579"/>
              </font>
              <fill>
                <patternFill patternType="none">
                  <bgColor auto="1"/>
                </patternFill>
              </fill>
            </x14:dxf>
          </x14:cfRule>
          <xm:sqref>AY7:AY24 D8:K8 P8:T8 Z8:AG8 AL8:AR8</xm:sqref>
        </x14:conditionalFormatting>
        <x14:conditionalFormatting xmlns:xm="http://schemas.microsoft.com/office/excel/2006/main">
          <x14:cfRule type="cellIs" priority="14" operator="equal" id="{3C69E804-1F88-42F6-A081-A76B6C5F2833}">
            <xm:f>Notes!$L$5</xm:f>
            <x14:dxf>
              <font>
                <b val="0"/>
                <i val="0"/>
                <strike val="0"/>
                <color theme="0" tint="-0.34998626667073579"/>
              </font>
              <fill>
                <patternFill patternType="none">
                  <bgColor auto="1"/>
                </patternFill>
              </fill>
            </x14:dxf>
          </x14:cfRule>
          <xm:sqref>AZ7:AZ24 D9:K9 P9:T9 Z9:AG9 AL9:AR9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Out of range" error="Time periods must fall within the range specified on the &quot;Base&quot; worksheet." xr:uid="{E886BD61-AF62-43EB-A851-D70227EA1064}">
          <x14:formula1>
            <xm:f>Main!$H$5:$H$58</xm:f>
          </x14:formula1>
          <xm:sqref>D8:K9 AY7:AZ24 AL8:AR9 P8:T9</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8AB36-5A9D-44B1-9A69-23EB7674CBD2}">
  <sheetPr>
    <tabColor theme="8" tint="-0.499984740745262"/>
  </sheetPr>
  <dimension ref="A1:BE167"/>
  <sheetViews>
    <sheetView zoomScale="55" zoomScaleNormal="55" workbookViewId="0">
      <pane ySplit="16" topLeftCell="A17" activePane="bottomLeft" state="frozen"/>
      <selection activeCell="V17" sqref="V17"/>
      <selection pane="bottomLeft" activeCell="V17" sqref="V17"/>
    </sheetView>
  </sheetViews>
  <sheetFormatPr defaultColWidth="0" defaultRowHeight="14.4" zeroHeight="1" x14ac:dyDescent="0.3"/>
  <cols>
    <col min="1" max="2" width="2.44140625" customWidth="1"/>
    <col min="3" max="12" width="9.109375" customWidth="1"/>
    <col min="13" max="14" width="2.44140625" customWidth="1"/>
    <col min="15" max="22" width="9.109375" customWidth="1"/>
    <col min="23" max="24" width="2.44140625" customWidth="1"/>
    <col min="25" max="34" width="9.109375" customWidth="1"/>
    <col min="35" max="36" width="2.44140625" customWidth="1"/>
    <col min="37" max="37" width="11.77734375" customWidth="1"/>
    <col min="38" max="46" width="9.109375" customWidth="1"/>
    <col min="47" max="48" width="2.44140625" customWidth="1"/>
    <col min="49" max="49" width="18.88671875" bestFit="1" customWidth="1"/>
    <col min="50" max="54" width="9.109375" customWidth="1"/>
    <col min="55" max="55" width="2.44140625" customWidth="1"/>
    <col min="56" max="57" width="0" hidden="1" customWidth="1"/>
    <col min="58" max="16384" width="9.109375" hidden="1"/>
  </cols>
  <sheetData>
    <row r="1" spans="1:55" ht="18" x14ac:dyDescent="0.35">
      <c r="A1" s="6" t="str">
        <f>"Simulation "&amp;AC1&amp;IF(AD1&lt;&gt;""," : "&amp;AD1,"")</f>
        <v>Simulation sim10</v>
      </c>
      <c r="B1" s="6"/>
      <c r="C1" s="4"/>
      <c r="D1" s="4"/>
      <c r="E1" s="4"/>
      <c r="F1" s="4"/>
      <c r="G1" s="4"/>
      <c r="H1" s="4"/>
      <c r="I1" s="4"/>
      <c r="J1" s="4"/>
      <c r="K1" s="4"/>
      <c r="L1" s="4"/>
      <c r="M1" s="4"/>
      <c r="N1" s="4"/>
      <c r="O1" s="4"/>
      <c r="P1" s="4"/>
      <c r="Q1" s="4"/>
      <c r="R1" s="4"/>
      <c r="S1" s="4"/>
      <c r="T1" s="4"/>
      <c r="U1" s="4"/>
      <c r="V1" s="4"/>
      <c r="W1" s="4"/>
      <c r="X1" s="4"/>
      <c r="Y1" s="4"/>
      <c r="Z1" s="4"/>
      <c r="AA1" s="4"/>
      <c r="AB1" s="4"/>
      <c r="AC1" s="4" t="str">
        <f>Main!C16</f>
        <v>sim10</v>
      </c>
      <c r="AD1" s="4" t="str">
        <f>IF(Main!E16&lt;&gt;"",Main!E16,"")</f>
        <v/>
      </c>
      <c r="AE1" s="4"/>
      <c r="AF1" s="4"/>
      <c r="AG1" s="4"/>
      <c r="AH1" s="4"/>
      <c r="AI1" s="4"/>
      <c r="AJ1" s="4"/>
      <c r="AK1" s="4"/>
      <c r="AL1" s="4"/>
      <c r="AM1" s="4"/>
      <c r="AN1" s="4"/>
      <c r="AO1" s="4"/>
      <c r="AP1" s="4"/>
      <c r="AQ1" s="4"/>
      <c r="AR1" s="4"/>
      <c r="AS1" s="4"/>
      <c r="AT1" s="4"/>
      <c r="AU1" s="4"/>
      <c r="AV1" s="4"/>
      <c r="AW1" s="4"/>
      <c r="AX1" s="4"/>
      <c r="AY1" s="4"/>
      <c r="AZ1" s="4"/>
      <c r="BA1" s="4"/>
      <c r="BB1" s="4"/>
      <c r="BC1" s="4"/>
    </row>
    <row r="2" spans="1:55" x14ac:dyDescent="0.3"/>
    <row r="3" spans="1:55" ht="15.6" x14ac:dyDescent="0.3">
      <c r="B3" s="7"/>
      <c r="C3" s="17" t="s">
        <v>55</v>
      </c>
      <c r="D3" s="36"/>
      <c r="E3" s="36"/>
      <c r="F3" s="36"/>
      <c r="G3" s="36"/>
      <c r="H3" s="36"/>
      <c r="I3" s="36"/>
      <c r="J3" s="36"/>
      <c r="K3" s="36"/>
      <c r="L3" s="36"/>
      <c r="N3" s="7"/>
      <c r="O3" s="17" t="s">
        <v>56</v>
      </c>
      <c r="P3" s="36"/>
      <c r="Q3" s="36"/>
      <c r="R3" s="36"/>
      <c r="S3" s="36"/>
      <c r="T3" s="36"/>
      <c r="U3" s="36"/>
      <c r="V3" s="36"/>
      <c r="X3" s="7"/>
      <c r="Y3" s="17" t="s">
        <v>57</v>
      </c>
      <c r="Z3" s="36"/>
      <c r="AA3" s="36"/>
      <c r="AB3" s="36"/>
      <c r="AC3" s="36"/>
      <c r="AD3" s="36"/>
      <c r="AE3" s="36"/>
      <c r="AF3" s="36"/>
      <c r="AG3" s="36"/>
      <c r="AH3" s="36"/>
      <c r="AJ3" s="7"/>
      <c r="AK3" s="17" t="s">
        <v>283</v>
      </c>
      <c r="AL3" s="36"/>
      <c r="AM3" s="36"/>
      <c r="AN3" s="36"/>
      <c r="AO3" s="36"/>
      <c r="AP3" s="36"/>
      <c r="AQ3" s="36"/>
      <c r="AR3" s="36"/>
      <c r="AS3" s="36"/>
      <c r="AT3" s="36"/>
      <c r="AV3" s="7"/>
      <c r="AW3" s="17" t="s">
        <v>125</v>
      </c>
      <c r="AX3" s="36"/>
      <c r="AY3" s="36"/>
      <c r="AZ3" s="36"/>
      <c r="BA3" s="36"/>
      <c r="BB3" s="36"/>
    </row>
    <row r="4" spans="1:55" x14ac:dyDescent="0.3">
      <c r="B4" s="14"/>
      <c r="C4" s="9"/>
      <c r="D4" s="74" t="s">
        <v>58</v>
      </c>
      <c r="E4" s="74"/>
      <c r="F4" s="75" t="s">
        <v>59</v>
      </c>
      <c r="G4" s="74"/>
      <c r="H4" s="74"/>
      <c r="I4" s="75" t="s">
        <v>7</v>
      </c>
      <c r="J4" s="74"/>
      <c r="K4" s="74"/>
      <c r="L4" s="37" t="s">
        <v>103</v>
      </c>
      <c r="N4" s="14"/>
      <c r="O4" s="9"/>
      <c r="P4" s="38" t="s">
        <v>60</v>
      </c>
      <c r="Q4" s="75" t="s">
        <v>61</v>
      </c>
      <c r="R4" s="76"/>
      <c r="S4" s="75" t="s">
        <v>646</v>
      </c>
      <c r="T4" s="74"/>
      <c r="U4" s="75" t="s">
        <v>103</v>
      </c>
      <c r="V4" s="74"/>
      <c r="X4" s="14"/>
      <c r="Y4" s="9"/>
      <c r="Z4" s="38" t="s">
        <v>63</v>
      </c>
      <c r="AA4" s="38" t="s">
        <v>62</v>
      </c>
      <c r="AB4" s="38" t="s">
        <v>311</v>
      </c>
      <c r="AC4" s="38" t="s">
        <v>62</v>
      </c>
      <c r="AD4" s="75" t="s">
        <v>126</v>
      </c>
      <c r="AE4" s="76"/>
      <c r="AF4" s="74" t="s">
        <v>127</v>
      </c>
      <c r="AG4" s="74"/>
      <c r="AH4" s="37" t="s">
        <v>103</v>
      </c>
      <c r="AJ4" s="14"/>
      <c r="AK4" s="9"/>
      <c r="AL4" s="38" t="s">
        <v>132</v>
      </c>
      <c r="AM4" s="38" t="s">
        <v>99</v>
      </c>
      <c r="AN4" s="38" t="s">
        <v>289</v>
      </c>
      <c r="AO4" s="75" t="s">
        <v>126</v>
      </c>
      <c r="AP4" s="76"/>
      <c r="AQ4" s="74" t="s">
        <v>127</v>
      </c>
      <c r="AR4" s="74"/>
      <c r="AS4" s="75" t="s">
        <v>103</v>
      </c>
      <c r="AT4" s="74"/>
      <c r="AV4" s="8"/>
      <c r="AY4" s="39" t="s">
        <v>335</v>
      </c>
      <c r="AZ4" s="39" t="s">
        <v>336</v>
      </c>
      <c r="BA4" s="39" t="s">
        <v>300</v>
      </c>
      <c r="BB4" s="39" t="s">
        <v>304</v>
      </c>
    </row>
    <row r="5" spans="1:55" x14ac:dyDescent="0.3">
      <c r="B5" s="14"/>
      <c r="C5" s="9"/>
      <c r="D5" s="40" t="s">
        <v>64</v>
      </c>
      <c r="E5" s="40" t="s">
        <v>65</v>
      </c>
      <c r="F5" s="41" t="s">
        <v>64</v>
      </c>
      <c r="G5" s="40" t="s">
        <v>65</v>
      </c>
      <c r="H5" s="40" t="s">
        <v>66</v>
      </c>
      <c r="I5" s="41" t="s">
        <v>64</v>
      </c>
      <c r="J5" s="40" t="s">
        <v>65</v>
      </c>
      <c r="K5" s="40" t="s">
        <v>67</v>
      </c>
      <c r="L5" s="41" t="s">
        <v>100</v>
      </c>
      <c r="N5" s="14"/>
      <c r="O5" s="9"/>
      <c r="P5" s="40"/>
      <c r="Q5" s="41" t="s">
        <v>68</v>
      </c>
      <c r="R5" s="42" t="s">
        <v>124</v>
      </c>
      <c r="S5" s="40" t="s">
        <v>284</v>
      </c>
      <c r="T5" s="40" t="s">
        <v>286</v>
      </c>
      <c r="U5" s="69" t="s">
        <v>313</v>
      </c>
      <c r="V5" s="40" t="s">
        <v>100</v>
      </c>
      <c r="X5" s="14"/>
      <c r="Y5" s="9"/>
      <c r="Z5" s="38" t="s">
        <v>70</v>
      </c>
      <c r="AA5" s="38" t="s">
        <v>71</v>
      </c>
      <c r="AB5" s="38" t="s">
        <v>312</v>
      </c>
      <c r="AC5" s="38" t="s">
        <v>69</v>
      </c>
      <c r="AD5" s="41" t="s">
        <v>86</v>
      </c>
      <c r="AE5" s="42" t="s">
        <v>87</v>
      </c>
      <c r="AF5" s="40" t="s">
        <v>86</v>
      </c>
      <c r="AG5" s="40" t="s">
        <v>87</v>
      </c>
      <c r="AH5" s="41" t="s">
        <v>100</v>
      </c>
      <c r="AJ5" s="14"/>
      <c r="AK5" s="9"/>
      <c r="AL5" s="38" t="s">
        <v>134</v>
      </c>
      <c r="AM5" s="38" t="s">
        <v>70</v>
      </c>
      <c r="AN5" s="38" t="s">
        <v>123</v>
      </c>
      <c r="AO5" s="41" t="s">
        <v>86</v>
      </c>
      <c r="AP5" s="42" t="s">
        <v>87</v>
      </c>
      <c r="AQ5" s="40" t="s">
        <v>86</v>
      </c>
      <c r="AR5" s="40" t="s">
        <v>87</v>
      </c>
      <c r="AS5" s="41" t="s">
        <v>99</v>
      </c>
      <c r="AT5" s="40" t="s">
        <v>100</v>
      </c>
      <c r="AV5" s="8"/>
      <c r="BA5" s="43"/>
      <c r="BB5" s="44" t="s">
        <v>305</v>
      </c>
    </row>
    <row r="6" spans="1:55" x14ac:dyDescent="0.3">
      <c r="B6" s="8"/>
      <c r="F6" s="45"/>
      <c r="I6" s="45"/>
      <c r="L6" s="45"/>
      <c r="N6" s="8"/>
      <c r="Q6" s="45"/>
      <c r="R6" s="46"/>
      <c r="U6" s="70"/>
      <c r="X6" s="8"/>
      <c r="AD6" s="45"/>
      <c r="AE6" s="46"/>
      <c r="AH6" s="45"/>
      <c r="AJ6" s="8"/>
      <c r="AO6" s="45"/>
      <c r="AP6" s="46"/>
      <c r="AS6" s="45"/>
      <c r="AV6" s="8"/>
      <c r="AW6" s="47" t="s">
        <v>303</v>
      </c>
      <c r="AX6" s="48"/>
      <c r="AY6" s="49" t="s">
        <v>337</v>
      </c>
      <c r="AZ6" s="49" t="s">
        <v>338</v>
      </c>
      <c r="BA6" s="49" t="s">
        <v>206</v>
      </c>
      <c r="BB6" s="49" t="s">
        <v>207</v>
      </c>
    </row>
    <row r="7" spans="1:55" x14ac:dyDescent="0.3">
      <c r="B7" s="8"/>
      <c r="D7" s="50" t="s">
        <v>72</v>
      </c>
      <c r="E7" s="50" t="s">
        <v>73</v>
      </c>
      <c r="F7" s="51" t="s">
        <v>74</v>
      </c>
      <c r="G7" s="50" t="s">
        <v>75</v>
      </c>
      <c r="H7" s="50" t="s">
        <v>76</v>
      </c>
      <c r="I7" s="51" t="s">
        <v>77</v>
      </c>
      <c r="J7" s="50" t="s">
        <v>78</v>
      </c>
      <c r="K7" s="50" t="s">
        <v>79</v>
      </c>
      <c r="L7" s="45"/>
      <c r="N7" s="8"/>
      <c r="P7" s="50" t="s">
        <v>81</v>
      </c>
      <c r="Q7" s="51" t="s">
        <v>82</v>
      </c>
      <c r="R7" s="52" t="s">
        <v>621</v>
      </c>
      <c r="S7" s="50" t="s">
        <v>80</v>
      </c>
      <c r="T7" s="50" t="s">
        <v>285</v>
      </c>
      <c r="U7" s="70"/>
      <c r="X7" s="8"/>
      <c r="Z7" s="50" t="s">
        <v>84</v>
      </c>
      <c r="AA7" s="50" t="s">
        <v>85</v>
      </c>
      <c r="AB7" s="50" t="s">
        <v>310</v>
      </c>
      <c r="AC7" s="50" t="s">
        <v>83</v>
      </c>
      <c r="AD7" s="51" t="s">
        <v>130</v>
      </c>
      <c r="AE7" s="52" t="s">
        <v>131</v>
      </c>
      <c r="AF7" s="50" t="s">
        <v>128</v>
      </c>
      <c r="AG7" s="50" t="s">
        <v>129</v>
      </c>
      <c r="AH7" s="45"/>
      <c r="AJ7" s="8"/>
      <c r="AL7" s="50" t="s">
        <v>133</v>
      </c>
      <c r="AM7" s="50" t="s">
        <v>101</v>
      </c>
      <c r="AN7" s="50" t="s">
        <v>622</v>
      </c>
      <c r="AO7" s="51" t="s">
        <v>130</v>
      </c>
      <c r="AP7" s="52" t="s">
        <v>131</v>
      </c>
      <c r="AQ7" s="50" t="s">
        <v>128</v>
      </c>
      <c r="AR7" s="50" t="s">
        <v>129</v>
      </c>
      <c r="AS7" s="45"/>
      <c r="AV7" s="8"/>
      <c r="AW7" s="9" t="s">
        <v>88</v>
      </c>
      <c r="AX7" s="53" t="s">
        <v>89</v>
      </c>
      <c r="AY7" s="63">
        <f>Notes!$L$4</f>
        <v>2024</v>
      </c>
      <c r="AZ7" s="63">
        <f>Notes!$L$5</f>
        <v>2040</v>
      </c>
      <c r="BA7" s="26">
        <v>0</v>
      </c>
      <c r="BB7" s="34">
        <v>1</v>
      </c>
    </row>
    <row r="8" spans="1:55" x14ac:dyDescent="0.3">
      <c r="B8" s="8"/>
      <c r="C8" s="1" t="s">
        <v>339</v>
      </c>
      <c r="D8" s="63">
        <f>Notes!$L4</f>
        <v>2024</v>
      </c>
      <c r="E8" s="63">
        <f>Notes!$L4</f>
        <v>2024</v>
      </c>
      <c r="F8" s="64">
        <f>Notes!$L4</f>
        <v>2024</v>
      </c>
      <c r="G8" s="63">
        <f>Notes!$L4</f>
        <v>2024</v>
      </c>
      <c r="H8" s="63">
        <f>Notes!$L4</f>
        <v>2024</v>
      </c>
      <c r="I8" s="64">
        <f>Notes!$L4</f>
        <v>2024</v>
      </c>
      <c r="J8" s="63">
        <f>Notes!$L4</f>
        <v>2024</v>
      </c>
      <c r="K8" s="63">
        <f>Notes!$L4</f>
        <v>2024</v>
      </c>
      <c r="L8" s="45"/>
      <c r="N8" s="8"/>
      <c r="O8" s="1" t="s">
        <v>339</v>
      </c>
      <c r="P8" s="63">
        <f>Notes!$L4</f>
        <v>2024</v>
      </c>
      <c r="Q8" s="64">
        <f>Notes!$L4</f>
        <v>2024</v>
      </c>
      <c r="R8" s="63">
        <f>Notes!$L4</f>
        <v>2024</v>
      </c>
      <c r="S8" s="64">
        <f>Notes!$L4</f>
        <v>2024</v>
      </c>
      <c r="T8" s="63">
        <f>Notes!$L4</f>
        <v>2024</v>
      </c>
      <c r="U8" s="70"/>
      <c r="X8" s="8"/>
      <c r="Y8" s="1" t="s">
        <v>339</v>
      </c>
      <c r="Z8" s="63">
        <f>Notes!$L4</f>
        <v>2024</v>
      </c>
      <c r="AA8" s="63">
        <f>Notes!$L4</f>
        <v>2024</v>
      </c>
      <c r="AB8" s="63">
        <f>Notes!$L4</f>
        <v>2024</v>
      </c>
      <c r="AC8" s="63">
        <f>Notes!$L4</f>
        <v>2024</v>
      </c>
      <c r="AD8" s="64">
        <f>Notes!$L4</f>
        <v>2024</v>
      </c>
      <c r="AE8" s="63">
        <f>Notes!$L4</f>
        <v>2024</v>
      </c>
      <c r="AF8" s="64">
        <f>Notes!$L4</f>
        <v>2024</v>
      </c>
      <c r="AG8" s="63">
        <f>Notes!$L4</f>
        <v>2024</v>
      </c>
      <c r="AH8" s="45"/>
      <c r="AJ8" s="8"/>
      <c r="AK8" s="1" t="s">
        <v>339</v>
      </c>
      <c r="AL8" s="63">
        <f>Notes!$L4</f>
        <v>2024</v>
      </c>
      <c r="AM8" s="63">
        <f>Notes!$L4</f>
        <v>2024</v>
      </c>
      <c r="AN8" s="63">
        <f>Notes!$L4</f>
        <v>2024</v>
      </c>
      <c r="AO8" s="64">
        <f>Notes!$L4</f>
        <v>2024</v>
      </c>
      <c r="AP8" s="63">
        <f>Notes!$L4</f>
        <v>2024</v>
      </c>
      <c r="AQ8" s="64">
        <f>Notes!$L$4</f>
        <v>2024</v>
      </c>
      <c r="AR8" s="63">
        <f>Notes!$L4</f>
        <v>2024</v>
      </c>
      <c r="AS8" s="45"/>
      <c r="AV8" s="8"/>
      <c r="AW8" s="9" t="s">
        <v>92</v>
      </c>
      <c r="AX8" s="53" t="s">
        <v>93</v>
      </c>
      <c r="AY8" s="63">
        <f>Notes!$L$4</f>
        <v>2024</v>
      </c>
      <c r="AZ8" s="63">
        <f>Notes!$L$5</f>
        <v>2040</v>
      </c>
      <c r="BA8" s="26">
        <v>0</v>
      </c>
      <c r="BB8" s="34">
        <v>1</v>
      </c>
    </row>
    <row r="9" spans="1:55" x14ac:dyDescent="0.3">
      <c r="B9" s="8"/>
      <c r="C9" s="1" t="s">
        <v>340</v>
      </c>
      <c r="D9" s="63">
        <f>Notes!$L5</f>
        <v>2040</v>
      </c>
      <c r="E9" s="63">
        <f>Notes!$L5</f>
        <v>2040</v>
      </c>
      <c r="F9" s="64">
        <f>Notes!$L5</f>
        <v>2040</v>
      </c>
      <c r="G9" s="63">
        <f>Notes!$L5</f>
        <v>2040</v>
      </c>
      <c r="H9" s="63">
        <f>Notes!$L5</f>
        <v>2040</v>
      </c>
      <c r="I9" s="64">
        <f>Notes!$L5</f>
        <v>2040</v>
      </c>
      <c r="J9" s="63">
        <f>Notes!$L5</f>
        <v>2040</v>
      </c>
      <c r="K9" s="63">
        <f>Notes!$L5</f>
        <v>2040</v>
      </c>
      <c r="L9" s="45"/>
      <c r="N9" s="8"/>
      <c r="O9" s="1" t="s">
        <v>340</v>
      </c>
      <c r="P9" s="63">
        <f>Notes!$L5</f>
        <v>2040</v>
      </c>
      <c r="Q9" s="64">
        <f>Notes!$L5</f>
        <v>2040</v>
      </c>
      <c r="R9" s="63">
        <f>Notes!$L5</f>
        <v>2040</v>
      </c>
      <c r="S9" s="64">
        <f>Notes!$L5</f>
        <v>2040</v>
      </c>
      <c r="T9" s="63">
        <f>Notes!$L5</f>
        <v>2040</v>
      </c>
      <c r="U9" s="70"/>
      <c r="X9" s="8"/>
      <c r="Y9" s="1" t="s">
        <v>340</v>
      </c>
      <c r="Z9" s="63">
        <f>Notes!$L5</f>
        <v>2040</v>
      </c>
      <c r="AA9" s="63">
        <f>Notes!$L5</f>
        <v>2040</v>
      </c>
      <c r="AB9" s="63">
        <f>Notes!$L5</f>
        <v>2040</v>
      </c>
      <c r="AC9" s="63">
        <f>Notes!$L5</f>
        <v>2040</v>
      </c>
      <c r="AD9" s="64">
        <f>Notes!$L5</f>
        <v>2040</v>
      </c>
      <c r="AE9" s="63">
        <f>Notes!$L5</f>
        <v>2040</v>
      </c>
      <c r="AF9" s="64">
        <f>Notes!$L5</f>
        <v>2040</v>
      </c>
      <c r="AG9" s="63">
        <f>Notes!$L5</f>
        <v>2040</v>
      </c>
      <c r="AH9" s="45"/>
      <c r="AJ9" s="8"/>
      <c r="AK9" s="1" t="s">
        <v>340</v>
      </c>
      <c r="AL9" s="63">
        <f>Notes!$L5</f>
        <v>2040</v>
      </c>
      <c r="AM9" s="63">
        <f>Notes!$L5</f>
        <v>2040</v>
      </c>
      <c r="AN9" s="63">
        <f>Notes!$L5</f>
        <v>2040</v>
      </c>
      <c r="AO9" s="64">
        <f>Notes!$L5</f>
        <v>2040</v>
      </c>
      <c r="AP9" s="63">
        <f>Notes!$L5</f>
        <v>2040</v>
      </c>
      <c r="AQ9" s="64">
        <f>Notes!$L5</f>
        <v>2040</v>
      </c>
      <c r="AR9" s="63">
        <f>Notes!$L5</f>
        <v>2040</v>
      </c>
      <c r="AS9" s="45"/>
      <c r="AV9" s="8"/>
      <c r="AW9" s="9" t="s">
        <v>90</v>
      </c>
      <c r="AX9" s="53" t="s">
        <v>91</v>
      </c>
      <c r="AY9" s="63">
        <f>Notes!$L$4</f>
        <v>2024</v>
      </c>
      <c r="AZ9" s="63">
        <f>Notes!$L$5</f>
        <v>2040</v>
      </c>
      <c r="BA9" s="26">
        <v>0</v>
      </c>
      <c r="BB9" s="34">
        <v>1</v>
      </c>
    </row>
    <row r="10" spans="1:55" x14ac:dyDescent="0.3">
      <c r="B10" s="8"/>
      <c r="F10" s="45"/>
      <c r="I10" s="45"/>
      <c r="L10" s="45"/>
      <c r="N10" s="8"/>
      <c r="Q10" s="45"/>
      <c r="R10" s="46"/>
      <c r="U10" s="70"/>
      <c r="X10" s="8"/>
      <c r="AD10" s="45"/>
      <c r="AE10" s="46"/>
      <c r="AH10" s="45"/>
      <c r="AJ10" s="8"/>
      <c r="AO10" s="45"/>
      <c r="AP10" s="46"/>
      <c r="AS10" s="45"/>
      <c r="AV10" s="8"/>
      <c r="AW10" s="9" t="s">
        <v>298</v>
      </c>
      <c r="AX10" s="53" t="s">
        <v>299</v>
      </c>
      <c r="AY10" s="63">
        <f>Notes!$L$4</f>
        <v>2024</v>
      </c>
      <c r="AZ10" s="63">
        <f>Notes!$L$5</f>
        <v>2040</v>
      </c>
      <c r="BA10" s="26">
        <v>0</v>
      </c>
      <c r="BB10" s="34">
        <v>1</v>
      </c>
    </row>
    <row r="11" spans="1:55" x14ac:dyDescent="0.3">
      <c r="B11" s="8"/>
      <c r="C11" s="54" t="s">
        <v>302</v>
      </c>
      <c r="D11" s="55"/>
      <c r="E11" s="55"/>
      <c r="F11" s="56"/>
      <c r="G11" s="55"/>
      <c r="H11" s="55"/>
      <c r="I11" s="56"/>
      <c r="J11" s="55"/>
      <c r="K11" s="55"/>
      <c r="L11" s="56"/>
      <c r="N11" s="8"/>
      <c r="O11" s="54" t="s">
        <v>302</v>
      </c>
      <c r="P11" s="53"/>
      <c r="Q11" s="57"/>
      <c r="R11" s="58"/>
      <c r="S11" s="53"/>
      <c r="T11" s="53"/>
      <c r="U11" s="71"/>
      <c r="V11" s="53"/>
      <c r="X11" s="8"/>
      <c r="Y11" s="54" t="s">
        <v>302</v>
      </c>
      <c r="Z11" s="53"/>
      <c r="AA11" s="53"/>
      <c r="AB11" s="53"/>
      <c r="AC11" s="53"/>
      <c r="AD11" s="57"/>
      <c r="AE11" s="58"/>
      <c r="AF11" s="53"/>
      <c r="AG11" s="53"/>
      <c r="AH11" s="56"/>
      <c r="AJ11" s="8"/>
      <c r="AK11" s="54" t="s">
        <v>302</v>
      </c>
      <c r="AL11" s="54"/>
      <c r="AM11" s="59"/>
      <c r="AN11" s="53"/>
      <c r="AO11" s="57"/>
      <c r="AP11" s="58"/>
      <c r="AQ11" s="53"/>
      <c r="AR11" s="53"/>
      <c r="AS11" s="57"/>
      <c r="AT11" s="53"/>
      <c r="AV11" s="8"/>
      <c r="AW11" s="9" t="s">
        <v>98</v>
      </c>
      <c r="AX11" s="53" t="s">
        <v>101</v>
      </c>
      <c r="AY11" s="63">
        <f>Notes!$L$4</f>
        <v>2024</v>
      </c>
      <c r="AZ11" s="63">
        <f>Notes!$L$5</f>
        <v>2040</v>
      </c>
      <c r="BA11" s="26">
        <v>0</v>
      </c>
      <c r="BB11" s="34">
        <v>1</v>
      </c>
    </row>
    <row r="12" spans="1:55" x14ac:dyDescent="0.3">
      <c r="B12" s="8"/>
      <c r="C12" s="54"/>
      <c r="D12" s="50" t="s">
        <v>72</v>
      </c>
      <c r="E12" s="50" t="s">
        <v>73</v>
      </c>
      <c r="F12" s="51" t="s">
        <v>74</v>
      </c>
      <c r="G12" s="50" t="s">
        <v>75</v>
      </c>
      <c r="H12" s="50" t="s">
        <v>76</v>
      </c>
      <c r="I12" s="51" t="s">
        <v>77</v>
      </c>
      <c r="J12" s="50" t="s">
        <v>78</v>
      </c>
      <c r="K12" s="50" t="s">
        <v>79</v>
      </c>
      <c r="L12" s="56"/>
      <c r="N12" s="8"/>
      <c r="O12" s="54"/>
      <c r="P12" s="50" t="s">
        <v>81</v>
      </c>
      <c r="Q12" s="51" t="s">
        <v>82</v>
      </c>
      <c r="R12" s="52" t="s">
        <v>621</v>
      </c>
      <c r="S12" s="53"/>
      <c r="T12" s="53"/>
      <c r="U12" s="71"/>
      <c r="V12" s="53"/>
      <c r="X12" s="8"/>
      <c r="Y12" s="54"/>
      <c r="Z12" s="50" t="s">
        <v>84</v>
      </c>
      <c r="AA12" s="50" t="s">
        <v>85</v>
      </c>
      <c r="AB12" s="50" t="s">
        <v>310</v>
      </c>
      <c r="AC12" s="50" t="s">
        <v>83</v>
      </c>
      <c r="AD12" s="51" t="s">
        <v>130</v>
      </c>
      <c r="AE12" s="52" t="s">
        <v>131</v>
      </c>
      <c r="AF12" s="50" t="s">
        <v>128</v>
      </c>
      <c r="AG12" s="50" t="s">
        <v>129</v>
      </c>
      <c r="AH12" s="56"/>
      <c r="AJ12" s="8"/>
      <c r="AK12" s="54"/>
      <c r="AL12" s="50" t="s">
        <v>133</v>
      </c>
      <c r="AM12" s="50" t="s">
        <v>101</v>
      </c>
      <c r="AN12" s="50" t="s">
        <v>622</v>
      </c>
      <c r="AO12" s="51" t="s">
        <v>130</v>
      </c>
      <c r="AP12" s="52" t="s">
        <v>131</v>
      </c>
      <c r="AQ12" s="50" t="s">
        <v>128</v>
      </c>
      <c r="AR12" s="50" t="s">
        <v>129</v>
      </c>
      <c r="AS12" s="57"/>
      <c r="AT12" s="53"/>
      <c r="AV12" s="8"/>
      <c r="AW12" s="9" t="s">
        <v>94</v>
      </c>
      <c r="AX12" s="53" t="s">
        <v>95</v>
      </c>
      <c r="AY12" s="63">
        <f>Notes!$L$4</f>
        <v>2024</v>
      </c>
      <c r="AZ12" s="63">
        <f>Notes!$L$5</f>
        <v>2040</v>
      </c>
      <c r="BA12" s="26">
        <v>0</v>
      </c>
      <c r="BB12" s="34">
        <v>1</v>
      </c>
    </row>
    <row r="13" spans="1:55" x14ac:dyDescent="0.3">
      <c r="B13" s="8"/>
      <c r="C13" s="55"/>
      <c r="D13" s="34">
        <v>1</v>
      </c>
      <c r="E13" s="34">
        <v>1</v>
      </c>
      <c r="F13" s="32">
        <v>1</v>
      </c>
      <c r="G13" s="34">
        <v>1</v>
      </c>
      <c r="H13" s="34">
        <v>1</v>
      </c>
      <c r="I13" s="32">
        <v>1</v>
      </c>
      <c r="J13" s="34">
        <v>1</v>
      </c>
      <c r="K13" s="34">
        <v>1</v>
      </c>
      <c r="L13" s="56"/>
      <c r="N13" s="8"/>
      <c r="O13" s="55"/>
      <c r="P13" s="34">
        <v>1</v>
      </c>
      <c r="Q13" s="32">
        <v>1</v>
      </c>
      <c r="R13" s="35">
        <v>1</v>
      </c>
      <c r="S13" s="55"/>
      <c r="T13" s="55"/>
      <c r="U13" s="72"/>
      <c r="V13" s="55"/>
      <c r="X13" s="8"/>
      <c r="Y13" s="55"/>
      <c r="Z13" s="34">
        <v>1</v>
      </c>
      <c r="AA13" s="34">
        <v>1</v>
      </c>
      <c r="AB13" s="34">
        <v>1</v>
      </c>
      <c r="AC13" s="34">
        <v>1</v>
      </c>
      <c r="AD13" s="32">
        <v>1</v>
      </c>
      <c r="AE13" s="35">
        <v>1</v>
      </c>
      <c r="AF13" s="34">
        <v>1</v>
      </c>
      <c r="AG13" s="34">
        <v>1</v>
      </c>
      <c r="AH13" s="56"/>
      <c r="AJ13" s="8"/>
      <c r="AK13" s="55"/>
      <c r="AL13" s="34">
        <v>1</v>
      </c>
      <c r="AM13" s="34">
        <v>1</v>
      </c>
      <c r="AN13" s="34">
        <v>1</v>
      </c>
      <c r="AO13" s="32">
        <v>1</v>
      </c>
      <c r="AP13" s="35">
        <v>1</v>
      </c>
      <c r="AQ13" s="34">
        <v>1</v>
      </c>
      <c r="AR13" s="34">
        <v>1</v>
      </c>
      <c r="AS13" s="56"/>
      <c r="AT13" s="55"/>
      <c r="AV13" s="8"/>
      <c r="AW13" s="9" t="s">
        <v>96</v>
      </c>
      <c r="AX13" s="53" t="s">
        <v>97</v>
      </c>
      <c r="AY13" s="63">
        <f>Notes!$L$4</f>
        <v>2024</v>
      </c>
      <c r="AZ13" s="63">
        <f>Notes!$L$5</f>
        <v>2040</v>
      </c>
      <c r="BA13" s="26">
        <v>0</v>
      </c>
      <c r="BB13" s="34">
        <v>1</v>
      </c>
    </row>
    <row r="14" spans="1:55" x14ac:dyDescent="0.3">
      <c r="B14" s="8"/>
      <c r="C14" s="55"/>
      <c r="F14" s="45"/>
      <c r="I14" s="45"/>
      <c r="L14" s="45"/>
      <c r="N14" s="8"/>
      <c r="O14" s="55"/>
      <c r="Q14" s="45"/>
      <c r="R14" s="46"/>
      <c r="U14" s="70"/>
      <c r="X14" s="8"/>
      <c r="Y14" s="55"/>
      <c r="AD14" s="45"/>
      <c r="AE14" s="46"/>
      <c r="AH14" s="45"/>
      <c r="AJ14" s="8"/>
      <c r="AK14" s="55"/>
      <c r="AL14" s="55"/>
      <c r="AO14" s="45"/>
      <c r="AP14" s="46"/>
      <c r="AS14" s="45"/>
      <c r="AV14" s="8"/>
      <c r="AW14" s="9" t="s">
        <v>297</v>
      </c>
      <c r="AX14" s="53" t="s">
        <v>296</v>
      </c>
      <c r="AY14" s="63">
        <f>Notes!$L$4</f>
        <v>2024</v>
      </c>
      <c r="AZ14" s="63">
        <f>Notes!$L$5</f>
        <v>2040</v>
      </c>
      <c r="BA14" s="26">
        <v>0</v>
      </c>
      <c r="BB14" s="34">
        <v>1</v>
      </c>
    </row>
    <row r="15" spans="1:55" x14ac:dyDescent="0.3">
      <c r="B15" s="8"/>
      <c r="C15" s="54" t="s">
        <v>301</v>
      </c>
      <c r="F15" s="45"/>
      <c r="I15" s="45"/>
      <c r="L15" s="45"/>
      <c r="N15" s="8"/>
      <c r="O15" s="54" t="s">
        <v>301</v>
      </c>
      <c r="P15" s="60"/>
      <c r="Q15" s="45"/>
      <c r="R15" s="46"/>
      <c r="U15" s="70"/>
      <c r="X15" s="8"/>
      <c r="Y15" s="54" t="s">
        <v>301</v>
      </c>
      <c r="Z15" s="60"/>
      <c r="AD15" s="45"/>
      <c r="AE15" s="46"/>
      <c r="AH15" s="45"/>
      <c r="AJ15" s="8"/>
      <c r="AK15" s="54" t="s">
        <v>301</v>
      </c>
      <c r="AL15" s="54"/>
      <c r="AO15" s="45"/>
      <c r="AP15" s="46"/>
      <c r="AS15" s="45"/>
      <c r="AV15" s="8"/>
      <c r="AW15" s="9" t="s">
        <v>762</v>
      </c>
      <c r="AX15" s="53" t="s">
        <v>131</v>
      </c>
      <c r="AY15" s="63">
        <f>Notes!$L$4</f>
        <v>2024</v>
      </c>
      <c r="AZ15" s="63">
        <f>Notes!$L$5</f>
        <v>2040</v>
      </c>
      <c r="BA15" s="26">
        <v>0</v>
      </c>
      <c r="BB15" s="34">
        <v>1</v>
      </c>
    </row>
    <row r="16" spans="1:55" x14ac:dyDescent="0.3">
      <c r="B16" s="8"/>
      <c r="D16" s="50" t="s">
        <v>72</v>
      </c>
      <c r="E16" s="50" t="s">
        <v>73</v>
      </c>
      <c r="F16" s="51" t="s">
        <v>74</v>
      </c>
      <c r="G16" s="50" t="s">
        <v>75</v>
      </c>
      <c r="H16" s="50" t="s">
        <v>76</v>
      </c>
      <c r="I16" s="51" t="s">
        <v>77</v>
      </c>
      <c r="J16" s="50" t="s">
        <v>78</v>
      </c>
      <c r="K16" s="50" t="s">
        <v>79</v>
      </c>
      <c r="L16" s="51" t="s">
        <v>123</v>
      </c>
      <c r="N16" s="8"/>
      <c r="P16" s="50" t="s">
        <v>81</v>
      </c>
      <c r="Q16" s="51" t="s">
        <v>82</v>
      </c>
      <c r="R16" s="52" t="s">
        <v>621</v>
      </c>
      <c r="S16" s="50" t="s">
        <v>80</v>
      </c>
      <c r="T16" s="50" t="s">
        <v>285</v>
      </c>
      <c r="U16" s="73" t="s">
        <v>310</v>
      </c>
      <c r="V16" s="50" t="s">
        <v>123</v>
      </c>
      <c r="X16" s="8"/>
      <c r="Z16" s="50" t="s">
        <v>84</v>
      </c>
      <c r="AA16" s="50" t="s">
        <v>85</v>
      </c>
      <c r="AB16" s="50" t="s">
        <v>310</v>
      </c>
      <c r="AC16" s="50" t="s">
        <v>83</v>
      </c>
      <c r="AD16" s="51" t="s">
        <v>130</v>
      </c>
      <c r="AE16" s="52" t="s">
        <v>131</v>
      </c>
      <c r="AF16" s="50" t="s">
        <v>128</v>
      </c>
      <c r="AG16" s="61" t="s">
        <v>129</v>
      </c>
      <c r="AH16" s="51" t="s">
        <v>123</v>
      </c>
      <c r="AJ16" s="8"/>
      <c r="AL16" s="50" t="s">
        <v>133</v>
      </c>
      <c r="AM16" s="50" t="s">
        <v>101</v>
      </c>
      <c r="AN16" s="50" t="s">
        <v>622</v>
      </c>
      <c r="AO16" s="51" t="s">
        <v>130</v>
      </c>
      <c r="AP16" s="62" t="s">
        <v>131</v>
      </c>
      <c r="AQ16" s="50" t="s">
        <v>128</v>
      </c>
      <c r="AR16" s="61" t="s">
        <v>129</v>
      </c>
      <c r="AS16" s="51" t="s">
        <v>288</v>
      </c>
      <c r="AT16" s="50" t="s">
        <v>123</v>
      </c>
      <c r="AV16" s="8"/>
      <c r="AW16" s="9" t="s">
        <v>763</v>
      </c>
      <c r="AX16" s="53" t="s">
        <v>129</v>
      </c>
      <c r="AY16" s="63">
        <f>Notes!$L$4</f>
        <v>2024</v>
      </c>
      <c r="AZ16" s="63">
        <f>Notes!$L$5</f>
        <v>2040</v>
      </c>
      <c r="BA16" s="26">
        <v>0</v>
      </c>
      <c r="BB16" s="34">
        <v>1</v>
      </c>
    </row>
    <row r="17" spans="2:54" x14ac:dyDescent="0.3">
      <c r="B17" s="8"/>
      <c r="C17" s="2" t="s">
        <v>713</v>
      </c>
      <c r="D17" s="26">
        <v>0</v>
      </c>
      <c r="E17" s="26">
        <v>0</v>
      </c>
      <c r="F17" s="27">
        <v>0</v>
      </c>
      <c r="G17" s="26">
        <v>0</v>
      </c>
      <c r="H17" s="26">
        <v>0</v>
      </c>
      <c r="I17" s="27">
        <v>0</v>
      </c>
      <c r="J17" s="26">
        <v>0</v>
      </c>
      <c r="K17" s="26">
        <v>0</v>
      </c>
      <c r="L17" s="67">
        <v>1</v>
      </c>
      <c r="N17" s="8"/>
      <c r="O17" s="2" t="s">
        <v>649</v>
      </c>
      <c r="P17" s="26">
        <v>0</v>
      </c>
      <c r="Q17" s="27">
        <v>0</v>
      </c>
      <c r="R17" s="30">
        <v>0</v>
      </c>
      <c r="S17" s="27">
        <v>0</v>
      </c>
      <c r="T17" s="30">
        <v>0</v>
      </c>
      <c r="U17" s="34">
        <v>1</v>
      </c>
      <c r="V17" s="34">
        <v>1</v>
      </c>
      <c r="X17" s="8"/>
      <c r="Y17" s="2" t="s">
        <v>852</v>
      </c>
      <c r="Z17" s="26">
        <v>0</v>
      </c>
      <c r="AA17" s="26">
        <v>0</v>
      </c>
      <c r="AB17" s="26">
        <v>0</v>
      </c>
      <c r="AC17" s="26">
        <v>0</v>
      </c>
      <c r="AD17" s="27">
        <v>0</v>
      </c>
      <c r="AE17" s="30">
        <v>0</v>
      </c>
      <c r="AF17" s="26">
        <v>0</v>
      </c>
      <c r="AG17" s="26">
        <v>0</v>
      </c>
      <c r="AH17" s="32">
        <v>1</v>
      </c>
      <c r="AJ17" s="8"/>
      <c r="AK17" s="2" t="s">
        <v>8</v>
      </c>
      <c r="AL17" s="26">
        <v>0</v>
      </c>
      <c r="AM17" s="26">
        <v>0</v>
      </c>
      <c r="AN17" s="26">
        <v>0</v>
      </c>
      <c r="AO17" s="27">
        <v>0</v>
      </c>
      <c r="AP17" s="30">
        <v>0</v>
      </c>
      <c r="AQ17" s="26">
        <v>0</v>
      </c>
      <c r="AR17" s="26">
        <v>0</v>
      </c>
      <c r="AS17" s="32">
        <v>1</v>
      </c>
      <c r="AT17" s="34">
        <v>1</v>
      </c>
      <c r="AV17" s="8"/>
      <c r="AW17" s="9" t="s">
        <v>290</v>
      </c>
      <c r="AX17" s="53" t="s">
        <v>74</v>
      </c>
      <c r="AY17" s="63">
        <f>Notes!$L$4</f>
        <v>2024</v>
      </c>
      <c r="AZ17" s="63">
        <f>Notes!$L$5</f>
        <v>2040</v>
      </c>
      <c r="BA17" s="26">
        <v>0</v>
      </c>
      <c r="BB17" s="34">
        <v>1</v>
      </c>
    </row>
    <row r="18" spans="2:54" x14ac:dyDescent="0.3">
      <c r="B18" s="8"/>
      <c r="C18" s="2" t="s">
        <v>766</v>
      </c>
      <c r="D18" s="26">
        <v>0</v>
      </c>
      <c r="E18" s="26">
        <v>0</v>
      </c>
      <c r="F18" s="27">
        <v>0</v>
      </c>
      <c r="G18" s="26">
        <v>0</v>
      </c>
      <c r="H18" s="26">
        <v>0</v>
      </c>
      <c r="I18" s="27">
        <v>0</v>
      </c>
      <c r="J18" s="26">
        <v>0</v>
      </c>
      <c r="K18" s="26">
        <v>0</v>
      </c>
      <c r="L18" s="67">
        <v>1</v>
      </c>
      <c r="N18" s="8"/>
      <c r="O18" s="2" t="s">
        <v>809</v>
      </c>
      <c r="P18" s="26">
        <v>0</v>
      </c>
      <c r="Q18" s="27">
        <v>0</v>
      </c>
      <c r="R18" s="30">
        <v>0</v>
      </c>
      <c r="S18" s="27">
        <v>0</v>
      </c>
      <c r="T18" s="30">
        <v>0</v>
      </c>
      <c r="U18" s="34">
        <v>1</v>
      </c>
      <c r="V18" s="34">
        <v>1</v>
      </c>
      <c r="X18" s="8"/>
      <c r="Y18" s="2" t="s">
        <v>853</v>
      </c>
      <c r="Z18" s="26">
        <v>0</v>
      </c>
      <c r="AA18" s="26">
        <v>0</v>
      </c>
      <c r="AB18" s="26">
        <v>0</v>
      </c>
      <c r="AC18" s="26">
        <v>0</v>
      </c>
      <c r="AD18" s="27">
        <v>0</v>
      </c>
      <c r="AE18" s="30">
        <v>0</v>
      </c>
      <c r="AF18" s="26">
        <v>0</v>
      </c>
      <c r="AG18" s="26">
        <v>0</v>
      </c>
      <c r="AH18" s="32">
        <v>1</v>
      </c>
      <c r="AJ18" s="8"/>
      <c r="AK18" s="2" t="s">
        <v>985</v>
      </c>
      <c r="AL18" s="26">
        <v>0</v>
      </c>
      <c r="AM18" s="26">
        <v>0</v>
      </c>
      <c r="AN18" s="26">
        <v>0</v>
      </c>
      <c r="AO18" s="27">
        <v>0</v>
      </c>
      <c r="AP18" s="30">
        <v>0</v>
      </c>
      <c r="AQ18" s="26">
        <v>0</v>
      </c>
      <c r="AR18" s="26">
        <v>0</v>
      </c>
      <c r="AS18" s="32">
        <v>1</v>
      </c>
      <c r="AT18" s="34">
        <v>1</v>
      </c>
      <c r="AV18" s="8"/>
      <c r="AW18" s="9" t="s">
        <v>291</v>
      </c>
      <c r="AX18" s="53" t="s">
        <v>75</v>
      </c>
      <c r="AY18" s="63">
        <f>Notes!$L$4</f>
        <v>2024</v>
      </c>
      <c r="AZ18" s="63">
        <f>Notes!$L$5</f>
        <v>2040</v>
      </c>
      <c r="BA18" s="26">
        <v>0</v>
      </c>
      <c r="BB18" s="34">
        <v>1</v>
      </c>
    </row>
    <row r="19" spans="2:54" x14ac:dyDescent="0.3">
      <c r="B19" s="8"/>
      <c r="C19" s="2" t="s">
        <v>976</v>
      </c>
      <c r="D19" s="26">
        <v>0</v>
      </c>
      <c r="E19" s="26">
        <v>0</v>
      </c>
      <c r="F19" s="27">
        <v>0</v>
      </c>
      <c r="G19" s="26">
        <v>0</v>
      </c>
      <c r="H19" s="26">
        <v>0</v>
      </c>
      <c r="I19" s="27">
        <v>0</v>
      </c>
      <c r="J19" s="26">
        <v>0</v>
      </c>
      <c r="K19" s="26">
        <v>0</v>
      </c>
      <c r="L19" s="67">
        <v>1</v>
      </c>
      <c r="N19" s="8"/>
      <c r="O19" s="2" t="s">
        <v>946</v>
      </c>
      <c r="P19" s="26">
        <v>0</v>
      </c>
      <c r="Q19" s="27">
        <v>0</v>
      </c>
      <c r="R19" s="30">
        <v>0</v>
      </c>
      <c r="S19" s="27">
        <v>0</v>
      </c>
      <c r="T19" s="30">
        <v>0</v>
      </c>
      <c r="U19" s="34">
        <v>1</v>
      </c>
      <c r="V19" s="34">
        <v>1</v>
      </c>
      <c r="X19" s="8"/>
      <c r="Y19" s="2" t="s">
        <v>854</v>
      </c>
      <c r="Z19" s="26">
        <v>0</v>
      </c>
      <c r="AA19" s="26">
        <v>0</v>
      </c>
      <c r="AB19" s="26">
        <v>0</v>
      </c>
      <c r="AC19" s="26">
        <v>0</v>
      </c>
      <c r="AD19" s="27">
        <v>0</v>
      </c>
      <c r="AE19" s="30">
        <v>0</v>
      </c>
      <c r="AF19" s="26">
        <v>0</v>
      </c>
      <c r="AG19" s="26">
        <v>0</v>
      </c>
      <c r="AH19" s="32">
        <v>1</v>
      </c>
      <c r="AJ19" s="8"/>
      <c r="AK19" s="2" t="s">
        <v>986</v>
      </c>
      <c r="AL19" s="26">
        <v>0</v>
      </c>
      <c r="AM19" s="26">
        <v>0</v>
      </c>
      <c r="AN19" s="26">
        <v>0</v>
      </c>
      <c r="AO19" s="27">
        <v>0</v>
      </c>
      <c r="AP19" s="30">
        <v>0</v>
      </c>
      <c r="AQ19" s="26">
        <v>0</v>
      </c>
      <c r="AR19" s="26">
        <v>0</v>
      </c>
      <c r="AS19" s="32">
        <v>1</v>
      </c>
      <c r="AT19" s="34">
        <v>1</v>
      </c>
      <c r="AV19" s="8"/>
      <c r="AW19" s="9" t="s">
        <v>292</v>
      </c>
      <c r="AX19" s="53" t="s">
        <v>76</v>
      </c>
      <c r="AY19" s="63">
        <f>Notes!$L$4</f>
        <v>2024</v>
      </c>
      <c r="AZ19" s="63">
        <f>Notes!$L$5</f>
        <v>2040</v>
      </c>
      <c r="BA19" s="26">
        <v>0</v>
      </c>
      <c r="BB19" s="34">
        <v>1</v>
      </c>
    </row>
    <row r="20" spans="2:54" x14ac:dyDescent="0.3">
      <c r="B20" s="8"/>
      <c r="C20" s="2" t="s">
        <v>977</v>
      </c>
      <c r="D20" s="26">
        <v>0</v>
      </c>
      <c r="E20" s="26">
        <v>0</v>
      </c>
      <c r="F20" s="27">
        <v>0</v>
      </c>
      <c r="G20" s="26">
        <v>0</v>
      </c>
      <c r="H20" s="26">
        <v>0</v>
      </c>
      <c r="I20" s="27">
        <v>0</v>
      </c>
      <c r="J20" s="26">
        <v>0</v>
      </c>
      <c r="K20" s="26">
        <v>0</v>
      </c>
      <c r="L20" s="67">
        <v>1</v>
      </c>
      <c r="N20" s="8"/>
      <c r="O20" s="2" t="s">
        <v>947</v>
      </c>
      <c r="P20" s="26">
        <v>0</v>
      </c>
      <c r="Q20" s="27">
        <v>0</v>
      </c>
      <c r="R20" s="30">
        <v>0</v>
      </c>
      <c r="S20" s="27">
        <v>0</v>
      </c>
      <c r="T20" s="30">
        <v>0</v>
      </c>
      <c r="U20" s="34">
        <v>1</v>
      </c>
      <c r="V20" s="34">
        <v>1</v>
      </c>
      <c r="X20" s="8"/>
      <c r="Y20" s="2" t="s">
        <v>855</v>
      </c>
      <c r="Z20" s="26">
        <v>0</v>
      </c>
      <c r="AA20" s="26">
        <v>0</v>
      </c>
      <c r="AB20" s="26">
        <v>0</v>
      </c>
      <c r="AC20" s="26">
        <v>0</v>
      </c>
      <c r="AD20" s="27">
        <v>0</v>
      </c>
      <c r="AE20" s="30">
        <v>0</v>
      </c>
      <c r="AF20" s="26">
        <v>0</v>
      </c>
      <c r="AG20" s="26">
        <v>0</v>
      </c>
      <c r="AH20" s="32">
        <v>1</v>
      </c>
      <c r="AJ20" s="8"/>
      <c r="AK20" s="2" t="s">
        <v>987</v>
      </c>
      <c r="AL20" s="26">
        <v>0</v>
      </c>
      <c r="AM20" s="26">
        <v>0</v>
      </c>
      <c r="AN20" s="26">
        <v>0</v>
      </c>
      <c r="AO20" s="27">
        <v>0</v>
      </c>
      <c r="AP20" s="30">
        <v>0</v>
      </c>
      <c r="AQ20" s="26">
        <v>0</v>
      </c>
      <c r="AR20" s="26">
        <v>0</v>
      </c>
      <c r="AS20" s="32">
        <v>1</v>
      </c>
      <c r="AT20" s="34">
        <v>1</v>
      </c>
      <c r="AV20" s="8"/>
      <c r="AW20" s="9" t="s">
        <v>61</v>
      </c>
      <c r="AX20" s="53" t="s">
        <v>82</v>
      </c>
      <c r="AY20" s="63">
        <f>Notes!$L$4</f>
        <v>2024</v>
      </c>
      <c r="AZ20" s="63">
        <f>Notes!$L$5</f>
        <v>2040</v>
      </c>
      <c r="BA20" s="26">
        <v>0</v>
      </c>
      <c r="BB20" s="34">
        <v>1</v>
      </c>
    </row>
    <row r="21" spans="2:54" x14ac:dyDescent="0.3">
      <c r="B21" s="8"/>
      <c r="C21" s="2" t="s">
        <v>767</v>
      </c>
      <c r="D21" s="26">
        <v>0</v>
      </c>
      <c r="E21" s="26">
        <v>0</v>
      </c>
      <c r="F21" s="27">
        <v>0</v>
      </c>
      <c r="G21" s="26">
        <v>0</v>
      </c>
      <c r="H21" s="26">
        <v>0</v>
      </c>
      <c r="I21" s="27">
        <v>0</v>
      </c>
      <c r="J21" s="26">
        <v>0</v>
      </c>
      <c r="K21" s="26">
        <v>0</v>
      </c>
      <c r="L21" s="67">
        <v>1</v>
      </c>
      <c r="N21" s="8"/>
      <c r="O21" s="2" t="s">
        <v>810</v>
      </c>
      <c r="P21" s="26">
        <v>0</v>
      </c>
      <c r="Q21" s="27">
        <v>0</v>
      </c>
      <c r="R21" s="30">
        <v>0</v>
      </c>
      <c r="S21" s="27">
        <v>0</v>
      </c>
      <c r="T21" s="30">
        <v>0</v>
      </c>
      <c r="U21" s="34">
        <v>1</v>
      </c>
      <c r="V21" s="34">
        <v>1</v>
      </c>
      <c r="X21" s="8"/>
      <c r="Y21" s="2" t="s">
        <v>856</v>
      </c>
      <c r="Z21" s="26">
        <v>0</v>
      </c>
      <c r="AA21" s="26">
        <v>0</v>
      </c>
      <c r="AB21" s="26">
        <v>0</v>
      </c>
      <c r="AC21" s="26">
        <v>0</v>
      </c>
      <c r="AD21" s="27">
        <v>0</v>
      </c>
      <c r="AE21" s="30">
        <v>0</v>
      </c>
      <c r="AF21" s="26">
        <v>0</v>
      </c>
      <c r="AG21" s="26">
        <v>0</v>
      </c>
      <c r="AH21" s="32">
        <v>1</v>
      </c>
      <c r="AJ21" s="8"/>
      <c r="AK21" s="2" t="s">
        <v>988</v>
      </c>
      <c r="AL21" s="26">
        <v>0</v>
      </c>
      <c r="AM21" s="26">
        <v>0</v>
      </c>
      <c r="AN21" s="26">
        <v>0</v>
      </c>
      <c r="AO21" s="27">
        <v>0</v>
      </c>
      <c r="AP21" s="30">
        <v>0</v>
      </c>
      <c r="AQ21" s="26">
        <v>0</v>
      </c>
      <c r="AR21" s="26">
        <v>0</v>
      </c>
      <c r="AS21" s="32">
        <v>1</v>
      </c>
      <c r="AT21" s="34">
        <v>1</v>
      </c>
      <c r="AV21" s="8"/>
      <c r="AW21" s="9" t="s">
        <v>293</v>
      </c>
      <c r="AX21" s="53" t="s">
        <v>621</v>
      </c>
      <c r="AY21" s="63">
        <f>Notes!$L$4</f>
        <v>2024</v>
      </c>
      <c r="AZ21" s="63">
        <f>Notes!$L$5</f>
        <v>2040</v>
      </c>
      <c r="BA21" s="26">
        <v>0</v>
      </c>
      <c r="BB21" s="34">
        <v>1</v>
      </c>
    </row>
    <row r="22" spans="2:54" x14ac:dyDescent="0.3">
      <c r="B22" s="8"/>
      <c r="C22" s="2" t="s">
        <v>714</v>
      </c>
      <c r="D22" s="26">
        <v>0</v>
      </c>
      <c r="E22" s="26">
        <v>0</v>
      </c>
      <c r="F22" s="27">
        <v>0</v>
      </c>
      <c r="G22" s="26">
        <v>0</v>
      </c>
      <c r="H22" s="26">
        <v>0</v>
      </c>
      <c r="I22" s="27">
        <v>0</v>
      </c>
      <c r="J22" s="26">
        <v>0</v>
      </c>
      <c r="K22" s="26">
        <v>0</v>
      </c>
      <c r="L22" s="67">
        <v>1</v>
      </c>
      <c r="N22" s="8"/>
      <c r="O22" s="2" t="s">
        <v>650</v>
      </c>
      <c r="P22" s="26">
        <v>0</v>
      </c>
      <c r="Q22" s="27">
        <v>0</v>
      </c>
      <c r="R22" s="30">
        <v>0</v>
      </c>
      <c r="S22" s="27">
        <v>0</v>
      </c>
      <c r="T22" s="30">
        <v>0</v>
      </c>
      <c r="U22" s="34">
        <v>1</v>
      </c>
      <c r="V22" s="34">
        <v>1</v>
      </c>
      <c r="X22" s="8"/>
      <c r="Y22" s="2" t="s">
        <v>857</v>
      </c>
      <c r="Z22" s="26">
        <v>0</v>
      </c>
      <c r="AA22" s="26">
        <v>0</v>
      </c>
      <c r="AB22" s="26">
        <v>0</v>
      </c>
      <c r="AC22" s="26">
        <v>0</v>
      </c>
      <c r="AD22" s="27">
        <v>0</v>
      </c>
      <c r="AE22" s="30">
        <v>0</v>
      </c>
      <c r="AF22" s="26">
        <v>0</v>
      </c>
      <c r="AG22" s="26">
        <v>0</v>
      </c>
      <c r="AH22" s="32">
        <v>1</v>
      </c>
      <c r="AJ22" s="8"/>
      <c r="AK22" s="2" t="s">
        <v>989</v>
      </c>
      <c r="AL22" s="26">
        <v>0</v>
      </c>
      <c r="AM22" s="26">
        <v>0</v>
      </c>
      <c r="AN22" s="26">
        <v>0</v>
      </c>
      <c r="AO22" s="27">
        <v>0</v>
      </c>
      <c r="AP22" s="30">
        <v>0</v>
      </c>
      <c r="AQ22" s="26">
        <v>0</v>
      </c>
      <c r="AR22" s="26">
        <v>0</v>
      </c>
      <c r="AS22" s="32">
        <v>1</v>
      </c>
      <c r="AT22" s="34">
        <v>1</v>
      </c>
      <c r="AV22" s="8"/>
      <c r="AW22" s="9" t="s">
        <v>294</v>
      </c>
      <c r="AX22" s="53" t="s">
        <v>83</v>
      </c>
      <c r="AY22" s="63">
        <f>Notes!$L$4</f>
        <v>2024</v>
      </c>
      <c r="AZ22" s="63">
        <f>Notes!$L$5</f>
        <v>2040</v>
      </c>
      <c r="BA22" s="26">
        <v>0</v>
      </c>
      <c r="BB22" s="34">
        <v>1</v>
      </c>
    </row>
    <row r="23" spans="2:54" x14ac:dyDescent="0.3">
      <c r="B23" s="8"/>
      <c r="C23" s="2" t="s">
        <v>715</v>
      </c>
      <c r="D23" s="26">
        <v>0</v>
      </c>
      <c r="E23" s="26">
        <v>0</v>
      </c>
      <c r="F23" s="27">
        <v>0</v>
      </c>
      <c r="G23" s="26">
        <v>0</v>
      </c>
      <c r="H23" s="26">
        <v>0</v>
      </c>
      <c r="I23" s="27">
        <v>0</v>
      </c>
      <c r="J23" s="26">
        <v>0</v>
      </c>
      <c r="K23" s="26">
        <v>0</v>
      </c>
      <c r="L23" s="67">
        <v>1</v>
      </c>
      <c r="N23" s="8"/>
      <c r="O23" s="2" t="s">
        <v>651</v>
      </c>
      <c r="P23" s="26">
        <v>0</v>
      </c>
      <c r="Q23" s="27">
        <v>0</v>
      </c>
      <c r="R23" s="30">
        <v>0</v>
      </c>
      <c r="S23" s="27">
        <v>0</v>
      </c>
      <c r="T23" s="30">
        <v>0</v>
      </c>
      <c r="U23" s="34">
        <v>1</v>
      </c>
      <c r="V23" s="34">
        <v>1</v>
      </c>
      <c r="X23" s="8"/>
      <c r="Y23" s="2" t="s">
        <v>858</v>
      </c>
      <c r="Z23" s="26">
        <v>0</v>
      </c>
      <c r="AA23" s="26">
        <v>0</v>
      </c>
      <c r="AB23" s="26">
        <v>0</v>
      </c>
      <c r="AC23" s="26">
        <v>0</v>
      </c>
      <c r="AD23" s="27">
        <v>0</v>
      </c>
      <c r="AE23" s="30">
        <v>0</v>
      </c>
      <c r="AF23" s="26">
        <v>0</v>
      </c>
      <c r="AG23" s="26">
        <v>0</v>
      </c>
      <c r="AH23" s="32">
        <v>1</v>
      </c>
      <c r="AJ23" s="8"/>
      <c r="AK23" s="2" t="s">
        <v>990</v>
      </c>
      <c r="AL23" s="26">
        <v>0</v>
      </c>
      <c r="AM23" s="26">
        <v>0</v>
      </c>
      <c r="AN23" s="26">
        <v>0</v>
      </c>
      <c r="AO23" s="27">
        <v>0</v>
      </c>
      <c r="AP23" s="30">
        <v>0</v>
      </c>
      <c r="AQ23" s="26">
        <v>0</v>
      </c>
      <c r="AR23" s="26">
        <v>0</v>
      </c>
      <c r="AS23" s="32">
        <v>1</v>
      </c>
      <c r="AT23" s="34">
        <v>1</v>
      </c>
      <c r="AV23" s="8"/>
      <c r="AW23" s="9" t="s">
        <v>295</v>
      </c>
      <c r="AX23" s="53" t="s">
        <v>622</v>
      </c>
      <c r="AY23" s="63">
        <f>Notes!$L$4</f>
        <v>2024</v>
      </c>
      <c r="AZ23" s="63">
        <f>Notes!$L$5</f>
        <v>2040</v>
      </c>
      <c r="BA23" s="26">
        <v>0</v>
      </c>
      <c r="BB23" s="34">
        <v>1</v>
      </c>
    </row>
    <row r="24" spans="2:54" x14ac:dyDescent="0.3">
      <c r="B24" s="8"/>
      <c r="C24" s="2" t="s">
        <v>768</v>
      </c>
      <c r="D24" s="26">
        <v>0</v>
      </c>
      <c r="E24" s="26">
        <v>0</v>
      </c>
      <c r="F24" s="27">
        <v>0</v>
      </c>
      <c r="G24" s="26">
        <v>0</v>
      </c>
      <c r="H24" s="26">
        <v>0</v>
      </c>
      <c r="I24" s="27">
        <v>0</v>
      </c>
      <c r="J24" s="26">
        <v>0</v>
      </c>
      <c r="K24" s="26">
        <v>0</v>
      </c>
      <c r="L24" s="67">
        <v>1</v>
      </c>
      <c r="N24" s="8"/>
      <c r="O24" s="2" t="s">
        <v>811</v>
      </c>
      <c r="P24" s="26">
        <v>0</v>
      </c>
      <c r="Q24" s="27">
        <v>0</v>
      </c>
      <c r="R24" s="30">
        <v>0</v>
      </c>
      <c r="S24" s="27">
        <v>0</v>
      </c>
      <c r="T24" s="30">
        <v>0</v>
      </c>
      <c r="U24" s="34">
        <v>1</v>
      </c>
      <c r="V24" s="34">
        <v>1</v>
      </c>
      <c r="X24" s="8"/>
      <c r="Y24" s="2" t="s">
        <v>859</v>
      </c>
      <c r="Z24" s="26">
        <v>0</v>
      </c>
      <c r="AA24" s="26">
        <v>0</v>
      </c>
      <c r="AB24" s="26">
        <v>0</v>
      </c>
      <c r="AC24" s="26">
        <v>0</v>
      </c>
      <c r="AD24" s="27">
        <v>0</v>
      </c>
      <c r="AE24" s="30">
        <v>0</v>
      </c>
      <c r="AF24" s="26">
        <v>0</v>
      </c>
      <c r="AG24" s="26">
        <v>0</v>
      </c>
      <c r="AH24" s="32">
        <v>1</v>
      </c>
      <c r="AJ24" s="8"/>
      <c r="AK24" s="2" t="s">
        <v>991</v>
      </c>
      <c r="AL24" s="26">
        <v>0</v>
      </c>
      <c r="AM24" s="26">
        <v>0</v>
      </c>
      <c r="AN24" s="26">
        <v>0</v>
      </c>
      <c r="AO24" s="27">
        <v>0</v>
      </c>
      <c r="AP24" s="30">
        <v>0</v>
      </c>
      <c r="AQ24" s="26">
        <v>0</v>
      </c>
      <c r="AR24" s="26">
        <v>0</v>
      </c>
      <c r="AS24" s="32">
        <v>1</v>
      </c>
      <c r="AT24" s="34">
        <v>1</v>
      </c>
      <c r="AV24" s="8"/>
      <c r="AW24" s="9" t="s">
        <v>647</v>
      </c>
      <c r="AX24" s="53" t="s">
        <v>648</v>
      </c>
      <c r="AY24" s="63">
        <f>Notes!$L$4</f>
        <v>2024</v>
      </c>
      <c r="AZ24" s="63">
        <f>Notes!$L$5</f>
        <v>2040</v>
      </c>
      <c r="BA24" s="26">
        <v>0</v>
      </c>
      <c r="BB24" s="34">
        <v>1</v>
      </c>
    </row>
    <row r="25" spans="2:54" x14ac:dyDescent="0.3">
      <c r="B25" s="8"/>
      <c r="C25" s="2" t="s">
        <v>716</v>
      </c>
      <c r="D25" s="26">
        <v>0</v>
      </c>
      <c r="E25" s="26">
        <v>0</v>
      </c>
      <c r="F25" s="27">
        <v>0</v>
      </c>
      <c r="G25" s="26">
        <v>0</v>
      </c>
      <c r="H25" s="26">
        <v>0</v>
      </c>
      <c r="I25" s="27">
        <v>0</v>
      </c>
      <c r="J25" s="26">
        <v>0</v>
      </c>
      <c r="K25" s="26">
        <v>0</v>
      </c>
      <c r="L25" s="67">
        <v>1</v>
      </c>
      <c r="N25" s="8"/>
      <c r="O25" s="2" t="s">
        <v>652</v>
      </c>
      <c r="P25" s="26">
        <v>0</v>
      </c>
      <c r="Q25" s="27">
        <v>0</v>
      </c>
      <c r="R25" s="30">
        <v>0</v>
      </c>
      <c r="S25" s="27">
        <v>0</v>
      </c>
      <c r="T25" s="30">
        <v>0</v>
      </c>
      <c r="U25" s="34">
        <v>1</v>
      </c>
      <c r="V25" s="34">
        <v>1</v>
      </c>
      <c r="X25" s="8"/>
      <c r="Y25" s="2" t="s">
        <v>10</v>
      </c>
      <c r="Z25" s="26">
        <v>0</v>
      </c>
      <c r="AA25" s="26">
        <v>0</v>
      </c>
      <c r="AB25" s="26">
        <v>0</v>
      </c>
      <c r="AC25" s="26">
        <v>0</v>
      </c>
      <c r="AD25" s="27">
        <v>0</v>
      </c>
      <c r="AE25" s="30">
        <v>0</v>
      </c>
      <c r="AF25" s="26">
        <v>0</v>
      </c>
      <c r="AG25" s="26">
        <v>0</v>
      </c>
      <c r="AH25" s="32">
        <v>1</v>
      </c>
      <c r="AJ25" s="8"/>
      <c r="AK25" s="2" t="s">
        <v>992</v>
      </c>
      <c r="AL25" s="26">
        <v>0</v>
      </c>
      <c r="AM25" s="26">
        <v>0</v>
      </c>
      <c r="AN25" s="26">
        <v>0</v>
      </c>
      <c r="AO25" s="27">
        <v>0</v>
      </c>
      <c r="AP25" s="30">
        <v>0</v>
      </c>
      <c r="AQ25" s="26">
        <v>0</v>
      </c>
      <c r="AR25" s="26">
        <v>0</v>
      </c>
      <c r="AS25" s="32">
        <v>1</v>
      </c>
      <c r="AT25" s="34">
        <v>1</v>
      </c>
      <c r="AV25" s="8"/>
    </row>
    <row r="26" spans="2:54" x14ac:dyDescent="0.3">
      <c r="B26" s="8"/>
      <c r="C26" s="2" t="s">
        <v>769</v>
      </c>
      <c r="D26" s="26">
        <v>0</v>
      </c>
      <c r="E26" s="26">
        <v>0</v>
      </c>
      <c r="F26" s="27">
        <v>0</v>
      </c>
      <c r="G26" s="26">
        <v>0</v>
      </c>
      <c r="H26" s="26">
        <v>0</v>
      </c>
      <c r="I26" s="27">
        <v>0</v>
      </c>
      <c r="J26" s="26">
        <v>0</v>
      </c>
      <c r="K26" s="26">
        <v>0</v>
      </c>
      <c r="L26" s="67">
        <v>1</v>
      </c>
      <c r="N26" s="8"/>
      <c r="O26" s="2" t="s">
        <v>812</v>
      </c>
      <c r="P26" s="26">
        <v>0</v>
      </c>
      <c r="Q26" s="27">
        <v>0</v>
      </c>
      <c r="R26" s="30">
        <v>0</v>
      </c>
      <c r="S26" s="27">
        <v>0</v>
      </c>
      <c r="T26" s="30">
        <v>0</v>
      </c>
      <c r="U26" s="34">
        <v>1</v>
      </c>
      <c r="V26" s="34">
        <v>1</v>
      </c>
      <c r="X26" s="8"/>
      <c r="Y26" s="2" t="s">
        <v>860</v>
      </c>
      <c r="Z26" s="26">
        <v>0</v>
      </c>
      <c r="AA26" s="26">
        <v>0</v>
      </c>
      <c r="AB26" s="26">
        <v>0</v>
      </c>
      <c r="AC26" s="26">
        <v>0</v>
      </c>
      <c r="AD26" s="27">
        <v>0</v>
      </c>
      <c r="AE26" s="30">
        <v>0</v>
      </c>
      <c r="AF26" s="26">
        <v>0</v>
      </c>
      <c r="AG26" s="26">
        <v>0</v>
      </c>
      <c r="AH26" s="32">
        <v>1</v>
      </c>
      <c r="AJ26" s="8"/>
      <c r="AK26" s="2" t="s">
        <v>993</v>
      </c>
      <c r="AL26" s="26">
        <v>0</v>
      </c>
      <c r="AM26" s="26">
        <v>0</v>
      </c>
      <c r="AN26" s="26">
        <v>0</v>
      </c>
      <c r="AO26" s="27">
        <v>0</v>
      </c>
      <c r="AP26" s="30">
        <v>0</v>
      </c>
      <c r="AQ26" s="26">
        <v>0</v>
      </c>
      <c r="AR26" s="26">
        <v>0</v>
      </c>
      <c r="AS26" s="32">
        <v>1</v>
      </c>
      <c r="AT26" s="34">
        <v>1</v>
      </c>
    </row>
    <row r="27" spans="2:54" x14ac:dyDescent="0.3">
      <c r="B27" s="8"/>
      <c r="C27" s="2" t="s">
        <v>770</v>
      </c>
      <c r="D27" s="26">
        <v>0</v>
      </c>
      <c r="E27" s="26">
        <v>0</v>
      </c>
      <c r="F27" s="27">
        <v>0</v>
      </c>
      <c r="G27" s="26">
        <v>0</v>
      </c>
      <c r="H27" s="26">
        <v>0</v>
      </c>
      <c r="I27" s="27">
        <v>0</v>
      </c>
      <c r="J27" s="26">
        <v>0</v>
      </c>
      <c r="K27" s="26">
        <v>0</v>
      </c>
      <c r="L27" s="67">
        <v>1</v>
      </c>
      <c r="N27" s="8"/>
      <c r="O27" s="2" t="s">
        <v>813</v>
      </c>
      <c r="P27" s="26">
        <v>0</v>
      </c>
      <c r="Q27" s="27">
        <v>0</v>
      </c>
      <c r="R27" s="30">
        <v>0</v>
      </c>
      <c r="S27" s="27">
        <v>0</v>
      </c>
      <c r="T27" s="30">
        <v>0</v>
      </c>
      <c r="U27" s="34">
        <v>1</v>
      </c>
      <c r="V27" s="34">
        <v>1</v>
      </c>
      <c r="X27" s="8"/>
      <c r="Y27" s="2" t="s">
        <v>861</v>
      </c>
      <c r="Z27" s="26">
        <v>0</v>
      </c>
      <c r="AA27" s="26">
        <v>0</v>
      </c>
      <c r="AB27" s="26">
        <v>0</v>
      </c>
      <c r="AC27" s="26">
        <v>0</v>
      </c>
      <c r="AD27" s="27">
        <v>0</v>
      </c>
      <c r="AE27" s="30">
        <v>0</v>
      </c>
      <c r="AF27" s="26">
        <v>0</v>
      </c>
      <c r="AG27" s="26">
        <v>0</v>
      </c>
      <c r="AH27" s="32">
        <v>1</v>
      </c>
      <c r="AJ27" s="8"/>
      <c r="AK27" s="2" t="s">
        <v>994</v>
      </c>
      <c r="AL27" s="26">
        <v>0</v>
      </c>
      <c r="AM27" s="26">
        <v>0</v>
      </c>
      <c r="AN27" s="26">
        <v>0</v>
      </c>
      <c r="AO27" s="27">
        <v>0</v>
      </c>
      <c r="AP27" s="30">
        <v>0</v>
      </c>
      <c r="AQ27" s="26">
        <v>0</v>
      </c>
      <c r="AR27" s="26">
        <v>0</v>
      </c>
      <c r="AS27" s="32">
        <v>1</v>
      </c>
      <c r="AT27" s="34">
        <v>1</v>
      </c>
    </row>
    <row r="28" spans="2:54" x14ac:dyDescent="0.3">
      <c r="B28" s="8"/>
      <c r="C28" s="2" t="s">
        <v>771</v>
      </c>
      <c r="D28" s="26">
        <v>0</v>
      </c>
      <c r="E28" s="26">
        <v>0</v>
      </c>
      <c r="F28" s="27">
        <v>0</v>
      </c>
      <c r="G28" s="26">
        <v>0</v>
      </c>
      <c r="H28" s="26">
        <v>0</v>
      </c>
      <c r="I28" s="27">
        <v>0</v>
      </c>
      <c r="J28" s="26">
        <v>0</v>
      </c>
      <c r="K28" s="26">
        <v>0</v>
      </c>
      <c r="L28" s="67">
        <v>1</v>
      </c>
      <c r="N28" s="8"/>
      <c r="O28" s="2" t="s">
        <v>814</v>
      </c>
      <c r="P28" s="26">
        <v>0</v>
      </c>
      <c r="Q28" s="27">
        <v>0</v>
      </c>
      <c r="R28" s="30">
        <v>0</v>
      </c>
      <c r="S28" s="27">
        <v>0</v>
      </c>
      <c r="T28" s="30">
        <v>0</v>
      </c>
      <c r="U28" s="34">
        <v>1</v>
      </c>
      <c r="V28" s="34">
        <v>1</v>
      </c>
      <c r="X28" s="8"/>
      <c r="Y28" s="2" t="s">
        <v>862</v>
      </c>
      <c r="Z28" s="26">
        <v>0</v>
      </c>
      <c r="AA28" s="26">
        <v>0</v>
      </c>
      <c r="AB28" s="26">
        <v>0</v>
      </c>
      <c r="AC28" s="26">
        <v>0</v>
      </c>
      <c r="AD28" s="27">
        <v>0</v>
      </c>
      <c r="AE28" s="30">
        <v>0</v>
      </c>
      <c r="AF28" s="26">
        <v>0</v>
      </c>
      <c r="AG28" s="26">
        <v>0</v>
      </c>
      <c r="AH28" s="32">
        <v>1</v>
      </c>
      <c r="AJ28" s="8"/>
      <c r="AK28" s="2" t="s">
        <v>995</v>
      </c>
      <c r="AL28" s="26">
        <v>0</v>
      </c>
      <c r="AM28" s="26">
        <v>0</v>
      </c>
      <c r="AN28" s="26">
        <v>0</v>
      </c>
      <c r="AO28" s="27">
        <v>0</v>
      </c>
      <c r="AP28" s="30">
        <v>0</v>
      </c>
      <c r="AQ28" s="26">
        <v>0</v>
      </c>
      <c r="AR28" s="26">
        <v>0</v>
      </c>
      <c r="AS28" s="32">
        <v>1</v>
      </c>
      <c r="AT28" s="34">
        <v>1</v>
      </c>
    </row>
    <row r="29" spans="2:54" x14ac:dyDescent="0.3">
      <c r="B29" s="8"/>
      <c r="C29" s="2" t="s">
        <v>717</v>
      </c>
      <c r="D29" s="26">
        <v>0</v>
      </c>
      <c r="E29" s="26">
        <v>0</v>
      </c>
      <c r="F29" s="27">
        <v>0</v>
      </c>
      <c r="G29" s="26">
        <v>0</v>
      </c>
      <c r="H29" s="26">
        <v>0</v>
      </c>
      <c r="I29" s="27">
        <v>0</v>
      </c>
      <c r="J29" s="26">
        <v>0</v>
      </c>
      <c r="K29" s="26">
        <v>0</v>
      </c>
      <c r="L29" s="67">
        <v>1</v>
      </c>
      <c r="N29" s="8"/>
      <c r="O29" s="2" t="s">
        <v>653</v>
      </c>
      <c r="P29" s="26">
        <v>0</v>
      </c>
      <c r="Q29" s="27">
        <v>0</v>
      </c>
      <c r="R29" s="30">
        <v>0</v>
      </c>
      <c r="S29" s="27">
        <v>0</v>
      </c>
      <c r="T29" s="30">
        <v>0</v>
      </c>
      <c r="U29" s="34">
        <v>1</v>
      </c>
      <c r="V29" s="34">
        <v>1</v>
      </c>
      <c r="X29" s="8"/>
      <c r="Y29" s="2" t="s">
        <v>863</v>
      </c>
      <c r="Z29" s="26">
        <v>0</v>
      </c>
      <c r="AA29" s="26">
        <v>0</v>
      </c>
      <c r="AB29" s="26">
        <v>0</v>
      </c>
      <c r="AC29" s="26">
        <v>0</v>
      </c>
      <c r="AD29" s="27">
        <v>0</v>
      </c>
      <c r="AE29" s="30">
        <v>0</v>
      </c>
      <c r="AF29" s="26">
        <v>0</v>
      </c>
      <c r="AG29" s="26">
        <v>0</v>
      </c>
      <c r="AH29" s="32">
        <v>1</v>
      </c>
      <c r="AJ29" s="8"/>
      <c r="AK29" s="2" t="s">
        <v>996</v>
      </c>
      <c r="AL29" s="26">
        <v>0</v>
      </c>
      <c r="AM29" s="26">
        <v>0</v>
      </c>
      <c r="AN29" s="26">
        <v>0</v>
      </c>
      <c r="AO29" s="27">
        <v>0</v>
      </c>
      <c r="AP29" s="30">
        <v>0</v>
      </c>
      <c r="AQ29" s="26">
        <v>0</v>
      </c>
      <c r="AR29" s="26">
        <v>0</v>
      </c>
      <c r="AS29" s="32">
        <v>1</v>
      </c>
      <c r="AT29" s="34">
        <v>1</v>
      </c>
    </row>
    <row r="30" spans="2:54" x14ac:dyDescent="0.3">
      <c r="B30" s="8"/>
      <c r="C30" s="2" t="s">
        <v>978</v>
      </c>
      <c r="D30" s="26">
        <v>0</v>
      </c>
      <c r="E30" s="26">
        <v>0</v>
      </c>
      <c r="F30" s="27">
        <v>0</v>
      </c>
      <c r="G30" s="26">
        <v>0</v>
      </c>
      <c r="H30" s="26">
        <v>0</v>
      </c>
      <c r="I30" s="27">
        <v>0</v>
      </c>
      <c r="J30" s="26">
        <v>0</v>
      </c>
      <c r="K30" s="26">
        <v>0</v>
      </c>
      <c r="L30" s="67">
        <v>1</v>
      </c>
      <c r="N30" s="8"/>
      <c r="O30" s="2" t="s">
        <v>948</v>
      </c>
      <c r="P30" s="26">
        <v>0</v>
      </c>
      <c r="Q30" s="27">
        <v>0</v>
      </c>
      <c r="R30" s="30">
        <v>0</v>
      </c>
      <c r="S30" s="27">
        <v>0</v>
      </c>
      <c r="T30" s="30">
        <v>0</v>
      </c>
      <c r="U30" s="34">
        <v>1</v>
      </c>
      <c r="V30" s="34">
        <v>1</v>
      </c>
      <c r="X30" s="8"/>
      <c r="Y30" s="2"/>
      <c r="Z30" s="26"/>
      <c r="AA30" s="26"/>
      <c r="AB30" s="26"/>
      <c r="AC30" s="26"/>
      <c r="AD30" s="27"/>
      <c r="AE30" s="30"/>
      <c r="AF30" s="26"/>
      <c r="AG30" s="26"/>
      <c r="AH30" s="32"/>
      <c r="AJ30" s="8"/>
      <c r="AK30" s="2" t="s">
        <v>997</v>
      </c>
      <c r="AL30" s="26">
        <v>0</v>
      </c>
      <c r="AM30" s="26">
        <v>0</v>
      </c>
      <c r="AN30" s="26">
        <v>0</v>
      </c>
      <c r="AO30" s="27">
        <v>0</v>
      </c>
      <c r="AP30" s="30">
        <v>0</v>
      </c>
      <c r="AQ30" s="26">
        <v>0</v>
      </c>
      <c r="AR30" s="26">
        <v>0</v>
      </c>
      <c r="AS30" s="32">
        <v>1</v>
      </c>
      <c r="AT30" s="34">
        <v>1</v>
      </c>
    </row>
    <row r="31" spans="2:54" x14ac:dyDescent="0.3">
      <c r="B31" s="8"/>
      <c r="C31" s="2" t="s">
        <v>718</v>
      </c>
      <c r="D31" s="26">
        <v>0</v>
      </c>
      <c r="E31" s="26">
        <v>0</v>
      </c>
      <c r="F31" s="27">
        <v>0</v>
      </c>
      <c r="G31" s="26">
        <v>0</v>
      </c>
      <c r="H31" s="26">
        <v>0</v>
      </c>
      <c r="I31" s="27">
        <v>0</v>
      </c>
      <c r="J31" s="26">
        <v>0</v>
      </c>
      <c r="K31" s="26">
        <v>0</v>
      </c>
      <c r="L31" s="67">
        <v>1</v>
      </c>
      <c r="N31" s="8"/>
      <c r="O31" s="2" t="s">
        <v>654</v>
      </c>
      <c r="P31" s="26">
        <v>0</v>
      </c>
      <c r="Q31" s="27">
        <v>0</v>
      </c>
      <c r="R31" s="30">
        <v>0</v>
      </c>
      <c r="S31" s="27">
        <v>0</v>
      </c>
      <c r="T31" s="30">
        <v>0</v>
      </c>
      <c r="U31" s="34">
        <v>1</v>
      </c>
      <c r="V31" s="34">
        <v>1</v>
      </c>
      <c r="X31" s="8"/>
      <c r="Y31" s="2"/>
      <c r="Z31" s="26"/>
      <c r="AA31" s="26"/>
      <c r="AB31" s="26"/>
      <c r="AC31" s="26"/>
      <c r="AD31" s="27"/>
      <c r="AE31" s="30"/>
      <c r="AF31" s="26"/>
      <c r="AG31" s="26"/>
      <c r="AH31" s="32"/>
      <c r="AJ31" s="8"/>
      <c r="AK31" s="2" t="s">
        <v>998</v>
      </c>
      <c r="AL31" s="26">
        <v>0</v>
      </c>
      <c r="AM31" s="26">
        <v>0</v>
      </c>
      <c r="AN31" s="26">
        <v>0</v>
      </c>
      <c r="AO31" s="27">
        <v>0</v>
      </c>
      <c r="AP31" s="30">
        <v>0</v>
      </c>
      <c r="AQ31" s="26">
        <v>0</v>
      </c>
      <c r="AR31" s="26">
        <v>0</v>
      </c>
      <c r="AS31" s="32">
        <v>1</v>
      </c>
      <c r="AT31" s="34">
        <v>1</v>
      </c>
    </row>
    <row r="32" spans="2:54" x14ac:dyDescent="0.3">
      <c r="B32" s="8"/>
      <c r="C32" s="2" t="s">
        <v>719</v>
      </c>
      <c r="D32" s="26">
        <v>0</v>
      </c>
      <c r="E32" s="26">
        <v>0</v>
      </c>
      <c r="F32" s="27">
        <v>0</v>
      </c>
      <c r="G32" s="26">
        <v>0</v>
      </c>
      <c r="H32" s="26">
        <v>0</v>
      </c>
      <c r="I32" s="27">
        <v>0</v>
      </c>
      <c r="J32" s="26">
        <v>0</v>
      </c>
      <c r="K32" s="26">
        <v>0</v>
      </c>
      <c r="L32" s="67">
        <v>1</v>
      </c>
      <c r="N32" s="8"/>
      <c r="O32" s="2" t="s">
        <v>655</v>
      </c>
      <c r="P32" s="26">
        <v>0</v>
      </c>
      <c r="Q32" s="27">
        <v>0</v>
      </c>
      <c r="R32" s="30">
        <v>0</v>
      </c>
      <c r="S32" s="27">
        <v>0</v>
      </c>
      <c r="T32" s="30">
        <v>0</v>
      </c>
      <c r="U32" s="34">
        <v>1</v>
      </c>
      <c r="V32" s="34">
        <v>1</v>
      </c>
      <c r="X32" s="8"/>
      <c r="Y32" s="2"/>
      <c r="Z32" s="26"/>
      <c r="AA32" s="26"/>
      <c r="AB32" s="26"/>
      <c r="AC32" s="26"/>
      <c r="AD32" s="27"/>
      <c r="AE32" s="30"/>
      <c r="AF32" s="26"/>
      <c r="AG32" s="26"/>
      <c r="AH32" s="32"/>
      <c r="AJ32" s="8"/>
      <c r="AK32" s="2" t="s">
        <v>999</v>
      </c>
      <c r="AL32" s="26">
        <v>0</v>
      </c>
      <c r="AM32" s="26">
        <v>0</v>
      </c>
      <c r="AN32" s="26">
        <v>0</v>
      </c>
      <c r="AO32" s="27">
        <v>0</v>
      </c>
      <c r="AP32" s="30">
        <v>0</v>
      </c>
      <c r="AQ32" s="26">
        <v>0</v>
      </c>
      <c r="AR32" s="26">
        <v>0</v>
      </c>
      <c r="AS32" s="32">
        <v>1</v>
      </c>
      <c r="AT32" s="34">
        <v>1</v>
      </c>
    </row>
    <row r="33" spans="2:46" x14ac:dyDescent="0.3">
      <c r="B33" s="8"/>
      <c r="C33" s="2" t="s">
        <v>720</v>
      </c>
      <c r="D33" s="26">
        <v>0</v>
      </c>
      <c r="E33" s="26">
        <v>0</v>
      </c>
      <c r="F33" s="27">
        <v>0</v>
      </c>
      <c r="G33" s="26">
        <v>0</v>
      </c>
      <c r="H33" s="26">
        <v>0</v>
      </c>
      <c r="I33" s="27">
        <v>0</v>
      </c>
      <c r="J33" s="26">
        <v>0</v>
      </c>
      <c r="K33" s="26">
        <v>0</v>
      </c>
      <c r="L33" s="67">
        <v>1</v>
      </c>
      <c r="N33" s="8"/>
      <c r="O33" s="2" t="s">
        <v>656</v>
      </c>
      <c r="P33" s="26">
        <v>0</v>
      </c>
      <c r="Q33" s="27">
        <v>0</v>
      </c>
      <c r="R33" s="30">
        <v>0</v>
      </c>
      <c r="S33" s="27">
        <v>0</v>
      </c>
      <c r="T33" s="30">
        <v>0</v>
      </c>
      <c r="U33" s="34">
        <v>1</v>
      </c>
      <c r="V33" s="34">
        <v>1</v>
      </c>
      <c r="X33" s="8"/>
      <c r="Y33" s="2"/>
      <c r="Z33" s="26"/>
      <c r="AA33" s="26"/>
      <c r="AB33" s="26"/>
      <c r="AC33" s="26"/>
      <c r="AD33" s="27"/>
      <c r="AE33" s="30"/>
      <c r="AF33" s="26"/>
      <c r="AG33" s="26"/>
      <c r="AH33" s="32"/>
      <c r="AJ33" s="8"/>
      <c r="AK33" s="2" t="s">
        <v>1000</v>
      </c>
      <c r="AL33" s="26">
        <v>0</v>
      </c>
      <c r="AM33" s="26">
        <v>0</v>
      </c>
      <c r="AN33" s="26">
        <v>0</v>
      </c>
      <c r="AO33" s="27">
        <v>0</v>
      </c>
      <c r="AP33" s="30">
        <v>0</v>
      </c>
      <c r="AQ33" s="26">
        <v>0</v>
      </c>
      <c r="AR33" s="26">
        <v>0</v>
      </c>
      <c r="AS33" s="32">
        <v>1</v>
      </c>
      <c r="AT33" s="34">
        <v>1</v>
      </c>
    </row>
    <row r="34" spans="2:46" x14ac:dyDescent="0.3">
      <c r="B34" s="8"/>
      <c r="C34" s="2" t="s">
        <v>721</v>
      </c>
      <c r="D34" s="26">
        <v>0</v>
      </c>
      <c r="E34" s="26">
        <v>0</v>
      </c>
      <c r="F34" s="27">
        <v>0</v>
      </c>
      <c r="G34" s="26">
        <v>0</v>
      </c>
      <c r="H34" s="26">
        <v>0</v>
      </c>
      <c r="I34" s="27">
        <v>0</v>
      </c>
      <c r="J34" s="26">
        <v>0</v>
      </c>
      <c r="K34" s="26">
        <v>0</v>
      </c>
      <c r="L34" s="67">
        <v>1</v>
      </c>
      <c r="N34" s="8"/>
      <c r="O34" s="2" t="s">
        <v>657</v>
      </c>
      <c r="P34" s="26">
        <v>0</v>
      </c>
      <c r="Q34" s="27">
        <v>0</v>
      </c>
      <c r="R34" s="30">
        <v>0</v>
      </c>
      <c r="S34" s="27">
        <v>0</v>
      </c>
      <c r="T34" s="30">
        <v>0</v>
      </c>
      <c r="U34" s="34">
        <v>1</v>
      </c>
      <c r="V34" s="34">
        <v>1</v>
      </c>
      <c r="X34" s="8"/>
      <c r="Y34" s="2"/>
      <c r="Z34" s="26"/>
      <c r="AA34" s="26"/>
      <c r="AB34" s="26"/>
      <c r="AC34" s="26"/>
      <c r="AD34" s="27"/>
      <c r="AE34" s="30"/>
      <c r="AF34" s="26"/>
      <c r="AG34" s="26"/>
      <c r="AH34" s="32"/>
      <c r="AJ34" s="8"/>
      <c r="AK34" s="2" t="s">
        <v>1001</v>
      </c>
      <c r="AL34" s="26">
        <v>0</v>
      </c>
      <c r="AM34" s="26">
        <v>0</v>
      </c>
      <c r="AN34" s="26">
        <v>0</v>
      </c>
      <c r="AO34" s="27">
        <v>0</v>
      </c>
      <c r="AP34" s="30">
        <v>0</v>
      </c>
      <c r="AQ34" s="26">
        <v>0</v>
      </c>
      <c r="AR34" s="26">
        <v>0</v>
      </c>
      <c r="AS34" s="32">
        <v>1</v>
      </c>
      <c r="AT34" s="34">
        <v>1</v>
      </c>
    </row>
    <row r="35" spans="2:46" x14ac:dyDescent="0.3">
      <c r="B35" s="8"/>
      <c r="C35" s="2" t="s">
        <v>979</v>
      </c>
      <c r="D35" s="26">
        <v>0</v>
      </c>
      <c r="E35" s="26">
        <v>0</v>
      </c>
      <c r="F35" s="27">
        <v>0</v>
      </c>
      <c r="G35" s="26">
        <v>0</v>
      </c>
      <c r="H35" s="26">
        <v>0</v>
      </c>
      <c r="I35" s="27">
        <v>0</v>
      </c>
      <c r="J35" s="26">
        <v>0</v>
      </c>
      <c r="K35" s="26">
        <v>0</v>
      </c>
      <c r="L35" s="67">
        <v>1</v>
      </c>
      <c r="N35" s="8"/>
      <c r="O35" s="2" t="s">
        <v>949</v>
      </c>
      <c r="P35" s="26">
        <v>0</v>
      </c>
      <c r="Q35" s="27">
        <v>0</v>
      </c>
      <c r="R35" s="30">
        <v>0</v>
      </c>
      <c r="S35" s="27">
        <v>0</v>
      </c>
      <c r="T35" s="30">
        <v>0</v>
      </c>
      <c r="U35" s="34">
        <v>1</v>
      </c>
      <c r="V35" s="34">
        <v>1</v>
      </c>
      <c r="X35" s="8"/>
      <c r="Y35" s="2"/>
      <c r="Z35" s="26"/>
      <c r="AA35" s="26"/>
      <c r="AB35" s="26"/>
      <c r="AC35" s="26"/>
      <c r="AD35" s="27"/>
      <c r="AE35" s="30"/>
      <c r="AF35" s="26"/>
      <c r="AG35" s="26"/>
      <c r="AH35" s="32"/>
      <c r="AJ35" s="8"/>
      <c r="AK35" s="2" t="s">
        <v>1002</v>
      </c>
      <c r="AL35" s="26">
        <v>0</v>
      </c>
      <c r="AM35" s="26">
        <v>0</v>
      </c>
      <c r="AN35" s="26">
        <v>0</v>
      </c>
      <c r="AO35" s="27">
        <v>0</v>
      </c>
      <c r="AP35" s="30">
        <v>0</v>
      </c>
      <c r="AQ35" s="26">
        <v>0</v>
      </c>
      <c r="AR35" s="26">
        <v>0</v>
      </c>
      <c r="AS35" s="32">
        <v>1</v>
      </c>
      <c r="AT35" s="34">
        <v>1</v>
      </c>
    </row>
    <row r="36" spans="2:46" x14ac:dyDescent="0.3">
      <c r="B36" s="8"/>
      <c r="C36" s="2" t="s">
        <v>772</v>
      </c>
      <c r="D36" s="26">
        <v>0</v>
      </c>
      <c r="E36" s="26">
        <v>0</v>
      </c>
      <c r="F36" s="27">
        <v>0</v>
      </c>
      <c r="G36" s="26">
        <v>0</v>
      </c>
      <c r="H36" s="26">
        <v>0</v>
      </c>
      <c r="I36" s="27">
        <v>0</v>
      </c>
      <c r="J36" s="26">
        <v>0</v>
      </c>
      <c r="K36" s="26">
        <v>0</v>
      </c>
      <c r="L36" s="67">
        <v>1</v>
      </c>
      <c r="N36" s="8"/>
      <c r="O36" s="2" t="s">
        <v>815</v>
      </c>
      <c r="P36" s="26">
        <v>0</v>
      </c>
      <c r="Q36" s="27">
        <v>0</v>
      </c>
      <c r="R36" s="30">
        <v>0</v>
      </c>
      <c r="S36" s="27">
        <v>0</v>
      </c>
      <c r="T36" s="30">
        <v>0</v>
      </c>
      <c r="U36" s="34">
        <v>1</v>
      </c>
      <c r="V36" s="34">
        <v>1</v>
      </c>
      <c r="X36" s="8"/>
      <c r="Y36" s="2"/>
      <c r="Z36" s="26"/>
      <c r="AA36" s="26"/>
      <c r="AB36" s="26"/>
      <c r="AC36" s="26"/>
      <c r="AD36" s="27"/>
      <c r="AE36" s="30"/>
      <c r="AF36" s="26"/>
      <c r="AG36" s="26"/>
      <c r="AH36" s="32"/>
      <c r="AJ36" s="8"/>
      <c r="AK36" s="2" t="s">
        <v>1003</v>
      </c>
      <c r="AL36" s="26">
        <v>0</v>
      </c>
      <c r="AM36" s="26">
        <v>0</v>
      </c>
      <c r="AN36" s="26">
        <v>0</v>
      </c>
      <c r="AO36" s="27">
        <v>0</v>
      </c>
      <c r="AP36" s="30">
        <v>0</v>
      </c>
      <c r="AQ36" s="26">
        <v>0</v>
      </c>
      <c r="AR36" s="26">
        <v>0</v>
      </c>
      <c r="AS36" s="32">
        <v>1</v>
      </c>
      <c r="AT36" s="34">
        <v>1</v>
      </c>
    </row>
    <row r="37" spans="2:46" x14ac:dyDescent="0.3">
      <c r="B37" s="8"/>
      <c r="C37" s="2" t="s">
        <v>773</v>
      </c>
      <c r="D37" s="26">
        <v>0</v>
      </c>
      <c r="E37" s="26">
        <v>0</v>
      </c>
      <c r="F37" s="27">
        <v>0</v>
      </c>
      <c r="G37" s="26">
        <v>0</v>
      </c>
      <c r="H37" s="26">
        <v>0</v>
      </c>
      <c r="I37" s="27">
        <v>0</v>
      </c>
      <c r="J37" s="26">
        <v>0</v>
      </c>
      <c r="K37" s="26">
        <v>0</v>
      </c>
      <c r="L37" s="67">
        <v>1</v>
      </c>
      <c r="N37" s="8"/>
      <c r="O37" s="2" t="s">
        <v>816</v>
      </c>
      <c r="P37" s="26">
        <v>0</v>
      </c>
      <c r="Q37" s="27">
        <v>0</v>
      </c>
      <c r="R37" s="30">
        <v>0</v>
      </c>
      <c r="S37" s="27">
        <v>0</v>
      </c>
      <c r="T37" s="30">
        <v>0</v>
      </c>
      <c r="U37" s="34">
        <v>1</v>
      </c>
      <c r="V37" s="34">
        <v>1</v>
      </c>
      <c r="X37" s="8"/>
      <c r="Y37" s="2"/>
      <c r="Z37" s="26"/>
      <c r="AA37" s="26"/>
      <c r="AB37" s="26"/>
      <c r="AC37" s="26"/>
      <c r="AD37" s="27"/>
      <c r="AE37" s="30"/>
      <c r="AF37" s="26"/>
      <c r="AG37" s="26"/>
      <c r="AH37" s="32"/>
      <c r="AJ37" s="8"/>
      <c r="AK37" s="2" t="s">
        <v>1004</v>
      </c>
      <c r="AL37" s="26">
        <v>0</v>
      </c>
      <c r="AM37" s="26">
        <v>0</v>
      </c>
      <c r="AN37" s="26">
        <v>0</v>
      </c>
      <c r="AO37" s="27">
        <v>0</v>
      </c>
      <c r="AP37" s="30">
        <v>0</v>
      </c>
      <c r="AQ37" s="26">
        <v>0</v>
      </c>
      <c r="AR37" s="26">
        <v>0</v>
      </c>
      <c r="AS37" s="32">
        <v>1</v>
      </c>
      <c r="AT37" s="34">
        <v>1</v>
      </c>
    </row>
    <row r="38" spans="2:46" x14ac:dyDescent="0.3">
      <c r="B38" s="8"/>
      <c r="C38" s="2" t="s">
        <v>722</v>
      </c>
      <c r="D38" s="26">
        <v>0</v>
      </c>
      <c r="E38" s="26">
        <v>0</v>
      </c>
      <c r="F38" s="27">
        <v>0</v>
      </c>
      <c r="G38" s="26">
        <v>0</v>
      </c>
      <c r="H38" s="26">
        <v>0</v>
      </c>
      <c r="I38" s="27">
        <v>0</v>
      </c>
      <c r="J38" s="26">
        <v>0</v>
      </c>
      <c r="K38" s="26">
        <v>0</v>
      </c>
      <c r="L38" s="67">
        <v>1</v>
      </c>
      <c r="N38" s="8"/>
      <c r="O38" s="2" t="s">
        <v>658</v>
      </c>
      <c r="P38" s="26">
        <v>0</v>
      </c>
      <c r="Q38" s="27">
        <v>0</v>
      </c>
      <c r="R38" s="30">
        <v>0</v>
      </c>
      <c r="S38" s="27">
        <v>0</v>
      </c>
      <c r="T38" s="30">
        <v>0</v>
      </c>
      <c r="U38" s="34">
        <v>1</v>
      </c>
      <c r="V38" s="34">
        <v>1</v>
      </c>
      <c r="X38" s="8"/>
      <c r="Y38" s="2"/>
      <c r="Z38" s="26"/>
      <c r="AA38" s="26"/>
      <c r="AB38" s="26"/>
      <c r="AC38" s="26"/>
      <c r="AD38" s="27"/>
      <c r="AE38" s="30"/>
      <c r="AF38" s="26"/>
      <c r="AG38" s="26"/>
      <c r="AH38" s="32"/>
      <c r="AJ38" s="8"/>
      <c r="AK38" s="2"/>
      <c r="AL38" s="26"/>
      <c r="AM38" s="26"/>
      <c r="AN38" s="26"/>
      <c r="AO38" s="27"/>
      <c r="AP38" s="30"/>
      <c r="AQ38" s="26"/>
      <c r="AR38" s="26"/>
      <c r="AS38" s="32"/>
      <c r="AT38" s="34"/>
    </row>
    <row r="39" spans="2:46" x14ac:dyDescent="0.3">
      <c r="B39" s="8"/>
      <c r="C39" s="2" t="s">
        <v>774</v>
      </c>
      <c r="D39" s="26">
        <v>0</v>
      </c>
      <c r="E39" s="26">
        <v>0</v>
      </c>
      <c r="F39" s="27">
        <v>0</v>
      </c>
      <c r="G39" s="26">
        <v>0</v>
      </c>
      <c r="H39" s="26">
        <v>0</v>
      </c>
      <c r="I39" s="27">
        <v>0</v>
      </c>
      <c r="J39" s="26">
        <v>0</v>
      </c>
      <c r="K39" s="26">
        <v>0</v>
      </c>
      <c r="L39" s="67">
        <v>1</v>
      </c>
      <c r="N39" s="8"/>
      <c r="O39" s="2" t="s">
        <v>817</v>
      </c>
      <c r="P39" s="26">
        <v>0</v>
      </c>
      <c r="Q39" s="27">
        <v>0</v>
      </c>
      <c r="R39" s="30">
        <v>0</v>
      </c>
      <c r="S39" s="27">
        <v>0</v>
      </c>
      <c r="T39" s="30">
        <v>0</v>
      </c>
      <c r="U39" s="34">
        <v>1</v>
      </c>
      <c r="V39" s="34">
        <v>1</v>
      </c>
      <c r="X39" s="8"/>
      <c r="Y39" s="2"/>
      <c r="Z39" s="26"/>
      <c r="AA39" s="26"/>
      <c r="AB39" s="26"/>
      <c r="AC39" s="26"/>
      <c r="AD39" s="27"/>
      <c r="AE39" s="30"/>
      <c r="AF39" s="26"/>
      <c r="AG39" s="26"/>
      <c r="AH39" s="32"/>
      <c r="AJ39" s="8"/>
      <c r="AK39" s="2"/>
      <c r="AL39" s="26"/>
      <c r="AM39" s="26"/>
      <c r="AN39" s="26"/>
      <c r="AO39" s="27"/>
      <c r="AP39" s="30"/>
      <c r="AQ39" s="26"/>
      <c r="AR39" s="26"/>
      <c r="AS39" s="32"/>
      <c r="AT39" s="34"/>
    </row>
    <row r="40" spans="2:46" x14ac:dyDescent="0.3">
      <c r="B40" s="8"/>
      <c r="C40" s="2" t="s">
        <v>723</v>
      </c>
      <c r="D40" s="26">
        <v>0</v>
      </c>
      <c r="E40" s="26">
        <v>0</v>
      </c>
      <c r="F40" s="27">
        <v>0</v>
      </c>
      <c r="G40" s="26">
        <v>0</v>
      </c>
      <c r="H40" s="26">
        <v>0</v>
      </c>
      <c r="I40" s="27">
        <v>0</v>
      </c>
      <c r="J40" s="26">
        <v>0</v>
      </c>
      <c r="K40" s="26">
        <v>0</v>
      </c>
      <c r="L40" s="67">
        <v>1</v>
      </c>
      <c r="N40" s="8"/>
      <c r="O40" s="2" t="s">
        <v>659</v>
      </c>
      <c r="P40" s="26">
        <v>0</v>
      </c>
      <c r="Q40" s="27">
        <v>0</v>
      </c>
      <c r="R40" s="30">
        <v>0</v>
      </c>
      <c r="S40" s="27">
        <v>0</v>
      </c>
      <c r="T40" s="30">
        <v>0</v>
      </c>
      <c r="U40" s="34">
        <v>1</v>
      </c>
      <c r="V40" s="34">
        <v>1</v>
      </c>
      <c r="X40" s="8"/>
      <c r="Y40" s="2"/>
      <c r="Z40" s="26"/>
      <c r="AA40" s="26"/>
      <c r="AB40" s="26"/>
      <c r="AC40" s="26"/>
      <c r="AD40" s="27"/>
      <c r="AE40" s="30"/>
      <c r="AF40" s="26"/>
      <c r="AG40" s="26"/>
      <c r="AH40" s="32"/>
      <c r="AJ40" s="8"/>
      <c r="AK40" s="2"/>
      <c r="AL40" s="26"/>
      <c r="AM40" s="26"/>
      <c r="AN40" s="26"/>
      <c r="AO40" s="27"/>
      <c r="AP40" s="30"/>
      <c r="AQ40" s="26"/>
      <c r="AR40" s="26"/>
      <c r="AS40" s="32"/>
      <c r="AT40" s="34"/>
    </row>
    <row r="41" spans="2:46" x14ac:dyDescent="0.3">
      <c r="B41" s="8"/>
      <c r="C41" s="2" t="s">
        <v>775</v>
      </c>
      <c r="D41" s="26">
        <v>0</v>
      </c>
      <c r="E41" s="26">
        <v>0</v>
      </c>
      <c r="F41" s="27">
        <v>0</v>
      </c>
      <c r="G41" s="26">
        <v>0</v>
      </c>
      <c r="H41" s="26">
        <v>0</v>
      </c>
      <c r="I41" s="27">
        <v>0</v>
      </c>
      <c r="J41" s="26">
        <v>0</v>
      </c>
      <c r="K41" s="26">
        <v>0</v>
      </c>
      <c r="L41" s="67">
        <v>1</v>
      </c>
      <c r="N41" s="8"/>
      <c r="O41" s="2" t="s">
        <v>818</v>
      </c>
      <c r="P41" s="26">
        <v>0</v>
      </c>
      <c r="Q41" s="27">
        <v>0</v>
      </c>
      <c r="R41" s="30">
        <v>0</v>
      </c>
      <c r="S41" s="27">
        <v>0</v>
      </c>
      <c r="T41" s="30">
        <v>0</v>
      </c>
      <c r="U41" s="34">
        <v>1</v>
      </c>
      <c r="V41" s="34">
        <v>1</v>
      </c>
      <c r="X41" s="8"/>
      <c r="Y41" s="2"/>
      <c r="Z41" s="26"/>
      <c r="AA41" s="26"/>
      <c r="AB41" s="26"/>
      <c r="AC41" s="26"/>
      <c r="AD41" s="27"/>
      <c r="AE41" s="30"/>
      <c r="AF41" s="26"/>
      <c r="AG41" s="26"/>
      <c r="AH41" s="32"/>
      <c r="AJ41" s="8"/>
      <c r="AK41" s="2"/>
      <c r="AL41" s="26"/>
      <c r="AM41" s="26"/>
      <c r="AN41" s="26"/>
      <c r="AO41" s="27"/>
      <c r="AP41" s="30"/>
      <c r="AQ41" s="26"/>
      <c r="AR41" s="26"/>
      <c r="AS41" s="32"/>
      <c r="AT41" s="34"/>
    </row>
    <row r="42" spans="2:46" x14ac:dyDescent="0.3">
      <c r="B42" s="8"/>
      <c r="C42" s="2" t="s">
        <v>776</v>
      </c>
      <c r="D42" s="26">
        <v>0</v>
      </c>
      <c r="E42" s="26">
        <v>0</v>
      </c>
      <c r="F42" s="27">
        <v>0</v>
      </c>
      <c r="G42" s="26">
        <v>0</v>
      </c>
      <c r="H42" s="26">
        <v>0</v>
      </c>
      <c r="I42" s="27">
        <v>0</v>
      </c>
      <c r="J42" s="26">
        <v>0</v>
      </c>
      <c r="K42" s="26">
        <v>0</v>
      </c>
      <c r="L42" s="67">
        <v>1</v>
      </c>
      <c r="N42" s="8"/>
      <c r="O42" s="2" t="s">
        <v>819</v>
      </c>
      <c r="P42" s="26">
        <v>0</v>
      </c>
      <c r="Q42" s="27">
        <v>0</v>
      </c>
      <c r="R42" s="30">
        <v>0</v>
      </c>
      <c r="S42" s="27">
        <v>0</v>
      </c>
      <c r="T42" s="30">
        <v>0</v>
      </c>
      <c r="U42" s="34">
        <v>1</v>
      </c>
      <c r="V42" s="34">
        <v>1</v>
      </c>
      <c r="X42" s="8"/>
      <c r="Y42" s="2"/>
      <c r="Z42" s="26"/>
      <c r="AA42" s="26"/>
      <c r="AB42" s="26"/>
      <c r="AC42" s="26"/>
      <c r="AD42" s="27"/>
      <c r="AE42" s="30"/>
      <c r="AF42" s="26"/>
      <c r="AG42" s="26"/>
      <c r="AH42" s="32"/>
      <c r="AJ42" s="8"/>
      <c r="AK42" s="2"/>
      <c r="AL42" s="26"/>
      <c r="AM42" s="26"/>
      <c r="AN42" s="26"/>
      <c r="AO42" s="27"/>
      <c r="AP42" s="30"/>
      <c r="AQ42" s="26"/>
      <c r="AR42" s="26"/>
      <c r="AS42" s="32"/>
      <c r="AT42" s="34"/>
    </row>
    <row r="43" spans="2:46" x14ac:dyDescent="0.3">
      <c r="B43" s="8"/>
      <c r="C43" s="2" t="s">
        <v>777</v>
      </c>
      <c r="D43" s="26">
        <v>0</v>
      </c>
      <c r="E43" s="26">
        <v>0</v>
      </c>
      <c r="F43" s="27">
        <v>0</v>
      </c>
      <c r="G43" s="26">
        <v>0</v>
      </c>
      <c r="H43" s="26">
        <v>0</v>
      </c>
      <c r="I43" s="27">
        <v>0</v>
      </c>
      <c r="J43" s="26">
        <v>0</v>
      </c>
      <c r="K43" s="26">
        <v>0</v>
      </c>
      <c r="L43" s="67">
        <v>1</v>
      </c>
      <c r="N43" s="8"/>
      <c r="O43" s="2" t="s">
        <v>820</v>
      </c>
      <c r="P43" s="26">
        <v>0</v>
      </c>
      <c r="Q43" s="27">
        <v>0</v>
      </c>
      <c r="R43" s="30">
        <v>0</v>
      </c>
      <c r="S43" s="27">
        <v>0</v>
      </c>
      <c r="T43" s="30">
        <v>0</v>
      </c>
      <c r="U43" s="34">
        <v>1</v>
      </c>
      <c r="V43" s="34">
        <v>1</v>
      </c>
      <c r="X43" s="8"/>
      <c r="Y43" s="2"/>
      <c r="Z43" s="26"/>
      <c r="AA43" s="26"/>
      <c r="AB43" s="26"/>
      <c r="AC43" s="26"/>
      <c r="AD43" s="27"/>
      <c r="AE43" s="30"/>
      <c r="AF43" s="26"/>
      <c r="AG43" s="26"/>
      <c r="AH43" s="32"/>
      <c r="AJ43" s="8"/>
      <c r="AK43" s="2"/>
      <c r="AL43" s="26"/>
      <c r="AM43" s="26"/>
      <c r="AN43" s="26"/>
      <c r="AO43" s="27"/>
      <c r="AP43" s="30"/>
      <c r="AQ43" s="26"/>
      <c r="AR43" s="26"/>
      <c r="AS43" s="32"/>
      <c r="AT43" s="34"/>
    </row>
    <row r="44" spans="2:46" x14ac:dyDescent="0.3">
      <c r="B44" s="8"/>
      <c r="C44" s="2" t="s">
        <v>724</v>
      </c>
      <c r="D44" s="26">
        <v>0</v>
      </c>
      <c r="E44" s="26">
        <v>0</v>
      </c>
      <c r="F44" s="27">
        <v>0</v>
      </c>
      <c r="G44" s="26">
        <v>0</v>
      </c>
      <c r="H44" s="26">
        <v>0</v>
      </c>
      <c r="I44" s="27">
        <v>0</v>
      </c>
      <c r="J44" s="26">
        <v>0</v>
      </c>
      <c r="K44" s="26">
        <v>0</v>
      </c>
      <c r="L44" s="67">
        <v>1</v>
      </c>
      <c r="N44" s="8"/>
      <c r="O44" s="2" t="s">
        <v>660</v>
      </c>
      <c r="P44" s="26">
        <v>0</v>
      </c>
      <c r="Q44" s="27">
        <v>0</v>
      </c>
      <c r="R44" s="30">
        <v>0</v>
      </c>
      <c r="S44" s="27">
        <v>0</v>
      </c>
      <c r="T44" s="30">
        <v>0</v>
      </c>
      <c r="U44" s="34">
        <v>1</v>
      </c>
      <c r="V44" s="34">
        <v>1</v>
      </c>
      <c r="X44" s="8"/>
      <c r="Y44" s="2"/>
      <c r="Z44" s="26"/>
      <c r="AA44" s="26"/>
      <c r="AB44" s="26"/>
      <c r="AC44" s="26"/>
      <c r="AD44" s="27"/>
      <c r="AE44" s="30"/>
      <c r="AF44" s="26"/>
      <c r="AG44" s="26"/>
      <c r="AH44" s="32"/>
      <c r="AJ44" s="8"/>
      <c r="AK44" s="2"/>
      <c r="AL44" s="26"/>
      <c r="AM44" s="26"/>
      <c r="AN44" s="26"/>
      <c r="AO44" s="27"/>
      <c r="AP44" s="30"/>
      <c r="AQ44" s="26"/>
      <c r="AR44" s="26"/>
      <c r="AS44" s="32"/>
      <c r="AT44" s="34"/>
    </row>
    <row r="45" spans="2:46" x14ac:dyDescent="0.3">
      <c r="B45" s="8"/>
      <c r="C45" s="2" t="s">
        <v>725</v>
      </c>
      <c r="D45" s="26">
        <v>0</v>
      </c>
      <c r="E45" s="26">
        <v>0</v>
      </c>
      <c r="F45" s="27">
        <v>0</v>
      </c>
      <c r="G45" s="26">
        <v>0</v>
      </c>
      <c r="H45" s="26">
        <v>0</v>
      </c>
      <c r="I45" s="27">
        <v>0</v>
      </c>
      <c r="J45" s="26">
        <v>0</v>
      </c>
      <c r="K45" s="26">
        <v>0</v>
      </c>
      <c r="L45" s="67">
        <v>1</v>
      </c>
      <c r="N45" s="8"/>
      <c r="O45" s="2" t="s">
        <v>661</v>
      </c>
      <c r="P45" s="26">
        <v>0</v>
      </c>
      <c r="Q45" s="27">
        <v>0</v>
      </c>
      <c r="R45" s="30">
        <v>0</v>
      </c>
      <c r="S45" s="27">
        <v>0</v>
      </c>
      <c r="T45" s="30">
        <v>0</v>
      </c>
      <c r="U45" s="34">
        <v>1</v>
      </c>
      <c r="V45" s="34">
        <v>1</v>
      </c>
      <c r="X45" s="8"/>
      <c r="Y45" s="2"/>
      <c r="Z45" s="26"/>
      <c r="AA45" s="26"/>
      <c r="AB45" s="26"/>
      <c r="AC45" s="26"/>
      <c r="AD45" s="27"/>
      <c r="AE45" s="30"/>
      <c r="AF45" s="26"/>
      <c r="AG45" s="26"/>
      <c r="AH45" s="32"/>
      <c r="AJ45" s="8"/>
      <c r="AK45" s="2"/>
      <c r="AL45" s="26"/>
      <c r="AM45" s="26"/>
      <c r="AN45" s="26"/>
      <c r="AO45" s="27"/>
      <c r="AP45" s="30"/>
      <c r="AQ45" s="26"/>
      <c r="AR45" s="26"/>
      <c r="AS45" s="32"/>
      <c r="AT45" s="34"/>
    </row>
    <row r="46" spans="2:46" x14ac:dyDescent="0.3">
      <c r="B46" s="8"/>
      <c r="C46" s="2" t="s">
        <v>778</v>
      </c>
      <c r="D46" s="26">
        <v>0</v>
      </c>
      <c r="E46" s="26">
        <v>0</v>
      </c>
      <c r="F46" s="27">
        <v>0</v>
      </c>
      <c r="G46" s="26">
        <v>0</v>
      </c>
      <c r="H46" s="26">
        <v>0</v>
      </c>
      <c r="I46" s="27">
        <v>0</v>
      </c>
      <c r="J46" s="26">
        <v>0</v>
      </c>
      <c r="K46" s="26">
        <v>0</v>
      </c>
      <c r="L46" s="67">
        <v>1</v>
      </c>
      <c r="N46" s="8"/>
      <c r="O46" s="2" t="s">
        <v>821</v>
      </c>
      <c r="P46" s="26">
        <v>0</v>
      </c>
      <c r="Q46" s="27">
        <v>0</v>
      </c>
      <c r="R46" s="30">
        <v>0</v>
      </c>
      <c r="S46" s="27">
        <v>0</v>
      </c>
      <c r="T46" s="30">
        <v>0</v>
      </c>
      <c r="U46" s="34">
        <v>1</v>
      </c>
      <c r="V46" s="34">
        <v>1</v>
      </c>
      <c r="X46" s="8"/>
      <c r="Y46" s="2"/>
      <c r="Z46" s="26"/>
      <c r="AA46" s="26"/>
      <c r="AB46" s="26"/>
      <c r="AC46" s="26"/>
      <c r="AD46" s="27"/>
      <c r="AE46" s="30"/>
      <c r="AF46" s="26"/>
      <c r="AG46" s="26"/>
      <c r="AH46" s="32"/>
      <c r="AJ46" s="8"/>
      <c r="AK46" s="2"/>
      <c r="AL46" s="26"/>
      <c r="AM46" s="26"/>
      <c r="AN46" s="26"/>
      <c r="AO46" s="27"/>
      <c r="AP46" s="30"/>
      <c r="AQ46" s="26"/>
      <c r="AR46" s="26"/>
      <c r="AS46" s="32"/>
      <c r="AT46" s="34"/>
    </row>
    <row r="47" spans="2:46" x14ac:dyDescent="0.3">
      <c r="B47" s="8"/>
      <c r="C47" s="2" t="s">
        <v>726</v>
      </c>
      <c r="D47" s="26">
        <v>0</v>
      </c>
      <c r="E47" s="26">
        <v>0</v>
      </c>
      <c r="F47" s="27">
        <v>0</v>
      </c>
      <c r="G47" s="26">
        <v>0</v>
      </c>
      <c r="H47" s="26">
        <v>0</v>
      </c>
      <c r="I47" s="27">
        <v>0</v>
      </c>
      <c r="J47" s="26">
        <v>0</v>
      </c>
      <c r="K47" s="26">
        <v>0</v>
      </c>
      <c r="L47" s="67">
        <v>1</v>
      </c>
      <c r="N47" s="8"/>
      <c r="O47" s="2" t="s">
        <v>662</v>
      </c>
      <c r="P47" s="26">
        <v>0</v>
      </c>
      <c r="Q47" s="27">
        <v>0</v>
      </c>
      <c r="R47" s="30">
        <v>0</v>
      </c>
      <c r="S47" s="27">
        <v>0</v>
      </c>
      <c r="T47" s="30">
        <v>0</v>
      </c>
      <c r="U47" s="34">
        <v>1</v>
      </c>
      <c r="V47" s="34">
        <v>1</v>
      </c>
      <c r="X47" s="8"/>
      <c r="Y47" s="2"/>
      <c r="Z47" s="26"/>
      <c r="AA47" s="26"/>
      <c r="AB47" s="26"/>
      <c r="AC47" s="26"/>
      <c r="AD47" s="27"/>
      <c r="AE47" s="30"/>
      <c r="AF47" s="26"/>
      <c r="AG47" s="26"/>
      <c r="AH47" s="32"/>
      <c r="AJ47" s="8"/>
      <c r="AK47" s="2"/>
      <c r="AL47" s="26"/>
      <c r="AM47" s="26"/>
      <c r="AN47" s="26"/>
      <c r="AO47" s="27"/>
      <c r="AP47" s="30"/>
      <c r="AQ47" s="26"/>
      <c r="AR47" s="26"/>
      <c r="AS47" s="32"/>
      <c r="AT47" s="34"/>
    </row>
    <row r="48" spans="2:46" x14ac:dyDescent="0.3">
      <c r="B48" s="8"/>
      <c r="C48" s="2" t="s">
        <v>779</v>
      </c>
      <c r="D48" s="26">
        <v>0</v>
      </c>
      <c r="E48" s="26">
        <v>0</v>
      </c>
      <c r="F48" s="27">
        <v>0</v>
      </c>
      <c r="G48" s="26">
        <v>0</v>
      </c>
      <c r="H48" s="26">
        <v>0</v>
      </c>
      <c r="I48" s="27">
        <v>0</v>
      </c>
      <c r="J48" s="26">
        <v>0</v>
      </c>
      <c r="K48" s="26">
        <v>0</v>
      </c>
      <c r="L48" s="67">
        <v>1</v>
      </c>
      <c r="N48" s="8"/>
      <c r="O48" s="2" t="s">
        <v>822</v>
      </c>
      <c r="P48" s="26">
        <v>0</v>
      </c>
      <c r="Q48" s="27">
        <v>0</v>
      </c>
      <c r="R48" s="30">
        <v>0</v>
      </c>
      <c r="S48" s="27">
        <v>0</v>
      </c>
      <c r="T48" s="30">
        <v>0</v>
      </c>
      <c r="U48" s="34">
        <v>1</v>
      </c>
      <c r="V48" s="34">
        <v>1</v>
      </c>
      <c r="X48" s="8"/>
      <c r="Y48" s="2"/>
      <c r="Z48" s="26"/>
      <c r="AA48" s="26"/>
      <c r="AB48" s="26"/>
      <c r="AC48" s="26"/>
      <c r="AD48" s="27"/>
      <c r="AE48" s="30"/>
      <c r="AF48" s="26"/>
      <c r="AG48" s="26"/>
      <c r="AH48" s="32"/>
      <c r="AJ48" s="8"/>
      <c r="AK48" s="2"/>
      <c r="AL48" s="26"/>
      <c r="AM48" s="26"/>
      <c r="AN48" s="26"/>
      <c r="AO48" s="27"/>
      <c r="AP48" s="30"/>
      <c r="AQ48" s="26"/>
      <c r="AR48" s="26"/>
      <c r="AS48" s="32"/>
      <c r="AT48" s="34"/>
    </row>
    <row r="49" spans="2:46" x14ac:dyDescent="0.3">
      <c r="B49" s="8"/>
      <c r="C49" s="2" t="s">
        <v>780</v>
      </c>
      <c r="D49" s="26">
        <v>0</v>
      </c>
      <c r="E49" s="26">
        <v>0</v>
      </c>
      <c r="F49" s="27">
        <v>0</v>
      </c>
      <c r="G49" s="26">
        <v>0</v>
      </c>
      <c r="H49" s="26">
        <v>0</v>
      </c>
      <c r="I49" s="27">
        <v>0</v>
      </c>
      <c r="J49" s="26">
        <v>0</v>
      </c>
      <c r="K49" s="26">
        <v>0</v>
      </c>
      <c r="L49" s="67">
        <v>1</v>
      </c>
      <c r="N49" s="8"/>
      <c r="O49" s="2" t="s">
        <v>823</v>
      </c>
      <c r="P49" s="26">
        <v>0</v>
      </c>
      <c r="Q49" s="27">
        <v>0</v>
      </c>
      <c r="R49" s="30">
        <v>0</v>
      </c>
      <c r="S49" s="27">
        <v>0</v>
      </c>
      <c r="T49" s="30">
        <v>0</v>
      </c>
      <c r="U49" s="34">
        <v>1</v>
      </c>
      <c r="V49" s="34">
        <v>1</v>
      </c>
      <c r="X49" s="8"/>
      <c r="Y49" s="2"/>
      <c r="Z49" s="26"/>
      <c r="AA49" s="26"/>
      <c r="AB49" s="26"/>
      <c r="AC49" s="26"/>
      <c r="AD49" s="27"/>
      <c r="AE49" s="30"/>
      <c r="AF49" s="26"/>
      <c r="AG49" s="26"/>
      <c r="AH49" s="32"/>
      <c r="AJ49" s="8"/>
      <c r="AK49" s="2"/>
      <c r="AL49" s="26"/>
      <c r="AM49" s="26"/>
      <c r="AN49" s="26"/>
      <c r="AO49" s="27"/>
      <c r="AP49" s="30"/>
      <c r="AQ49" s="26"/>
      <c r="AR49" s="26"/>
      <c r="AS49" s="32"/>
      <c r="AT49" s="34"/>
    </row>
    <row r="50" spans="2:46" x14ac:dyDescent="0.3">
      <c r="B50" s="8"/>
      <c r="C50" s="2" t="s">
        <v>727</v>
      </c>
      <c r="D50" s="26">
        <v>0</v>
      </c>
      <c r="E50" s="26">
        <v>0</v>
      </c>
      <c r="F50" s="27">
        <v>0</v>
      </c>
      <c r="G50" s="26">
        <v>0</v>
      </c>
      <c r="H50" s="26">
        <v>0</v>
      </c>
      <c r="I50" s="27">
        <v>0</v>
      </c>
      <c r="J50" s="26">
        <v>0</v>
      </c>
      <c r="K50" s="26">
        <v>0</v>
      </c>
      <c r="L50" s="67">
        <v>1</v>
      </c>
      <c r="N50" s="8"/>
      <c r="O50" s="2" t="s">
        <v>663</v>
      </c>
      <c r="P50" s="26">
        <v>0</v>
      </c>
      <c r="Q50" s="27">
        <v>0</v>
      </c>
      <c r="R50" s="30">
        <v>0</v>
      </c>
      <c r="S50" s="27">
        <v>0</v>
      </c>
      <c r="T50" s="30">
        <v>0</v>
      </c>
      <c r="U50" s="34">
        <v>1</v>
      </c>
      <c r="V50" s="34">
        <v>1</v>
      </c>
      <c r="X50" s="8"/>
      <c r="Y50" s="2"/>
      <c r="Z50" s="26"/>
      <c r="AA50" s="26"/>
      <c r="AB50" s="26"/>
      <c r="AC50" s="26"/>
      <c r="AD50" s="27"/>
      <c r="AE50" s="30"/>
      <c r="AF50" s="26"/>
      <c r="AG50" s="26"/>
      <c r="AH50" s="32"/>
      <c r="AJ50" s="8"/>
      <c r="AK50" s="2"/>
      <c r="AL50" s="26"/>
      <c r="AM50" s="26"/>
      <c r="AN50" s="26"/>
      <c r="AO50" s="27"/>
      <c r="AP50" s="30"/>
      <c r="AQ50" s="26"/>
      <c r="AR50" s="26"/>
      <c r="AS50" s="32"/>
      <c r="AT50" s="34"/>
    </row>
    <row r="51" spans="2:46" x14ac:dyDescent="0.3">
      <c r="B51" s="8"/>
      <c r="C51" s="2" t="s">
        <v>728</v>
      </c>
      <c r="D51" s="26">
        <v>0</v>
      </c>
      <c r="E51" s="26">
        <v>0</v>
      </c>
      <c r="F51" s="27">
        <v>0</v>
      </c>
      <c r="G51" s="26">
        <v>0</v>
      </c>
      <c r="H51" s="26">
        <v>0</v>
      </c>
      <c r="I51" s="27">
        <v>0</v>
      </c>
      <c r="J51" s="26">
        <v>0</v>
      </c>
      <c r="K51" s="26">
        <v>0</v>
      </c>
      <c r="L51" s="67">
        <v>1</v>
      </c>
      <c r="N51" s="8"/>
      <c r="O51" s="2" t="s">
        <v>664</v>
      </c>
      <c r="P51" s="26">
        <v>0</v>
      </c>
      <c r="Q51" s="27">
        <v>0</v>
      </c>
      <c r="R51" s="30">
        <v>0</v>
      </c>
      <c r="S51" s="27">
        <v>0</v>
      </c>
      <c r="T51" s="30">
        <v>0</v>
      </c>
      <c r="U51" s="34">
        <v>1</v>
      </c>
      <c r="V51" s="34">
        <v>1</v>
      </c>
      <c r="X51" s="8"/>
      <c r="Y51" s="2"/>
      <c r="Z51" s="26"/>
      <c r="AA51" s="26"/>
      <c r="AB51" s="26"/>
      <c r="AC51" s="26"/>
      <c r="AD51" s="27"/>
      <c r="AE51" s="30"/>
      <c r="AF51" s="26"/>
      <c r="AG51" s="26"/>
      <c r="AH51" s="32"/>
      <c r="AJ51" s="8"/>
      <c r="AK51" s="2"/>
      <c r="AL51" s="26"/>
      <c r="AM51" s="26"/>
      <c r="AN51" s="26"/>
      <c r="AO51" s="27"/>
      <c r="AP51" s="30"/>
      <c r="AQ51" s="26"/>
      <c r="AR51" s="26"/>
      <c r="AS51" s="32"/>
      <c r="AT51" s="34"/>
    </row>
    <row r="52" spans="2:46" x14ac:dyDescent="0.3">
      <c r="B52" s="8"/>
      <c r="C52" s="2" t="s">
        <v>781</v>
      </c>
      <c r="D52" s="26">
        <v>0</v>
      </c>
      <c r="E52" s="26">
        <v>0</v>
      </c>
      <c r="F52" s="27">
        <v>0</v>
      </c>
      <c r="G52" s="26">
        <v>0</v>
      </c>
      <c r="H52" s="26">
        <v>0</v>
      </c>
      <c r="I52" s="27">
        <v>0</v>
      </c>
      <c r="J52" s="26">
        <v>0</v>
      </c>
      <c r="K52" s="26">
        <v>0</v>
      </c>
      <c r="L52" s="67">
        <v>1</v>
      </c>
      <c r="N52" s="8"/>
      <c r="O52" s="2" t="s">
        <v>824</v>
      </c>
      <c r="P52" s="26">
        <v>0</v>
      </c>
      <c r="Q52" s="27">
        <v>0</v>
      </c>
      <c r="R52" s="30">
        <v>0</v>
      </c>
      <c r="S52" s="27">
        <v>0</v>
      </c>
      <c r="T52" s="30">
        <v>0</v>
      </c>
      <c r="U52" s="34">
        <v>1</v>
      </c>
      <c r="V52" s="34">
        <v>1</v>
      </c>
      <c r="X52" s="8"/>
      <c r="Y52" s="2"/>
      <c r="Z52" s="26"/>
      <c r="AA52" s="26"/>
      <c r="AB52" s="26"/>
      <c r="AC52" s="26"/>
      <c r="AD52" s="27"/>
      <c r="AE52" s="30"/>
      <c r="AF52" s="26"/>
      <c r="AG52" s="26"/>
      <c r="AH52" s="32"/>
      <c r="AJ52" s="8"/>
      <c r="AK52" s="2"/>
      <c r="AL52" s="26"/>
      <c r="AM52" s="26"/>
      <c r="AN52" s="26"/>
      <c r="AO52" s="27"/>
      <c r="AP52" s="30"/>
      <c r="AQ52" s="26"/>
      <c r="AR52" s="26"/>
      <c r="AS52" s="32"/>
      <c r="AT52" s="34"/>
    </row>
    <row r="53" spans="2:46" x14ac:dyDescent="0.3">
      <c r="B53" s="8"/>
      <c r="C53" s="2" t="s">
        <v>729</v>
      </c>
      <c r="D53" s="26">
        <v>0</v>
      </c>
      <c r="E53" s="26">
        <v>0</v>
      </c>
      <c r="F53" s="27">
        <v>0</v>
      </c>
      <c r="G53" s="26">
        <v>0</v>
      </c>
      <c r="H53" s="26">
        <v>0</v>
      </c>
      <c r="I53" s="27">
        <v>0</v>
      </c>
      <c r="J53" s="26">
        <v>0</v>
      </c>
      <c r="K53" s="26">
        <v>0</v>
      </c>
      <c r="L53" s="67">
        <v>1</v>
      </c>
      <c r="N53" s="8"/>
      <c r="O53" s="2" t="s">
        <v>665</v>
      </c>
      <c r="P53" s="26">
        <v>0</v>
      </c>
      <c r="Q53" s="27">
        <v>0</v>
      </c>
      <c r="R53" s="30">
        <v>0</v>
      </c>
      <c r="S53" s="27">
        <v>0</v>
      </c>
      <c r="T53" s="30">
        <v>0</v>
      </c>
      <c r="U53" s="34">
        <v>1</v>
      </c>
      <c r="V53" s="34">
        <v>1</v>
      </c>
      <c r="X53" s="8"/>
      <c r="Y53" s="2"/>
      <c r="Z53" s="26"/>
      <c r="AA53" s="26"/>
      <c r="AB53" s="26"/>
      <c r="AC53" s="26"/>
      <c r="AD53" s="27"/>
      <c r="AE53" s="30"/>
      <c r="AF53" s="26"/>
      <c r="AG53" s="26"/>
      <c r="AH53" s="32"/>
      <c r="AJ53" s="8"/>
      <c r="AK53" s="2"/>
      <c r="AL53" s="26"/>
      <c r="AM53" s="26"/>
      <c r="AN53" s="26"/>
      <c r="AO53" s="27"/>
      <c r="AP53" s="30"/>
      <c r="AQ53" s="26"/>
      <c r="AR53" s="26"/>
      <c r="AS53" s="32"/>
      <c r="AT53" s="34"/>
    </row>
    <row r="54" spans="2:46" x14ac:dyDescent="0.3">
      <c r="B54" s="8"/>
      <c r="C54" s="2" t="s">
        <v>782</v>
      </c>
      <c r="D54" s="26">
        <v>0</v>
      </c>
      <c r="E54" s="26">
        <v>0</v>
      </c>
      <c r="F54" s="27">
        <v>0</v>
      </c>
      <c r="G54" s="26">
        <v>0</v>
      </c>
      <c r="H54" s="26">
        <v>0</v>
      </c>
      <c r="I54" s="27">
        <v>0</v>
      </c>
      <c r="J54" s="26">
        <v>0</v>
      </c>
      <c r="K54" s="26">
        <v>0</v>
      </c>
      <c r="L54" s="67">
        <v>1</v>
      </c>
      <c r="N54" s="8"/>
      <c r="O54" s="2" t="s">
        <v>825</v>
      </c>
      <c r="P54" s="26">
        <v>0</v>
      </c>
      <c r="Q54" s="27">
        <v>0</v>
      </c>
      <c r="R54" s="30">
        <v>0</v>
      </c>
      <c r="S54" s="27">
        <v>0</v>
      </c>
      <c r="T54" s="30">
        <v>0</v>
      </c>
      <c r="U54" s="34">
        <v>1</v>
      </c>
      <c r="V54" s="34">
        <v>1</v>
      </c>
      <c r="X54" s="8"/>
      <c r="Y54" s="2"/>
      <c r="Z54" s="26"/>
      <c r="AA54" s="26"/>
      <c r="AB54" s="26"/>
      <c r="AC54" s="26"/>
      <c r="AD54" s="27"/>
      <c r="AE54" s="30"/>
      <c r="AF54" s="26"/>
      <c r="AG54" s="26"/>
      <c r="AH54" s="32"/>
      <c r="AJ54" s="8"/>
      <c r="AK54" s="2"/>
      <c r="AL54" s="26"/>
      <c r="AM54" s="26"/>
      <c r="AN54" s="26"/>
      <c r="AO54" s="27"/>
      <c r="AP54" s="30"/>
      <c r="AQ54" s="26"/>
      <c r="AR54" s="26"/>
      <c r="AS54" s="32"/>
      <c r="AT54" s="34"/>
    </row>
    <row r="55" spans="2:46" x14ac:dyDescent="0.3">
      <c r="B55" s="8"/>
      <c r="C55" s="2" t="s">
        <v>783</v>
      </c>
      <c r="D55" s="26">
        <v>0</v>
      </c>
      <c r="E55" s="26">
        <v>0</v>
      </c>
      <c r="F55" s="27">
        <v>0</v>
      </c>
      <c r="G55" s="26">
        <v>0</v>
      </c>
      <c r="H55" s="26">
        <v>0</v>
      </c>
      <c r="I55" s="27">
        <v>0</v>
      </c>
      <c r="J55" s="26">
        <v>0</v>
      </c>
      <c r="K55" s="26">
        <v>0</v>
      </c>
      <c r="L55" s="67">
        <v>1</v>
      </c>
      <c r="N55" s="8"/>
      <c r="O55" s="2" t="s">
        <v>826</v>
      </c>
      <c r="P55" s="26">
        <v>0</v>
      </c>
      <c r="Q55" s="27">
        <v>0</v>
      </c>
      <c r="R55" s="30">
        <v>0</v>
      </c>
      <c r="S55" s="27">
        <v>0</v>
      </c>
      <c r="T55" s="30">
        <v>0</v>
      </c>
      <c r="U55" s="34">
        <v>1</v>
      </c>
      <c r="V55" s="34">
        <v>1</v>
      </c>
      <c r="X55" s="8"/>
      <c r="Y55" s="2"/>
      <c r="Z55" s="26"/>
      <c r="AA55" s="26"/>
      <c r="AB55" s="26"/>
      <c r="AC55" s="26"/>
      <c r="AD55" s="27"/>
      <c r="AE55" s="30"/>
      <c r="AF55" s="26"/>
      <c r="AG55" s="26"/>
      <c r="AH55" s="32"/>
      <c r="AJ55" s="8"/>
      <c r="AK55" s="2"/>
      <c r="AL55" s="26"/>
      <c r="AM55" s="26"/>
      <c r="AN55" s="26"/>
      <c r="AO55" s="27"/>
      <c r="AP55" s="30"/>
      <c r="AQ55" s="26"/>
      <c r="AR55" s="26"/>
      <c r="AS55" s="32"/>
      <c r="AT55" s="34"/>
    </row>
    <row r="56" spans="2:46" x14ac:dyDescent="0.3">
      <c r="B56" s="8"/>
      <c r="C56" s="2" t="s">
        <v>784</v>
      </c>
      <c r="D56" s="26">
        <v>0</v>
      </c>
      <c r="E56" s="26">
        <v>0</v>
      </c>
      <c r="F56" s="27">
        <v>0</v>
      </c>
      <c r="G56" s="26">
        <v>0</v>
      </c>
      <c r="H56" s="26">
        <v>0</v>
      </c>
      <c r="I56" s="27">
        <v>0</v>
      </c>
      <c r="J56" s="26">
        <v>0</v>
      </c>
      <c r="K56" s="26">
        <v>0</v>
      </c>
      <c r="L56" s="67">
        <v>1</v>
      </c>
      <c r="N56" s="8"/>
      <c r="O56" s="2" t="s">
        <v>827</v>
      </c>
      <c r="P56" s="26">
        <v>0</v>
      </c>
      <c r="Q56" s="27">
        <v>0</v>
      </c>
      <c r="R56" s="30">
        <v>0</v>
      </c>
      <c r="S56" s="27">
        <v>0</v>
      </c>
      <c r="T56" s="30">
        <v>0</v>
      </c>
      <c r="U56" s="34">
        <v>1</v>
      </c>
      <c r="V56" s="34">
        <v>1</v>
      </c>
      <c r="X56" s="8"/>
      <c r="Y56" s="2"/>
      <c r="Z56" s="26"/>
      <c r="AA56" s="26"/>
      <c r="AB56" s="26"/>
      <c r="AC56" s="26"/>
      <c r="AD56" s="27"/>
      <c r="AE56" s="30"/>
      <c r="AF56" s="26"/>
      <c r="AG56" s="26"/>
      <c r="AH56" s="32"/>
      <c r="AJ56" s="8"/>
      <c r="AK56" s="2"/>
      <c r="AL56" s="26"/>
      <c r="AM56" s="26"/>
      <c r="AN56" s="26"/>
      <c r="AO56" s="27"/>
      <c r="AP56" s="30"/>
      <c r="AQ56" s="26"/>
      <c r="AR56" s="26"/>
      <c r="AS56" s="32"/>
      <c r="AT56" s="34"/>
    </row>
    <row r="57" spans="2:46" x14ac:dyDescent="0.3">
      <c r="B57" s="8"/>
      <c r="C57" s="2" t="s">
        <v>785</v>
      </c>
      <c r="D57" s="26">
        <v>0</v>
      </c>
      <c r="E57" s="26">
        <v>0</v>
      </c>
      <c r="F57" s="27">
        <v>0</v>
      </c>
      <c r="G57" s="26">
        <v>0</v>
      </c>
      <c r="H57" s="26">
        <v>0</v>
      </c>
      <c r="I57" s="27">
        <v>0</v>
      </c>
      <c r="J57" s="26">
        <v>0</v>
      </c>
      <c r="K57" s="26">
        <v>0</v>
      </c>
      <c r="L57" s="67">
        <v>1</v>
      </c>
      <c r="N57" s="8"/>
      <c r="O57" s="2" t="s">
        <v>828</v>
      </c>
      <c r="P57" s="26">
        <v>0</v>
      </c>
      <c r="Q57" s="27">
        <v>0</v>
      </c>
      <c r="R57" s="30">
        <v>0</v>
      </c>
      <c r="S57" s="27">
        <v>0</v>
      </c>
      <c r="T57" s="30">
        <v>0</v>
      </c>
      <c r="U57" s="34">
        <v>1</v>
      </c>
      <c r="V57" s="34">
        <v>1</v>
      </c>
      <c r="X57" s="8"/>
      <c r="Y57" s="2"/>
      <c r="Z57" s="26"/>
      <c r="AA57" s="26"/>
      <c r="AB57" s="26"/>
      <c r="AC57" s="26"/>
      <c r="AD57" s="27"/>
      <c r="AE57" s="30"/>
      <c r="AF57" s="26"/>
      <c r="AG57" s="26"/>
      <c r="AH57" s="32"/>
      <c r="AJ57" s="8"/>
      <c r="AK57" s="2"/>
      <c r="AL57" s="26"/>
      <c r="AM57" s="26"/>
      <c r="AN57" s="26"/>
      <c r="AO57" s="27"/>
      <c r="AP57" s="30"/>
      <c r="AQ57" s="26"/>
      <c r="AR57" s="26"/>
      <c r="AS57" s="32"/>
      <c r="AT57" s="34"/>
    </row>
    <row r="58" spans="2:46" x14ac:dyDescent="0.3">
      <c r="B58" s="8"/>
      <c r="C58" s="2" t="s">
        <v>786</v>
      </c>
      <c r="D58" s="26">
        <v>0</v>
      </c>
      <c r="E58" s="26">
        <v>0</v>
      </c>
      <c r="F58" s="27">
        <v>0</v>
      </c>
      <c r="G58" s="26">
        <v>0</v>
      </c>
      <c r="H58" s="26">
        <v>0</v>
      </c>
      <c r="I58" s="27">
        <v>0</v>
      </c>
      <c r="J58" s="26">
        <v>0</v>
      </c>
      <c r="K58" s="26">
        <v>0</v>
      </c>
      <c r="L58" s="67">
        <v>1</v>
      </c>
      <c r="N58" s="8"/>
      <c r="O58" s="2" t="s">
        <v>829</v>
      </c>
      <c r="P58" s="26">
        <v>0</v>
      </c>
      <c r="Q58" s="27">
        <v>0</v>
      </c>
      <c r="R58" s="30">
        <v>0</v>
      </c>
      <c r="S58" s="27">
        <v>0</v>
      </c>
      <c r="T58" s="30">
        <v>0</v>
      </c>
      <c r="U58" s="34">
        <v>1</v>
      </c>
      <c r="V58" s="34">
        <v>1</v>
      </c>
      <c r="X58" s="8"/>
      <c r="Y58" s="2"/>
      <c r="Z58" s="26"/>
      <c r="AA58" s="26"/>
      <c r="AB58" s="26"/>
      <c r="AC58" s="26"/>
      <c r="AD58" s="27"/>
      <c r="AE58" s="30"/>
      <c r="AF58" s="26"/>
      <c r="AG58" s="26"/>
      <c r="AH58" s="32"/>
      <c r="AJ58" s="8"/>
      <c r="AK58" s="2"/>
      <c r="AL58" s="26"/>
      <c r="AM58" s="26"/>
      <c r="AN58" s="26"/>
      <c r="AO58" s="27"/>
      <c r="AP58" s="30"/>
      <c r="AQ58" s="26"/>
      <c r="AR58" s="26"/>
      <c r="AS58" s="32"/>
      <c r="AT58" s="34"/>
    </row>
    <row r="59" spans="2:46" x14ac:dyDescent="0.3">
      <c r="B59" s="8"/>
      <c r="C59" s="2" t="s">
        <v>787</v>
      </c>
      <c r="D59" s="26">
        <v>0</v>
      </c>
      <c r="E59" s="26">
        <v>0</v>
      </c>
      <c r="F59" s="27">
        <v>0</v>
      </c>
      <c r="G59" s="26">
        <v>0</v>
      </c>
      <c r="H59" s="26">
        <v>0</v>
      </c>
      <c r="I59" s="27">
        <v>0</v>
      </c>
      <c r="J59" s="26">
        <v>0</v>
      </c>
      <c r="K59" s="26">
        <v>0</v>
      </c>
      <c r="L59" s="67">
        <v>1</v>
      </c>
      <c r="N59" s="8"/>
      <c r="O59" s="2" t="s">
        <v>830</v>
      </c>
      <c r="P59" s="26">
        <v>0</v>
      </c>
      <c r="Q59" s="27">
        <v>0</v>
      </c>
      <c r="R59" s="30">
        <v>0</v>
      </c>
      <c r="S59" s="27">
        <v>0</v>
      </c>
      <c r="T59" s="30">
        <v>0</v>
      </c>
      <c r="U59" s="34">
        <v>1</v>
      </c>
      <c r="V59" s="34">
        <v>1</v>
      </c>
      <c r="X59" s="8"/>
      <c r="Y59" s="2"/>
      <c r="Z59" s="26"/>
      <c r="AA59" s="26"/>
      <c r="AB59" s="26"/>
      <c r="AC59" s="26"/>
      <c r="AD59" s="27"/>
      <c r="AE59" s="30"/>
      <c r="AF59" s="26"/>
      <c r="AG59" s="26"/>
      <c r="AH59" s="32"/>
      <c r="AJ59" s="8"/>
      <c r="AK59" s="2"/>
      <c r="AL59" s="26"/>
      <c r="AM59" s="26"/>
      <c r="AN59" s="26"/>
      <c r="AO59" s="27"/>
      <c r="AP59" s="30"/>
      <c r="AQ59" s="26"/>
      <c r="AR59" s="26"/>
      <c r="AS59" s="32"/>
      <c r="AT59" s="34"/>
    </row>
    <row r="60" spans="2:46" x14ac:dyDescent="0.3">
      <c r="B60" s="8"/>
      <c r="C60" s="2" t="s">
        <v>788</v>
      </c>
      <c r="D60" s="26">
        <v>0</v>
      </c>
      <c r="E60" s="26">
        <v>0</v>
      </c>
      <c r="F60" s="27">
        <v>0</v>
      </c>
      <c r="G60" s="26">
        <v>0</v>
      </c>
      <c r="H60" s="26">
        <v>0</v>
      </c>
      <c r="I60" s="27">
        <v>0</v>
      </c>
      <c r="J60" s="26">
        <v>0</v>
      </c>
      <c r="K60" s="26">
        <v>0</v>
      </c>
      <c r="L60" s="67">
        <v>1</v>
      </c>
      <c r="N60" s="8"/>
      <c r="O60" s="2" t="s">
        <v>831</v>
      </c>
      <c r="P60" s="26">
        <v>0</v>
      </c>
      <c r="Q60" s="27">
        <v>0</v>
      </c>
      <c r="R60" s="30">
        <v>0</v>
      </c>
      <c r="S60" s="27">
        <v>0</v>
      </c>
      <c r="T60" s="30">
        <v>0</v>
      </c>
      <c r="U60" s="34">
        <v>1</v>
      </c>
      <c r="V60" s="34">
        <v>1</v>
      </c>
      <c r="X60" s="8"/>
      <c r="Y60" s="2"/>
      <c r="Z60" s="26"/>
      <c r="AA60" s="26"/>
      <c r="AB60" s="26"/>
      <c r="AC60" s="26"/>
      <c r="AD60" s="27"/>
      <c r="AE60" s="30"/>
      <c r="AF60" s="26"/>
      <c r="AG60" s="26"/>
      <c r="AH60" s="32"/>
      <c r="AJ60" s="8"/>
      <c r="AK60" s="2"/>
      <c r="AL60" s="26"/>
      <c r="AM60" s="26"/>
      <c r="AN60" s="26"/>
      <c r="AO60" s="27"/>
      <c r="AP60" s="30"/>
      <c r="AQ60" s="26"/>
      <c r="AR60" s="26"/>
      <c r="AS60" s="32"/>
      <c r="AT60" s="34"/>
    </row>
    <row r="61" spans="2:46" x14ac:dyDescent="0.3">
      <c r="B61" s="8"/>
      <c r="C61" s="2" t="s">
        <v>789</v>
      </c>
      <c r="D61" s="26">
        <v>0</v>
      </c>
      <c r="E61" s="26">
        <v>0</v>
      </c>
      <c r="F61" s="27">
        <v>0</v>
      </c>
      <c r="G61" s="26">
        <v>0</v>
      </c>
      <c r="H61" s="26">
        <v>0</v>
      </c>
      <c r="I61" s="27">
        <v>0</v>
      </c>
      <c r="J61" s="26">
        <v>0</v>
      </c>
      <c r="K61" s="26">
        <v>0</v>
      </c>
      <c r="L61" s="67">
        <v>1</v>
      </c>
      <c r="N61" s="8"/>
      <c r="O61" s="2" t="s">
        <v>832</v>
      </c>
      <c r="P61" s="26">
        <v>0</v>
      </c>
      <c r="Q61" s="27">
        <v>0</v>
      </c>
      <c r="R61" s="30">
        <v>0</v>
      </c>
      <c r="S61" s="27">
        <v>0</v>
      </c>
      <c r="T61" s="30">
        <v>0</v>
      </c>
      <c r="U61" s="34">
        <v>1</v>
      </c>
      <c r="V61" s="34">
        <v>1</v>
      </c>
      <c r="X61" s="8"/>
      <c r="Y61" s="2"/>
      <c r="Z61" s="26"/>
      <c r="AA61" s="26"/>
      <c r="AB61" s="26"/>
      <c r="AC61" s="26"/>
      <c r="AD61" s="27"/>
      <c r="AE61" s="30"/>
      <c r="AF61" s="26"/>
      <c r="AG61" s="26"/>
      <c r="AH61" s="32"/>
      <c r="AJ61" s="8"/>
      <c r="AK61" s="2"/>
      <c r="AL61" s="26"/>
      <c r="AM61" s="26"/>
      <c r="AN61" s="26"/>
      <c r="AO61" s="27"/>
      <c r="AP61" s="30"/>
      <c r="AQ61" s="26"/>
      <c r="AR61" s="26"/>
      <c r="AS61" s="32"/>
      <c r="AT61" s="34"/>
    </row>
    <row r="62" spans="2:46" x14ac:dyDescent="0.3">
      <c r="B62" s="8"/>
      <c r="C62" s="2" t="s">
        <v>790</v>
      </c>
      <c r="D62" s="26">
        <v>0</v>
      </c>
      <c r="E62" s="26">
        <v>0</v>
      </c>
      <c r="F62" s="27">
        <v>0</v>
      </c>
      <c r="G62" s="26">
        <v>0</v>
      </c>
      <c r="H62" s="26">
        <v>0</v>
      </c>
      <c r="I62" s="27">
        <v>0</v>
      </c>
      <c r="J62" s="26">
        <v>0</v>
      </c>
      <c r="K62" s="26">
        <v>0</v>
      </c>
      <c r="L62" s="67">
        <v>1</v>
      </c>
      <c r="N62" s="8"/>
      <c r="O62" s="2" t="s">
        <v>833</v>
      </c>
      <c r="P62" s="26">
        <v>0</v>
      </c>
      <c r="Q62" s="27">
        <v>0</v>
      </c>
      <c r="R62" s="30">
        <v>0</v>
      </c>
      <c r="S62" s="27">
        <v>0</v>
      </c>
      <c r="T62" s="30">
        <v>0</v>
      </c>
      <c r="U62" s="34">
        <v>1</v>
      </c>
      <c r="V62" s="34">
        <v>1</v>
      </c>
      <c r="X62" s="8"/>
      <c r="Y62" s="2"/>
      <c r="Z62" s="26"/>
      <c r="AA62" s="26"/>
      <c r="AB62" s="26"/>
      <c r="AC62" s="26"/>
      <c r="AD62" s="27"/>
      <c r="AE62" s="30"/>
      <c r="AF62" s="26"/>
      <c r="AG62" s="26"/>
      <c r="AH62" s="32"/>
      <c r="AJ62" s="8"/>
      <c r="AK62" s="2"/>
      <c r="AL62" s="26"/>
      <c r="AM62" s="26"/>
      <c r="AN62" s="26"/>
      <c r="AO62" s="27"/>
      <c r="AP62" s="30"/>
      <c r="AQ62" s="26"/>
      <c r="AR62" s="26"/>
      <c r="AS62" s="32"/>
      <c r="AT62" s="34"/>
    </row>
    <row r="63" spans="2:46" x14ac:dyDescent="0.3">
      <c r="B63" s="8"/>
      <c r="C63" s="2" t="s">
        <v>791</v>
      </c>
      <c r="D63" s="26">
        <v>0</v>
      </c>
      <c r="E63" s="26">
        <v>0</v>
      </c>
      <c r="F63" s="27">
        <v>0</v>
      </c>
      <c r="G63" s="26">
        <v>0</v>
      </c>
      <c r="H63" s="26">
        <v>0</v>
      </c>
      <c r="I63" s="27">
        <v>0</v>
      </c>
      <c r="J63" s="26">
        <v>0</v>
      </c>
      <c r="K63" s="26">
        <v>0</v>
      </c>
      <c r="L63" s="67">
        <v>1</v>
      </c>
      <c r="N63" s="8"/>
      <c r="O63" s="2" t="s">
        <v>834</v>
      </c>
      <c r="P63" s="26">
        <v>0</v>
      </c>
      <c r="Q63" s="27">
        <v>0</v>
      </c>
      <c r="R63" s="30">
        <v>0</v>
      </c>
      <c r="S63" s="27">
        <v>0</v>
      </c>
      <c r="T63" s="30">
        <v>0</v>
      </c>
      <c r="U63" s="34">
        <v>1</v>
      </c>
      <c r="V63" s="34">
        <v>1</v>
      </c>
      <c r="X63" s="8"/>
      <c r="Y63" s="2"/>
      <c r="Z63" s="26"/>
      <c r="AA63" s="26"/>
      <c r="AB63" s="26"/>
      <c r="AC63" s="26"/>
      <c r="AD63" s="27"/>
      <c r="AE63" s="30"/>
      <c r="AF63" s="26"/>
      <c r="AG63" s="26"/>
      <c r="AH63" s="32"/>
      <c r="AJ63" s="8"/>
      <c r="AK63" s="2"/>
      <c r="AL63" s="26"/>
      <c r="AM63" s="26"/>
      <c r="AN63" s="26"/>
      <c r="AO63" s="27"/>
      <c r="AP63" s="30"/>
      <c r="AQ63" s="26"/>
      <c r="AR63" s="26"/>
      <c r="AS63" s="32"/>
      <c r="AT63" s="34"/>
    </row>
    <row r="64" spans="2:46" x14ac:dyDescent="0.3">
      <c r="B64" s="8"/>
      <c r="C64" s="2" t="s">
        <v>792</v>
      </c>
      <c r="D64" s="26">
        <v>0</v>
      </c>
      <c r="E64" s="26">
        <v>0</v>
      </c>
      <c r="F64" s="27">
        <v>0</v>
      </c>
      <c r="G64" s="26">
        <v>0</v>
      </c>
      <c r="H64" s="26">
        <v>0</v>
      </c>
      <c r="I64" s="27">
        <v>0</v>
      </c>
      <c r="J64" s="26">
        <v>0</v>
      </c>
      <c r="K64" s="26">
        <v>0</v>
      </c>
      <c r="L64" s="67">
        <v>1</v>
      </c>
      <c r="N64" s="8"/>
      <c r="O64" s="2" t="s">
        <v>835</v>
      </c>
      <c r="P64" s="26">
        <v>0</v>
      </c>
      <c r="Q64" s="27">
        <v>0</v>
      </c>
      <c r="R64" s="30">
        <v>0</v>
      </c>
      <c r="S64" s="27">
        <v>0</v>
      </c>
      <c r="T64" s="30">
        <v>0</v>
      </c>
      <c r="U64" s="34">
        <v>1</v>
      </c>
      <c r="V64" s="34">
        <v>1</v>
      </c>
      <c r="X64" s="8"/>
      <c r="Y64" s="2"/>
      <c r="Z64" s="26"/>
      <c r="AA64" s="26"/>
      <c r="AB64" s="26"/>
      <c r="AC64" s="26"/>
      <c r="AD64" s="27"/>
      <c r="AE64" s="30"/>
      <c r="AF64" s="26"/>
      <c r="AG64" s="26"/>
      <c r="AH64" s="32"/>
      <c r="AJ64" s="8"/>
      <c r="AK64" s="2"/>
      <c r="AL64" s="26"/>
      <c r="AM64" s="26"/>
      <c r="AN64" s="26"/>
      <c r="AO64" s="27"/>
      <c r="AP64" s="30"/>
      <c r="AQ64" s="26"/>
      <c r="AR64" s="26"/>
      <c r="AS64" s="32"/>
      <c r="AT64" s="34"/>
    </row>
    <row r="65" spans="2:46" x14ac:dyDescent="0.3">
      <c r="B65" s="8"/>
      <c r="C65" s="2" t="s">
        <v>793</v>
      </c>
      <c r="D65" s="26">
        <v>0</v>
      </c>
      <c r="E65" s="26">
        <v>0</v>
      </c>
      <c r="F65" s="27">
        <v>0</v>
      </c>
      <c r="G65" s="26">
        <v>0</v>
      </c>
      <c r="H65" s="26">
        <v>0</v>
      </c>
      <c r="I65" s="27">
        <v>0</v>
      </c>
      <c r="J65" s="26">
        <v>0</v>
      </c>
      <c r="K65" s="26">
        <v>0</v>
      </c>
      <c r="L65" s="67">
        <v>1</v>
      </c>
      <c r="N65" s="8"/>
      <c r="O65" s="2" t="s">
        <v>836</v>
      </c>
      <c r="P65" s="26">
        <v>0</v>
      </c>
      <c r="Q65" s="27">
        <v>0</v>
      </c>
      <c r="R65" s="30">
        <v>0</v>
      </c>
      <c r="S65" s="27">
        <v>0</v>
      </c>
      <c r="T65" s="30">
        <v>0</v>
      </c>
      <c r="U65" s="34">
        <v>1</v>
      </c>
      <c r="V65" s="34">
        <v>1</v>
      </c>
      <c r="X65" s="8"/>
      <c r="Y65" s="2"/>
      <c r="Z65" s="26"/>
      <c r="AA65" s="26"/>
      <c r="AB65" s="26"/>
      <c r="AC65" s="26"/>
      <c r="AD65" s="27"/>
      <c r="AE65" s="30"/>
      <c r="AF65" s="26"/>
      <c r="AG65" s="26"/>
      <c r="AH65" s="32"/>
      <c r="AJ65" s="8"/>
      <c r="AK65" s="2"/>
      <c r="AL65" s="26"/>
      <c r="AM65" s="26"/>
      <c r="AN65" s="26"/>
      <c r="AO65" s="27"/>
      <c r="AP65" s="30"/>
      <c r="AQ65" s="26"/>
      <c r="AR65" s="26"/>
      <c r="AS65" s="32"/>
      <c r="AT65" s="34"/>
    </row>
    <row r="66" spans="2:46" x14ac:dyDescent="0.3">
      <c r="B66" s="8"/>
      <c r="C66" s="2" t="s">
        <v>980</v>
      </c>
      <c r="D66" s="26">
        <v>0</v>
      </c>
      <c r="E66" s="26">
        <v>0</v>
      </c>
      <c r="F66" s="27">
        <v>0</v>
      </c>
      <c r="G66" s="26">
        <v>0</v>
      </c>
      <c r="H66" s="26">
        <v>0</v>
      </c>
      <c r="I66" s="27">
        <v>0</v>
      </c>
      <c r="J66" s="26">
        <v>0</v>
      </c>
      <c r="K66" s="26">
        <v>0</v>
      </c>
      <c r="L66" s="67">
        <v>1</v>
      </c>
      <c r="N66" s="8"/>
      <c r="O66" s="2" t="s">
        <v>950</v>
      </c>
      <c r="P66" s="26">
        <v>0</v>
      </c>
      <c r="Q66" s="27">
        <v>0</v>
      </c>
      <c r="R66" s="30">
        <v>0</v>
      </c>
      <c r="S66" s="27">
        <v>0</v>
      </c>
      <c r="T66" s="30">
        <v>0</v>
      </c>
      <c r="U66" s="34">
        <v>1</v>
      </c>
      <c r="V66" s="34">
        <v>1</v>
      </c>
      <c r="X66" s="8"/>
      <c r="Y66" s="2"/>
      <c r="Z66" s="26"/>
      <c r="AA66" s="26"/>
      <c r="AB66" s="26"/>
      <c r="AC66" s="26"/>
      <c r="AD66" s="27"/>
      <c r="AE66" s="30"/>
      <c r="AF66" s="26"/>
      <c r="AG66" s="26"/>
      <c r="AH66" s="32"/>
      <c r="AJ66" s="8"/>
      <c r="AK66" s="2"/>
      <c r="AL66" s="26"/>
      <c r="AM66" s="26"/>
      <c r="AN66" s="26"/>
      <c r="AO66" s="27"/>
      <c r="AP66" s="30"/>
      <c r="AQ66" s="26"/>
      <c r="AR66" s="26"/>
      <c r="AS66" s="32"/>
      <c r="AT66" s="34"/>
    </row>
    <row r="67" spans="2:46" x14ac:dyDescent="0.3">
      <c r="B67" s="8"/>
      <c r="C67" s="2" t="s">
        <v>981</v>
      </c>
      <c r="D67" s="26">
        <v>0</v>
      </c>
      <c r="E67" s="26">
        <v>0</v>
      </c>
      <c r="F67" s="27">
        <v>0</v>
      </c>
      <c r="G67" s="26">
        <v>0</v>
      </c>
      <c r="H67" s="26">
        <v>0</v>
      </c>
      <c r="I67" s="27">
        <v>0</v>
      </c>
      <c r="J67" s="26">
        <v>0</v>
      </c>
      <c r="K67" s="26">
        <v>0</v>
      </c>
      <c r="L67" s="67">
        <v>1</v>
      </c>
      <c r="N67" s="8"/>
      <c r="O67" s="2" t="s">
        <v>951</v>
      </c>
      <c r="P67" s="26">
        <v>0</v>
      </c>
      <c r="Q67" s="27">
        <v>0</v>
      </c>
      <c r="R67" s="30">
        <v>0</v>
      </c>
      <c r="S67" s="27">
        <v>0</v>
      </c>
      <c r="T67" s="30">
        <v>0</v>
      </c>
      <c r="U67" s="34">
        <v>1</v>
      </c>
      <c r="V67" s="34">
        <v>1</v>
      </c>
      <c r="X67" s="8"/>
      <c r="Y67" s="2"/>
      <c r="Z67" s="26"/>
      <c r="AA67" s="26"/>
      <c r="AB67" s="26"/>
      <c r="AC67" s="26"/>
      <c r="AD67" s="27"/>
      <c r="AE67" s="30"/>
      <c r="AF67" s="26"/>
      <c r="AG67" s="26"/>
      <c r="AH67" s="32"/>
      <c r="AJ67" s="8"/>
      <c r="AK67" s="2"/>
      <c r="AL67" s="26"/>
      <c r="AM67" s="26"/>
      <c r="AN67" s="26"/>
      <c r="AO67" s="27"/>
      <c r="AP67" s="30"/>
      <c r="AQ67" s="26"/>
      <c r="AR67" s="26"/>
      <c r="AS67" s="32"/>
      <c r="AT67" s="34"/>
    </row>
    <row r="68" spans="2:46" x14ac:dyDescent="0.3">
      <c r="B68" s="8"/>
      <c r="C68" s="2" t="s">
        <v>794</v>
      </c>
      <c r="D68" s="26">
        <v>0</v>
      </c>
      <c r="E68" s="26">
        <v>0</v>
      </c>
      <c r="F68" s="27">
        <v>0</v>
      </c>
      <c r="G68" s="26">
        <v>0</v>
      </c>
      <c r="H68" s="26">
        <v>0</v>
      </c>
      <c r="I68" s="27">
        <v>0</v>
      </c>
      <c r="J68" s="26">
        <v>0</v>
      </c>
      <c r="K68" s="26">
        <v>0</v>
      </c>
      <c r="L68" s="67">
        <v>1</v>
      </c>
      <c r="N68" s="8"/>
      <c r="O68" s="2" t="s">
        <v>837</v>
      </c>
      <c r="P68" s="26">
        <v>0</v>
      </c>
      <c r="Q68" s="27">
        <v>0</v>
      </c>
      <c r="R68" s="30">
        <v>0</v>
      </c>
      <c r="S68" s="27">
        <v>0</v>
      </c>
      <c r="T68" s="30">
        <v>0</v>
      </c>
      <c r="U68" s="34">
        <v>1</v>
      </c>
      <c r="V68" s="34">
        <v>1</v>
      </c>
      <c r="X68" s="8"/>
      <c r="Y68" s="2"/>
      <c r="Z68" s="26"/>
      <c r="AA68" s="26"/>
      <c r="AB68" s="26"/>
      <c r="AC68" s="26"/>
      <c r="AD68" s="27"/>
      <c r="AE68" s="30"/>
      <c r="AF68" s="26"/>
      <c r="AG68" s="26"/>
      <c r="AH68" s="32"/>
      <c r="AJ68" s="8"/>
      <c r="AK68" s="2"/>
      <c r="AL68" s="26"/>
      <c r="AM68" s="26"/>
      <c r="AN68" s="26"/>
      <c r="AO68" s="27"/>
      <c r="AP68" s="30"/>
      <c r="AQ68" s="26"/>
      <c r="AR68" s="26"/>
      <c r="AS68" s="32"/>
      <c r="AT68" s="34"/>
    </row>
    <row r="69" spans="2:46" x14ac:dyDescent="0.3">
      <c r="B69" s="8"/>
      <c r="C69" s="2" t="s">
        <v>795</v>
      </c>
      <c r="D69" s="26">
        <v>0</v>
      </c>
      <c r="E69" s="26">
        <v>0</v>
      </c>
      <c r="F69" s="27">
        <v>0</v>
      </c>
      <c r="G69" s="26">
        <v>0</v>
      </c>
      <c r="H69" s="26">
        <v>0</v>
      </c>
      <c r="I69" s="27">
        <v>0</v>
      </c>
      <c r="J69" s="26">
        <v>0</v>
      </c>
      <c r="K69" s="26">
        <v>0</v>
      </c>
      <c r="L69" s="67">
        <v>1</v>
      </c>
      <c r="N69" s="8"/>
      <c r="O69" s="2" t="s">
        <v>838</v>
      </c>
      <c r="P69" s="26">
        <v>0</v>
      </c>
      <c r="Q69" s="27">
        <v>0</v>
      </c>
      <c r="R69" s="30">
        <v>0</v>
      </c>
      <c r="S69" s="27">
        <v>0</v>
      </c>
      <c r="T69" s="30">
        <v>0</v>
      </c>
      <c r="U69" s="34">
        <v>1</v>
      </c>
      <c r="V69" s="34">
        <v>1</v>
      </c>
      <c r="X69" s="8"/>
      <c r="Y69" s="2"/>
      <c r="Z69" s="26"/>
      <c r="AA69" s="26"/>
      <c r="AB69" s="26"/>
      <c r="AC69" s="26"/>
      <c r="AD69" s="27"/>
      <c r="AE69" s="30"/>
      <c r="AF69" s="26"/>
      <c r="AG69" s="26"/>
      <c r="AH69" s="32"/>
      <c r="AJ69" s="8"/>
      <c r="AK69" s="2"/>
      <c r="AL69" s="26"/>
      <c r="AM69" s="26"/>
      <c r="AN69" s="26"/>
      <c r="AO69" s="27"/>
      <c r="AP69" s="30"/>
      <c r="AQ69" s="26"/>
      <c r="AR69" s="26"/>
      <c r="AS69" s="32"/>
      <c r="AT69" s="34"/>
    </row>
    <row r="70" spans="2:46" x14ac:dyDescent="0.3">
      <c r="B70" s="8"/>
      <c r="C70" s="2" t="s">
        <v>796</v>
      </c>
      <c r="D70" s="26">
        <v>0</v>
      </c>
      <c r="E70" s="26">
        <v>0</v>
      </c>
      <c r="F70" s="27">
        <v>0</v>
      </c>
      <c r="G70" s="26">
        <v>0</v>
      </c>
      <c r="H70" s="26">
        <v>0</v>
      </c>
      <c r="I70" s="27">
        <v>0</v>
      </c>
      <c r="J70" s="26">
        <v>0</v>
      </c>
      <c r="K70" s="26">
        <v>0</v>
      </c>
      <c r="L70" s="67">
        <v>1</v>
      </c>
      <c r="N70" s="8"/>
      <c r="O70" s="2" t="s">
        <v>839</v>
      </c>
      <c r="P70" s="26">
        <v>0</v>
      </c>
      <c r="Q70" s="27">
        <v>0</v>
      </c>
      <c r="R70" s="30">
        <v>0</v>
      </c>
      <c r="S70" s="27">
        <v>0</v>
      </c>
      <c r="T70" s="30">
        <v>0</v>
      </c>
      <c r="U70" s="34">
        <v>1</v>
      </c>
      <c r="V70" s="34">
        <v>1</v>
      </c>
      <c r="X70" s="8"/>
      <c r="Y70" s="2"/>
      <c r="Z70" s="26"/>
      <c r="AA70" s="26"/>
      <c r="AB70" s="26"/>
      <c r="AC70" s="26"/>
      <c r="AD70" s="27"/>
      <c r="AE70" s="30"/>
      <c r="AF70" s="26"/>
      <c r="AG70" s="26"/>
      <c r="AH70" s="32"/>
      <c r="AJ70" s="8"/>
      <c r="AK70" s="2"/>
      <c r="AL70" s="26"/>
      <c r="AM70" s="26"/>
      <c r="AN70" s="26"/>
      <c r="AO70" s="27"/>
      <c r="AP70" s="30"/>
      <c r="AQ70" s="26"/>
      <c r="AR70" s="26"/>
      <c r="AS70" s="32"/>
      <c r="AT70" s="34"/>
    </row>
    <row r="71" spans="2:46" x14ac:dyDescent="0.3">
      <c r="B71" s="8"/>
      <c r="C71" s="2" t="s">
        <v>797</v>
      </c>
      <c r="D71" s="26">
        <v>0</v>
      </c>
      <c r="E71" s="26">
        <v>0</v>
      </c>
      <c r="F71" s="27">
        <v>0</v>
      </c>
      <c r="G71" s="26">
        <v>0</v>
      </c>
      <c r="H71" s="26">
        <v>0</v>
      </c>
      <c r="I71" s="27">
        <v>0</v>
      </c>
      <c r="J71" s="26">
        <v>0</v>
      </c>
      <c r="K71" s="26">
        <v>0</v>
      </c>
      <c r="L71" s="67">
        <v>1</v>
      </c>
      <c r="N71" s="8"/>
      <c r="O71" s="2" t="s">
        <v>840</v>
      </c>
      <c r="P71" s="26">
        <v>0</v>
      </c>
      <c r="Q71" s="27">
        <v>0</v>
      </c>
      <c r="R71" s="30">
        <v>0</v>
      </c>
      <c r="S71" s="27">
        <v>0</v>
      </c>
      <c r="T71" s="30">
        <v>0</v>
      </c>
      <c r="U71" s="34">
        <v>1</v>
      </c>
      <c r="V71" s="34">
        <v>1</v>
      </c>
      <c r="X71" s="8"/>
      <c r="Y71" s="2"/>
      <c r="Z71" s="26"/>
      <c r="AA71" s="26"/>
      <c r="AB71" s="26"/>
      <c r="AC71" s="26"/>
      <c r="AD71" s="27"/>
      <c r="AE71" s="30"/>
      <c r="AF71" s="26"/>
      <c r="AG71" s="26"/>
      <c r="AH71" s="32"/>
      <c r="AJ71" s="8"/>
      <c r="AK71" s="2"/>
      <c r="AL71" s="26"/>
      <c r="AM71" s="26"/>
      <c r="AN71" s="26"/>
      <c r="AO71" s="27"/>
      <c r="AP71" s="30"/>
      <c r="AQ71" s="26"/>
      <c r="AR71" s="26"/>
      <c r="AS71" s="32"/>
      <c r="AT71" s="34"/>
    </row>
    <row r="72" spans="2:46" x14ac:dyDescent="0.3">
      <c r="B72" s="8"/>
      <c r="C72" s="2" t="s">
        <v>798</v>
      </c>
      <c r="D72" s="26">
        <v>0</v>
      </c>
      <c r="E72" s="26">
        <v>0</v>
      </c>
      <c r="F72" s="27">
        <v>0</v>
      </c>
      <c r="G72" s="26">
        <v>0</v>
      </c>
      <c r="H72" s="26">
        <v>0</v>
      </c>
      <c r="I72" s="27">
        <v>0</v>
      </c>
      <c r="J72" s="26">
        <v>0</v>
      </c>
      <c r="K72" s="26">
        <v>0</v>
      </c>
      <c r="L72" s="67">
        <v>1</v>
      </c>
      <c r="N72" s="8"/>
      <c r="O72" s="2" t="s">
        <v>841</v>
      </c>
      <c r="P72" s="26">
        <v>0</v>
      </c>
      <c r="Q72" s="27">
        <v>0</v>
      </c>
      <c r="R72" s="30">
        <v>0</v>
      </c>
      <c r="S72" s="27">
        <v>0</v>
      </c>
      <c r="T72" s="30">
        <v>0</v>
      </c>
      <c r="U72" s="34">
        <v>1</v>
      </c>
      <c r="V72" s="34">
        <v>1</v>
      </c>
      <c r="X72" s="8"/>
      <c r="Y72" s="2"/>
      <c r="Z72" s="26"/>
      <c r="AA72" s="26"/>
      <c r="AB72" s="26"/>
      <c r="AC72" s="26"/>
      <c r="AD72" s="27"/>
      <c r="AE72" s="30"/>
      <c r="AF72" s="26"/>
      <c r="AG72" s="26"/>
      <c r="AH72" s="32"/>
      <c r="AJ72" s="8"/>
      <c r="AK72" s="2"/>
      <c r="AL72" s="26"/>
      <c r="AM72" s="26"/>
      <c r="AN72" s="26"/>
      <c r="AO72" s="27"/>
      <c r="AP72" s="30"/>
      <c r="AQ72" s="26"/>
      <c r="AR72" s="26"/>
      <c r="AS72" s="32"/>
      <c r="AT72" s="34"/>
    </row>
    <row r="73" spans="2:46" x14ac:dyDescent="0.3">
      <c r="B73" s="8"/>
      <c r="C73" s="2" t="s">
        <v>730</v>
      </c>
      <c r="D73" s="26">
        <v>0</v>
      </c>
      <c r="E73" s="26">
        <v>0</v>
      </c>
      <c r="F73" s="27">
        <v>0</v>
      </c>
      <c r="G73" s="26">
        <v>0</v>
      </c>
      <c r="H73" s="26">
        <v>0</v>
      </c>
      <c r="I73" s="27">
        <v>0</v>
      </c>
      <c r="J73" s="26">
        <v>0</v>
      </c>
      <c r="K73" s="26">
        <v>0</v>
      </c>
      <c r="L73" s="67">
        <v>1</v>
      </c>
      <c r="N73" s="8"/>
      <c r="O73" s="2" t="s">
        <v>666</v>
      </c>
      <c r="P73" s="26">
        <v>0</v>
      </c>
      <c r="Q73" s="27">
        <v>0</v>
      </c>
      <c r="R73" s="30">
        <v>0</v>
      </c>
      <c r="S73" s="27">
        <v>0</v>
      </c>
      <c r="T73" s="30">
        <v>0</v>
      </c>
      <c r="U73" s="34">
        <v>1</v>
      </c>
      <c r="V73" s="34">
        <v>1</v>
      </c>
      <c r="X73" s="8"/>
      <c r="Y73" s="2"/>
      <c r="Z73" s="26"/>
      <c r="AA73" s="26"/>
      <c r="AB73" s="26"/>
      <c r="AC73" s="26"/>
      <c r="AD73" s="27"/>
      <c r="AE73" s="30"/>
      <c r="AF73" s="26"/>
      <c r="AG73" s="26"/>
      <c r="AH73" s="32"/>
      <c r="AJ73" s="8"/>
      <c r="AK73" s="2"/>
      <c r="AL73" s="26"/>
      <c r="AM73" s="26"/>
      <c r="AN73" s="26"/>
      <c r="AO73" s="27"/>
      <c r="AP73" s="30"/>
      <c r="AQ73" s="26"/>
      <c r="AR73" s="26"/>
      <c r="AS73" s="32"/>
      <c r="AT73" s="34"/>
    </row>
    <row r="74" spans="2:46" x14ac:dyDescent="0.3">
      <c r="B74" s="8"/>
      <c r="C74" s="2" t="s">
        <v>799</v>
      </c>
      <c r="D74" s="26">
        <v>0</v>
      </c>
      <c r="E74" s="26">
        <v>0</v>
      </c>
      <c r="F74" s="27">
        <v>0</v>
      </c>
      <c r="G74" s="26">
        <v>0</v>
      </c>
      <c r="H74" s="26">
        <v>0</v>
      </c>
      <c r="I74" s="27">
        <v>0</v>
      </c>
      <c r="J74" s="26">
        <v>0</v>
      </c>
      <c r="K74" s="26">
        <v>0</v>
      </c>
      <c r="L74" s="67">
        <v>1</v>
      </c>
      <c r="N74" s="8"/>
      <c r="O74" s="2" t="s">
        <v>842</v>
      </c>
      <c r="P74" s="26">
        <v>0</v>
      </c>
      <c r="Q74" s="27">
        <v>0</v>
      </c>
      <c r="R74" s="30">
        <v>0</v>
      </c>
      <c r="S74" s="27">
        <v>0</v>
      </c>
      <c r="T74" s="30">
        <v>0</v>
      </c>
      <c r="U74" s="34">
        <v>1</v>
      </c>
      <c r="V74" s="34">
        <v>1</v>
      </c>
      <c r="X74" s="8"/>
      <c r="Y74" s="2"/>
      <c r="Z74" s="26"/>
      <c r="AA74" s="26"/>
      <c r="AB74" s="26"/>
      <c r="AC74" s="26"/>
      <c r="AD74" s="27"/>
      <c r="AE74" s="30"/>
      <c r="AF74" s="26"/>
      <c r="AG74" s="26"/>
      <c r="AH74" s="32"/>
      <c r="AJ74" s="8"/>
      <c r="AK74" s="2"/>
      <c r="AL74" s="26"/>
      <c r="AM74" s="26"/>
      <c r="AN74" s="26"/>
      <c r="AO74" s="27"/>
      <c r="AP74" s="30"/>
      <c r="AQ74" s="26"/>
      <c r="AR74" s="26"/>
      <c r="AS74" s="32"/>
      <c r="AT74" s="34"/>
    </row>
    <row r="75" spans="2:46" x14ac:dyDescent="0.3">
      <c r="B75" s="8"/>
      <c r="C75" s="2" t="s">
        <v>731</v>
      </c>
      <c r="D75" s="26">
        <v>0</v>
      </c>
      <c r="E75" s="26">
        <v>0</v>
      </c>
      <c r="F75" s="27">
        <v>0</v>
      </c>
      <c r="G75" s="26">
        <v>0</v>
      </c>
      <c r="H75" s="26">
        <v>0</v>
      </c>
      <c r="I75" s="27">
        <v>0</v>
      </c>
      <c r="J75" s="26">
        <v>0</v>
      </c>
      <c r="K75" s="26">
        <v>0</v>
      </c>
      <c r="L75" s="67">
        <v>1</v>
      </c>
      <c r="N75" s="8"/>
      <c r="O75" s="2" t="s">
        <v>667</v>
      </c>
      <c r="P75" s="26">
        <v>0</v>
      </c>
      <c r="Q75" s="27">
        <v>0</v>
      </c>
      <c r="R75" s="30">
        <v>0</v>
      </c>
      <c r="S75" s="27">
        <v>0</v>
      </c>
      <c r="T75" s="30">
        <v>0</v>
      </c>
      <c r="U75" s="34">
        <v>1</v>
      </c>
      <c r="V75" s="34">
        <v>1</v>
      </c>
      <c r="X75" s="8"/>
      <c r="Y75" s="2"/>
      <c r="Z75" s="26"/>
      <c r="AA75" s="26"/>
      <c r="AB75" s="26"/>
      <c r="AC75" s="26"/>
      <c r="AD75" s="27"/>
      <c r="AE75" s="30"/>
      <c r="AF75" s="26"/>
      <c r="AG75" s="26"/>
      <c r="AH75" s="32"/>
      <c r="AJ75" s="8"/>
      <c r="AK75" s="2"/>
      <c r="AL75" s="26"/>
      <c r="AM75" s="26"/>
      <c r="AN75" s="26"/>
      <c r="AO75" s="27"/>
      <c r="AP75" s="30"/>
      <c r="AQ75" s="26"/>
      <c r="AR75" s="26"/>
      <c r="AS75" s="32"/>
      <c r="AT75" s="34"/>
    </row>
    <row r="76" spans="2:46" x14ac:dyDescent="0.3">
      <c r="B76" s="8"/>
      <c r="C76" s="2" t="s">
        <v>800</v>
      </c>
      <c r="D76" s="26">
        <v>0</v>
      </c>
      <c r="E76" s="26">
        <v>0</v>
      </c>
      <c r="F76" s="27">
        <v>0</v>
      </c>
      <c r="G76" s="26">
        <v>0</v>
      </c>
      <c r="H76" s="26">
        <v>0</v>
      </c>
      <c r="I76" s="27">
        <v>0</v>
      </c>
      <c r="J76" s="26">
        <v>0</v>
      </c>
      <c r="K76" s="26">
        <v>0</v>
      </c>
      <c r="L76" s="67">
        <v>1</v>
      </c>
      <c r="N76" s="8"/>
      <c r="O76" s="2" t="s">
        <v>843</v>
      </c>
      <c r="P76" s="26">
        <v>0</v>
      </c>
      <c r="Q76" s="27">
        <v>0</v>
      </c>
      <c r="R76" s="30">
        <v>0</v>
      </c>
      <c r="S76" s="27">
        <v>0</v>
      </c>
      <c r="T76" s="30">
        <v>0</v>
      </c>
      <c r="U76" s="34">
        <v>1</v>
      </c>
      <c r="V76" s="34">
        <v>1</v>
      </c>
      <c r="X76" s="8"/>
      <c r="Y76" s="2"/>
      <c r="Z76" s="26"/>
      <c r="AA76" s="26"/>
      <c r="AB76" s="26"/>
      <c r="AC76" s="26"/>
      <c r="AD76" s="27"/>
      <c r="AE76" s="30"/>
      <c r="AF76" s="26"/>
      <c r="AG76" s="26"/>
      <c r="AH76" s="32"/>
      <c r="AJ76" s="8"/>
      <c r="AK76" s="2"/>
      <c r="AL76" s="26"/>
      <c r="AM76" s="26"/>
      <c r="AN76" s="26"/>
      <c r="AO76" s="27"/>
      <c r="AP76" s="30"/>
      <c r="AQ76" s="26"/>
      <c r="AR76" s="26"/>
      <c r="AS76" s="32"/>
      <c r="AT76" s="34"/>
    </row>
    <row r="77" spans="2:46" x14ac:dyDescent="0.3">
      <c r="B77" s="8"/>
      <c r="C77" s="2" t="s">
        <v>982</v>
      </c>
      <c r="D77" s="26">
        <v>0</v>
      </c>
      <c r="E77" s="26">
        <v>0</v>
      </c>
      <c r="F77" s="27">
        <v>0</v>
      </c>
      <c r="G77" s="26">
        <v>0</v>
      </c>
      <c r="H77" s="26">
        <v>0</v>
      </c>
      <c r="I77" s="27">
        <v>0</v>
      </c>
      <c r="J77" s="26">
        <v>0</v>
      </c>
      <c r="K77" s="26">
        <v>0</v>
      </c>
      <c r="L77" s="67">
        <v>1</v>
      </c>
      <c r="N77" s="8"/>
      <c r="O77" s="2" t="s">
        <v>952</v>
      </c>
      <c r="P77" s="26">
        <v>0</v>
      </c>
      <c r="Q77" s="27">
        <v>0</v>
      </c>
      <c r="R77" s="30">
        <v>0</v>
      </c>
      <c r="S77" s="27">
        <v>0</v>
      </c>
      <c r="T77" s="30">
        <v>0</v>
      </c>
      <c r="U77" s="34">
        <v>1</v>
      </c>
      <c r="V77" s="34">
        <v>1</v>
      </c>
      <c r="X77" s="8"/>
      <c r="Y77" s="2"/>
      <c r="Z77" s="26"/>
      <c r="AA77" s="26"/>
      <c r="AB77" s="26"/>
      <c r="AC77" s="26"/>
      <c r="AD77" s="27"/>
      <c r="AE77" s="30"/>
      <c r="AF77" s="26"/>
      <c r="AG77" s="26"/>
      <c r="AH77" s="32"/>
      <c r="AJ77" s="8"/>
      <c r="AK77" s="2"/>
      <c r="AL77" s="26"/>
      <c r="AM77" s="26"/>
      <c r="AN77" s="26"/>
      <c r="AO77" s="27"/>
      <c r="AP77" s="30"/>
      <c r="AQ77" s="26"/>
      <c r="AR77" s="26"/>
      <c r="AS77" s="32"/>
      <c r="AT77" s="34"/>
    </row>
    <row r="78" spans="2:46" x14ac:dyDescent="0.3">
      <c r="B78" s="8"/>
      <c r="C78" s="2" t="s">
        <v>983</v>
      </c>
      <c r="D78" s="26">
        <v>0</v>
      </c>
      <c r="E78" s="26">
        <v>0</v>
      </c>
      <c r="F78" s="27">
        <v>0</v>
      </c>
      <c r="G78" s="26">
        <v>0</v>
      </c>
      <c r="H78" s="26">
        <v>0</v>
      </c>
      <c r="I78" s="27">
        <v>0</v>
      </c>
      <c r="J78" s="26">
        <v>0</v>
      </c>
      <c r="K78" s="26">
        <v>0</v>
      </c>
      <c r="L78" s="67">
        <v>1</v>
      </c>
      <c r="N78" s="8"/>
      <c r="O78" s="2" t="s">
        <v>953</v>
      </c>
      <c r="P78" s="26">
        <v>0</v>
      </c>
      <c r="Q78" s="27">
        <v>0</v>
      </c>
      <c r="R78" s="30">
        <v>0</v>
      </c>
      <c r="S78" s="27">
        <v>0</v>
      </c>
      <c r="T78" s="30">
        <v>0</v>
      </c>
      <c r="U78" s="34">
        <v>1</v>
      </c>
      <c r="V78" s="34">
        <v>1</v>
      </c>
      <c r="X78" s="8"/>
      <c r="Y78" s="2"/>
      <c r="Z78" s="26"/>
      <c r="AA78" s="26"/>
      <c r="AB78" s="26"/>
      <c r="AC78" s="26"/>
      <c r="AD78" s="27"/>
      <c r="AE78" s="30"/>
      <c r="AF78" s="26"/>
      <c r="AG78" s="26"/>
      <c r="AH78" s="32"/>
      <c r="AJ78" s="8"/>
      <c r="AK78" s="2"/>
      <c r="AL78" s="26"/>
      <c r="AM78" s="26"/>
      <c r="AN78" s="26"/>
      <c r="AO78" s="27"/>
      <c r="AP78" s="30"/>
      <c r="AQ78" s="26"/>
      <c r="AR78" s="26"/>
      <c r="AS78" s="32"/>
      <c r="AT78" s="34"/>
    </row>
    <row r="79" spans="2:46" x14ac:dyDescent="0.3">
      <c r="B79" s="8"/>
      <c r="C79" s="2" t="s">
        <v>984</v>
      </c>
      <c r="D79" s="26">
        <v>0</v>
      </c>
      <c r="E79" s="26">
        <v>0</v>
      </c>
      <c r="F79" s="27">
        <v>0</v>
      </c>
      <c r="G79" s="26">
        <v>0</v>
      </c>
      <c r="H79" s="26">
        <v>0</v>
      </c>
      <c r="I79" s="27">
        <v>0</v>
      </c>
      <c r="J79" s="26">
        <v>0</v>
      </c>
      <c r="K79" s="26">
        <v>0</v>
      </c>
      <c r="L79" s="67">
        <v>1</v>
      </c>
      <c r="N79" s="8"/>
      <c r="O79" s="2" t="s">
        <v>954</v>
      </c>
      <c r="P79" s="26">
        <v>0</v>
      </c>
      <c r="Q79" s="27">
        <v>0</v>
      </c>
      <c r="R79" s="30">
        <v>0</v>
      </c>
      <c r="S79" s="27">
        <v>0</v>
      </c>
      <c r="T79" s="30">
        <v>0</v>
      </c>
      <c r="U79" s="34">
        <v>1</v>
      </c>
      <c r="V79" s="34">
        <v>1</v>
      </c>
      <c r="X79" s="8"/>
      <c r="Y79" s="2"/>
      <c r="Z79" s="26"/>
      <c r="AA79" s="26"/>
      <c r="AB79" s="26"/>
      <c r="AC79" s="26"/>
      <c r="AD79" s="27"/>
      <c r="AE79" s="30"/>
      <c r="AF79" s="26"/>
      <c r="AG79" s="26"/>
      <c r="AH79" s="32"/>
      <c r="AJ79" s="8"/>
      <c r="AK79" s="2"/>
      <c r="AL79" s="26"/>
      <c r="AM79" s="26"/>
      <c r="AN79" s="26"/>
      <c r="AO79" s="27"/>
      <c r="AP79" s="30"/>
      <c r="AQ79" s="26"/>
      <c r="AR79" s="26"/>
      <c r="AS79" s="32"/>
      <c r="AT79" s="34"/>
    </row>
    <row r="80" spans="2:46" x14ac:dyDescent="0.3">
      <c r="B80" s="8"/>
      <c r="C80" s="2" t="s">
        <v>732</v>
      </c>
      <c r="D80" s="26">
        <v>0</v>
      </c>
      <c r="E80" s="26">
        <v>0</v>
      </c>
      <c r="F80" s="27">
        <v>0</v>
      </c>
      <c r="G80" s="26">
        <v>0</v>
      </c>
      <c r="H80" s="26">
        <v>0</v>
      </c>
      <c r="I80" s="27">
        <v>0</v>
      </c>
      <c r="J80" s="26">
        <v>0</v>
      </c>
      <c r="K80" s="26">
        <v>0</v>
      </c>
      <c r="L80" s="67">
        <v>1</v>
      </c>
      <c r="N80" s="8"/>
      <c r="O80" s="2" t="s">
        <v>668</v>
      </c>
      <c r="P80" s="26">
        <v>0</v>
      </c>
      <c r="Q80" s="27">
        <v>0</v>
      </c>
      <c r="R80" s="30">
        <v>0</v>
      </c>
      <c r="S80" s="27">
        <v>0</v>
      </c>
      <c r="T80" s="30">
        <v>0</v>
      </c>
      <c r="U80" s="34">
        <v>1</v>
      </c>
      <c r="V80" s="34">
        <v>1</v>
      </c>
      <c r="X80" s="8"/>
      <c r="Y80" s="2"/>
      <c r="Z80" s="26"/>
      <c r="AA80" s="26"/>
      <c r="AB80" s="26"/>
      <c r="AC80" s="26"/>
      <c r="AD80" s="27"/>
      <c r="AE80" s="30"/>
      <c r="AF80" s="26"/>
      <c r="AG80" s="26"/>
      <c r="AH80" s="32"/>
      <c r="AJ80" s="8"/>
      <c r="AK80" s="2"/>
      <c r="AL80" s="26"/>
      <c r="AM80" s="26"/>
      <c r="AN80" s="26"/>
      <c r="AO80" s="27"/>
      <c r="AP80" s="30"/>
      <c r="AQ80" s="26"/>
      <c r="AR80" s="26"/>
      <c r="AS80" s="32"/>
      <c r="AT80" s="34"/>
    </row>
    <row r="81" spans="2:46" x14ac:dyDescent="0.3">
      <c r="B81" s="8"/>
      <c r="C81" s="2" t="s">
        <v>801</v>
      </c>
      <c r="D81" s="26">
        <v>0</v>
      </c>
      <c r="E81" s="26">
        <v>0</v>
      </c>
      <c r="F81" s="27">
        <v>0</v>
      </c>
      <c r="G81" s="26">
        <v>0</v>
      </c>
      <c r="H81" s="26">
        <v>0</v>
      </c>
      <c r="I81" s="27">
        <v>0</v>
      </c>
      <c r="J81" s="26">
        <v>0</v>
      </c>
      <c r="K81" s="26">
        <v>0</v>
      </c>
      <c r="L81" s="67">
        <v>1</v>
      </c>
      <c r="N81" s="8"/>
      <c r="O81" s="2" t="s">
        <v>844</v>
      </c>
      <c r="P81" s="26">
        <v>0</v>
      </c>
      <c r="Q81" s="27">
        <v>0</v>
      </c>
      <c r="R81" s="30">
        <v>0</v>
      </c>
      <c r="S81" s="27">
        <v>0</v>
      </c>
      <c r="T81" s="30">
        <v>0</v>
      </c>
      <c r="U81" s="34">
        <v>1</v>
      </c>
      <c r="V81" s="34">
        <v>1</v>
      </c>
      <c r="X81" s="8"/>
      <c r="Y81" s="2"/>
      <c r="Z81" s="26"/>
      <c r="AA81" s="26"/>
      <c r="AB81" s="26"/>
      <c r="AC81" s="26"/>
      <c r="AD81" s="27"/>
      <c r="AE81" s="30"/>
      <c r="AF81" s="26"/>
      <c r="AG81" s="26"/>
      <c r="AH81" s="32"/>
      <c r="AJ81" s="8"/>
      <c r="AK81" s="2"/>
      <c r="AL81" s="26"/>
      <c r="AM81" s="26"/>
      <c r="AN81" s="26"/>
      <c r="AO81" s="27"/>
      <c r="AP81" s="30"/>
      <c r="AQ81" s="26"/>
      <c r="AR81" s="26"/>
      <c r="AS81" s="32"/>
      <c r="AT81" s="34"/>
    </row>
    <row r="82" spans="2:46" x14ac:dyDescent="0.3">
      <c r="B82" s="8"/>
      <c r="C82" s="2" t="s">
        <v>802</v>
      </c>
      <c r="D82" s="26">
        <v>0</v>
      </c>
      <c r="E82" s="26">
        <v>0</v>
      </c>
      <c r="F82" s="27">
        <v>0</v>
      </c>
      <c r="G82" s="26">
        <v>0</v>
      </c>
      <c r="H82" s="26">
        <v>0</v>
      </c>
      <c r="I82" s="27">
        <v>0</v>
      </c>
      <c r="J82" s="26">
        <v>0</v>
      </c>
      <c r="K82" s="26">
        <v>0</v>
      </c>
      <c r="L82" s="67">
        <v>1</v>
      </c>
      <c r="N82" s="8"/>
      <c r="O82" s="2" t="s">
        <v>845</v>
      </c>
      <c r="P82" s="26">
        <v>0</v>
      </c>
      <c r="Q82" s="27">
        <v>0</v>
      </c>
      <c r="R82" s="30">
        <v>0</v>
      </c>
      <c r="S82" s="27">
        <v>0</v>
      </c>
      <c r="T82" s="30">
        <v>0</v>
      </c>
      <c r="U82" s="34">
        <v>1</v>
      </c>
      <c r="V82" s="34">
        <v>1</v>
      </c>
      <c r="X82" s="8"/>
      <c r="Y82" s="2"/>
      <c r="Z82" s="26"/>
      <c r="AA82" s="26"/>
      <c r="AB82" s="26"/>
      <c r="AC82" s="26"/>
      <c r="AD82" s="27"/>
      <c r="AE82" s="30"/>
      <c r="AF82" s="26"/>
      <c r="AG82" s="26"/>
      <c r="AH82" s="32"/>
      <c r="AJ82" s="8"/>
      <c r="AK82" s="2"/>
      <c r="AL82" s="26"/>
      <c r="AM82" s="26"/>
      <c r="AN82" s="26"/>
      <c r="AO82" s="27"/>
      <c r="AP82" s="30"/>
      <c r="AQ82" s="26"/>
      <c r="AR82" s="26"/>
      <c r="AS82" s="32"/>
      <c r="AT82" s="34"/>
    </row>
    <row r="83" spans="2:46" x14ac:dyDescent="0.3">
      <c r="B83" s="8"/>
      <c r="C83" s="2" t="s">
        <v>733</v>
      </c>
      <c r="D83" s="26">
        <v>0</v>
      </c>
      <c r="E83" s="26">
        <v>0</v>
      </c>
      <c r="F83" s="27">
        <v>0</v>
      </c>
      <c r="G83" s="26">
        <v>0</v>
      </c>
      <c r="H83" s="26">
        <v>0</v>
      </c>
      <c r="I83" s="27">
        <v>0</v>
      </c>
      <c r="J83" s="26">
        <v>0</v>
      </c>
      <c r="K83" s="26">
        <v>0</v>
      </c>
      <c r="L83" s="67">
        <v>1</v>
      </c>
      <c r="N83" s="8"/>
      <c r="O83" s="2" t="s">
        <v>669</v>
      </c>
      <c r="P83" s="26">
        <v>0</v>
      </c>
      <c r="Q83" s="27">
        <v>0</v>
      </c>
      <c r="R83" s="30">
        <v>0</v>
      </c>
      <c r="S83" s="27">
        <v>0</v>
      </c>
      <c r="T83" s="30">
        <v>0</v>
      </c>
      <c r="U83" s="34">
        <v>1</v>
      </c>
      <c r="V83" s="34">
        <v>1</v>
      </c>
      <c r="X83" s="8"/>
      <c r="Y83" s="2"/>
      <c r="Z83" s="26"/>
      <c r="AA83" s="26"/>
      <c r="AB83" s="26"/>
      <c r="AC83" s="26"/>
      <c r="AD83" s="27"/>
      <c r="AE83" s="30"/>
      <c r="AF83" s="26"/>
      <c r="AG83" s="26"/>
      <c r="AH83" s="32"/>
      <c r="AJ83" s="8"/>
      <c r="AK83" s="2"/>
      <c r="AL83" s="26"/>
      <c r="AM83" s="26"/>
      <c r="AN83" s="26"/>
      <c r="AO83" s="27"/>
      <c r="AP83" s="30"/>
      <c r="AQ83" s="26"/>
      <c r="AR83" s="26"/>
      <c r="AS83" s="32"/>
      <c r="AT83" s="34"/>
    </row>
    <row r="84" spans="2:46" x14ac:dyDescent="0.3">
      <c r="B84" s="8"/>
      <c r="C84" s="2" t="s">
        <v>803</v>
      </c>
      <c r="D84" s="26">
        <v>0</v>
      </c>
      <c r="E84" s="26">
        <v>0</v>
      </c>
      <c r="F84" s="27">
        <v>0</v>
      </c>
      <c r="G84" s="26">
        <v>0</v>
      </c>
      <c r="H84" s="26">
        <v>0</v>
      </c>
      <c r="I84" s="27">
        <v>0</v>
      </c>
      <c r="J84" s="26">
        <v>0</v>
      </c>
      <c r="K84" s="26">
        <v>0</v>
      </c>
      <c r="L84" s="67">
        <v>1</v>
      </c>
      <c r="N84" s="8"/>
      <c r="O84" s="2" t="s">
        <v>846</v>
      </c>
      <c r="P84" s="26">
        <v>0</v>
      </c>
      <c r="Q84" s="27">
        <v>0</v>
      </c>
      <c r="R84" s="30">
        <v>0</v>
      </c>
      <c r="S84" s="27">
        <v>0</v>
      </c>
      <c r="T84" s="30">
        <v>0</v>
      </c>
      <c r="U84" s="34">
        <v>1</v>
      </c>
      <c r="V84" s="34">
        <v>1</v>
      </c>
      <c r="X84" s="8"/>
      <c r="Y84" s="2"/>
      <c r="Z84" s="26"/>
      <c r="AA84" s="26"/>
      <c r="AB84" s="26"/>
      <c r="AC84" s="26"/>
      <c r="AD84" s="27"/>
      <c r="AE84" s="30"/>
      <c r="AF84" s="26"/>
      <c r="AG84" s="26"/>
      <c r="AH84" s="32"/>
      <c r="AJ84" s="8"/>
      <c r="AK84" s="2"/>
      <c r="AL84" s="26"/>
      <c r="AM84" s="26"/>
      <c r="AN84" s="26"/>
      <c r="AO84" s="27"/>
      <c r="AP84" s="30"/>
      <c r="AQ84" s="26"/>
      <c r="AR84" s="26"/>
      <c r="AS84" s="32"/>
      <c r="AT84" s="34"/>
    </row>
    <row r="85" spans="2:46" x14ac:dyDescent="0.3">
      <c r="B85" s="8"/>
      <c r="C85" s="2" t="s">
        <v>804</v>
      </c>
      <c r="D85" s="26">
        <v>0</v>
      </c>
      <c r="E85" s="26">
        <v>0</v>
      </c>
      <c r="F85" s="27">
        <v>0</v>
      </c>
      <c r="G85" s="26">
        <v>0</v>
      </c>
      <c r="H85" s="26">
        <v>0</v>
      </c>
      <c r="I85" s="27">
        <v>0</v>
      </c>
      <c r="J85" s="26">
        <v>0</v>
      </c>
      <c r="K85" s="26">
        <v>0</v>
      </c>
      <c r="L85" s="67">
        <v>1</v>
      </c>
      <c r="N85" s="8"/>
      <c r="O85" s="2" t="s">
        <v>847</v>
      </c>
      <c r="P85" s="26">
        <v>0</v>
      </c>
      <c r="Q85" s="27">
        <v>0</v>
      </c>
      <c r="R85" s="30">
        <v>0</v>
      </c>
      <c r="S85" s="27">
        <v>0</v>
      </c>
      <c r="T85" s="30">
        <v>0</v>
      </c>
      <c r="U85" s="34">
        <v>1</v>
      </c>
      <c r="V85" s="34">
        <v>1</v>
      </c>
      <c r="X85" s="8"/>
      <c r="Y85" s="2"/>
      <c r="Z85" s="26"/>
      <c r="AA85" s="26"/>
      <c r="AB85" s="26"/>
      <c r="AC85" s="26"/>
      <c r="AD85" s="27"/>
      <c r="AE85" s="30"/>
      <c r="AF85" s="26"/>
      <c r="AG85" s="26"/>
      <c r="AH85" s="32"/>
      <c r="AJ85" s="8"/>
      <c r="AK85" s="2"/>
      <c r="AL85" s="26"/>
      <c r="AM85" s="26"/>
      <c r="AN85" s="26"/>
      <c r="AO85" s="27"/>
      <c r="AP85" s="30"/>
      <c r="AQ85" s="26"/>
      <c r="AR85" s="26"/>
      <c r="AS85" s="32"/>
      <c r="AT85" s="34"/>
    </row>
    <row r="86" spans="2:46" x14ac:dyDescent="0.3">
      <c r="B86" s="8"/>
      <c r="C86" s="2" t="s">
        <v>805</v>
      </c>
      <c r="D86" s="26">
        <v>0</v>
      </c>
      <c r="E86" s="26">
        <v>0</v>
      </c>
      <c r="F86" s="27">
        <v>0</v>
      </c>
      <c r="G86" s="26">
        <v>0</v>
      </c>
      <c r="H86" s="26">
        <v>0</v>
      </c>
      <c r="I86" s="27">
        <v>0</v>
      </c>
      <c r="J86" s="26">
        <v>0</v>
      </c>
      <c r="K86" s="26">
        <v>0</v>
      </c>
      <c r="L86" s="67">
        <v>1</v>
      </c>
      <c r="N86" s="8"/>
      <c r="O86" s="2" t="s">
        <v>848</v>
      </c>
      <c r="P86" s="26">
        <v>0</v>
      </c>
      <c r="Q86" s="27">
        <v>0</v>
      </c>
      <c r="R86" s="30">
        <v>0</v>
      </c>
      <c r="S86" s="27">
        <v>0</v>
      </c>
      <c r="T86" s="30">
        <v>0</v>
      </c>
      <c r="U86" s="34">
        <v>1</v>
      </c>
      <c r="V86" s="34">
        <v>1</v>
      </c>
      <c r="X86" s="8"/>
      <c r="Y86" s="2"/>
      <c r="Z86" s="26"/>
      <c r="AA86" s="26"/>
      <c r="AB86" s="26"/>
      <c r="AC86" s="26"/>
      <c r="AD86" s="27"/>
      <c r="AE86" s="30"/>
      <c r="AF86" s="26"/>
      <c r="AG86" s="26"/>
      <c r="AH86" s="32"/>
      <c r="AJ86" s="8"/>
      <c r="AK86" s="2"/>
      <c r="AL86" s="26"/>
      <c r="AM86" s="26"/>
      <c r="AN86" s="26"/>
      <c r="AO86" s="27"/>
      <c r="AP86" s="30"/>
      <c r="AQ86" s="26"/>
      <c r="AR86" s="26"/>
      <c r="AS86" s="32"/>
      <c r="AT86" s="34"/>
    </row>
    <row r="87" spans="2:46" x14ac:dyDescent="0.3">
      <c r="B87" s="8"/>
      <c r="C87" s="2" t="s">
        <v>734</v>
      </c>
      <c r="D87" s="26">
        <v>0</v>
      </c>
      <c r="E87" s="26">
        <v>0</v>
      </c>
      <c r="F87" s="27">
        <v>0</v>
      </c>
      <c r="G87" s="26">
        <v>0</v>
      </c>
      <c r="H87" s="26">
        <v>0</v>
      </c>
      <c r="I87" s="27">
        <v>0</v>
      </c>
      <c r="J87" s="26">
        <v>0</v>
      </c>
      <c r="K87" s="26">
        <v>0</v>
      </c>
      <c r="L87" s="67">
        <v>1</v>
      </c>
      <c r="N87" s="8"/>
      <c r="O87" s="2" t="s">
        <v>670</v>
      </c>
      <c r="P87" s="26">
        <v>0</v>
      </c>
      <c r="Q87" s="27">
        <v>0</v>
      </c>
      <c r="R87" s="30">
        <v>0</v>
      </c>
      <c r="S87" s="27">
        <v>0</v>
      </c>
      <c r="T87" s="30">
        <v>0</v>
      </c>
      <c r="U87" s="34">
        <v>1</v>
      </c>
      <c r="V87" s="34">
        <v>1</v>
      </c>
      <c r="X87" s="8"/>
      <c r="Y87" s="2"/>
      <c r="Z87" s="26"/>
      <c r="AA87" s="26"/>
      <c r="AB87" s="26"/>
      <c r="AC87" s="26"/>
      <c r="AD87" s="27"/>
      <c r="AE87" s="30"/>
      <c r="AF87" s="26"/>
      <c r="AG87" s="26"/>
      <c r="AH87" s="32"/>
      <c r="AJ87" s="8"/>
      <c r="AK87" s="2"/>
      <c r="AL87" s="26"/>
      <c r="AM87" s="26"/>
      <c r="AN87" s="26"/>
      <c r="AO87" s="27"/>
      <c r="AP87" s="30"/>
      <c r="AQ87" s="26"/>
      <c r="AR87" s="26"/>
      <c r="AS87" s="32"/>
      <c r="AT87" s="34"/>
    </row>
    <row r="88" spans="2:46" x14ac:dyDescent="0.3">
      <c r="B88" s="8"/>
      <c r="C88" s="2" t="s">
        <v>735</v>
      </c>
      <c r="D88" s="26">
        <v>0</v>
      </c>
      <c r="E88" s="26">
        <v>0</v>
      </c>
      <c r="F88" s="27">
        <v>0</v>
      </c>
      <c r="G88" s="26">
        <v>0</v>
      </c>
      <c r="H88" s="26">
        <v>0</v>
      </c>
      <c r="I88" s="27">
        <v>0</v>
      </c>
      <c r="J88" s="26">
        <v>0</v>
      </c>
      <c r="K88" s="26">
        <v>0</v>
      </c>
      <c r="L88" s="67">
        <v>1</v>
      </c>
      <c r="N88" s="8"/>
      <c r="O88" s="2" t="s">
        <v>671</v>
      </c>
      <c r="P88" s="26">
        <v>0</v>
      </c>
      <c r="Q88" s="27">
        <v>0</v>
      </c>
      <c r="R88" s="30">
        <v>0</v>
      </c>
      <c r="S88" s="27">
        <v>0</v>
      </c>
      <c r="T88" s="30">
        <v>0</v>
      </c>
      <c r="U88" s="34">
        <v>1</v>
      </c>
      <c r="V88" s="34">
        <v>1</v>
      </c>
      <c r="X88" s="8"/>
      <c r="Y88" s="2"/>
      <c r="Z88" s="26"/>
      <c r="AA88" s="26"/>
      <c r="AB88" s="26"/>
      <c r="AC88" s="26"/>
      <c r="AD88" s="27"/>
      <c r="AE88" s="30"/>
      <c r="AF88" s="26"/>
      <c r="AG88" s="26"/>
      <c r="AH88" s="32"/>
      <c r="AJ88" s="8"/>
      <c r="AK88" s="2"/>
      <c r="AL88" s="26"/>
      <c r="AM88" s="26"/>
      <c r="AN88" s="26"/>
      <c r="AO88" s="27"/>
      <c r="AP88" s="30"/>
      <c r="AQ88" s="26"/>
      <c r="AR88" s="26"/>
      <c r="AS88" s="32"/>
      <c r="AT88" s="34"/>
    </row>
    <row r="89" spans="2:46" x14ac:dyDescent="0.3">
      <c r="B89" s="8"/>
      <c r="C89" s="2" t="s">
        <v>736</v>
      </c>
      <c r="D89" s="26">
        <v>0</v>
      </c>
      <c r="E89" s="26">
        <v>0</v>
      </c>
      <c r="F89" s="27">
        <v>0</v>
      </c>
      <c r="G89" s="26">
        <v>0</v>
      </c>
      <c r="H89" s="26">
        <v>0</v>
      </c>
      <c r="I89" s="27">
        <v>0</v>
      </c>
      <c r="J89" s="26">
        <v>0</v>
      </c>
      <c r="K89" s="26">
        <v>0</v>
      </c>
      <c r="L89" s="67">
        <v>1</v>
      </c>
      <c r="N89" s="8"/>
      <c r="O89" s="2" t="s">
        <v>672</v>
      </c>
      <c r="P89" s="26">
        <v>0</v>
      </c>
      <c r="Q89" s="27">
        <v>0</v>
      </c>
      <c r="R89" s="30">
        <v>0</v>
      </c>
      <c r="S89" s="27">
        <v>0</v>
      </c>
      <c r="T89" s="30">
        <v>0</v>
      </c>
      <c r="U89" s="34">
        <v>1</v>
      </c>
      <c r="V89" s="34">
        <v>1</v>
      </c>
      <c r="X89" s="8"/>
      <c r="Y89" s="2"/>
      <c r="Z89" s="26"/>
      <c r="AA89" s="26"/>
      <c r="AB89" s="26"/>
      <c r="AC89" s="26"/>
      <c r="AD89" s="27"/>
      <c r="AE89" s="30"/>
      <c r="AF89" s="26"/>
      <c r="AG89" s="26"/>
      <c r="AH89" s="32"/>
      <c r="AJ89" s="8"/>
      <c r="AK89" s="2"/>
      <c r="AL89" s="26"/>
      <c r="AM89" s="26"/>
      <c r="AN89" s="26"/>
      <c r="AO89" s="27"/>
      <c r="AP89" s="30"/>
      <c r="AQ89" s="26"/>
      <c r="AR89" s="26"/>
      <c r="AS89" s="32"/>
      <c r="AT89" s="34"/>
    </row>
    <row r="90" spans="2:46" x14ac:dyDescent="0.3">
      <c r="B90" s="8"/>
      <c r="C90" s="2" t="s">
        <v>737</v>
      </c>
      <c r="D90" s="26">
        <v>0</v>
      </c>
      <c r="E90" s="26">
        <v>0</v>
      </c>
      <c r="F90" s="27">
        <v>0</v>
      </c>
      <c r="G90" s="26">
        <v>0</v>
      </c>
      <c r="H90" s="26">
        <v>0</v>
      </c>
      <c r="I90" s="27">
        <v>0</v>
      </c>
      <c r="J90" s="26">
        <v>0</v>
      </c>
      <c r="K90" s="26">
        <v>0</v>
      </c>
      <c r="L90" s="67">
        <v>1</v>
      </c>
      <c r="N90" s="8"/>
      <c r="O90" s="2" t="s">
        <v>673</v>
      </c>
      <c r="P90" s="26">
        <v>0</v>
      </c>
      <c r="Q90" s="27">
        <v>0</v>
      </c>
      <c r="R90" s="30">
        <v>0</v>
      </c>
      <c r="S90" s="27">
        <v>0</v>
      </c>
      <c r="T90" s="30">
        <v>0</v>
      </c>
      <c r="U90" s="34">
        <v>1</v>
      </c>
      <c r="V90" s="34">
        <v>1</v>
      </c>
      <c r="X90" s="8"/>
      <c r="Y90" s="2"/>
      <c r="Z90" s="26"/>
      <c r="AA90" s="26"/>
      <c r="AB90" s="26"/>
      <c r="AC90" s="26"/>
      <c r="AD90" s="27"/>
      <c r="AE90" s="30"/>
      <c r="AF90" s="26"/>
      <c r="AG90" s="26"/>
      <c r="AH90" s="32"/>
      <c r="AJ90" s="8"/>
      <c r="AK90" s="2"/>
      <c r="AL90" s="26"/>
      <c r="AM90" s="26"/>
      <c r="AN90" s="26"/>
      <c r="AO90" s="27"/>
      <c r="AP90" s="30"/>
      <c r="AQ90" s="26"/>
      <c r="AR90" s="26"/>
      <c r="AS90" s="32"/>
      <c r="AT90" s="34"/>
    </row>
    <row r="91" spans="2:46" x14ac:dyDescent="0.3">
      <c r="B91" s="8"/>
      <c r="C91" s="2" t="s">
        <v>806</v>
      </c>
      <c r="D91" s="26">
        <v>0</v>
      </c>
      <c r="E91" s="26">
        <v>0</v>
      </c>
      <c r="F91" s="27">
        <v>0</v>
      </c>
      <c r="G91" s="26">
        <v>0</v>
      </c>
      <c r="H91" s="26">
        <v>0</v>
      </c>
      <c r="I91" s="27">
        <v>0</v>
      </c>
      <c r="J91" s="26">
        <v>0</v>
      </c>
      <c r="K91" s="26">
        <v>0</v>
      </c>
      <c r="L91" s="67">
        <v>1</v>
      </c>
      <c r="N91" s="8"/>
      <c r="O91" s="2" t="s">
        <v>849</v>
      </c>
      <c r="P91" s="26">
        <v>0</v>
      </c>
      <c r="Q91" s="27">
        <v>0</v>
      </c>
      <c r="R91" s="30">
        <v>0</v>
      </c>
      <c r="S91" s="27">
        <v>0</v>
      </c>
      <c r="T91" s="30">
        <v>0</v>
      </c>
      <c r="U91" s="34">
        <v>1</v>
      </c>
      <c r="V91" s="34">
        <v>1</v>
      </c>
      <c r="X91" s="8"/>
      <c r="Y91" s="2"/>
      <c r="Z91" s="26"/>
      <c r="AA91" s="26"/>
      <c r="AB91" s="26"/>
      <c r="AC91" s="26"/>
      <c r="AD91" s="27"/>
      <c r="AE91" s="30"/>
      <c r="AF91" s="26"/>
      <c r="AG91" s="26"/>
      <c r="AH91" s="32"/>
      <c r="AJ91" s="8"/>
      <c r="AK91" s="2"/>
      <c r="AL91" s="26"/>
      <c r="AM91" s="26"/>
      <c r="AN91" s="26"/>
      <c r="AO91" s="27"/>
      <c r="AP91" s="30"/>
      <c r="AQ91" s="26"/>
      <c r="AR91" s="26"/>
      <c r="AS91" s="32"/>
      <c r="AT91" s="34"/>
    </row>
    <row r="92" spans="2:46" x14ac:dyDescent="0.3">
      <c r="B92" s="8"/>
      <c r="C92" s="2" t="s">
        <v>807</v>
      </c>
      <c r="D92" s="26">
        <v>0</v>
      </c>
      <c r="E92" s="26">
        <v>0</v>
      </c>
      <c r="F92" s="27">
        <v>0</v>
      </c>
      <c r="G92" s="26">
        <v>0</v>
      </c>
      <c r="H92" s="26">
        <v>0</v>
      </c>
      <c r="I92" s="27">
        <v>0</v>
      </c>
      <c r="J92" s="26">
        <v>0</v>
      </c>
      <c r="K92" s="26">
        <v>0</v>
      </c>
      <c r="L92" s="67">
        <v>1</v>
      </c>
      <c r="N92" s="8"/>
      <c r="O92" s="2" t="s">
        <v>850</v>
      </c>
      <c r="P92" s="26">
        <v>0</v>
      </c>
      <c r="Q92" s="27">
        <v>0</v>
      </c>
      <c r="R92" s="30">
        <v>0</v>
      </c>
      <c r="S92" s="27">
        <v>0</v>
      </c>
      <c r="T92" s="30">
        <v>0</v>
      </c>
      <c r="U92" s="34">
        <v>1</v>
      </c>
      <c r="V92" s="34">
        <v>1</v>
      </c>
      <c r="X92" s="8"/>
      <c r="Y92" s="2"/>
      <c r="Z92" s="26"/>
      <c r="AA92" s="26"/>
      <c r="AB92" s="26"/>
      <c r="AC92" s="26"/>
      <c r="AD92" s="27"/>
      <c r="AE92" s="30"/>
      <c r="AF92" s="26"/>
      <c r="AG92" s="26"/>
      <c r="AH92" s="32"/>
      <c r="AJ92" s="8"/>
      <c r="AK92" s="2"/>
      <c r="AL92" s="26"/>
      <c r="AM92" s="26"/>
      <c r="AN92" s="26"/>
      <c r="AO92" s="27"/>
      <c r="AP92" s="30"/>
      <c r="AQ92" s="26"/>
      <c r="AR92" s="26"/>
      <c r="AS92" s="32"/>
      <c r="AT92" s="34"/>
    </row>
    <row r="93" spans="2:46" x14ac:dyDescent="0.3">
      <c r="B93" s="8"/>
      <c r="C93" s="2" t="s">
        <v>738</v>
      </c>
      <c r="D93" s="26">
        <v>0</v>
      </c>
      <c r="E93" s="26">
        <v>0</v>
      </c>
      <c r="F93" s="27">
        <v>0</v>
      </c>
      <c r="G93" s="26">
        <v>0</v>
      </c>
      <c r="H93" s="26">
        <v>0</v>
      </c>
      <c r="I93" s="27">
        <v>0</v>
      </c>
      <c r="J93" s="26">
        <v>0</v>
      </c>
      <c r="K93" s="26">
        <v>0</v>
      </c>
      <c r="L93" s="67">
        <v>1</v>
      </c>
      <c r="N93" s="8"/>
      <c r="O93" s="2" t="s">
        <v>674</v>
      </c>
      <c r="P93" s="26">
        <v>0</v>
      </c>
      <c r="Q93" s="27">
        <v>0</v>
      </c>
      <c r="R93" s="30">
        <v>0</v>
      </c>
      <c r="S93" s="27">
        <v>0</v>
      </c>
      <c r="T93" s="30">
        <v>0</v>
      </c>
      <c r="U93" s="34">
        <v>1</v>
      </c>
      <c r="V93" s="34">
        <v>1</v>
      </c>
      <c r="X93" s="8"/>
      <c r="Y93" s="2"/>
      <c r="Z93" s="26"/>
      <c r="AA93" s="26"/>
      <c r="AB93" s="26"/>
      <c r="AC93" s="26"/>
      <c r="AD93" s="27"/>
      <c r="AE93" s="30"/>
      <c r="AF93" s="26"/>
      <c r="AG93" s="26"/>
      <c r="AH93" s="32"/>
      <c r="AJ93" s="8"/>
      <c r="AK93" s="2"/>
      <c r="AL93" s="26"/>
      <c r="AM93" s="26"/>
      <c r="AN93" s="26"/>
      <c r="AO93" s="27"/>
      <c r="AP93" s="30"/>
      <c r="AQ93" s="26"/>
      <c r="AR93" s="26"/>
      <c r="AS93" s="32"/>
      <c r="AT93" s="34"/>
    </row>
    <row r="94" spans="2:46" x14ac:dyDescent="0.3">
      <c r="B94" s="8"/>
      <c r="C94" s="2" t="s">
        <v>739</v>
      </c>
      <c r="D94" s="26">
        <v>0</v>
      </c>
      <c r="E94" s="26">
        <v>0</v>
      </c>
      <c r="F94" s="27">
        <v>0</v>
      </c>
      <c r="G94" s="26">
        <v>0</v>
      </c>
      <c r="H94" s="26">
        <v>0</v>
      </c>
      <c r="I94" s="27">
        <v>0</v>
      </c>
      <c r="J94" s="26">
        <v>0</v>
      </c>
      <c r="K94" s="26">
        <v>0</v>
      </c>
      <c r="L94" s="67">
        <v>1</v>
      </c>
      <c r="N94" s="8"/>
      <c r="O94" s="2" t="s">
        <v>675</v>
      </c>
      <c r="P94" s="26">
        <v>0</v>
      </c>
      <c r="Q94" s="27">
        <v>0</v>
      </c>
      <c r="R94" s="30">
        <v>0</v>
      </c>
      <c r="S94" s="27">
        <v>0</v>
      </c>
      <c r="T94" s="30">
        <v>0</v>
      </c>
      <c r="U94" s="34">
        <v>1</v>
      </c>
      <c r="V94" s="34">
        <v>1</v>
      </c>
      <c r="X94" s="8"/>
      <c r="Y94" s="2"/>
      <c r="Z94" s="26"/>
      <c r="AA94" s="26"/>
      <c r="AB94" s="26"/>
      <c r="AC94" s="26"/>
      <c r="AD94" s="27"/>
      <c r="AE94" s="30"/>
      <c r="AF94" s="26"/>
      <c r="AG94" s="26"/>
      <c r="AH94" s="32"/>
      <c r="AJ94" s="8"/>
      <c r="AK94" s="2"/>
      <c r="AL94" s="26"/>
      <c r="AM94" s="26"/>
      <c r="AN94" s="26"/>
      <c r="AO94" s="27"/>
      <c r="AP94" s="30"/>
      <c r="AQ94" s="26"/>
      <c r="AR94" s="26"/>
      <c r="AS94" s="32"/>
      <c r="AT94" s="34"/>
    </row>
    <row r="95" spans="2:46" x14ac:dyDescent="0.3">
      <c r="B95" s="8"/>
      <c r="C95" s="2" t="s">
        <v>740</v>
      </c>
      <c r="D95" s="26">
        <v>0</v>
      </c>
      <c r="E95" s="26">
        <v>0</v>
      </c>
      <c r="F95" s="27">
        <v>0</v>
      </c>
      <c r="G95" s="26">
        <v>0</v>
      </c>
      <c r="H95" s="26">
        <v>0</v>
      </c>
      <c r="I95" s="27">
        <v>0</v>
      </c>
      <c r="J95" s="26">
        <v>0</v>
      </c>
      <c r="K95" s="26">
        <v>0</v>
      </c>
      <c r="L95" s="67">
        <v>1</v>
      </c>
      <c r="N95" s="8"/>
      <c r="O95" s="2" t="s">
        <v>676</v>
      </c>
      <c r="P95" s="26">
        <v>0</v>
      </c>
      <c r="Q95" s="27">
        <v>0</v>
      </c>
      <c r="R95" s="30">
        <v>0</v>
      </c>
      <c r="S95" s="27">
        <v>0</v>
      </c>
      <c r="T95" s="30">
        <v>0</v>
      </c>
      <c r="U95" s="34">
        <v>1</v>
      </c>
      <c r="V95" s="34">
        <v>1</v>
      </c>
      <c r="X95" s="8"/>
      <c r="Y95" s="2"/>
      <c r="Z95" s="26"/>
      <c r="AA95" s="26"/>
      <c r="AB95" s="26"/>
      <c r="AC95" s="26"/>
      <c r="AD95" s="27"/>
      <c r="AE95" s="30"/>
      <c r="AF95" s="26"/>
      <c r="AG95" s="26"/>
      <c r="AH95" s="32"/>
      <c r="AJ95" s="8"/>
      <c r="AK95" s="2"/>
      <c r="AL95" s="26"/>
      <c r="AM95" s="26"/>
      <c r="AN95" s="26"/>
      <c r="AO95" s="27"/>
      <c r="AP95" s="30"/>
      <c r="AQ95" s="26"/>
      <c r="AR95" s="26"/>
      <c r="AS95" s="32"/>
      <c r="AT95" s="34"/>
    </row>
    <row r="96" spans="2:46" x14ac:dyDescent="0.3">
      <c r="B96" s="8"/>
      <c r="C96" s="2" t="s">
        <v>741</v>
      </c>
      <c r="D96" s="26">
        <v>0</v>
      </c>
      <c r="E96" s="26">
        <v>0</v>
      </c>
      <c r="F96" s="27">
        <v>0</v>
      </c>
      <c r="G96" s="26">
        <v>0</v>
      </c>
      <c r="H96" s="26">
        <v>0</v>
      </c>
      <c r="I96" s="27">
        <v>0</v>
      </c>
      <c r="J96" s="26">
        <v>0</v>
      </c>
      <c r="K96" s="26">
        <v>0</v>
      </c>
      <c r="L96" s="67">
        <v>1</v>
      </c>
      <c r="N96" s="8"/>
      <c r="O96" s="2" t="s">
        <v>677</v>
      </c>
      <c r="P96" s="26">
        <v>0</v>
      </c>
      <c r="Q96" s="27">
        <v>0</v>
      </c>
      <c r="R96" s="30">
        <v>0</v>
      </c>
      <c r="S96" s="27">
        <v>0</v>
      </c>
      <c r="T96" s="30">
        <v>0</v>
      </c>
      <c r="U96" s="34">
        <v>1</v>
      </c>
      <c r="V96" s="34">
        <v>1</v>
      </c>
      <c r="X96" s="8"/>
      <c r="Y96" s="2"/>
      <c r="Z96" s="26"/>
      <c r="AA96" s="26"/>
      <c r="AB96" s="26"/>
      <c r="AC96" s="26"/>
      <c r="AD96" s="27"/>
      <c r="AE96" s="30"/>
      <c r="AF96" s="26"/>
      <c r="AG96" s="26"/>
      <c r="AH96" s="32"/>
      <c r="AJ96" s="8"/>
      <c r="AK96" s="2"/>
      <c r="AL96" s="26"/>
      <c r="AM96" s="26"/>
      <c r="AN96" s="26"/>
      <c r="AO96" s="27"/>
      <c r="AP96" s="30"/>
      <c r="AQ96" s="26"/>
      <c r="AR96" s="26"/>
      <c r="AS96" s="32"/>
      <c r="AT96" s="34"/>
    </row>
    <row r="97" spans="2:46" x14ac:dyDescent="0.3">
      <c r="B97" s="8"/>
      <c r="C97" s="2" t="s">
        <v>742</v>
      </c>
      <c r="D97" s="26">
        <v>0</v>
      </c>
      <c r="E97" s="26">
        <v>0</v>
      </c>
      <c r="F97" s="27">
        <v>0</v>
      </c>
      <c r="G97" s="26">
        <v>0</v>
      </c>
      <c r="H97" s="26">
        <v>0</v>
      </c>
      <c r="I97" s="27">
        <v>0</v>
      </c>
      <c r="J97" s="26">
        <v>0</v>
      </c>
      <c r="K97" s="26">
        <v>0</v>
      </c>
      <c r="L97" s="67">
        <v>1</v>
      </c>
      <c r="N97" s="8"/>
      <c r="O97" s="2" t="s">
        <v>678</v>
      </c>
      <c r="P97" s="26">
        <v>0</v>
      </c>
      <c r="Q97" s="27">
        <v>0</v>
      </c>
      <c r="R97" s="30">
        <v>0</v>
      </c>
      <c r="S97" s="27">
        <v>0</v>
      </c>
      <c r="T97" s="30">
        <v>0</v>
      </c>
      <c r="U97" s="34">
        <v>1</v>
      </c>
      <c r="V97" s="34">
        <v>1</v>
      </c>
      <c r="X97" s="8"/>
      <c r="Y97" s="2"/>
      <c r="Z97" s="26"/>
      <c r="AA97" s="26"/>
      <c r="AB97" s="26"/>
      <c r="AC97" s="26"/>
      <c r="AD97" s="27"/>
      <c r="AE97" s="30"/>
      <c r="AF97" s="26"/>
      <c r="AG97" s="26"/>
      <c r="AH97" s="32"/>
      <c r="AJ97" s="8"/>
      <c r="AK97" s="2"/>
      <c r="AL97" s="26"/>
      <c r="AM97" s="26"/>
      <c r="AN97" s="26"/>
      <c r="AO97" s="27"/>
      <c r="AP97" s="30"/>
      <c r="AQ97" s="26"/>
      <c r="AR97" s="26"/>
      <c r="AS97" s="32"/>
      <c r="AT97" s="34"/>
    </row>
    <row r="98" spans="2:46" x14ac:dyDescent="0.3">
      <c r="B98" s="8"/>
      <c r="C98" s="2" t="s">
        <v>743</v>
      </c>
      <c r="D98" s="26">
        <v>0</v>
      </c>
      <c r="E98" s="26">
        <v>0</v>
      </c>
      <c r="F98" s="27">
        <v>0</v>
      </c>
      <c r="G98" s="26">
        <v>0</v>
      </c>
      <c r="H98" s="26">
        <v>0</v>
      </c>
      <c r="I98" s="27">
        <v>0</v>
      </c>
      <c r="J98" s="26">
        <v>0</v>
      </c>
      <c r="K98" s="26">
        <v>0</v>
      </c>
      <c r="L98" s="67">
        <v>1</v>
      </c>
      <c r="N98" s="8"/>
      <c r="O98" s="2" t="s">
        <v>679</v>
      </c>
      <c r="P98" s="26">
        <v>0</v>
      </c>
      <c r="Q98" s="27">
        <v>0</v>
      </c>
      <c r="R98" s="30">
        <v>0</v>
      </c>
      <c r="S98" s="27">
        <v>0</v>
      </c>
      <c r="T98" s="30">
        <v>0</v>
      </c>
      <c r="U98" s="34">
        <v>1</v>
      </c>
      <c r="V98" s="34">
        <v>1</v>
      </c>
      <c r="X98" s="8"/>
      <c r="Y98" s="2"/>
      <c r="Z98" s="26"/>
      <c r="AA98" s="26"/>
      <c r="AB98" s="26"/>
      <c r="AC98" s="26"/>
      <c r="AD98" s="27"/>
      <c r="AE98" s="30"/>
      <c r="AF98" s="26"/>
      <c r="AG98" s="26"/>
      <c r="AH98" s="32"/>
      <c r="AJ98" s="8"/>
      <c r="AK98" s="2"/>
      <c r="AL98" s="26"/>
      <c r="AM98" s="26"/>
      <c r="AN98" s="26"/>
      <c r="AO98" s="27"/>
      <c r="AP98" s="30"/>
      <c r="AQ98" s="26"/>
      <c r="AR98" s="26"/>
      <c r="AS98" s="32"/>
      <c r="AT98" s="34"/>
    </row>
    <row r="99" spans="2:46" x14ac:dyDescent="0.3">
      <c r="B99" s="8"/>
      <c r="C99" s="2" t="s">
        <v>744</v>
      </c>
      <c r="D99" s="26">
        <v>0</v>
      </c>
      <c r="E99" s="26">
        <v>0</v>
      </c>
      <c r="F99" s="27">
        <v>0</v>
      </c>
      <c r="G99" s="26">
        <v>0</v>
      </c>
      <c r="H99" s="26">
        <v>0</v>
      </c>
      <c r="I99" s="27">
        <v>0</v>
      </c>
      <c r="J99" s="26">
        <v>0</v>
      </c>
      <c r="K99" s="26">
        <v>0</v>
      </c>
      <c r="L99" s="67">
        <v>1</v>
      </c>
      <c r="N99" s="8"/>
      <c r="O99" s="2" t="s">
        <v>680</v>
      </c>
      <c r="P99" s="26">
        <v>0</v>
      </c>
      <c r="Q99" s="27">
        <v>0</v>
      </c>
      <c r="R99" s="30">
        <v>0</v>
      </c>
      <c r="S99" s="27">
        <v>0</v>
      </c>
      <c r="T99" s="30">
        <v>0</v>
      </c>
      <c r="U99" s="34">
        <v>1</v>
      </c>
      <c r="V99" s="34">
        <v>1</v>
      </c>
      <c r="X99" s="8"/>
      <c r="Y99" s="2"/>
      <c r="Z99" s="26"/>
      <c r="AA99" s="26"/>
      <c r="AB99" s="26"/>
      <c r="AC99" s="26"/>
      <c r="AD99" s="27"/>
      <c r="AE99" s="30"/>
      <c r="AF99" s="26"/>
      <c r="AG99" s="26"/>
      <c r="AH99" s="32"/>
      <c r="AJ99" s="8"/>
      <c r="AK99" s="2"/>
      <c r="AL99" s="26"/>
      <c r="AM99" s="26"/>
      <c r="AN99" s="26"/>
      <c r="AO99" s="27"/>
      <c r="AP99" s="30"/>
      <c r="AQ99" s="26"/>
      <c r="AR99" s="26"/>
      <c r="AS99" s="32"/>
      <c r="AT99" s="34"/>
    </row>
    <row r="100" spans="2:46" x14ac:dyDescent="0.3">
      <c r="B100" s="8"/>
      <c r="C100" s="2" t="s">
        <v>808</v>
      </c>
      <c r="D100" s="26">
        <v>0</v>
      </c>
      <c r="E100" s="26">
        <v>0</v>
      </c>
      <c r="F100" s="27">
        <v>0</v>
      </c>
      <c r="G100" s="26">
        <v>0</v>
      </c>
      <c r="H100" s="26">
        <v>0</v>
      </c>
      <c r="I100" s="27">
        <v>0</v>
      </c>
      <c r="J100" s="26">
        <v>0</v>
      </c>
      <c r="K100" s="26">
        <v>0</v>
      </c>
      <c r="L100" s="67">
        <v>1</v>
      </c>
      <c r="N100" s="8"/>
      <c r="O100" s="2" t="s">
        <v>851</v>
      </c>
      <c r="P100" s="26">
        <v>0</v>
      </c>
      <c r="Q100" s="27">
        <v>0</v>
      </c>
      <c r="R100" s="30">
        <v>0</v>
      </c>
      <c r="S100" s="27">
        <v>0</v>
      </c>
      <c r="T100" s="30">
        <v>0</v>
      </c>
      <c r="U100" s="34">
        <v>1</v>
      </c>
      <c r="V100" s="34">
        <v>1</v>
      </c>
      <c r="X100" s="8"/>
      <c r="Y100" s="2"/>
      <c r="Z100" s="26"/>
      <c r="AA100" s="26"/>
      <c r="AB100" s="26"/>
      <c r="AC100" s="26"/>
      <c r="AD100" s="27"/>
      <c r="AE100" s="30"/>
      <c r="AF100" s="26"/>
      <c r="AG100" s="26"/>
      <c r="AH100" s="32"/>
      <c r="AJ100" s="8"/>
      <c r="AK100" s="2"/>
      <c r="AL100" s="26"/>
      <c r="AM100" s="26"/>
      <c r="AN100" s="26"/>
      <c r="AO100" s="27"/>
      <c r="AP100" s="30"/>
      <c r="AQ100" s="26"/>
      <c r="AR100" s="26"/>
      <c r="AS100" s="32"/>
      <c r="AT100" s="34"/>
    </row>
    <row r="101" spans="2:46" x14ac:dyDescent="0.3">
      <c r="B101" s="8"/>
      <c r="C101" s="2" t="s">
        <v>745</v>
      </c>
      <c r="D101" s="26">
        <v>0</v>
      </c>
      <c r="E101" s="26">
        <v>0</v>
      </c>
      <c r="F101" s="27">
        <v>0</v>
      </c>
      <c r="G101" s="26">
        <v>0</v>
      </c>
      <c r="H101" s="26">
        <v>0</v>
      </c>
      <c r="I101" s="27">
        <v>0</v>
      </c>
      <c r="J101" s="26">
        <v>0</v>
      </c>
      <c r="K101" s="26">
        <v>0</v>
      </c>
      <c r="L101" s="67">
        <v>1</v>
      </c>
      <c r="N101" s="8"/>
      <c r="O101" s="2" t="s">
        <v>681</v>
      </c>
      <c r="P101" s="26">
        <v>0</v>
      </c>
      <c r="Q101" s="27">
        <v>0</v>
      </c>
      <c r="R101" s="30">
        <v>0</v>
      </c>
      <c r="S101" s="27">
        <v>0</v>
      </c>
      <c r="T101" s="30">
        <v>0</v>
      </c>
      <c r="U101" s="34">
        <v>1</v>
      </c>
      <c r="V101" s="34">
        <v>1</v>
      </c>
      <c r="X101" s="8"/>
      <c r="Y101" s="2"/>
      <c r="Z101" s="26"/>
      <c r="AA101" s="26"/>
      <c r="AB101" s="26"/>
      <c r="AC101" s="26"/>
      <c r="AD101" s="27"/>
      <c r="AE101" s="30"/>
      <c r="AF101" s="26"/>
      <c r="AG101" s="26"/>
      <c r="AH101" s="32"/>
      <c r="AJ101" s="8"/>
      <c r="AK101" s="2"/>
      <c r="AL101" s="26"/>
      <c r="AM101" s="26"/>
      <c r="AN101" s="26"/>
      <c r="AO101" s="27"/>
      <c r="AP101" s="30"/>
      <c r="AQ101" s="26"/>
      <c r="AR101" s="26"/>
      <c r="AS101" s="32"/>
      <c r="AT101" s="34"/>
    </row>
    <row r="102" spans="2:46" x14ac:dyDescent="0.3">
      <c r="B102" s="8"/>
      <c r="C102" s="2" t="s">
        <v>746</v>
      </c>
      <c r="D102" s="26">
        <v>0</v>
      </c>
      <c r="E102" s="26">
        <v>0</v>
      </c>
      <c r="F102" s="27">
        <v>0</v>
      </c>
      <c r="G102" s="26">
        <v>0</v>
      </c>
      <c r="H102" s="26">
        <v>0</v>
      </c>
      <c r="I102" s="27">
        <v>0</v>
      </c>
      <c r="J102" s="26">
        <v>0</v>
      </c>
      <c r="K102" s="26">
        <v>0</v>
      </c>
      <c r="L102" s="67">
        <v>1</v>
      </c>
      <c r="N102" s="8"/>
      <c r="O102" s="2" t="s">
        <v>682</v>
      </c>
      <c r="P102" s="26">
        <v>0</v>
      </c>
      <c r="Q102" s="27">
        <v>0</v>
      </c>
      <c r="R102" s="30">
        <v>0</v>
      </c>
      <c r="S102" s="27">
        <v>0</v>
      </c>
      <c r="T102" s="30">
        <v>0</v>
      </c>
      <c r="U102" s="34">
        <v>1</v>
      </c>
      <c r="V102" s="34">
        <v>1</v>
      </c>
      <c r="X102" s="8"/>
      <c r="Y102" s="2"/>
      <c r="Z102" s="26"/>
      <c r="AA102" s="26"/>
      <c r="AB102" s="26"/>
      <c r="AC102" s="26"/>
      <c r="AD102" s="27"/>
      <c r="AE102" s="30"/>
      <c r="AF102" s="26"/>
      <c r="AG102" s="26"/>
      <c r="AH102" s="32"/>
      <c r="AJ102" s="8"/>
      <c r="AK102" s="2"/>
      <c r="AL102" s="26"/>
      <c r="AM102" s="26"/>
      <c r="AN102" s="26"/>
      <c r="AO102" s="27"/>
      <c r="AP102" s="30"/>
      <c r="AQ102" s="26"/>
      <c r="AR102" s="26"/>
      <c r="AS102" s="32"/>
      <c r="AT102" s="34"/>
    </row>
    <row r="103" spans="2:46" x14ac:dyDescent="0.3">
      <c r="B103" s="8"/>
      <c r="C103" s="2" t="s">
        <v>747</v>
      </c>
      <c r="D103" s="26">
        <v>0</v>
      </c>
      <c r="E103" s="26">
        <v>0</v>
      </c>
      <c r="F103" s="27">
        <v>0</v>
      </c>
      <c r="G103" s="26">
        <v>0</v>
      </c>
      <c r="H103" s="26">
        <v>0</v>
      </c>
      <c r="I103" s="27">
        <v>0</v>
      </c>
      <c r="J103" s="26">
        <v>0</v>
      </c>
      <c r="K103" s="26">
        <v>0</v>
      </c>
      <c r="L103" s="67">
        <v>1</v>
      </c>
      <c r="N103" s="8"/>
      <c r="O103" s="2" t="s">
        <v>683</v>
      </c>
      <c r="P103" s="26">
        <v>0</v>
      </c>
      <c r="Q103" s="27">
        <v>0</v>
      </c>
      <c r="R103" s="30">
        <v>0</v>
      </c>
      <c r="S103" s="27">
        <v>0</v>
      </c>
      <c r="T103" s="30">
        <v>0</v>
      </c>
      <c r="U103" s="34">
        <v>1</v>
      </c>
      <c r="V103" s="34">
        <v>1</v>
      </c>
      <c r="X103" s="8"/>
      <c r="Y103" s="2"/>
      <c r="Z103" s="26"/>
      <c r="AA103" s="26"/>
      <c r="AB103" s="26"/>
      <c r="AC103" s="26"/>
      <c r="AD103" s="27"/>
      <c r="AE103" s="30"/>
      <c r="AF103" s="26"/>
      <c r="AG103" s="26"/>
      <c r="AH103" s="32"/>
      <c r="AJ103" s="8"/>
      <c r="AK103" s="2"/>
      <c r="AL103" s="26"/>
      <c r="AM103" s="26"/>
      <c r="AN103" s="26"/>
      <c r="AO103" s="27"/>
      <c r="AP103" s="30"/>
      <c r="AQ103" s="26"/>
      <c r="AR103" s="26"/>
      <c r="AS103" s="32"/>
      <c r="AT103" s="34"/>
    </row>
    <row r="104" spans="2:46" x14ac:dyDescent="0.3">
      <c r="B104" s="8"/>
      <c r="C104" s="2" t="s">
        <v>748</v>
      </c>
      <c r="D104" s="26">
        <v>0</v>
      </c>
      <c r="E104" s="26">
        <v>0</v>
      </c>
      <c r="F104" s="27">
        <v>0</v>
      </c>
      <c r="G104" s="26">
        <v>0</v>
      </c>
      <c r="H104" s="26">
        <v>0</v>
      </c>
      <c r="I104" s="27">
        <v>0</v>
      </c>
      <c r="J104" s="26">
        <v>0</v>
      </c>
      <c r="K104" s="26">
        <v>0</v>
      </c>
      <c r="L104" s="67">
        <v>1</v>
      </c>
      <c r="N104" s="8"/>
      <c r="O104" s="2" t="s">
        <v>684</v>
      </c>
      <c r="P104" s="26">
        <v>0</v>
      </c>
      <c r="Q104" s="27">
        <v>0</v>
      </c>
      <c r="R104" s="30">
        <v>0</v>
      </c>
      <c r="S104" s="27">
        <v>0</v>
      </c>
      <c r="T104" s="30">
        <v>0</v>
      </c>
      <c r="U104" s="34">
        <v>1</v>
      </c>
      <c r="V104" s="34">
        <v>1</v>
      </c>
      <c r="X104" s="8"/>
      <c r="Y104" s="2"/>
      <c r="Z104" s="26"/>
      <c r="AA104" s="26"/>
      <c r="AB104" s="26"/>
      <c r="AC104" s="26"/>
      <c r="AD104" s="27"/>
      <c r="AE104" s="30"/>
      <c r="AF104" s="26"/>
      <c r="AG104" s="26"/>
      <c r="AH104" s="32"/>
      <c r="AJ104" s="8"/>
      <c r="AK104" s="2"/>
      <c r="AL104" s="26"/>
      <c r="AM104" s="26"/>
      <c r="AN104" s="26"/>
      <c r="AO104" s="27"/>
      <c r="AP104" s="30"/>
      <c r="AQ104" s="26"/>
      <c r="AR104" s="26"/>
      <c r="AS104" s="32"/>
      <c r="AT104" s="34"/>
    </row>
    <row r="105" spans="2:46" x14ac:dyDescent="0.3">
      <c r="B105" s="8"/>
      <c r="C105" s="2" t="s">
        <v>749</v>
      </c>
      <c r="D105" s="26">
        <v>0</v>
      </c>
      <c r="E105" s="26">
        <v>0</v>
      </c>
      <c r="F105" s="27">
        <v>0</v>
      </c>
      <c r="G105" s="26">
        <v>0</v>
      </c>
      <c r="H105" s="26">
        <v>0</v>
      </c>
      <c r="I105" s="27">
        <v>0</v>
      </c>
      <c r="J105" s="26">
        <v>0</v>
      </c>
      <c r="K105" s="26">
        <v>0</v>
      </c>
      <c r="L105" s="67">
        <v>1</v>
      </c>
      <c r="N105" s="8"/>
      <c r="O105" s="2" t="s">
        <v>685</v>
      </c>
      <c r="P105" s="26">
        <v>0</v>
      </c>
      <c r="Q105" s="27">
        <v>0</v>
      </c>
      <c r="R105" s="30">
        <v>0</v>
      </c>
      <c r="S105" s="27">
        <v>0</v>
      </c>
      <c r="T105" s="30">
        <v>0</v>
      </c>
      <c r="U105" s="34">
        <v>1</v>
      </c>
      <c r="V105" s="34">
        <v>1</v>
      </c>
      <c r="X105" s="8"/>
      <c r="Y105" s="2"/>
      <c r="Z105" s="26"/>
      <c r="AA105" s="26"/>
      <c r="AB105" s="26"/>
      <c r="AC105" s="26"/>
      <c r="AD105" s="27"/>
      <c r="AE105" s="30"/>
      <c r="AF105" s="26"/>
      <c r="AG105" s="26"/>
      <c r="AH105" s="32"/>
      <c r="AJ105" s="8"/>
      <c r="AK105" s="2"/>
      <c r="AL105" s="26"/>
      <c r="AM105" s="26"/>
      <c r="AN105" s="26"/>
      <c r="AO105" s="27"/>
      <c r="AP105" s="30"/>
      <c r="AQ105" s="26"/>
      <c r="AR105" s="26"/>
      <c r="AS105" s="32"/>
      <c r="AT105" s="34"/>
    </row>
    <row r="106" spans="2:46" x14ac:dyDescent="0.3">
      <c r="B106" s="8"/>
      <c r="C106" s="2" t="s">
        <v>750</v>
      </c>
      <c r="D106" s="26">
        <v>0</v>
      </c>
      <c r="E106" s="26">
        <v>0</v>
      </c>
      <c r="F106" s="27">
        <v>0</v>
      </c>
      <c r="G106" s="26">
        <v>0</v>
      </c>
      <c r="H106" s="26">
        <v>0</v>
      </c>
      <c r="I106" s="27">
        <v>0</v>
      </c>
      <c r="J106" s="26">
        <v>0</v>
      </c>
      <c r="K106" s="26">
        <v>0</v>
      </c>
      <c r="L106" s="67">
        <v>1</v>
      </c>
      <c r="N106" s="8"/>
      <c r="O106" s="2" t="s">
        <v>686</v>
      </c>
      <c r="P106" s="26">
        <v>0</v>
      </c>
      <c r="Q106" s="27">
        <v>0</v>
      </c>
      <c r="R106" s="30">
        <v>0</v>
      </c>
      <c r="S106" s="27">
        <v>0</v>
      </c>
      <c r="T106" s="30">
        <v>0</v>
      </c>
      <c r="U106" s="34">
        <v>1</v>
      </c>
      <c r="V106" s="34">
        <v>1</v>
      </c>
      <c r="X106" s="8"/>
      <c r="Y106" s="2"/>
      <c r="Z106" s="26"/>
      <c r="AA106" s="26"/>
      <c r="AB106" s="26"/>
      <c r="AC106" s="26"/>
      <c r="AD106" s="27"/>
      <c r="AE106" s="30"/>
      <c r="AF106" s="26"/>
      <c r="AG106" s="26"/>
      <c r="AH106" s="32"/>
      <c r="AJ106" s="8"/>
      <c r="AK106" s="2"/>
      <c r="AL106" s="26"/>
      <c r="AM106" s="26"/>
      <c r="AN106" s="26"/>
      <c r="AO106" s="27"/>
      <c r="AP106" s="30"/>
      <c r="AQ106" s="26"/>
      <c r="AR106" s="26"/>
      <c r="AS106" s="32"/>
      <c r="AT106" s="34"/>
    </row>
    <row r="107" spans="2:46" x14ac:dyDescent="0.3">
      <c r="B107" s="8"/>
      <c r="C107" s="2" t="s">
        <v>751</v>
      </c>
      <c r="D107" s="26">
        <v>0</v>
      </c>
      <c r="E107" s="26">
        <v>0</v>
      </c>
      <c r="F107" s="27">
        <v>0</v>
      </c>
      <c r="G107" s="26">
        <v>0</v>
      </c>
      <c r="H107" s="26">
        <v>0</v>
      </c>
      <c r="I107" s="27">
        <v>0</v>
      </c>
      <c r="J107" s="26">
        <v>0</v>
      </c>
      <c r="K107" s="26">
        <v>0</v>
      </c>
      <c r="L107" s="67">
        <v>1</v>
      </c>
      <c r="N107" s="8"/>
      <c r="O107" s="2" t="s">
        <v>687</v>
      </c>
      <c r="P107" s="26">
        <v>0</v>
      </c>
      <c r="Q107" s="27">
        <v>0</v>
      </c>
      <c r="R107" s="30">
        <v>0</v>
      </c>
      <c r="S107" s="27">
        <v>0</v>
      </c>
      <c r="T107" s="30">
        <v>0</v>
      </c>
      <c r="U107" s="34">
        <v>1</v>
      </c>
      <c r="V107" s="34">
        <v>1</v>
      </c>
      <c r="X107" s="8"/>
      <c r="Y107" s="2"/>
      <c r="Z107" s="26"/>
      <c r="AA107" s="26"/>
      <c r="AB107" s="26"/>
      <c r="AC107" s="26"/>
      <c r="AD107" s="27"/>
      <c r="AE107" s="30"/>
      <c r="AF107" s="26"/>
      <c r="AG107" s="26"/>
      <c r="AH107" s="32"/>
      <c r="AJ107" s="8"/>
      <c r="AK107" s="2"/>
      <c r="AL107" s="26"/>
      <c r="AM107" s="26"/>
      <c r="AN107" s="26"/>
      <c r="AO107" s="27"/>
      <c r="AP107" s="30"/>
      <c r="AQ107" s="26"/>
      <c r="AR107" s="26"/>
      <c r="AS107" s="32"/>
      <c r="AT107" s="34"/>
    </row>
    <row r="108" spans="2:46" x14ac:dyDescent="0.3">
      <c r="B108" s="8"/>
      <c r="C108" s="2" t="s">
        <v>752</v>
      </c>
      <c r="D108" s="26">
        <v>0</v>
      </c>
      <c r="E108" s="26">
        <v>0</v>
      </c>
      <c r="F108" s="27">
        <v>0</v>
      </c>
      <c r="G108" s="26">
        <v>0</v>
      </c>
      <c r="H108" s="26">
        <v>0</v>
      </c>
      <c r="I108" s="27">
        <v>0</v>
      </c>
      <c r="J108" s="26">
        <v>0</v>
      </c>
      <c r="K108" s="26">
        <v>0</v>
      </c>
      <c r="L108" s="67">
        <v>1</v>
      </c>
      <c r="N108" s="8"/>
      <c r="O108" s="2" t="s">
        <v>688</v>
      </c>
      <c r="P108" s="26">
        <v>0</v>
      </c>
      <c r="Q108" s="27">
        <v>0</v>
      </c>
      <c r="R108" s="30">
        <v>0</v>
      </c>
      <c r="S108" s="27">
        <v>0</v>
      </c>
      <c r="T108" s="30">
        <v>0</v>
      </c>
      <c r="U108" s="34">
        <v>1</v>
      </c>
      <c r="V108" s="34">
        <v>1</v>
      </c>
      <c r="X108" s="8"/>
      <c r="Y108" s="2"/>
      <c r="Z108" s="26"/>
      <c r="AA108" s="26"/>
      <c r="AB108" s="26"/>
      <c r="AC108" s="26"/>
      <c r="AD108" s="27"/>
      <c r="AE108" s="30"/>
      <c r="AF108" s="26"/>
      <c r="AG108" s="26"/>
      <c r="AH108" s="32"/>
      <c r="AJ108" s="8"/>
      <c r="AK108" s="2"/>
      <c r="AL108" s="26"/>
      <c r="AM108" s="26"/>
      <c r="AN108" s="26"/>
      <c r="AO108" s="27"/>
      <c r="AP108" s="30"/>
      <c r="AQ108" s="26"/>
      <c r="AR108" s="26"/>
      <c r="AS108" s="32"/>
      <c r="AT108" s="34"/>
    </row>
    <row r="109" spans="2:46" x14ac:dyDescent="0.3">
      <c r="B109" s="8"/>
      <c r="C109" s="2"/>
      <c r="D109" s="26"/>
      <c r="E109" s="26"/>
      <c r="F109" s="27"/>
      <c r="G109" s="26"/>
      <c r="H109" s="26"/>
      <c r="I109" s="27"/>
      <c r="J109" s="26"/>
      <c r="K109" s="26"/>
      <c r="L109" s="67"/>
      <c r="N109" s="8"/>
      <c r="O109" s="2"/>
      <c r="P109" s="26"/>
      <c r="Q109" s="27"/>
      <c r="R109" s="30"/>
      <c r="S109" s="27"/>
      <c r="T109" s="30"/>
      <c r="U109" s="34"/>
      <c r="V109" s="34"/>
      <c r="X109" s="8"/>
      <c r="Y109" s="2"/>
      <c r="Z109" s="26"/>
      <c r="AA109" s="26"/>
      <c r="AB109" s="26"/>
      <c r="AC109" s="26"/>
      <c r="AD109" s="27"/>
      <c r="AE109" s="30"/>
      <c r="AF109" s="26"/>
      <c r="AG109" s="26"/>
      <c r="AH109" s="32"/>
      <c r="AJ109" s="8"/>
      <c r="AK109" s="2"/>
      <c r="AL109" s="26"/>
      <c r="AM109" s="26"/>
      <c r="AN109" s="26"/>
      <c r="AO109" s="27"/>
      <c r="AP109" s="30"/>
      <c r="AQ109" s="26"/>
      <c r="AR109" s="26"/>
      <c r="AS109" s="32"/>
      <c r="AT109" s="34"/>
    </row>
    <row r="110" spans="2:46" x14ac:dyDescent="0.3">
      <c r="B110" s="8"/>
      <c r="C110" s="2"/>
      <c r="D110" s="26"/>
      <c r="E110" s="26"/>
      <c r="F110" s="27"/>
      <c r="G110" s="26"/>
      <c r="H110" s="26"/>
      <c r="I110" s="27"/>
      <c r="J110" s="26"/>
      <c r="K110" s="26"/>
      <c r="L110" s="67"/>
      <c r="N110" s="8"/>
      <c r="O110" s="2"/>
      <c r="P110" s="26"/>
      <c r="Q110" s="27"/>
      <c r="R110" s="30"/>
      <c r="S110" s="27"/>
      <c r="T110" s="30"/>
      <c r="U110" s="34"/>
      <c r="V110" s="34"/>
      <c r="X110" s="8"/>
      <c r="Y110" s="2"/>
      <c r="Z110" s="26"/>
      <c r="AA110" s="26"/>
      <c r="AB110" s="26"/>
      <c r="AC110" s="26"/>
      <c r="AD110" s="27"/>
      <c r="AE110" s="30"/>
      <c r="AF110" s="26"/>
      <c r="AG110" s="26"/>
      <c r="AH110" s="32"/>
      <c r="AJ110" s="8"/>
      <c r="AK110" s="2"/>
      <c r="AL110" s="26"/>
      <c r="AM110" s="26"/>
      <c r="AN110" s="26"/>
      <c r="AO110" s="27"/>
      <c r="AP110" s="30"/>
      <c r="AQ110" s="26"/>
      <c r="AR110" s="26"/>
      <c r="AS110" s="32"/>
      <c r="AT110" s="34"/>
    </row>
    <row r="111" spans="2:46" x14ac:dyDescent="0.3">
      <c r="B111" s="8"/>
      <c r="C111" s="2"/>
      <c r="D111" s="26"/>
      <c r="E111" s="26"/>
      <c r="F111" s="27"/>
      <c r="G111" s="26"/>
      <c r="H111" s="26"/>
      <c r="I111" s="27"/>
      <c r="J111" s="26"/>
      <c r="K111" s="26"/>
      <c r="L111" s="67"/>
      <c r="N111" s="8"/>
      <c r="O111" s="2"/>
      <c r="P111" s="26"/>
      <c r="Q111" s="27"/>
      <c r="R111" s="30"/>
      <c r="S111" s="27"/>
      <c r="T111" s="30"/>
      <c r="U111" s="34"/>
      <c r="V111" s="34"/>
      <c r="X111" s="8"/>
      <c r="Y111" s="2"/>
      <c r="Z111" s="26"/>
      <c r="AA111" s="26"/>
      <c r="AB111" s="26"/>
      <c r="AC111" s="26"/>
      <c r="AD111" s="27"/>
      <c r="AE111" s="30"/>
      <c r="AF111" s="26"/>
      <c r="AG111" s="26"/>
      <c r="AH111" s="32"/>
      <c r="AJ111" s="8"/>
      <c r="AK111" s="2"/>
      <c r="AL111" s="26"/>
      <c r="AM111" s="26"/>
      <c r="AN111" s="26"/>
      <c r="AO111" s="27"/>
      <c r="AP111" s="30"/>
      <c r="AQ111" s="26"/>
      <c r="AR111" s="26"/>
      <c r="AS111" s="32"/>
      <c r="AT111" s="34"/>
    </row>
    <row r="112" spans="2:46" x14ac:dyDescent="0.3">
      <c r="B112" s="8"/>
      <c r="C112" s="2"/>
      <c r="D112" s="26"/>
      <c r="E112" s="26"/>
      <c r="F112" s="27"/>
      <c r="G112" s="26"/>
      <c r="H112" s="26"/>
      <c r="I112" s="27"/>
      <c r="J112" s="26"/>
      <c r="K112" s="26"/>
      <c r="L112" s="67"/>
      <c r="N112" s="8"/>
      <c r="O112" s="2"/>
      <c r="P112" s="26"/>
      <c r="Q112" s="27"/>
      <c r="R112" s="30"/>
      <c r="S112" s="27"/>
      <c r="T112" s="30"/>
      <c r="U112" s="34"/>
      <c r="V112" s="34"/>
      <c r="X112" s="8"/>
      <c r="Y112" s="2"/>
      <c r="Z112" s="26"/>
      <c r="AA112" s="26"/>
      <c r="AB112" s="26"/>
      <c r="AC112" s="26"/>
      <c r="AD112" s="27"/>
      <c r="AE112" s="30"/>
      <c r="AF112" s="26"/>
      <c r="AG112" s="26"/>
      <c r="AH112" s="32"/>
      <c r="AJ112" s="8"/>
      <c r="AK112" s="2"/>
      <c r="AL112" s="26"/>
      <c r="AM112" s="26"/>
      <c r="AN112" s="26"/>
      <c r="AO112" s="27"/>
      <c r="AP112" s="30"/>
      <c r="AQ112" s="26"/>
      <c r="AR112" s="26"/>
      <c r="AS112" s="32"/>
      <c r="AT112" s="34"/>
    </row>
    <row r="113" spans="2:46" x14ac:dyDescent="0.3">
      <c r="B113" s="8"/>
      <c r="C113" s="2"/>
      <c r="D113" s="26"/>
      <c r="E113" s="26"/>
      <c r="F113" s="27"/>
      <c r="G113" s="26"/>
      <c r="H113" s="26"/>
      <c r="I113" s="27"/>
      <c r="J113" s="26"/>
      <c r="K113" s="26"/>
      <c r="L113" s="67"/>
      <c r="N113" s="8"/>
      <c r="O113" s="2"/>
      <c r="P113" s="26"/>
      <c r="Q113" s="27"/>
      <c r="R113" s="30"/>
      <c r="S113" s="27"/>
      <c r="T113" s="30"/>
      <c r="U113" s="34"/>
      <c r="V113" s="34"/>
      <c r="X113" s="8"/>
      <c r="Y113" s="2"/>
      <c r="Z113" s="26"/>
      <c r="AA113" s="26"/>
      <c r="AB113" s="26"/>
      <c r="AC113" s="26"/>
      <c r="AD113" s="27"/>
      <c r="AE113" s="30"/>
      <c r="AF113" s="26"/>
      <c r="AG113" s="26"/>
      <c r="AH113" s="32"/>
      <c r="AJ113" s="8"/>
      <c r="AK113" s="2"/>
      <c r="AL113" s="26"/>
      <c r="AM113" s="26"/>
      <c r="AN113" s="26"/>
      <c r="AO113" s="27"/>
      <c r="AP113" s="30"/>
      <c r="AQ113" s="26"/>
      <c r="AR113" s="26"/>
      <c r="AS113" s="32"/>
      <c r="AT113" s="34"/>
    </row>
    <row r="114" spans="2:46" x14ac:dyDescent="0.3">
      <c r="B114" s="8"/>
      <c r="C114" s="2"/>
      <c r="D114" s="26"/>
      <c r="E114" s="26"/>
      <c r="F114" s="27"/>
      <c r="G114" s="26"/>
      <c r="H114" s="26"/>
      <c r="I114" s="27"/>
      <c r="J114" s="26"/>
      <c r="K114" s="26"/>
      <c r="L114" s="67"/>
      <c r="N114" s="8"/>
      <c r="O114" s="2"/>
      <c r="P114" s="26"/>
      <c r="Q114" s="27"/>
      <c r="R114" s="30"/>
      <c r="S114" s="27"/>
      <c r="T114" s="30"/>
      <c r="U114" s="34"/>
      <c r="V114" s="34"/>
      <c r="X114" s="8"/>
      <c r="Y114" s="2"/>
      <c r="Z114" s="26"/>
      <c r="AA114" s="26"/>
      <c r="AB114" s="26"/>
      <c r="AC114" s="26"/>
      <c r="AD114" s="27"/>
      <c r="AE114" s="30"/>
      <c r="AF114" s="26"/>
      <c r="AG114" s="26"/>
      <c r="AH114" s="32"/>
      <c r="AJ114" s="8"/>
      <c r="AK114" s="2"/>
      <c r="AL114" s="26"/>
      <c r="AM114" s="26"/>
      <c r="AN114" s="26"/>
      <c r="AO114" s="27"/>
      <c r="AP114" s="30"/>
      <c r="AQ114" s="26"/>
      <c r="AR114" s="26"/>
      <c r="AS114" s="32"/>
      <c r="AT114" s="34"/>
    </row>
    <row r="115" spans="2:46" x14ac:dyDescent="0.3">
      <c r="B115" s="8"/>
      <c r="C115" s="2"/>
      <c r="D115" s="26"/>
      <c r="E115" s="26"/>
      <c r="F115" s="27"/>
      <c r="G115" s="26"/>
      <c r="H115" s="26"/>
      <c r="I115" s="27"/>
      <c r="J115" s="26"/>
      <c r="K115" s="26"/>
      <c r="L115" s="67"/>
      <c r="N115" s="8"/>
      <c r="O115" s="2"/>
      <c r="P115" s="26"/>
      <c r="Q115" s="27"/>
      <c r="R115" s="30"/>
      <c r="S115" s="27"/>
      <c r="T115" s="30"/>
      <c r="U115" s="34"/>
      <c r="V115" s="34"/>
      <c r="X115" s="8"/>
      <c r="Y115" s="2"/>
      <c r="Z115" s="26"/>
      <c r="AA115" s="26"/>
      <c r="AB115" s="26"/>
      <c r="AC115" s="26"/>
      <c r="AD115" s="27"/>
      <c r="AE115" s="30"/>
      <c r="AF115" s="26"/>
      <c r="AG115" s="26"/>
      <c r="AH115" s="32"/>
      <c r="AJ115" s="8"/>
      <c r="AK115" s="2"/>
      <c r="AL115" s="26"/>
      <c r="AM115" s="26"/>
      <c r="AN115" s="26"/>
      <c r="AO115" s="27"/>
      <c r="AP115" s="30"/>
      <c r="AQ115" s="26"/>
      <c r="AR115" s="26"/>
      <c r="AS115" s="32"/>
      <c r="AT115" s="34"/>
    </row>
    <row r="116" spans="2:46" x14ac:dyDescent="0.3">
      <c r="B116" s="8"/>
      <c r="C116" s="2"/>
      <c r="D116" s="26"/>
      <c r="E116" s="26"/>
      <c r="F116" s="27"/>
      <c r="G116" s="26"/>
      <c r="H116" s="26"/>
      <c r="I116" s="27"/>
      <c r="J116" s="26"/>
      <c r="K116" s="26"/>
      <c r="L116" s="67"/>
      <c r="N116" s="8"/>
      <c r="O116" s="2"/>
      <c r="P116" s="26"/>
      <c r="Q116" s="27"/>
      <c r="R116" s="30"/>
      <c r="S116" s="27"/>
      <c r="T116" s="30"/>
      <c r="U116" s="34"/>
      <c r="V116" s="34"/>
      <c r="X116" s="8"/>
      <c r="Y116" s="2"/>
      <c r="Z116" s="26"/>
      <c r="AA116" s="26"/>
      <c r="AB116" s="26"/>
      <c r="AC116" s="26"/>
      <c r="AD116" s="27"/>
      <c r="AE116" s="30"/>
      <c r="AF116" s="26"/>
      <c r="AG116" s="26"/>
      <c r="AH116" s="32"/>
      <c r="AJ116" s="8"/>
      <c r="AK116" s="2"/>
      <c r="AL116" s="26"/>
      <c r="AM116" s="26"/>
      <c r="AN116" s="26"/>
      <c r="AO116" s="27"/>
      <c r="AP116" s="30"/>
      <c r="AQ116" s="26"/>
      <c r="AR116" s="26"/>
      <c r="AS116" s="32"/>
      <c r="AT116" s="34"/>
    </row>
    <row r="117" spans="2:46" x14ac:dyDescent="0.3">
      <c r="B117" s="8"/>
      <c r="C117" s="2"/>
      <c r="D117" s="26"/>
      <c r="E117" s="26"/>
      <c r="F117" s="27"/>
      <c r="G117" s="26"/>
      <c r="H117" s="26"/>
      <c r="I117" s="27"/>
      <c r="J117" s="26"/>
      <c r="K117" s="26"/>
      <c r="L117" s="67"/>
      <c r="N117" s="8"/>
      <c r="O117" s="2"/>
      <c r="P117" s="26"/>
      <c r="Q117" s="27"/>
      <c r="R117" s="30"/>
      <c r="S117" s="27"/>
      <c r="T117" s="30"/>
      <c r="U117" s="34"/>
      <c r="V117" s="34"/>
      <c r="X117" s="8"/>
      <c r="Y117" s="2"/>
      <c r="Z117" s="26"/>
      <c r="AA117" s="26"/>
      <c r="AB117" s="26"/>
      <c r="AC117" s="26"/>
      <c r="AD117" s="27"/>
      <c r="AE117" s="30"/>
      <c r="AF117" s="26"/>
      <c r="AG117" s="26"/>
      <c r="AH117" s="32"/>
      <c r="AJ117" s="8"/>
      <c r="AK117" s="2"/>
      <c r="AL117" s="26"/>
      <c r="AM117" s="26"/>
      <c r="AN117" s="26"/>
      <c r="AO117" s="27"/>
      <c r="AP117" s="30"/>
      <c r="AQ117" s="26"/>
      <c r="AR117" s="26"/>
      <c r="AS117" s="32"/>
      <c r="AT117" s="34"/>
    </row>
    <row r="118" spans="2:46" x14ac:dyDescent="0.3">
      <c r="B118" s="8"/>
      <c r="C118" s="2"/>
      <c r="D118" s="26"/>
      <c r="E118" s="26"/>
      <c r="F118" s="27"/>
      <c r="G118" s="26"/>
      <c r="H118" s="26"/>
      <c r="I118" s="27"/>
      <c r="J118" s="26"/>
      <c r="K118" s="26"/>
      <c r="L118" s="67"/>
      <c r="N118" s="8"/>
      <c r="O118" s="2"/>
      <c r="P118" s="26"/>
      <c r="Q118" s="27"/>
      <c r="R118" s="30"/>
      <c r="S118" s="27"/>
      <c r="T118" s="30"/>
      <c r="U118" s="34"/>
      <c r="V118" s="34"/>
      <c r="X118" s="8"/>
      <c r="Y118" s="2"/>
      <c r="Z118" s="26"/>
      <c r="AA118" s="26"/>
      <c r="AB118" s="26"/>
      <c r="AC118" s="26"/>
      <c r="AD118" s="27"/>
      <c r="AE118" s="30"/>
      <c r="AF118" s="26"/>
      <c r="AG118" s="26"/>
      <c r="AH118" s="32"/>
      <c r="AJ118" s="8"/>
      <c r="AK118" s="2"/>
      <c r="AL118" s="26"/>
      <c r="AM118" s="26"/>
      <c r="AN118" s="26"/>
      <c r="AO118" s="27"/>
      <c r="AP118" s="30"/>
      <c r="AQ118" s="26"/>
      <c r="AR118" s="26"/>
      <c r="AS118" s="32"/>
      <c r="AT118" s="34"/>
    </row>
    <row r="119" spans="2:46" x14ac:dyDescent="0.3">
      <c r="B119" s="8"/>
      <c r="C119" s="2"/>
      <c r="D119" s="26"/>
      <c r="E119" s="26"/>
      <c r="F119" s="27"/>
      <c r="G119" s="26"/>
      <c r="H119" s="26"/>
      <c r="I119" s="27"/>
      <c r="J119" s="26"/>
      <c r="K119" s="26"/>
      <c r="L119" s="67"/>
      <c r="N119" s="8"/>
      <c r="O119" s="2"/>
      <c r="P119" s="26"/>
      <c r="Q119" s="27"/>
      <c r="R119" s="30"/>
      <c r="S119" s="27"/>
      <c r="T119" s="30"/>
      <c r="U119" s="34"/>
      <c r="V119" s="34"/>
      <c r="X119" s="8"/>
      <c r="Y119" s="2"/>
      <c r="Z119" s="26"/>
      <c r="AA119" s="26"/>
      <c r="AB119" s="26"/>
      <c r="AC119" s="26"/>
      <c r="AD119" s="27"/>
      <c r="AE119" s="30"/>
      <c r="AF119" s="26"/>
      <c r="AG119" s="26"/>
      <c r="AH119" s="32"/>
      <c r="AJ119" s="8"/>
      <c r="AK119" s="2"/>
      <c r="AL119" s="26"/>
      <c r="AM119" s="26"/>
      <c r="AN119" s="26"/>
      <c r="AO119" s="27"/>
      <c r="AP119" s="30"/>
      <c r="AQ119" s="26"/>
      <c r="AR119" s="26"/>
      <c r="AS119" s="32"/>
      <c r="AT119" s="34"/>
    </row>
    <row r="120" spans="2:46" x14ac:dyDescent="0.3">
      <c r="B120" s="8"/>
      <c r="C120" s="2"/>
      <c r="D120" s="26"/>
      <c r="E120" s="26"/>
      <c r="F120" s="27"/>
      <c r="G120" s="26"/>
      <c r="H120" s="26"/>
      <c r="I120" s="27"/>
      <c r="J120" s="26"/>
      <c r="K120" s="26"/>
      <c r="L120" s="67"/>
      <c r="N120" s="8"/>
      <c r="O120" s="2"/>
      <c r="P120" s="26"/>
      <c r="Q120" s="27"/>
      <c r="R120" s="30"/>
      <c r="S120" s="27"/>
      <c r="T120" s="30"/>
      <c r="U120" s="34"/>
      <c r="V120" s="34"/>
      <c r="X120" s="8"/>
      <c r="Y120" s="2"/>
      <c r="Z120" s="26"/>
      <c r="AA120" s="26"/>
      <c r="AB120" s="26"/>
      <c r="AC120" s="26"/>
      <c r="AD120" s="27"/>
      <c r="AE120" s="30"/>
      <c r="AF120" s="26"/>
      <c r="AG120" s="26"/>
      <c r="AH120" s="32"/>
      <c r="AJ120" s="8"/>
      <c r="AK120" s="2"/>
      <c r="AL120" s="26"/>
      <c r="AM120" s="26"/>
      <c r="AN120" s="26"/>
      <c r="AO120" s="27"/>
      <c r="AP120" s="30"/>
      <c r="AQ120" s="26"/>
      <c r="AR120" s="26"/>
      <c r="AS120" s="32"/>
      <c r="AT120" s="34"/>
    </row>
    <row r="121" spans="2:46" x14ac:dyDescent="0.3">
      <c r="B121" s="8"/>
      <c r="C121" s="2"/>
      <c r="D121" s="26"/>
      <c r="E121" s="26"/>
      <c r="F121" s="27"/>
      <c r="G121" s="26"/>
      <c r="H121" s="26"/>
      <c r="I121" s="27"/>
      <c r="J121" s="26"/>
      <c r="K121" s="26"/>
      <c r="L121" s="67"/>
      <c r="N121" s="8"/>
      <c r="O121" s="2"/>
      <c r="P121" s="26"/>
      <c r="Q121" s="27"/>
      <c r="R121" s="30"/>
      <c r="S121" s="27"/>
      <c r="T121" s="30"/>
      <c r="U121" s="34"/>
      <c r="V121" s="34"/>
      <c r="X121" s="8"/>
      <c r="Y121" s="2"/>
      <c r="Z121" s="26"/>
      <c r="AA121" s="26"/>
      <c r="AB121" s="26"/>
      <c r="AC121" s="26"/>
      <c r="AD121" s="27"/>
      <c r="AE121" s="30"/>
      <c r="AF121" s="26"/>
      <c r="AG121" s="26"/>
      <c r="AH121" s="32"/>
      <c r="AJ121" s="8"/>
      <c r="AK121" s="2"/>
      <c r="AL121" s="26"/>
      <c r="AM121" s="26"/>
      <c r="AN121" s="26"/>
      <c r="AO121" s="27"/>
      <c r="AP121" s="30"/>
      <c r="AQ121" s="26"/>
      <c r="AR121" s="26"/>
      <c r="AS121" s="32"/>
      <c r="AT121" s="34"/>
    </row>
    <row r="122" spans="2:46" x14ac:dyDescent="0.3">
      <c r="B122" s="8"/>
      <c r="C122" s="2"/>
      <c r="D122" s="26"/>
      <c r="E122" s="26"/>
      <c r="F122" s="27"/>
      <c r="G122" s="26"/>
      <c r="H122" s="26"/>
      <c r="I122" s="27"/>
      <c r="J122" s="26"/>
      <c r="K122" s="26"/>
      <c r="L122" s="67"/>
      <c r="N122" s="8"/>
      <c r="O122" s="2"/>
      <c r="P122" s="26"/>
      <c r="Q122" s="27"/>
      <c r="R122" s="30"/>
      <c r="S122" s="27"/>
      <c r="T122" s="30"/>
      <c r="U122" s="34"/>
      <c r="V122" s="34"/>
      <c r="X122" s="8"/>
      <c r="Y122" s="2"/>
      <c r="Z122" s="26"/>
      <c r="AA122" s="26"/>
      <c r="AB122" s="26"/>
      <c r="AC122" s="26"/>
      <c r="AD122" s="27"/>
      <c r="AE122" s="30"/>
      <c r="AF122" s="26"/>
      <c r="AG122" s="26"/>
      <c r="AH122" s="32"/>
      <c r="AJ122" s="8"/>
      <c r="AK122" s="2"/>
      <c r="AL122" s="26"/>
      <c r="AM122" s="26"/>
      <c r="AN122" s="26"/>
      <c r="AO122" s="27"/>
      <c r="AP122" s="30"/>
      <c r="AQ122" s="26"/>
      <c r="AR122" s="26"/>
      <c r="AS122" s="32"/>
      <c r="AT122" s="34"/>
    </row>
    <row r="123" spans="2:46" x14ac:dyDescent="0.3">
      <c r="B123" s="8"/>
      <c r="C123" s="2"/>
      <c r="D123" s="26"/>
      <c r="E123" s="26"/>
      <c r="F123" s="27"/>
      <c r="G123" s="26"/>
      <c r="H123" s="26"/>
      <c r="I123" s="27"/>
      <c r="J123" s="26"/>
      <c r="K123" s="26"/>
      <c r="L123" s="67"/>
      <c r="N123" s="8"/>
      <c r="O123" s="2"/>
      <c r="P123" s="26"/>
      <c r="Q123" s="27"/>
      <c r="R123" s="30"/>
      <c r="S123" s="27"/>
      <c r="T123" s="30"/>
      <c r="U123" s="34"/>
      <c r="V123" s="34"/>
      <c r="X123" s="8"/>
      <c r="Y123" s="2"/>
      <c r="Z123" s="26"/>
      <c r="AA123" s="26"/>
      <c r="AB123" s="26"/>
      <c r="AC123" s="26"/>
      <c r="AD123" s="27"/>
      <c r="AE123" s="30"/>
      <c r="AF123" s="26"/>
      <c r="AG123" s="26"/>
      <c r="AH123" s="32"/>
      <c r="AJ123" s="8"/>
      <c r="AK123" s="2"/>
      <c r="AL123" s="26"/>
      <c r="AM123" s="26"/>
      <c r="AN123" s="26"/>
      <c r="AO123" s="27"/>
      <c r="AP123" s="30"/>
      <c r="AQ123" s="26"/>
      <c r="AR123" s="26"/>
      <c r="AS123" s="32"/>
      <c r="AT123" s="34"/>
    </row>
    <row r="124" spans="2:46" x14ac:dyDescent="0.3">
      <c r="B124" s="8"/>
      <c r="C124" s="2"/>
      <c r="D124" s="26"/>
      <c r="E124" s="26"/>
      <c r="F124" s="27"/>
      <c r="G124" s="26"/>
      <c r="H124" s="26"/>
      <c r="I124" s="27"/>
      <c r="J124" s="26"/>
      <c r="K124" s="26"/>
      <c r="L124" s="67"/>
      <c r="N124" s="8"/>
      <c r="O124" s="2"/>
      <c r="P124" s="26"/>
      <c r="Q124" s="27"/>
      <c r="R124" s="30"/>
      <c r="S124" s="27"/>
      <c r="T124" s="30"/>
      <c r="U124" s="34"/>
      <c r="V124" s="34"/>
      <c r="X124" s="8"/>
      <c r="Y124" s="2"/>
      <c r="Z124" s="26"/>
      <c r="AA124" s="26"/>
      <c r="AB124" s="26"/>
      <c r="AC124" s="26"/>
      <c r="AD124" s="27"/>
      <c r="AE124" s="30"/>
      <c r="AF124" s="26"/>
      <c r="AG124" s="26"/>
      <c r="AH124" s="32"/>
      <c r="AJ124" s="8"/>
      <c r="AK124" s="2"/>
      <c r="AL124" s="26"/>
      <c r="AM124" s="26"/>
      <c r="AN124" s="26"/>
      <c r="AO124" s="27"/>
      <c r="AP124" s="30"/>
      <c r="AQ124" s="26"/>
      <c r="AR124" s="26"/>
      <c r="AS124" s="32"/>
      <c r="AT124" s="34"/>
    </row>
    <row r="125" spans="2:46" x14ac:dyDescent="0.3">
      <c r="B125" s="8"/>
      <c r="C125" s="2"/>
      <c r="D125" s="26"/>
      <c r="E125" s="26"/>
      <c r="F125" s="27"/>
      <c r="G125" s="26"/>
      <c r="H125" s="26"/>
      <c r="I125" s="27"/>
      <c r="J125" s="26"/>
      <c r="K125" s="26"/>
      <c r="L125" s="67"/>
      <c r="N125" s="8"/>
      <c r="O125" s="2"/>
      <c r="P125" s="26"/>
      <c r="Q125" s="27"/>
      <c r="R125" s="30"/>
      <c r="S125" s="27"/>
      <c r="T125" s="30"/>
      <c r="U125" s="34"/>
      <c r="V125" s="34"/>
      <c r="X125" s="8"/>
      <c r="Y125" s="2"/>
      <c r="Z125" s="26"/>
      <c r="AA125" s="26"/>
      <c r="AB125" s="26"/>
      <c r="AC125" s="26"/>
      <c r="AD125" s="27"/>
      <c r="AE125" s="30"/>
      <c r="AF125" s="26"/>
      <c r="AG125" s="26"/>
      <c r="AH125" s="32"/>
      <c r="AJ125" s="8"/>
      <c r="AK125" s="2"/>
      <c r="AL125" s="26"/>
      <c r="AM125" s="26"/>
      <c r="AN125" s="26"/>
      <c r="AO125" s="27"/>
      <c r="AP125" s="30"/>
      <c r="AQ125" s="26"/>
      <c r="AR125" s="26"/>
      <c r="AS125" s="32"/>
      <c r="AT125" s="34"/>
    </row>
    <row r="126" spans="2:46" x14ac:dyDescent="0.3">
      <c r="B126" s="8"/>
      <c r="C126" s="2"/>
      <c r="D126" s="26"/>
      <c r="E126" s="26"/>
      <c r="F126" s="27"/>
      <c r="G126" s="26"/>
      <c r="H126" s="26"/>
      <c r="I126" s="27"/>
      <c r="J126" s="26"/>
      <c r="K126" s="26"/>
      <c r="L126" s="67"/>
      <c r="N126" s="8"/>
      <c r="O126" s="2"/>
      <c r="P126" s="26"/>
      <c r="Q126" s="27"/>
      <c r="R126" s="30"/>
      <c r="S126" s="27"/>
      <c r="T126" s="30"/>
      <c r="U126" s="34"/>
      <c r="V126" s="34"/>
      <c r="X126" s="8"/>
      <c r="Y126" s="2"/>
      <c r="Z126" s="26"/>
      <c r="AA126" s="26"/>
      <c r="AB126" s="26"/>
      <c r="AC126" s="26"/>
      <c r="AD126" s="27"/>
      <c r="AE126" s="30"/>
      <c r="AF126" s="26"/>
      <c r="AG126" s="26"/>
      <c r="AH126" s="32"/>
      <c r="AJ126" s="8"/>
      <c r="AK126" s="2"/>
      <c r="AL126" s="26"/>
      <c r="AM126" s="26"/>
      <c r="AN126" s="26"/>
      <c r="AO126" s="27"/>
      <c r="AP126" s="30"/>
      <c r="AQ126" s="26"/>
      <c r="AR126" s="26"/>
      <c r="AS126" s="32"/>
      <c r="AT126" s="34"/>
    </row>
    <row r="127" spans="2:46" x14ac:dyDescent="0.3">
      <c r="B127" s="8"/>
      <c r="C127" s="2"/>
      <c r="D127" s="26"/>
      <c r="E127" s="26"/>
      <c r="F127" s="27"/>
      <c r="G127" s="26"/>
      <c r="H127" s="26"/>
      <c r="I127" s="27"/>
      <c r="J127" s="26"/>
      <c r="K127" s="26"/>
      <c r="L127" s="67"/>
      <c r="N127" s="8"/>
      <c r="O127" s="2"/>
      <c r="P127" s="26"/>
      <c r="Q127" s="27"/>
      <c r="R127" s="30"/>
      <c r="S127" s="27"/>
      <c r="T127" s="30"/>
      <c r="U127" s="34"/>
      <c r="V127" s="34"/>
      <c r="X127" s="8"/>
      <c r="Y127" s="2"/>
      <c r="Z127" s="26"/>
      <c r="AA127" s="26"/>
      <c r="AB127" s="26"/>
      <c r="AC127" s="26"/>
      <c r="AD127" s="27"/>
      <c r="AE127" s="30"/>
      <c r="AF127" s="26"/>
      <c r="AG127" s="26"/>
      <c r="AH127" s="32"/>
      <c r="AJ127" s="8"/>
      <c r="AK127" s="2"/>
      <c r="AL127" s="26"/>
      <c r="AM127" s="26"/>
      <c r="AN127" s="26"/>
      <c r="AO127" s="27"/>
      <c r="AP127" s="30"/>
      <c r="AQ127" s="26"/>
      <c r="AR127" s="26"/>
      <c r="AS127" s="32"/>
      <c r="AT127" s="34"/>
    </row>
    <row r="128" spans="2:46" x14ac:dyDescent="0.3">
      <c r="B128" s="8"/>
      <c r="C128" s="2"/>
      <c r="D128" s="26"/>
      <c r="E128" s="26"/>
      <c r="F128" s="27"/>
      <c r="G128" s="26"/>
      <c r="H128" s="26"/>
      <c r="I128" s="27"/>
      <c r="J128" s="26"/>
      <c r="K128" s="26"/>
      <c r="L128" s="67"/>
      <c r="N128" s="8"/>
      <c r="O128" s="2"/>
      <c r="P128" s="26"/>
      <c r="Q128" s="27"/>
      <c r="R128" s="30"/>
      <c r="S128" s="27"/>
      <c r="T128" s="30"/>
      <c r="U128" s="34"/>
      <c r="V128" s="34"/>
      <c r="X128" s="8"/>
      <c r="Y128" s="2"/>
      <c r="Z128" s="26"/>
      <c r="AA128" s="26"/>
      <c r="AB128" s="26"/>
      <c r="AC128" s="26"/>
      <c r="AD128" s="27"/>
      <c r="AE128" s="30"/>
      <c r="AF128" s="26"/>
      <c r="AG128" s="26"/>
      <c r="AH128" s="32"/>
      <c r="AJ128" s="8"/>
      <c r="AK128" s="2"/>
      <c r="AL128" s="26"/>
      <c r="AM128" s="26"/>
      <c r="AN128" s="26"/>
      <c r="AO128" s="27"/>
      <c r="AP128" s="30"/>
      <c r="AQ128" s="26"/>
      <c r="AR128" s="26"/>
      <c r="AS128" s="32"/>
      <c r="AT128" s="34"/>
    </row>
    <row r="129" spans="2:46" x14ac:dyDescent="0.3">
      <c r="B129" s="8"/>
      <c r="C129" s="2"/>
      <c r="D129" s="26"/>
      <c r="E129" s="26"/>
      <c r="F129" s="27"/>
      <c r="G129" s="26"/>
      <c r="H129" s="26"/>
      <c r="I129" s="27"/>
      <c r="J129" s="26"/>
      <c r="K129" s="26"/>
      <c r="L129" s="67"/>
      <c r="N129" s="8"/>
      <c r="O129" s="2"/>
      <c r="P129" s="26"/>
      <c r="Q129" s="27"/>
      <c r="R129" s="30"/>
      <c r="S129" s="27"/>
      <c r="T129" s="30"/>
      <c r="U129" s="34"/>
      <c r="V129" s="34"/>
      <c r="X129" s="8"/>
      <c r="Y129" s="2"/>
      <c r="Z129" s="26"/>
      <c r="AA129" s="26"/>
      <c r="AB129" s="26"/>
      <c r="AC129" s="26"/>
      <c r="AD129" s="27"/>
      <c r="AE129" s="30"/>
      <c r="AF129" s="26"/>
      <c r="AG129" s="26"/>
      <c r="AH129" s="32"/>
      <c r="AJ129" s="8"/>
      <c r="AK129" s="2"/>
      <c r="AL129" s="26"/>
      <c r="AM129" s="26"/>
      <c r="AN129" s="26"/>
      <c r="AO129" s="27"/>
      <c r="AP129" s="30"/>
      <c r="AQ129" s="26"/>
      <c r="AR129" s="26"/>
      <c r="AS129" s="32"/>
      <c r="AT129" s="34"/>
    </row>
    <row r="130" spans="2:46" x14ac:dyDescent="0.3">
      <c r="B130" s="8"/>
      <c r="C130" s="2"/>
      <c r="D130" s="26"/>
      <c r="E130" s="26"/>
      <c r="F130" s="27"/>
      <c r="G130" s="26"/>
      <c r="H130" s="26"/>
      <c r="I130" s="27"/>
      <c r="J130" s="26"/>
      <c r="K130" s="26"/>
      <c r="L130" s="67"/>
      <c r="N130" s="8"/>
      <c r="O130" s="2"/>
      <c r="P130" s="26"/>
      <c r="Q130" s="27"/>
      <c r="R130" s="30"/>
      <c r="S130" s="27"/>
      <c r="T130" s="30"/>
      <c r="U130" s="34"/>
      <c r="V130" s="34"/>
      <c r="X130" s="8"/>
      <c r="Y130" s="2"/>
      <c r="Z130" s="26"/>
      <c r="AA130" s="26"/>
      <c r="AB130" s="26"/>
      <c r="AC130" s="26"/>
      <c r="AD130" s="27"/>
      <c r="AE130" s="30"/>
      <c r="AF130" s="26"/>
      <c r="AG130" s="26"/>
      <c r="AH130" s="32"/>
      <c r="AJ130" s="8"/>
      <c r="AK130" s="2"/>
      <c r="AL130" s="26"/>
      <c r="AM130" s="26"/>
      <c r="AN130" s="26"/>
      <c r="AO130" s="27"/>
      <c r="AP130" s="30"/>
      <c r="AQ130" s="26"/>
      <c r="AR130" s="26"/>
      <c r="AS130" s="32"/>
      <c r="AT130" s="34"/>
    </row>
    <row r="131" spans="2:46" x14ac:dyDescent="0.3">
      <c r="B131" s="8"/>
      <c r="C131" s="2"/>
      <c r="D131" s="26"/>
      <c r="E131" s="26"/>
      <c r="F131" s="27"/>
      <c r="G131" s="26"/>
      <c r="H131" s="26"/>
      <c r="I131" s="27"/>
      <c r="J131" s="26"/>
      <c r="K131" s="26"/>
      <c r="L131" s="67"/>
      <c r="N131" s="8"/>
      <c r="O131" s="2"/>
      <c r="P131" s="26"/>
      <c r="Q131" s="27"/>
      <c r="R131" s="30"/>
      <c r="S131" s="27"/>
      <c r="T131" s="30"/>
      <c r="U131" s="34"/>
      <c r="V131" s="34"/>
      <c r="X131" s="8"/>
      <c r="Y131" s="2"/>
      <c r="Z131" s="26"/>
      <c r="AA131" s="26"/>
      <c r="AB131" s="26"/>
      <c r="AC131" s="26"/>
      <c r="AD131" s="27"/>
      <c r="AE131" s="30"/>
      <c r="AF131" s="26"/>
      <c r="AG131" s="26"/>
      <c r="AH131" s="32"/>
      <c r="AJ131" s="8"/>
      <c r="AK131" s="2"/>
      <c r="AL131" s="26"/>
      <c r="AM131" s="26"/>
      <c r="AN131" s="26"/>
      <c r="AO131" s="27"/>
      <c r="AP131" s="30"/>
      <c r="AQ131" s="26"/>
      <c r="AR131" s="26"/>
      <c r="AS131" s="32"/>
      <c r="AT131" s="34"/>
    </row>
    <row r="132" spans="2:46" x14ac:dyDescent="0.3">
      <c r="B132" s="8"/>
      <c r="C132" s="2"/>
      <c r="D132" s="26"/>
      <c r="E132" s="26"/>
      <c r="F132" s="27"/>
      <c r="G132" s="26"/>
      <c r="H132" s="26"/>
      <c r="I132" s="27"/>
      <c r="J132" s="26"/>
      <c r="K132" s="26"/>
      <c r="L132" s="67"/>
      <c r="N132" s="8"/>
      <c r="O132" s="2"/>
      <c r="P132" s="26"/>
      <c r="Q132" s="27"/>
      <c r="R132" s="30"/>
      <c r="S132" s="27"/>
      <c r="T132" s="30"/>
      <c r="U132" s="34"/>
      <c r="V132" s="34"/>
      <c r="X132" s="8"/>
      <c r="Y132" s="2"/>
      <c r="Z132" s="26"/>
      <c r="AA132" s="26"/>
      <c r="AB132" s="26"/>
      <c r="AC132" s="26"/>
      <c r="AD132" s="27"/>
      <c r="AE132" s="30"/>
      <c r="AF132" s="26"/>
      <c r="AG132" s="26"/>
      <c r="AH132" s="32"/>
      <c r="AJ132" s="8"/>
      <c r="AK132" s="2"/>
      <c r="AL132" s="26"/>
      <c r="AM132" s="26"/>
      <c r="AN132" s="26"/>
      <c r="AO132" s="27"/>
      <c r="AP132" s="30"/>
      <c r="AQ132" s="26"/>
      <c r="AR132" s="26"/>
      <c r="AS132" s="32"/>
      <c r="AT132" s="34"/>
    </row>
    <row r="133" spans="2:46" x14ac:dyDescent="0.3">
      <c r="B133" s="8"/>
      <c r="C133" s="2"/>
      <c r="D133" s="26"/>
      <c r="E133" s="26"/>
      <c r="F133" s="27"/>
      <c r="G133" s="26"/>
      <c r="H133" s="26"/>
      <c r="I133" s="27"/>
      <c r="J133" s="26"/>
      <c r="K133" s="26"/>
      <c r="L133" s="67"/>
      <c r="N133" s="8"/>
      <c r="O133" s="2"/>
      <c r="P133" s="26"/>
      <c r="Q133" s="27"/>
      <c r="R133" s="30"/>
      <c r="S133" s="27"/>
      <c r="T133" s="30"/>
      <c r="U133" s="34"/>
      <c r="V133" s="34"/>
      <c r="X133" s="8"/>
      <c r="Y133" s="2"/>
      <c r="Z133" s="26"/>
      <c r="AA133" s="26"/>
      <c r="AB133" s="26"/>
      <c r="AC133" s="26"/>
      <c r="AD133" s="27"/>
      <c r="AE133" s="30"/>
      <c r="AF133" s="26"/>
      <c r="AG133" s="26"/>
      <c r="AH133" s="32"/>
      <c r="AJ133" s="8"/>
      <c r="AK133" s="2"/>
      <c r="AL133" s="26"/>
      <c r="AM133" s="26"/>
      <c r="AN133" s="26"/>
      <c r="AO133" s="27"/>
      <c r="AP133" s="30"/>
      <c r="AQ133" s="26"/>
      <c r="AR133" s="26"/>
      <c r="AS133" s="32"/>
      <c r="AT133" s="34"/>
    </row>
    <row r="134" spans="2:46" x14ac:dyDescent="0.3">
      <c r="B134" s="8"/>
      <c r="C134" s="2"/>
      <c r="D134" s="26"/>
      <c r="E134" s="26"/>
      <c r="F134" s="27"/>
      <c r="G134" s="26"/>
      <c r="H134" s="26"/>
      <c r="I134" s="27"/>
      <c r="J134" s="26"/>
      <c r="K134" s="26"/>
      <c r="L134" s="67"/>
      <c r="N134" s="8"/>
      <c r="O134" s="2"/>
      <c r="P134" s="26"/>
      <c r="Q134" s="27"/>
      <c r="R134" s="30"/>
      <c r="S134" s="27"/>
      <c r="T134" s="30"/>
      <c r="U134" s="34"/>
      <c r="V134" s="34"/>
      <c r="X134" s="8"/>
      <c r="Y134" s="2"/>
      <c r="Z134" s="26"/>
      <c r="AA134" s="26"/>
      <c r="AB134" s="26"/>
      <c r="AC134" s="26"/>
      <c r="AD134" s="27"/>
      <c r="AE134" s="30"/>
      <c r="AF134" s="26"/>
      <c r="AG134" s="26"/>
      <c r="AH134" s="32"/>
      <c r="AJ134" s="8"/>
      <c r="AK134" s="2"/>
      <c r="AL134" s="26"/>
      <c r="AM134" s="26"/>
      <c r="AN134" s="26"/>
      <c r="AO134" s="27"/>
      <c r="AP134" s="30"/>
      <c r="AQ134" s="26"/>
      <c r="AR134" s="26"/>
      <c r="AS134" s="32"/>
      <c r="AT134" s="34"/>
    </row>
    <row r="135" spans="2:46" x14ac:dyDescent="0.3">
      <c r="B135" s="8"/>
      <c r="C135" s="2"/>
      <c r="D135" s="26"/>
      <c r="E135" s="26"/>
      <c r="F135" s="27"/>
      <c r="G135" s="26"/>
      <c r="H135" s="26"/>
      <c r="I135" s="27"/>
      <c r="J135" s="26"/>
      <c r="K135" s="26"/>
      <c r="L135" s="67"/>
      <c r="N135" s="8"/>
      <c r="O135" s="2"/>
      <c r="P135" s="26"/>
      <c r="Q135" s="27"/>
      <c r="R135" s="30"/>
      <c r="S135" s="27"/>
      <c r="T135" s="30"/>
      <c r="U135" s="34"/>
      <c r="V135" s="34"/>
      <c r="X135" s="8"/>
      <c r="Y135" s="2"/>
      <c r="Z135" s="26"/>
      <c r="AA135" s="26"/>
      <c r="AB135" s="26"/>
      <c r="AC135" s="26"/>
      <c r="AD135" s="27"/>
      <c r="AE135" s="30"/>
      <c r="AF135" s="26"/>
      <c r="AG135" s="26"/>
      <c r="AH135" s="32"/>
      <c r="AJ135" s="8"/>
      <c r="AK135" s="2"/>
      <c r="AL135" s="26"/>
      <c r="AM135" s="26"/>
      <c r="AN135" s="26"/>
      <c r="AO135" s="27"/>
      <c r="AP135" s="30"/>
      <c r="AQ135" s="26"/>
      <c r="AR135" s="26"/>
      <c r="AS135" s="32"/>
      <c r="AT135" s="34"/>
    </row>
    <row r="136" spans="2:46" x14ac:dyDescent="0.3">
      <c r="B136" s="8"/>
      <c r="C136" s="2"/>
      <c r="D136" s="26"/>
      <c r="E136" s="26"/>
      <c r="F136" s="27"/>
      <c r="G136" s="26"/>
      <c r="H136" s="26"/>
      <c r="I136" s="27"/>
      <c r="J136" s="26"/>
      <c r="K136" s="26"/>
      <c r="L136" s="67"/>
      <c r="N136" s="8"/>
      <c r="O136" s="2"/>
      <c r="P136" s="26"/>
      <c r="Q136" s="27"/>
      <c r="R136" s="30"/>
      <c r="S136" s="27"/>
      <c r="T136" s="30"/>
      <c r="U136" s="34"/>
      <c r="V136" s="34"/>
      <c r="X136" s="8"/>
      <c r="Y136" s="2"/>
      <c r="Z136" s="26"/>
      <c r="AA136" s="26"/>
      <c r="AB136" s="26"/>
      <c r="AC136" s="26"/>
      <c r="AD136" s="27"/>
      <c r="AE136" s="30"/>
      <c r="AF136" s="26"/>
      <c r="AG136" s="26"/>
      <c r="AH136" s="32"/>
      <c r="AJ136" s="8"/>
      <c r="AK136" s="2"/>
      <c r="AL136" s="26"/>
      <c r="AM136" s="26"/>
      <c r="AN136" s="26"/>
      <c r="AO136" s="27"/>
      <c r="AP136" s="30"/>
      <c r="AQ136" s="26"/>
      <c r="AR136" s="26"/>
      <c r="AS136" s="32"/>
      <c r="AT136" s="34"/>
    </row>
    <row r="137" spans="2:46" x14ac:dyDescent="0.3">
      <c r="B137" s="8"/>
      <c r="C137" s="2"/>
      <c r="D137" s="26"/>
      <c r="E137" s="26"/>
      <c r="F137" s="27"/>
      <c r="G137" s="26"/>
      <c r="H137" s="26"/>
      <c r="I137" s="27"/>
      <c r="J137" s="26"/>
      <c r="K137" s="26"/>
      <c r="L137" s="67"/>
      <c r="N137" s="8"/>
      <c r="O137" s="2"/>
      <c r="P137" s="26"/>
      <c r="Q137" s="27"/>
      <c r="R137" s="30"/>
      <c r="S137" s="27"/>
      <c r="T137" s="30"/>
      <c r="U137" s="34"/>
      <c r="V137" s="34"/>
      <c r="X137" s="8"/>
      <c r="Y137" s="2"/>
      <c r="Z137" s="26"/>
      <c r="AA137" s="26"/>
      <c r="AB137" s="26"/>
      <c r="AC137" s="26"/>
      <c r="AD137" s="27"/>
      <c r="AE137" s="30"/>
      <c r="AF137" s="26"/>
      <c r="AG137" s="26"/>
      <c r="AH137" s="32"/>
      <c r="AJ137" s="8"/>
      <c r="AK137" s="2"/>
      <c r="AL137" s="26"/>
      <c r="AM137" s="26"/>
      <c r="AN137" s="26"/>
      <c r="AO137" s="27"/>
      <c r="AP137" s="30"/>
      <c r="AQ137" s="26"/>
      <c r="AR137" s="26"/>
      <c r="AS137" s="32"/>
      <c r="AT137" s="34"/>
    </row>
    <row r="138" spans="2:46" x14ac:dyDescent="0.3">
      <c r="B138" s="8"/>
      <c r="C138" s="2"/>
      <c r="D138" s="26"/>
      <c r="E138" s="26"/>
      <c r="F138" s="27"/>
      <c r="G138" s="26"/>
      <c r="H138" s="26"/>
      <c r="I138" s="27"/>
      <c r="J138" s="26"/>
      <c r="K138" s="26"/>
      <c r="L138" s="67"/>
      <c r="N138" s="8"/>
      <c r="O138" s="2"/>
      <c r="P138" s="26"/>
      <c r="Q138" s="27"/>
      <c r="R138" s="30"/>
      <c r="S138" s="27"/>
      <c r="T138" s="30"/>
      <c r="U138" s="34"/>
      <c r="V138" s="34"/>
      <c r="X138" s="8"/>
      <c r="Y138" s="2"/>
      <c r="Z138" s="26"/>
      <c r="AA138" s="26"/>
      <c r="AB138" s="26"/>
      <c r="AC138" s="26"/>
      <c r="AD138" s="27"/>
      <c r="AE138" s="30"/>
      <c r="AF138" s="26"/>
      <c r="AG138" s="26"/>
      <c r="AH138" s="32"/>
      <c r="AJ138" s="8"/>
      <c r="AK138" s="2"/>
      <c r="AL138" s="26"/>
      <c r="AM138" s="26"/>
      <c r="AN138" s="26"/>
      <c r="AO138" s="27"/>
      <c r="AP138" s="30"/>
      <c r="AQ138" s="26"/>
      <c r="AR138" s="26"/>
      <c r="AS138" s="32"/>
      <c r="AT138" s="34"/>
    </row>
    <row r="139" spans="2:46" x14ac:dyDescent="0.3">
      <c r="B139" s="8"/>
      <c r="C139" s="2"/>
      <c r="D139" s="26"/>
      <c r="E139" s="26"/>
      <c r="F139" s="27"/>
      <c r="G139" s="26"/>
      <c r="H139" s="26"/>
      <c r="I139" s="27"/>
      <c r="J139" s="26"/>
      <c r="K139" s="26"/>
      <c r="L139" s="67"/>
      <c r="N139" s="8"/>
      <c r="O139" s="2"/>
      <c r="P139" s="26"/>
      <c r="Q139" s="27"/>
      <c r="R139" s="30"/>
      <c r="S139" s="27"/>
      <c r="T139" s="30"/>
      <c r="U139" s="34"/>
      <c r="V139" s="34"/>
      <c r="X139" s="8"/>
      <c r="Y139" s="2"/>
      <c r="Z139" s="26"/>
      <c r="AA139" s="26"/>
      <c r="AB139" s="26"/>
      <c r="AC139" s="26"/>
      <c r="AD139" s="27"/>
      <c r="AE139" s="30"/>
      <c r="AF139" s="26"/>
      <c r="AG139" s="26"/>
      <c r="AH139" s="32"/>
      <c r="AJ139" s="8"/>
      <c r="AK139" s="2"/>
      <c r="AL139" s="26"/>
      <c r="AM139" s="26"/>
      <c r="AN139" s="26"/>
      <c r="AO139" s="27"/>
      <c r="AP139" s="30"/>
      <c r="AQ139" s="26"/>
      <c r="AR139" s="26"/>
      <c r="AS139" s="32"/>
      <c r="AT139" s="34"/>
    </row>
    <row r="140" spans="2:46" x14ac:dyDescent="0.3">
      <c r="B140" s="8"/>
      <c r="C140" s="2"/>
      <c r="D140" s="26"/>
      <c r="E140" s="26"/>
      <c r="F140" s="27"/>
      <c r="G140" s="26"/>
      <c r="H140" s="26"/>
      <c r="I140" s="27"/>
      <c r="J140" s="26"/>
      <c r="K140" s="26"/>
      <c r="L140" s="67"/>
      <c r="N140" s="8"/>
      <c r="O140" s="2"/>
      <c r="P140" s="26"/>
      <c r="Q140" s="27"/>
      <c r="R140" s="30"/>
      <c r="S140" s="27"/>
      <c r="T140" s="30"/>
      <c r="U140" s="34"/>
      <c r="V140" s="34"/>
      <c r="X140" s="8"/>
      <c r="Y140" s="2"/>
      <c r="Z140" s="26"/>
      <c r="AA140" s="26"/>
      <c r="AB140" s="26"/>
      <c r="AC140" s="26"/>
      <c r="AD140" s="27"/>
      <c r="AE140" s="30"/>
      <c r="AF140" s="26"/>
      <c r="AG140" s="26"/>
      <c r="AH140" s="32"/>
      <c r="AJ140" s="8"/>
      <c r="AK140" s="2"/>
      <c r="AL140" s="26"/>
      <c r="AM140" s="26"/>
      <c r="AN140" s="26"/>
      <c r="AO140" s="27"/>
      <c r="AP140" s="30"/>
      <c r="AQ140" s="26"/>
      <c r="AR140" s="26"/>
      <c r="AS140" s="32"/>
      <c r="AT140" s="34"/>
    </row>
    <row r="141" spans="2:46" x14ac:dyDescent="0.3">
      <c r="B141" s="8"/>
      <c r="C141" s="2"/>
      <c r="D141" s="26"/>
      <c r="E141" s="26"/>
      <c r="F141" s="27"/>
      <c r="G141" s="26"/>
      <c r="H141" s="26"/>
      <c r="I141" s="27"/>
      <c r="J141" s="26"/>
      <c r="K141" s="26"/>
      <c r="L141" s="67"/>
      <c r="N141" s="8"/>
      <c r="O141" s="2"/>
      <c r="P141" s="26"/>
      <c r="Q141" s="27"/>
      <c r="R141" s="30"/>
      <c r="S141" s="27"/>
      <c r="T141" s="30"/>
      <c r="U141" s="34"/>
      <c r="V141" s="34"/>
      <c r="X141" s="8"/>
      <c r="Y141" s="2"/>
      <c r="Z141" s="26"/>
      <c r="AA141" s="26"/>
      <c r="AB141" s="26"/>
      <c r="AC141" s="26"/>
      <c r="AD141" s="27"/>
      <c r="AE141" s="30"/>
      <c r="AF141" s="26"/>
      <c r="AG141" s="26"/>
      <c r="AH141" s="32"/>
      <c r="AJ141" s="8"/>
      <c r="AK141" s="2"/>
      <c r="AL141" s="26"/>
      <c r="AM141" s="26"/>
      <c r="AN141" s="26"/>
      <c r="AO141" s="27"/>
      <c r="AP141" s="30"/>
      <c r="AQ141" s="26"/>
      <c r="AR141" s="26"/>
      <c r="AS141" s="32"/>
      <c r="AT141" s="34"/>
    </row>
    <row r="142" spans="2:46" x14ac:dyDescent="0.3">
      <c r="B142" s="8"/>
      <c r="C142" s="2"/>
      <c r="D142" s="26"/>
      <c r="E142" s="26"/>
      <c r="F142" s="27"/>
      <c r="G142" s="26"/>
      <c r="H142" s="26"/>
      <c r="I142" s="27"/>
      <c r="J142" s="26"/>
      <c r="K142" s="26"/>
      <c r="L142" s="67"/>
      <c r="N142" s="8"/>
      <c r="O142" s="2"/>
      <c r="P142" s="26"/>
      <c r="Q142" s="27"/>
      <c r="R142" s="30"/>
      <c r="S142" s="27"/>
      <c r="T142" s="30"/>
      <c r="U142" s="34"/>
      <c r="V142" s="34"/>
      <c r="X142" s="8"/>
      <c r="Y142" s="2"/>
      <c r="Z142" s="26"/>
      <c r="AA142" s="26"/>
      <c r="AB142" s="26"/>
      <c r="AC142" s="26"/>
      <c r="AD142" s="27"/>
      <c r="AE142" s="30"/>
      <c r="AF142" s="26"/>
      <c r="AG142" s="26"/>
      <c r="AH142" s="32"/>
      <c r="AJ142" s="8"/>
      <c r="AK142" s="2"/>
      <c r="AL142" s="26"/>
      <c r="AM142" s="26"/>
      <c r="AN142" s="26"/>
      <c r="AO142" s="27"/>
      <c r="AP142" s="30"/>
      <c r="AQ142" s="26"/>
      <c r="AR142" s="26"/>
      <c r="AS142" s="32"/>
      <c r="AT142" s="34"/>
    </row>
    <row r="143" spans="2:46" x14ac:dyDescent="0.3">
      <c r="B143" s="8"/>
      <c r="C143" s="2"/>
      <c r="D143" s="26"/>
      <c r="E143" s="26"/>
      <c r="F143" s="27"/>
      <c r="G143" s="26"/>
      <c r="H143" s="26"/>
      <c r="I143" s="27"/>
      <c r="J143" s="26"/>
      <c r="K143" s="26"/>
      <c r="L143" s="67"/>
      <c r="N143" s="8"/>
      <c r="O143" s="2"/>
      <c r="P143" s="26"/>
      <c r="Q143" s="27"/>
      <c r="R143" s="30"/>
      <c r="S143" s="27"/>
      <c r="T143" s="30"/>
      <c r="U143" s="34"/>
      <c r="V143" s="34"/>
      <c r="X143" s="8"/>
      <c r="Y143" s="2"/>
      <c r="Z143" s="26"/>
      <c r="AA143" s="26"/>
      <c r="AB143" s="26"/>
      <c r="AC143" s="26"/>
      <c r="AD143" s="27"/>
      <c r="AE143" s="30"/>
      <c r="AF143" s="26"/>
      <c r="AG143" s="26"/>
      <c r="AH143" s="32"/>
      <c r="AJ143" s="8"/>
      <c r="AK143" s="2"/>
      <c r="AL143" s="26"/>
      <c r="AM143" s="26"/>
      <c r="AN143" s="26"/>
      <c r="AO143" s="27"/>
      <c r="AP143" s="30"/>
      <c r="AQ143" s="26"/>
      <c r="AR143" s="26"/>
      <c r="AS143" s="32"/>
      <c r="AT143" s="34"/>
    </row>
    <row r="144" spans="2:46" x14ac:dyDescent="0.3">
      <c r="B144" s="8"/>
      <c r="C144" s="2"/>
      <c r="D144" s="26"/>
      <c r="E144" s="26"/>
      <c r="F144" s="27"/>
      <c r="G144" s="26"/>
      <c r="H144" s="26"/>
      <c r="I144" s="27"/>
      <c r="J144" s="26"/>
      <c r="K144" s="26"/>
      <c r="L144" s="67"/>
      <c r="N144" s="8"/>
      <c r="O144" s="2"/>
      <c r="P144" s="26"/>
      <c r="Q144" s="27"/>
      <c r="R144" s="30"/>
      <c r="S144" s="27"/>
      <c r="T144" s="30"/>
      <c r="U144" s="34"/>
      <c r="V144" s="34"/>
      <c r="X144" s="8"/>
      <c r="Y144" s="2"/>
      <c r="Z144" s="26"/>
      <c r="AA144" s="26"/>
      <c r="AB144" s="26"/>
      <c r="AC144" s="26"/>
      <c r="AD144" s="27"/>
      <c r="AE144" s="30"/>
      <c r="AF144" s="26"/>
      <c r="AG144" s="26"/>
      <c r="AH144" s="32"/>
      <c r="AJ144" s="8"/>
      <c r="AK144" s="2"/>
      <c r="AL144" s="26"/>
      <c r="AM144" s="26"/>
      <c r="AN144" s="26"/>
      <c r="AO144" s="27"/>
      <c r="AP144" s="30"/>
      <c r="AQ144" s="26"/>
      <c r="AR144" s="26"/>
      <c r="AS144" s="32"/>
      <c r="AT144" s="34"/>
    </row>
    <row r="145" spans="2:46" x14ac:dyDescent="0.3">
      <c r="B145" s="8"/>
      <c r="C145" s="2"/>
      <c r="D145" s="26"/>
      <c r="E145" s="26"/>
      <c r="F145" s="27"/>
      <c r="G145" s="26"/>
      <c r="H145" s="26"/>
      <c r="I145" s="27"/>
      <c r="J145" s="26"/>
      <c r="K145" s="26"/>
      <c r="L145" s="67"/>
      <c r="N145" s="8"/>
      <c r="O145" s="2"/>
      <c r="P145" s="26"/>
      <c r="Q145" s="27"/>
      <c r="R145" s="30"/>
      <c r="S145" s="27"/>
      <c r="T145" s="30"/>
      <c r="U145" s="34"/>
      <c r="V145" s="34"/>
      <c r="X145" s="8"/>
      <c r="Y145" s="2"/>
      <c r="Z145" s="26"/>
      <c r="AA145" s="26"/>
      <c r="AB145" s="26"/>
      <c r="AC145" s="26"/>
      <c r="AD145" s="27"/>
      <c r="AE145" s="30"/>
      <c r="AF145" s="26"/>
      <c r="AG145" s="26"/>
      <c r="AH145" s="32"/>
      <c r="AJ145" s="8"/>
      <c r="AK145" s="2"/>
      <c r="AL145" s="26"/>
      <c r="AM145" s="26"/>
      <c r="AN145" s="26"/>
      <c r="AO145" s="27"/>
      <c r="AP145" s="30"/>
      <c r="AQ145" s="26"/>
      <c r="AR145" s="26"/>
      <c r="AS145" s="32"/>
      <c r="AT145" s="34"/>
    </row>
    <row r="146" spans="2:46" x14ac:dyDescent="0.3">
      <c r="B146" s="8"/>
      <c r="C146" s="2"/>
      <c r="D146" s="26"/>
      <c r="E146" s="26"/>
      <c r="F146" s="27"/>
      <c r="G146" s="26"/>
      <c r="H146" s="26"/>
      <c r="I146" s="27"/>
      <c r="J146" s="26"/>
      <c r="K146" s="26"/>
      <c r="L146" s="67"/>
      <c r="N146" s="8"/>
      <c r="O146" s="2"/>
      <c r="P146" s="26"/>
      <c r="Q146" s="27"/>
      <c r="R146" s="30"/>
      <c r="S146" s="27"/>
      <c r="T146" s="30"/>
      <c r="U146" s="34"/>
      <c r="V146" s="34"/>
      <c r="X146" s="8"/>
      <c r="Y146" s="2"/>
      <c r="Z146" s="26"/>
      <c r="AA146" s="26"/>
      <c r="AB146" s="26"/>
      <c r="AC146" s="26"/>
      <c r="AD146" s="27"/>
      <c r="AE146" s="30"/>
      <c r="AF146" s="26"/>
      <c r="AG146" s="26"/>
      <c r="AH146" s="32"/>
      <c r="AJ146" s="8"/>
      <c r="AK146" s="2"/>
      <c r="AL146" s="26"/>
      <c r="AM146" s="26"/>
      <c r="AN146" s="26"/>
      <c r="AO146" s="27"/>
      <c r="AP146" s="30"/>
      <c r="AQ146" s="26"/>
      <c r="AR146" s="26"/>
      <c r="AS146" s="32"/>
      <c r="AT146" s="34"/>
    </row>
    <row r="147" spans="2:46" x14ac:dyDescent="0.3">
      <c r="B147" s="8"/>
      <c r="C147" s="2"/>
      <c r="D147" s="26"/>
      <c r="E147" s="26"/>
      <c r="F147" s="27"/>
      <c r="G147" s="26"/>
      <c r="H147" s="26"/>
      <c r="I147" s="27"/>
      <c r="J147" s="26"/>
      <c r="K147" s="26"/>
      <c r="L147" s="67"/>
      <c r="N147" s="8"/>
      <c r="O147" s="2"/>
      <c r="P147" s="26"/>
      <c r="Q147" s="27"/>
      <c r="R147" s="30"/>
      <c r="S147" s="27"/>
      <c r="T147" s="30"/>
      <c r="U147" s="34"/>
      <c r="V147" s="34"/>
      <c r="X147" s="8"/>
      <c r="Y147" s="2"/>
      <c r="Z147" s="26"/>
      <c r="AA147" s="26"/>
      <c r="AB147" s="26"/>
      <c r="AC147" s="26"/>
      <c r="AD147" s="27"/>
      <c r="AE147" s="30"/>
      <c r="AF147" s="26"/>
      <c r="AG147" s="26"/>
      <c r="AH147" s="32"/>
      <c r="AJ147" s="8"/>
      <c r="AK147" s="2"/>
      <c r="AL147" s="26"/>
      <c r="AM147" s="26"/>
      <c r="AN147" s="26"/>
      <c r="AO147" s="27"/>
      <c r="AP147" s="30"/>
      <c r="AQ147" s="26"/>
      <c r="AR147" s="26"/>
      <c r="AS147" s="32"/>
      <c r="AT147" s="34"/>
    </row>
    <row r="148" spans="2:46" x14ac:dyDescent="0.3">
      <c r="B148" s="8"/>
      <c r="C148" s="2"/>
      <c r="D148" s="26"/>
      <c r="E148" s="26"/>
      <c r="F148" s="27"/>
      <c r="G148" s="26"/>
      <c r="H148" s="26"/>
      <c r="I148" s="27"/>
      <c r="J148" s="26"/>
      <c r="K148" s="26"/>
      <c r="L148" s="67"/>
      <c r="N148" s="8"/>
      <c r="O148" s="2"/>
      <c r="P148" s="26"/>
      <c r="Q148" s="27"/>
      <c r="R148" s="30"/>
      <c r="S148" s="27"/>
      <c r="T148" s="30"/>
      <c r="U148" s="34"/>
      <c r="V148" s="34"/>
      <c r="X148" s="8"/>
      <c r="Y148" s="2"/>
      <c r="Z148" s="26"/>
      <c r="AA148" s="26"/>
      <c r="AB148" s="26"/>
      <c r="AC148" s="26"/>
      <c r="AD148" s="27"/>
      <c r="AE148" s="30"/>
      <c r="AF148" s="26"/>
      <c r="AG148" s="26"/>
      <c r="AH148" s="32"/>
      <c r="AJ148" s="8"/>
      <c r="AK148" s="2"/>
      <c r="AL148" s="26"/>
      <c r="AM148" s="26"/>
      <c r="AN148" s="26"/>
      <c r="AO148" s="27"/>
      <c r="AP148" s="30"/>
      <c r="AQ148" s="26"/>
      <c r="AR148" s="26"/>
      <c r="AS148" s="32"/>
      <c r="AT148" s="34"/>
    </row>
    <row r="149" spans="2:46" x14ac:dyDescent="0.3">
      <c r="B149" s="8"/>
      <c r="C149" s="2"/>
      <c r="D149" s="26"/>
      <c r="E149" s="26"/>
      <c r="F149" s="27"/>
      <c r="G149" s="26"/>
      <c r="H149" s="26"/>
      <c r="I149" s="27"/>
      <c r="J149" s="26"/>
      <c r="K149" s="26"/>
      <c r="L149" s="67"/>
      <c r="N149" s="8"/>
      <c r="O149" s="2"/>
      <c r="P149" s="26"/>
      <c r="Q149" s="27"/>
      <c r="R149" s="30"/>
      <c r="S149" s="27"/>
      <c r="T149" s="30"/>
      <c r="U149" s="34"/>
      <c r="V149" s="34"/>
      <c r="X149" s="8"/>
      <c r="Y149" s="2"/>
      <c r="Z149" s="26"/>
      <c r="AA149" s="26"/>
      <c r="AB149" s="26"/>
      <c r="AC149" s="26"/>
      <c r="AD149" s="27"/>
      <c r="AE149" s="30"/>
      <c r="AF149" s="26"/>
      <c r="AG149" s="26"/>
      <c r="AH149" s="32"/>
      <c r="AJ149" s="8"/>
      <c r="AK149" s="2"/>
      <c r="AL149" s="26"/>
      <c r="AM149" s="26"/>
      <c r="AN149" s="26"/>
      <c r="AO149" s="27"/>
      <c r="AP149" s="30"/>
      <c r="AQ149" s="26"/>
      <c r="AR149" s="26"/>
      <c r="AS149" s="32"/>
      <c r="AT149" s="34"/>
    </row>
    <row r="150" spans="2:46" x14ac:dyDescent="0.3">
      <c r="B150" s="8"/>
      <c r="C150" s="2"/>
      <c r="D150" s="26"/>
      <c r="E150" s="26"/>
      <c r="F150" s="27"/>
      <c r="G150" s="26"/>
      <c r="H150" s="26"/>
      <c r="I150" s="27"/>
      <c r="J150" s="26"/>
      <c r="K150" s="26"/>
      <c r="L150" s="67"/>
      <c r="N150" s="8"/>
      <c r="O150" s="2"/>
      <c r="P150" s="26"/>
      <c r="Q150" s="27"/>
      <c r="R150" s="30"/>
      <c r="S150" s="27"/>
      <c r="T150" s="30"/>
      <c r="U150" s="34"/>
      <c r="V150" s="34"/>
      <c r="X150" s="8"/>
      <c r="Y150" s="2"/>
      <c r="Z150" s="26"/>
      <c r="AA150" s="26"/>
      <c r="AB150" s="26"/>
      <c r="AC150" s="26"/>
      <c r="AD150" s="27"/>
      <c r="AE150" s="30"/>
      <c r="AF150" s="26"/>
      <c r="AG150" s="26"/>
      <c r="AH150" s="32"/>
      <c r="AJ150" s="8"/>
      <c r="AK150" s="2"/>
      <c r="AL150" s="26"/>
      <c r="AM150" s="26"/>
      <c r="AN150" s="26"/>
      <c r="AO150" s="27"/>
      <c r="AP150" s="30"/>
      <c r="AQ150" s="26"/>
      <c r="AR150" s="26"/>
      <c r="AS150" s="32"/>
      <c r="AT150" s="34"/>
    </row>
    <row r="151" spans="2:46" x14ac:dyDescent="0.3">
      <c r="B151" s="8"/>
      <c r="C151" s="2"/>
      <c r="D151" s="26"/>
      <c r="E151" s="26"/>
      <c r="F151" s="27"/>
      <c r="G151" s="26"/>
      <c r="H151" s="26"/>
      <c r="I151" s="27"/>
      <c r="J151" s="26"/>
      <c r="K151" s="26"/>
      <c r="L151" s="67"/>
      <c r="N151" s="8"/>
      <c r="O151" s="2"/>
      <c r="P151" s="26"/>
      <c r="Q151" s="27"/>
      <c r="R151" s="30"/>
      <c r="S151" s="27"/>
      <c r="T151" s="30"/>
      <c r="U151" s="34"/>
      <c r="V151" s="34"/>
      <c r="X151" s="8"/>
      <c r="Y151" s="2"/>
      <c r="Z151" s="26"/>
      <c r="AA151" s="26"/>
      <c r="AB151" s="26"/>
      <c r="AC151" s="26"/>
      <c r="AD151" s="27"/>
      <c r="AE151" s="30"/>
      <c r="AF151" s="26"/>
      <c r="AG151" s="26"/>
      <c r="AH151" s="32"/>
      <c r="AJ151" s="8"/>
      <c r="AK151" s="2"/>
      <c r="AL151" s="26"/>
      <c r="AM151" s="26"/>
      <c r="AN151" s="26"/>
      <c r="AO151" s="27"/>
      <c r="AP151" s="30"/>
      <c r="AQ151" s="26"/>
      <c r="AR151" s="26"/>
      <c r="AS151" s="32"/>
      <c r="AT151" s="34"/>
    </row>
    <row r="152" spans="2:46" x14ac:dyDescent="0.3">
      <c r="B152" s="8"/>
      <c r="C152" s="2"/>
      <c r="D152" s="26"/>
      <c r="E152" s="26"/>
      <c r="F152" s="27"/>
      <c r="G152" s="26"/>
      <c r="H152" s="26"/>
      <c r="I152" s="27"/>
      <c r="J152" s="26"/>
      <c r="K152" s="26"/>
      <c r="L152" s="67"/>
      <c r="N152" s="8"/>
      <c r="O152" s="2"/>
      <c r="P152" s="26"/>
      <c r="Q152" s="27"/>
      <c r="R152" s="30"/>
      <c r="S152" s="27"/>
      <c r="T152" s="30"/>
      <c r="U152" s="34"/>
      <c r="V152" s="34"/>
      <c r="X152" s="8"/>
      <c r="Y152" s="2"/>
      <c r="Z152" s="26"/>
      <c r="AA152" s="26"/>
      <c r="AB152" s="26"/>
      <c r="AC152" s="26"/>
      <c r="AD152" s="27"/>
      <c r="AE152" s="30"/>
      <c r="AF152" s="26"/>
      <c r="AG152" s="26"/>
      <c r="AH152" s="32"/>
      <c r="AJ152" s="8"/>
      <c r="AK152" s="2"/>
      <c r="AL152" s="26"/>
      <c r="AM152" s="26"/>
      <c r="AN152" s="26"/>
      <c r="AO152" s="27"/>
      <c r="AP152" s="30"/>
      <c r="AQ152" s="26"/>
      <c r="AR152" s="26"/>
      <c r="AS152" s="32"/>
      <c r="AT152" s="34"/>
    </row>
    <row r="153" spans="2:46" x14ac:dyDescent="0.3">
      <c r="B153" s="8"/>
      <c r="C153" s="2"/>
      <c r="D153" s="26"/>
      <c r="E153" s="26"/>
      <c r="F153" s="27"/>
      <c r="G153" s="26"/>
      <c r="H153" s="26"/>
      <c r="I153" s="27"/>
      <c r="J153" s="26"/>
      <c r="K153" s="26"/>
      <c r="L153" s="67"/>
      <c r="N153" s="8"/>
      <c r="O153" s="2"/>
      <c r="P153" s="26"/>
      <c r="Q153" s="27"/>
      <c r="R153" s="30"/>
      <c r="S153" s="27"/>
      <c r="T153" s="30"/>
      <c r="U153" s="34"/>
      <c r="V153" s="34"/>
      <c r="X153" s="8"/>
      <c r="Y153" s="2"/>
      <c r="Z153" s="26"/>
      <c r="AA153" s="26"/>
      <c r="AB153" s="26"/>
      <c r="AC153" s="26"/>
      <c r="AD153" s="27"/>
      <c r="AE153" s="30"/>
      <c r="AF153" s="26"/>
      <c r="AG153" s="26"/>
      <c r="AH153" s="32"/>
      <c r="AJ153" s="8"/>
      <c r="AK153" s="2"/>
      <c r="AL153" s="26"/>
      <c r="AM153" s="26"/>
      <c r="AN153" s="26"/>
      <c r="AO153" s="27"/>
      <c r="AP153" s="30"/>
      <c r="AQ153" s="26"/>
      <c r="AR153" s="26"/>
      <c r="AS153" s="32"/>
      <c r="AT153" s="34"/>
    </row>
    <row r="154" spans="2:46" x14ac:dyDescent="0.3">
      <c r="B154" s="8"/>
      <c r="C154" s="2"/>
      <c r="D154" s="26"/>
      <c r="E154" s="26"/>
      <c r="F154" s="27"/>
      <c r="G154" s="26"/>
      <c r="H154" s="26"/>
      <c r="I154" s="27"/>
      <c r="J154" s="26"/>
      <c r="K154" s="26"/>
      <c r="L154" s="67"/>
      <c r="N154" s="8"/>
      <c r="O154" s="2"/>
      <c r="P154" s="26"/>
      <c r="Q154" s="27"/>
      <c r="R154" s="30"/>
      <c r="S154" s="27"/>
      <c r="T154" s="30"/>
      <c r="U154" s="34"/>
      <c r="V154" s="34"/>
      <c r="X154" s="8"/>
      <c r="Y154" s="2"/>
      <c r="Z154" s="26"/>
      <c r="AA154" s="26"/>
      <c r="AB154" s="26"/>
      <c r="AC154" s="26"/>
      <c r="AD154" s="27"/>
      <c r="AE154" s="30"/>
      <c r="AF154" s="26"/>
      <c r="AG154" s="26"/>
      <c r="AH154" s="32"/>
      <c r="AJ154" s="8"/>
      <c r="AK154" s="2"/>
      <c r="AL154" s="26"/>
      <c r="AM154" s="26"/>
      <c r="AN154" s="26"/>
      <c r="AO154" s="27"/>
      <c r="AP154" s="30"/>
      <c r="AQ154" s="26"/>
      <c r="AR154" s="26"/>
      <c r="AS154" s="32"/>
      <c r="AT154" s="34"/>
    </row>
    <row r="155" spans="2:46" x14ac:dyDescent="0.3">
      <c r="B155" s="8"/>
      <c r="C155" s="2"/>
      <c r="D155" s="26"/>
      <c r="E155" s="26"/>
      <c r="F155" s="27"/>
      <c r="G155" s="26"/>
      <c r="H155" s="26"/>
      <c r="I155" s="27"/>
      <c r="J155" s="26"/>
      <c r="K155" s="26"/>
      <c r="L155" s="67"/>
      <c r="N155" s="8"/>
      <c r="O155" s="2"/>
      <c r="P155" s="26"/>
      <c r="Q155" s="27"/>
      <c r="R155" s="30"/>
      <c r="S155" s="27"/>
      <c r="T155" s="30"/>
      <c r="U155" s="34"/>
      <c r="V155" s="34"/>
      <c r="X155" s="8"/>
      <c r="Y155" s="2"/>
      <c r="Z155" s="26"/>
      <c r="AA155" s="26"/>
      <c r="AB155" s="26"/>
      <c r="AC155" s="26"/>
      <c r="AD155" s="27"/>
      <c r="AE155" s="30"/>
      <c r="AF155" s="26"/>
      <c r="AG155" s="26"/>
      <c r="AH155" s="32"/>
      <c r="AJ155" s="8"/>
      <c r="AK155" s="2"/>
      <c r="AL155" s="26"/>
      <c r="AM155" s="26"/>
      <c r="AN155" s="26"/>
      <c r="AO155" s="27"/>
      <c r="AP155" s="30"/>
      <c r="AQ155" s="26"/>
      <c r="AR155" s="26"/>
      <c r="AS155" s="32"/>
      <c r="AT155" s="34"/>
    </row>
    <row r="156" spans="2:46" x14ac:dyDescent="0.3">
      <c r="B156" s="8"/>
      <c r="C156" s="2"/>
      <c r="D156" s="26"/>
      <c r="E156" s="26"/>
      <c r="F156" s="27"/>
      <c r="G156" s="26"/>
      <c r="H156" s="26"/>
      <c r="I156" s="27"/>
      <c r="J156" s="26"/>
      <c r="K156" s="26"/>
      <c r="L156" s="67"/>
      <c r="N156" s="8"/>
      <c r="O156" s="2"/>
      <c r="P156" s="26"/>
      <c r="Q156" s="27"/>
      <c r="R156" s="30"/>
      <c r="S156" s="27"/>
      <c r="T156" s="30"/>
      <c r="U156" s="34"/>
      <c r="V156" s="34"/>
      <c r="X156" s="8"/>
      <c r="Y156" s="2"/>
      <c r="Z156" s="26"/>
      <c r="AA156" s="26"/>
      <c r="AB156" s="26"/>
      <c r="AC156" s="26"/>
      <c r="AD156" s="27"/>
      <c r="AE156" s="30"/>
      <c r="AF156" s="26"/>
      <c r="AG156" s="26"/>
      <c r="AH156" s="32"/>
      <c r="AJ156" s="8"/>
      <c r="AK156" s="2"/>
      <c r="AL156" s="26"/>
      <c r="AM156" s="26"/>
      <c r="AN156" s="26"/>
      <c r="AO156" s="27"/>
      <c r="AP156" s="30"/>
      <c r="AQ156" s="26"/>
      <c r="AR156" s="26"/>
      <c r="AS156" s="32"/>
      <c r="AT156" s="34"/>
    </row>
    <row r="157" spans="2:46" x14ac:dyDescent="0.3">
      <c r="B157" s="8"/>
      <c r="C157" s="2"/>
      <c r="D157" s="26"/>
      <c r="E157" s="26"/>
      <c r="F157" s="27"/>
      <c r="G157" s="26"/>
      <c r="H157" s="26"/>
      <c r="I157" s="27"/>
      <c r="J157" s="26"/>
      <c r="K157" s="26"/>
      <c r="L157" s="67"/>
      <c r="N157" s="8"/>
      <c r="O157" s="2"/>
      <c r="P157" s="26"/>
      <c r="Q157" s="27"/>
      <c r="R157" s="30"/>
      <c r="S157" s="27"/>
      <c r="T157" s="30"/>
      <c r="U157" s="34"/>
      <c r="V157" s="34"/>
      <c r="X157" s="8"/>
      <c r="Y157" s="2"/>
      <c r="Z157" s="26"/>
      <c r="AA157" s="26"/>
      <c r="AB157" s="26"/>
      <c r="AC157" s="26"/>
      <c r="AD157" s="27"/>
      <c r="AE157" s="30"/>
      <c r="AF157" s="26"/>
      <c r="AG157" s="26"/>
      <c r="AH157" s="32"/>
      <c r="AJ157" s="8"/>
      <c r="AK157" s="2"/>
      <c r="AL157" s="26"/>
      <c r="AM157" s="26"/>
      <c r="AN157" s="26"/>
      <c r="AO157" s="27"/>
      <c r="AP157" s="30"/>
      <c r="AQ157" s="26"/>
      <c r="AR157" s="26"/>
      <c r="AS157" s="32"/>
      <c r="AT157" s="34"/>
    </row>
    <row r="158" spans="2:46" x14ac:dyDescent="0.3">
      <c r="B158" s="8"/>
      <c r="C158" s="2"/>
      <c r="D158" s="26"/>
      <c r="E158" s="26"/>
      <c r="F158" s="27"/>
      <c r="G158" s="26"/>
      <c r="H158" s="26"/>
      <c r="I158" s="27"/>
      <c r="J158" s="26"/>
      <c r="K158" s="26"/>
      <c r="L158" s="67"/>
      <c r="N158" s="8"/>
      <c r="O158" s="2"/>
      <c r="P158" s="26"/>
      <c r="Q158" s="27"/>
      <c r="R158" s="30"/>
      <c r="S158" s="27"/>
      <c r="T158" s="30"/>
      <c r="U158" s="34"/>
      <c r="V158" s="34"/>
      <c r="X158" s="8"/>
      <c r="Y158" s="2"/>
      <c r="Z158" s="26"/>
      <c r="AA158" s="26"/>
      <c r="AB158" s="26"/>
      <c r="AC158" s="26"/>
      <c r="AD158" s="27"/>
      <c r="AE158" s="30"/>
      <c r="AF158" s="26"/>
      <c r="AG158" s="26"/>
      <c r="AH158" s="32"/>
      <c r="AJ158" s="8"/>
      <c r="AK158" s="2"/>
      <c r="AL158" s="26"/>
      <c r="AM158" s="26"/>
      <c r="AN158" s="26"/>
      <c r="AO158" s="27"/>
      <c r="AP158" s="30"/>
      <c r="AQ158" s="26"/>
      <c r="AR158" s="26"/>
      <c r="AS158" s="32"/>
      <c r="AT158" s="34"/>
    </row>
    <row r="159" spans="2:46" x14ac:dyDescent="0.3">
      <c r="B159" s="8"/>
      <c r="C159" s="2"/>
      <c r="D159" s="26"/>
      <c r="E159" s="26"/>
      <c r="F159" s="27"/>
      <c r="G159" s="26"/>
      <c r="H159" s="26"/>
      <c r="I159" s="27"/>
      <c r="J159" s="26"/>
      <c r="K159" s="26"/>
      <c r="L159" s="67"/>
      <c r="N159" s="8"/>
      <c r="O159" s="2"/>
      <c r="P159" s="26"/>
      <c r="Q159" s="27"/>
      <c r="R159" s="30"/>
      <c r="S159" s="27"/>
      <c r="T159" s="30"/>
      <c r="U159" s="34"/>
      <c r="V159" s="34"/>
      <c r="X159" s="8"/>
      <c r="Y159" s="2"/>
      <c r="Z159" s="26"/>
      <c r="AA159" s="26"/>
      <c r="AB159" s="26"/>
      <c r="AC159" s="26"/>
      <c r="AD159" s="27"/>
      <c r="AE159" s="30"/>
      <c r="AF159" s="26"/>
      <c r="AG159" s="26"/>
      <c r="AH159" s="32"/>
      <c r="AJ159" s="8"/>
      <c r="AK159" s="2"/>
      <c r="AL159" s="26"/>
      <c r="AM159" s="26"/>
      <c r="AN159" s="26"/>
      <c r="AO159" s="27"/>
      <c r="AP159" s="30"/>
      <c r="AQ159" s="26"/>
      <c r="AR159" s="26"/>
      <c r="AS159" s="32"/>
      <c r="AT159" s="34"/>
    </row>
    <row r="160" spans="2:46" x14ac:dyDescent="0.3">
      <c r="B160" s="8"/>
      <c r="C160" s="2"/>
      <c r="D160" s="26"/>
      <c r="E160" s="26"/>
      <c r="F160" s="27"/>
      <c r="G160" s="26"/>
      <c r="H160" s="26"/>
      <c r="I160" s="27"/>
      <c r="J160" s="26"/>
      <c r="K160" s="26"/>
      <c r="L160" s="67"/>
      <c r="N160" s="8"/>
      <c r="O160" s="2"/>
      <c r="P160" s="26"/>
      <c r="Q160" s="27"/>
      <c r="R160" s="30"/>
      <c r="S160" s="27"/>
      <c r="T160" s="30"/>
      <c r="U160" s="34"/>
      <c r="V160" s="34"/>
      <c r="X160" s="8"/>
      <c r="Y160" s="2"/>
      <c r="Z160" s="26"/>
      <c r="AA160" s="26"/>
      <c r="AB160" s="26"/>
      <c r="AC160" s="26"/>
      <c r="AD160" s="27"/>
      <c r="AE160" s="30"/>
      <c r="AF160" s="26"/>
      <c r="AG160" s="26"/>
      <c r="AH160" s="32"/>
      <c r="AJ160" s="8"/>
      <c r="AK160" s="2"/>
      <c r="AL160" s="26"/>
      <c r="AM160" s="26"/>
      <c r="AN160" s="26"/>
      <c r="AO160" s="27"/>
      <c r="AP160" s="30"/>
      <c r="AQ160" s="26"/>
      <c r="AR160" s="26"/>
      <c r="AS160" s="32"/>
      <c r="AT160" s="34"/>
    </row>
    <row r="161" spans="2:46" x14ac:dyDescent="0.3">
      <c r="B161" s="8"/>
      <c r="C161" s="2"/>
      <c r="D161" s="26"/>
      <c r="E161" s="26"/>
      <c r="F161" s="27"/>
      <c r="G161" s="26"/>
      <c r="H161" s="26"/>
      <c r="I161" s="27"/>
      <c r="J161" s="26"/>
      <c r="K161" s="26"/>
      <c r="L161" s="67"/>
      <c r="N161" s="8"/>
      <c r="O161" s="2"/>
      <c r="P161" s="26"/>
      <c r="Q161" s="27"/>
      <c r="R161" s="30"/>
      <c r="S161" s="27"/>
      <c r="T161" s="30"/>
      <c r="U161" s="34"/>
      <c r="V161" s="34"/>
      <c r="X161" s="8"/>
      <c r="Y161" s="2"/>
      <c r="Z161" s="26"/>
      <c r="AA161" s="26"/>
      <c r="AB161" s="26"/>
      <c r="AC161" s="26"/>
      <c r="AD161" s="27"/>
      <c r="AE161" s="30"/>
      <c r="AF161" s="26"/>
      <c r="AG161" s="26"/>
      <c r="AH161" s="32"/>
      <c r="AJ161" s="8"/>
      <c r="AK161" s="2"/>
      <c r="AL161" s="26"/>
      <c r="AM161" s="26"/>
      <c r="AN161" s="26"/>
      <c r="AO161" s="27"/>
      <c r="AP161" s="30"/>
      <c r="AQ161" s="26"/>
      <c r="AR161" s="26"/>
      <c r="AS161" s="32"/>
      <c r="AT161" s="34"/>
    </row>
    <row r="162" spans="2:46" x14ac:dyDescent="0.3">
      <c r="B162" s="8"/>
      <c r="C162" s="2"/>
      <c r="D162" s="26"/>
      <c r="E162" s="26"/>
      <c r="F162" s="27"/>
      <c r="G162" s="26"/>
      <c r="H162" s="26"/>
      <c r="I162" s="27"/>
      <c r="J162" s="26"/>
      <c r="K162" s="26"/>
      <c r="L162" s="67"/>
      <c r="N162" s="8"/>
      <c r="O162" s="2"/>
      <c r="P162" s="26"/>
      <c r="Q162" s="27"/>
      <c r="R162" s="30"/>
      <c r="S162" s="27"/>
      <c r="T162" s="30"/>
      <c r="U162" s="34"/>
      <c r="V162" s="34"/>
      <c r="X162" s="8"/>
      <c r="Y162" s="2"/>
      <c r="Z162" s="26"/>
      <c r="AA162" s="26"/>
      <c r="AB162" s="26"/>
      <c r="AC162" s="26"/>
      <c r="AD162" s="27"/>
      <c r="AE162" s="30"/>
      <c r="AF162" s="26"/>
      <c r="AG162" s="26"/>
      <c r="AH162" s="32"/>
      <c r="AJ162" s="8"/>
      <c r="AK162" s="2"/>
      <c r="AL162" s="26"/>
      <c r="AM162" s="26"/>
      <c r="AN162" s="26"/>
      <c r="AO162" s="27"/>
      <c r="AP162" s="30"/>
      <c r="AQ162" s="26"/>
      <c r="AR162" s="26"/>
      <c r="AS162" s="32"/>
      <c r="AT162" s="34"/>
    </row>
    <row r="163" spans="2:46" x14ac:dyDescent="0.3">
      <c r="B163" s="8"/>
      <c r="C163" s="2"/>
      <c r="D163" s="26"/>
      <c r="E163" s="26"/>
      <c r="F163" s="27"/>
      <c r="G163" s="26"/>
      <c r="H163" s="26"/>
      <c r="I163" s="27"/>
      <c r="J163" s="26"/>
      <c r="K163" s="26"/>
      <c r="L163" s="67"/>
      <c r="N163" s="8"/>
      <c r="O163" s="2"/>
      <c r="P163" s="26"/>
      <c r="Q163" s="27"/>
      <c r="R163" s="30"/>
      <c r="S163" s="27"/>
      <c r="T163" s="30"/>
      <c r="U163" s="34"/>
      <c r="V163" s="34"/>
      <c r="X163" s="8"/>
      <c r="Y163" s="2"/>
      <c r="Z163" s="26"/>
      <c r="AA163" s="26"/>
      <c r="AB163" s="26"/>
      <c r="AC163" s="26"/>
      <c r="AD163" s="27"/>
      <c r="AE163" s="30"/>
      <c r="AF163" s="26"/>
      <c r="AG163" s="26"/>
      <c r="AH163" s="32"/>
      <c r="AJ163" s="8"/>
      <c r="AK163" s="2"/>
      <c r="AL163" s="26"/>
      <c r="AM163" s="26"/>
      <c r="AN163" s="26"/>
      <c r="AO163" s="27"/>
      <c r="AP163" s="30"/>
      <c r="AQ163" s="26"/>
      <c r="AR163" s="26"/>
      <c r="AS163" s="32"/>
      <c r="AT163" s="34"/>
    </row>
    <row r="164" spans="2:46" x14ac:dyDescent="0.3">
      <c r="B164" s="8"/>
      <c r="C164" s="2"/>
      <c r="D164" s="26"/>
      <c r="E164" s="26"/>
      <c r="F164" s="27"/>
      <c r="G164" s="26"/>
      <c r="H164" s="26"/>
      <c r="I164" s="27"/>
      <c r="J164" s="26"/>
      <c r="K164" s="26"/>
      <c r="L164" s="67"/>
      <c r="N164" s="8"/>
      <c r="O164" s="2"/>
      <c r="P164" s="26"/>
      <c r="Q164" s="27"/>
      <c r="R164" s="30"/>
      <c r="S164" s="27"/>
      <c r="T164" s="30"/>
      <c r="U164" s="34"/>
      <c r="V164" s="34"/>
      <c r="X164" s="8"/>
      <c r="Y164" s="2"/>
      <c r="Z164" s="26"/>
      <c r="AA164" s="26"/>
      <c r="AB164" s="26"/>
      <c r="AC164" s="26"/>
      <c r="AD164" s="27"/>
      <c r="AE164" s="30"/>
      <c r="AF164" s="26"/>
      <c r="AG164" s="26"/>
      <c r="AH164" s="32"/>
      <c r="AJ164" s="8"/>
      <c r="AK164" s="2"/>
      <c r="AL164" s="26"/>
      <c r="AM164" s="26"/>
      <c r="AN164" s="26"/>
      <c r="AO164" s="27"/>
      <c r="AP164" s="30"/>
      <c r="AQ164" s="26"/>
      <c r="AR164" s="26"/>
      <c r="AS164" s="32"/>
      <c r="AT164" s="34"/>
    </row>
    <row r="165" spans="2:46" x14ac:dyDescent="0.3">
      <c r="B165" s="8"/>
      <c r="C165" s="2"/>
      <c r="D165" s="26"/>
      <c r="E165" s="26"/>
      <c r="F165" s="27"/>
      <c r="G165" s="26"/>
      <c r="H165" s="26"/>
      <c r="I165" s="27"/>
      <c r="J165" s="26"/>
      <c r="K165" s="26"/>
      <c r="L165" s="67"/>
      <c r="N165" s="8"/>
      <c r="O165" s="2"/>
      <c r="P165" s="26"/>
      <c r="Q165" s="27"/>
      <c r="R165" s="30"/>
      <c r="S165" s="27"/>
      <c r="T165" s="30"/>
      <c r="U165" s="34"/>
      <c r="V165" s="34"/>
      <c r="X165" s="8"/>
      <c r="Y165" s="2"/>
      <c r="Z165" s="26"/>
      <c r="AA165" s="26"/>
      <c r="AB165" s="26"/>
      <c r="AC165" s="26"/>
      <c r="AD165" s="27"/>
      <c r="AE165" s="30"/>
      <c r="AF165" s="26"/>
      <c r="AG165" s="26"/>
      <c r="AH165" s="32"/>
      <c r="AJ165" s="8"/>
      <c r="AK165" s="2"/>
      <c r="AL165" s="26"/>
      <c r="AM165" s="26"/>
      <c r="AN165" s="26"/>
      <c r="AO165" s="27"/>
      <c r="AP165" s="30"/>
      <c r="AQ165" s="26"/>
      <c r="AR165" s="26"/>
      <c r="AS165" s="32"/>
      <c r="AT165" s="34"/>
    </row>
    <row r="166" spans="2:46" x14ac:dyDescent="0.3">
      <c r="B166" s="8"/>
      <c r="C166" s="2"/>
      <c r="D166" s="26"/>
      <c r="E166" s="26"/>
      <c r="F166" s="28"/>
      <c r="G166" s="29"/>
      <c r="H166" s="29"/>
      <c r="I166" s="28"/>
      <c r="J166" s="29"/>
      <c r="K166" s="29"/>
      <c r="L166" s="68"/>
      <c r="N166" s="8"/>
      <c r="O166" s="2"/>
      <c r="P166" s="26"/>
      <c r="Q166" s="28"/>
      <c r="R166" s="31"/>
      <c r="S166" s="28"/>
      <c r="T166" s="31"/>
      <c r="U166" s="34"/>
      <c r="V166" s="34"/>
      <c r="X166" s="8"/>
      <c r="Y166" s="2"/>
      <c r="Z166" s="26"/>
      <c r="AA166" s="26"/>
      <c r="AB166" s="26"/>
      <c r="AC166" s="26"/>
      <c r="AD166" s="28"/>
      <c r="AE166" s="31"/>
      <c r="AF166" s="26"/>
      <c r="AG166" s="26"/>
      <c r="AH166" s="33"/>
      <c r="AJ166" s="8"/>
      <c r="AK166" s="2"/>
      <c r="AL166" s="26"/>
      <c r="AM166" s="26"/>
      <c r="AN166" s="26"/>
      <c r="AO166" s="28"/>
      <c r="AP166" s="31"/>
      <c r="AQ166" s="26"/>
      <c r="AR166" s="26"/>
      <c r="AS166" s="32"/>
      <c r="AT166" s="34"/>
    </row>
    <row r="167" spans="2:46" x14ac:dyDescent="0.3">
      <c r="B167" s="22"/>
      <c r="C167" s="22"/>
      <c r="D167" s="22"/>
      <c r="E167" s="22"/>
      <c r="F167" s="22"/>
      <c r="G167" s="22"/>
      <c r="H167" s="22"/>
      <c r="I167" s="22"/>
      <c r="J167" s="22"/>
      <c r="K167" s="22"/>
      <c r="L167" s="22"/>
      <c r="N167" s="22"/>
      <c r="O167" s="22"/>
      <c r="P167" s="22"/>
      <c r="Q167" s="22"/>
      <c r="R167" s="22"/>
      <c r="S167" s="22"/>
      <c r="T167" s="22"/>
      <c r="U167" s="22"/>
      <c r="V167" s="22"/>
      <c r="X167" s="22"/>
      <c r="Y167" s="22"/>
      <c r="Z167" s="22"/>
      <c r="AA167" s="22"/>
      <c r="AB167" s="22"/>
      <c r="AC167" s="22"/>
      <c r="AD167" s="22"/>
      <c r="AE167" s="22"/>
      <c r="AF167" s="22"/>
      <c r="AG167" s="22"/>
      <c r="AH167" s="22"/>
      <c r="AJ167" s="22"/>
      <c r="AK167" s="22"/>
      <c r="AL167" s="22"/>
      <c r="AM167" s="22"/>
      <c r="AN167" s="22"/>
      <c r="AO167" s="22"/>
      <c r="AP167" s="22"/>
      <c r="AQ167" s="22"/>
      <c r="AR167" s="22"/>
      <c r="AS167" s="22"/>
      <c r="AT167" s="22"/>
    </row>
  </sheetData>
  <mergeCells count="11">
    <mergeCell ref="AF4:AG4"/>
    <mergeCell ref="AO4:AP4"/>
    <mergeCell ref="AQ4:AR4"/>
    <mergeCell ref="AS4:AT4"/>
    <mergeCell ref="D4:E4"/>
    <mergeCell ref="F4:H4"/>
    <mergeCell ref="I4:K4"/>
    <mergeCell ref="Q4:R4"/>
    <mergeCell ref="AD4:AE4"/>
    <mergeCell ref="S4:T4"/>
    <mergeCell ref="U4:V4"/>
  </mergeCells>
  <conditionalFormatting sqref="D13:K13 P13:R13 Z13:AG13 AL13:AR13">
    <cfRule type="cellIs" dxfId="65" priority="11" operator="greaterThan">
      <formula>1</formula>
    </cfRule>
  </conditionalFormatting>
  <conditionalFormatting sqref="D17:K166 Z17:AG166 AL17:AR166">
    <cfRule type="cellIs" dxfId="64" priority="12" operator="lessThan">
      <formula>0</formula>
    </cfRule>
    <cfRule type="cellIs" dxfId="63" priority="13" operator="greaterThan">
      <formula>0</formula>
    </cfRule>
  </conditionalFormatting>
  <conditionalFormatting sqref="U17:V166">
    <cfRule type="cellIs" dxfId="62" priority="9" operator="greaterThan">
      <formula>1</formula>
    </cfRule>
  </conditionalFormatting>
  <conditionalFormatting sqref="AH17:AH166">
    <cfRule type="cellIs" dxfId="61" priority="8" operator="greaterThan">
      <formula>1</formula>
    </cfRule>
  </conditionalFormatting>
  <conditionalFormatting sqref="AS17:AT166">
    <cfRule type="cellIs" dxfId="60" priority="6" operator="greaterThan">
      <formula>1</formula>
    </cfRule>
  </conditionalFormatting>
  <conditionalFormatting sqref="BA7:BA24 P17:T166">
    <cfRule type="cellIs" dxfId="57" priority="3" operator="lessThan">
      <formula>0</formula>
    </cfRule>
    <cfRule type="cellIs" dxfId="56" priority="4" operator="greaterThan">
      <formula>0</formula>
    </cfRule>
  </conditionalFormatting>
  <conditionalFormatting sqref="BB7:BB24 L17:L166">
    <cfRule type="cellIs" dxfId="55" priority="5" operator="greaterThan">
      <formula>1</formula>
    </cfRule>
  </conditionalFormatting>
  <dataValidations count="4">
    <dataValidation type="whole" errorStyle="information" allowBlank="1" showInputMessage="1" showErrorMessage="1" errorTitle="Must select 1 or 2" error="1 = Multiplicative_x000a_2 = Additive" sqref="AL13:AR13 Z13:AG13 P13:R13 D13:K13 BB7:BB24" xr:uid="{930FC617-B460-4CDF-AEF0-48EFC6DED73E}">
      <formula1>1</formula1>
      <formula2>2</formula2>
    </dataValidation>
    <dataValidation type="decimal" errorStyle="information" allowBlank="1" showInputMessage="1" showErrorMessage="1" errorTitle="Must select a number" error="Cannot choose letters or special characters." sqref="D17:K166 BA7:BA24 P17:T166 Z17:AG166 AO17:AR166 AL17:AN37" xr:uid="{7A1EF27C-D5BE-4B56-97C8-3A71E90BEFBF}">
      <formula1>-1000000000</formula1>
      <formula2>1000000000</formula2>
    </dataValidation>
    <dataValidation type="whole" errorStyle="information" allowBlank="1" showInputMessage="1" showErrorMessage="1" errorTitle="Must select 1 or 2" error="1 = Included in shock_x000a_2 = Excluded" sqref="U17:U166" xr:uid="{D5FAE07F-DFE4-488C-8B68-BB25F0E797F2}">
      <formula1>1</formula1>
      <formula2>2</formula2>
    </dataValidation>
    <dataValidation type="whole" errorStyle="information" allowBlank="1" showInputMessage="1" showErrorMessage="1" errorTitle="Must select 1 or 2" error="1 = Included in closure_x000a_2 = Excluded" sqref="V17:V166 AH17:AH166 L17:L166 AS17:AT166" xr:uid="{B0639407-5FEE-41BD-B9ED-3F3BEC8F7096}">
      <formula1>1</formula1>
      <formula2>2</formula2>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ellIs" priority="15" operator="equal" id="{E9F01892-3CB1-449C-9257-AF907F818E34}">
            <xm:f>Notes!$L$4</xm:f>
            <x14:dxf>
              <font>
                <b val="0"/>
                <i val="0"/>
                <strike val="0"/>
                <color theme="0" tint="-0.34998626667073579"/>
              </font>
              <fill>
                <patternFill patternType="none">
                  <bgColor auto="1"/>
                </patternFill>
              </fill>
            </x14:dxf>
          </x14:cfRule>
          <xm:sqref>AY7:AY24 D8:K8 P8:T8 Z8:AG8 AL8:AR8</xm:sqref>
        </x14:conditionalFormatting>
        <x14:conditionalFormatting xmlns:xm="http://schemas.microsoft.com/office/excel/2006/main">
          <x14:cfRule type="cellIs" priority="14" operator="equal" id="{190C99D3-39A7-47B4-8220-362929459761}">
            <xm:f>Notes!$L$5</xm:f>
            <x14:dxf>
              <font>
                <b val="0"/>
                <i val="0"/>
                <strike val="0"/>
                <color theme="0" tint="-0.34998626667073579"/>
              </font>
              <fill>
                <patternFill patternType="none">
                  <bgColor auto="1"/>
                </patternFill>
              </fill>
            </x14:dxf>
          </x14:cfRule>
          <xm:sqref>AZ7:AZ24 D9:K9 P9:T9 Z9:AG9 AL9:AR9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Out of range" error="Time periods must fall within the range specified on the &quot;Base&quot; worksheet." xr:uid="{C926DC78-1E6E-4B16-888C-105DB23C2577}">
          <x14:formula1>
            <xm:f>Main!$H$5:$H$58</xm:f>
          </x14:formula1>
          <xm:sqref>D8:K9 AY7:AZ24 AL8:AR9 P8:T9</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14D87-698E-4417-92D0-5C53C737675B}">
  <sheetPr>
    <tabColor theme="8" tint="-0.499984740745262"/>
  </sheetPr>
  <dimension ref="A1:BE167"/>
  <sheetViews>
    <sheetView zoomScale="55" zoomScaleNormal="55" workbookViewId="0">
      <pane ySplit="16" topLeftCell="A17" activePane="bottomLeft" state="frozen"/>
      <selection activeCell="V17" sqref="V17"/>
      <selection pane="bottomLeft" activeCell="V17" sqref="V17"/>
    </sheetView>
  </sheetViews>
  <sheetFormatPr defaultColWidth="0" defaultRowHeight="14.4" zeroHeight="1" x14ac:dyDescent="0.3"/>
  <cols>
    <col min="1" max="2" width="2.44140625" customWidth="1"/>
    <col min="3" max="12" width="9.109375" customWidth="1"/>
    <col min="13" max="14" width="2.44140625" customWidth="1"/>
    <col min="15" max="22" width="9.109375" customWidth="1"/>
    <col min="23" max="24" width="2.44140625" customWidth="1"/>
    <col min="25" max="34" width="9.109375" customWidth="1"/>
    <col min="35" max="36" width="2.44140625" customWidth="1"/>
    <col min="37" max="37" width="11.77734375" customWidth="1"/>
    <col min="38" max="46" width="9.109375" customWidth="1"/>
    <col min="47" max="48" width="2.44140625" customWidth="1"/>
    <col min="49" max="49" width="18.88671875" bestFit="1" customWidth="1"/>
    <col min="50" max="54" width="9.109375" customWidth="1"/>
    <col min="55" max="55" width="2.44140625" customWidth="1"/>
    <col min="56" max="57" width="0" hidden="1" customWidth="1"/>
    <col min="58" max="16384" width="9.109375" hidden="1"/>
  </cols>
  <sheetData>
    <row r="1" spans="1:55" ht="18" x14ac:dyDescent="0.35">
      <c r="A1" s="6" t="str">
        <f>"Simulation "&amp;AC1&amp;IF(AD1&lt;&gt;""," : "&amp;AD1,"")</f>
        <v>Simulation sim11</v>
      </c>
      <c r="B1" s="6"/>
      <c r="C1" s="4"/>
      <c r="D1" s="4"/>
      <c r="E1" s="4"/>
      <c r="F1" s="4"/>
      <c r="G1" s="4"/>
      <c r="H1" s="4"/>
      <c r="I1" s="4"/>
      <c r="J1" s="4"/>
      <c r="K1" s="4"/>
      <c r="L1" s="4"/>
      <c r="M1" s="4"/>
      <c r="N1" s="4"/>
      <c r="O1" s="4"/>
      <c r="P1" s="4"/>
      <c r="Q1" s="4"/>
      <c r="R1" s="4"/>
      <c r="S1" s="4"/>
      <c r="T1" s="4"/>
      <c r="U1" s="4"/>
      <c r="V1" s="4"/>
      <c r="W1" s="4"/>
      <c r="X1" s="4"/>
      <c r="Y1" s="4"/>
      <c r="Z1" s="4"/>
      <c r="AA1" s="4"/>
      <c r="AB1" s="4"/>
      <c r="AC1" s="4" t="str">
        <f>Main!C17</f>
        <v>sim11</v>
      </c>
      <c r="AD1" s="4" t="str">
        <f>IF(Main!E17&lt;&gt;"",Main!E17,"")</f>
        <v/>
      </c>
      <c r="AE1" s="4"/>
      <c r="AF1" s="4"/>
      <c r="AG1" s="4"/>
      <c r="AH1" s="4"/>
      <c r="AI1" s="4"/>
      <c r="AJ1" s="4"/>
      <c r="AK1" s="4"/>
      <c r="AL1" s="4"/>
      <c r="AM1" s="4"/>
      <c r="AN1" s="4"/>
      <c r="AO1" s="4"/>
      <c r="AP1" s="4"/>
      <c r="AQ1" s="4"/>
      <c r="AR1" s="4"/>
      <c r="AS1" s="4"/>
      <c r="AT1" s="4"/>
      <c r="AU1" s="4"/>
      <c r="AV1" s="4"/>
      <c r="AW1" s="4"/>
      <c r="AX1" s="4"/>
      <c r="AY1" s="4"/>
      <c r="AZ1" s="4"/>
      <c r="BA1" s="4"/>
      <c r="BB1" s="4"/>
      <c r="BC1" s="4"/>
    </row>
    <row r="2" spans="1:55" x14ac:dyDescent="0.3"/>
    <row r="3" spans="1:55" ht="15.6" x14ac:dyDescent="0.3">
      <c r="B3" s="7"/>
      <c r="C3" s="17" t="s">
        <v>55</v>
      </c>
      <c r="D3" s="36"/>
      <c r="E3" s="36"/>
      <c r="F3" s="36"/>
      <c r="G3" s="36"/>
      <c r="H3" s="36"/>
      <c r="I3" s="36"/>
      <c r="J3" s="36"/>
      <c r="K3" s="36"/>
      <c r="L3" s="36"/>
      <c r="N3" s="7"/>
      <c r="O3" s="17" t="s">
        <v>56</v>
      </c>
      <c r="P3" s="36"/>
      <c r="Q3" s="36"/>
      <c r="R3" s="36"/>
      <c r="S3" s="36"/>
      <c r="T3" s="36"/>
      <c r="U3" s="36"/>
      <c r="V3" s="36"/>
      <c r="X3" s="7"/>
      <c r="Y3" s="17" t="s">
        <v>57</v>
      </c>
      <c r="Z3" s="36"/>
      <c r="AA3" s="36"/>
      <c r="AB3" s="36"/>
      <c r="AC3" s="36"/>
      <c r="AD3" s="36"/>
      <c r="AE3" s="36"/>
      <c r="AF3" s="36"/>
      <c r="AG3" s="36"/>
      <c r="AH3" s="36"/>
      <c r="AJ3" s="7"/>
      <c r="AK3" s="17" t="s">
        <v>283</v>
      </c>
      <c r="AL3" s="36"/>
      <c r="AM3" s="36"/>
      <c r="AN3" s="36"/>
      <c r="AO3" s="36"/>
      <c r="AP3" s="36"/>
      <c r="AQ3" s="36"/>
      <c r="AR3" s="36"/>
      <c r="AS3" s="36"/>
      <c r="AT3" s="36"/>
      <c r="AV3" s="7"/>
      <c r="AW3" s="17" t="s">
        <v>125</v>
      </c>
      <c r="AX3" s="36"/>
      <c r="AY3" s="36"/>
      <c r="AZ3" s="36"/>
      <c r="BA3" s="36"/>
      <c r="BB3" s="36"/>
    </row>
    <row r="4" spans="1:55" x14ac:dyDescent="0.3">
      <c r="B4" s="14"/>
      <c r="C4" s="9"/>
      <c r="D4" s="74" t="s">
        <v>58</v>
      </c>
      <c r="E4" s="74"/>
      <c r="F4" s="75" t="s">
        <v>59</v>
      </c>
      <c r="G4" s="74"/>
      <c r="H4" s="74"/>
      <c r="I4" s="75" t="s">
        <v>7</v>
      </c>
      <c r="J4" s="74"/>
      <c r="K4" s="74"/>
      <c r="L4" s="37" t="s">
        <v>103</v>
      </c>
      <c r="N4" s="14"/>
      <c r="O4" s="9"/>
      <c r="P4" s="38" t="s">
        <v>60</v>
      </c>
      <c r="Q4" s="75" t="s">
        <v>61</v>
      </c>
      <c r="R4" s="76"/>
      <c r="S4" s="75" t="s">
        <v>646</v>
      </c>
      <c r="T4" s="74"/>
      <c r="U4" s="75" t="s">
        <v>103</v>
      </c>
      <c r="V4" s="74"/>
      <c r="X4" s="14"/>
      <c r="Y4" s="9"/>
      <c r="Z4" s="38" t="s">
        <v>63</v>
      </c>
      <c r="AA4" s="38" t="s">
        <v>62</v>
      </c>
      <c r="AB4" s="38" t="s">
        <v>311</v>
      </c>
      <c r="AC4" s="38" t="s">
        <v>62</v>
      </c>
      <c r="AD4" s="75" t="s">
        <v>126</v>
      </c>
      <c r="AE4" s="76"/>
      <c r="AF4" s="74" t="s">
        <v>127</v>
      </c>
      <c r="AG4" s="74"/>
      <c r="AH4" s="37" t="s">
        <v>103</v>
      </c>
      <c r="AJ4" s="14"/>
      <c r="AK4" s="9"/>
      <c r="AL4" s="38" t="s">
        <v>132</v>
      </c>
      <c r="AM4" s="38" t="s">
        <v>99</v>
      </c>
      <c r="AN4" s="38" t="s">
        <v>289</v>
      </c>
      <c r="AO4" s="75" t="s">
        <v>126</v>
      </c>
      <c r="AP4" s="76"/>
      <c r="AQ4" s="74" t="s">
        <v>127</v>
      </c>
      <c r="AR4" s="74"/>
      <c r="AS4" s="75" t="s">
        <v>103</v>
      </c>
      <c r="AT4" s="74"/>
      <c r="AV4" s="8"/>
      <c r="AY4" s="39" t="s">
        <v>335</v>
      </c>
      <c r="AZ4" s="39" t="s">
        <v>336</v>
      </c>
      <c r="BA4" s="39" t="s">
        <v>300</v>
      </c>
      <c r="BB4" s="39" t="s">
        <v>304</v>
      </c>
    </row>
    <row r="5" spans="1:55" x14ac:dyDescent="0.3">
      <c r="B5" s="14"/>
      <c r="C5" s="9"/>
      <c r="D5" s="40" t="s">
        <v>64</v>
      </c>
      <c r="E5" s="40" t="s">
        <v>65</v>
      </c>
      <c r="F5" s="41" t="s">
        <v>64</v>
      </c>
      <c r="G5" s="40" t="s">
        <v>65</v>
      </c>
      <c r="H5" s="40" t="s">
        <v>66</v>
      </c>
      <c r="I5" s="41" t="s">
        <v>64</v>
      </c>
      <c r="J5" s="40" t="s">
        <v>65</v>
      </c>
      <c r="K5" s="40" t="s">
        <v>67</v>
      </c>
      <c r="L5" s="41" t="s">
        <v>100</v>
      </c>
      <c r="N5" s="14"/>
      <c r="O5" s="9"/>
      <c r="P5" s="40"/>
      <c r="Q5" s="41" t="s">
        <v>68</v>
      </c>
      <c r="R5" s="42" t="s">
        <v>124</v>
      </c>
      <c r="S5" s="40" t="s">
        <v>284</v>
      </c>
      <c r="T5" s="40" t="s">
        <v>286</v>
      </c>
      <c r="U5" s="69" t="s">
        <v>313</v>
      </c>
      <c r="V5" s="40" t="s">
        <v>100</v>
      </c>
      <c r="X5" s="14"/>
      <c r="Y5" s="9"/>
      <c r="Z5" s="38" t="s">
        <v>70</v>
      </c>
      <c r="AA5" s="38" t="s">
        <v>71</v>
      </c>
      <c r="AB5" s="38" t="s">
        <v>312</v>
      </c>
      <c r="AC5" s="38" t="s">
        <v>69</v>
      </c>
      <c r="AD5" s="41" t="s">
        <v>86</v>
      </c>
      <c r="AE5" s="42" t="s">
        <v>87</v>
      </c>
      <c r="AF5" s="40" t="s">
        <v>86</v>
      </c>
      <c r="AG5" s="40" t="s">
        <v>87</v>
      </c>
      <c r="AH5" s="41" t="s">
        <v>100</v>
      </c>
      <c r="AJ5" s="14"/>
      <c r="AK5" s="9"/>
      <c r="AL5" s="38" t="s">
        <v>134</v>
      </c>
      <c r="AM5" s="38" t="s">
        <v>70</v>
      </c>
      <c r="AN5" s="38" t="s">
        <v>123</v>
      </c>
      <c r="AO5" s="41" t="s">
        <v>86</v>
      </c>
      <c r="AP5" s="42" t="s">
        <v>87</v>
      </c>
      <c r="AQ5" s="40" t="s">
        <v>86</v>
      </c>
      <c r="AR5" s="40" t="s">
        <v>87</v>
      </c>
      <c r="AS5" s="41" t="s">
        <v>99</v>
      </c>
      <c r="AT5" s="40" t="s">
        <v>100</v>
      </c>
      <c r="AV5" s="8"/>
      <c r="BA5" s="43"/>
      <c r="BB5" s="44" t="s">
        <v>305</v>
      </c>
    </row>
    <row r="6" spans="1:55" x14ac:dyDescent="0.3">
      <c r="B6" s="8"/>
      <c r="F6" s="45"/>
      <c r="I6" s="45"/>
      <c r="L6" s="45"/>
      <c r="N6" s="8"/>
      <c r="Q6" s="45"/>
      <c r="R6" s="46"/>
      <c r="U6" s="70"/>
      <c r="X6" s="8"/>
      <c r="AD6" s="45"/>
      <c r="AE6" s="46"/>
      <c r="AH6" s="45"/>
      <c r="AJ6" s="8"/>
      <c r="AO6" s="45"/>
      <c r="AP6" s="46"/>
      <c r="AS6" s="45"/>
      <c r="AV6" s="8"/>
      <c r="AW6" s="47" t="s">
        <v>303</v>
      </c>
      <c r="AX6" s="48"/>
      <c r="AY6" s="49" t="s">
        <v>337</v>
      </c>
      <c r="AZ6" s="49" t="s">
        <v>338</v>
      </c>
      <c r="BA6" s="49" t="s">
        <v>206</v>
      </c>
      <c r="BB6" s="49" t="s">
        <v>207</v>
      </c>
    </row>
    <row r="7" spans="1:55" x14ac:dyDescent="0.3">
      <c r="B7" s="8"/>
      <c r="D7" s="50" t="s">
        <v>72</v>
      </c>
      <c r="E7" s="50" t="s">
        <v>73</v>
      </c>
      <c r="F7" s="51" t="s">
        <v>74</v>
      </c>
      <c r="G7" s="50" t="s">
        <v>75</v>
      </c>
      <c r="H7" s="50" t="s">
        <v>76</v>
      </c>
      <c r="I7" s="51" t="s">
        <v>77</v>
      </c>
      <c r="J7" s="50" t="s">
        <v>78</v>
      </c>
      <c r="K7" s="50" t="s">
        <v>79</v>
      </c>
      <c r="L7" s="45"/>
      <c r="N7" s="8"/>
      <c r="P7" s="50" t="s">
        <v>81</v>
      </c>
      <c r="Q7" s="51" t="s">
        <v>82</v>
      </c>
      <c r="R7" s="52" t="s">
        <v>621</v>
      </c>
      <c r="S7" s="50" t="s">
        <v>80</v>
      </c>
      <c r="T7" s="50" t="s">
        <v>285</v>
      </c>
      <c r="U7" s="70"/>
      <c r="X7" s="8"/>
      <c r="Z7" s="50" t="s">
        <v>84</v>
      </c>
      <c r="AA7" s="50" t="s">
        <v>85</v>
      </c>
      <c r="AB7" s="50" t="s">
        <v>310</v>
      </c>
      <c r="AC7" s="50" t="s">
        <v>83</v>
      </c>
      <c r="AD7" s="51" t="s">
        <v>130</v>
      </c>
      <c r="AE7" s="52" t="s">
        <v>131</v>
      </c>
      <c r="AF7" s="50" t="s">
        <v>128</v>
      </c>
      <c r="AG7" s="50" t="s">
        <v>129</v>
      </c>
      <c r="AH7" s="45"/>
      <c r="AJ7" s="8"/>
      <c r="AL7" s="50" t="s">
        <v>133</v>
      </c>
      <c r="AM7" s="50" t="s">
        <v>101</v>
      </c>
      <c r="AN7" s="50" t="s">
        <v>622</v>
      </c>
      <c r="AO7" s="51" t="s">
        <v>130</v>
      </c>
      <c r="AP7" s="52" t="s">
        <v>131</v>
      </c>
      <c r="AQ7" s="50" t="s">
        <v>128</v>
      </c>
      <c r="AR7" s="50" t="s">
        <v>129</v>
      </c>
      <c r="AS7" s="45"/>
      <c r="AV7" s="8"/>
      <c r="AW7" s="9" t="s">
        <v>88</v>
      </c>
      <c r="AX7" s="53" t="s">
        <v>89</v>
      </c>
      <c r="AY7" s="63">
        <f>Notes!$L$4</f>
        <v>2024</v>
      </c>
      <c r="AZ7" s="63">
        <f>Notes!$L$5</f>
        <v>2040</v>
      </c>
      <c r="BA7" s="26">
        <v>0</v>
      </c>
      <c r="BB7" s="34">
        <v>1</v>
      </c>
    </row>
    <row r="8" spans="1:55" x14ac:dyDescent="0.3">
      <c r="B8" s="8"/>
      <c r="C8" s="1" t="s">
        <v>339</v>
      </c>
      <c r="D8" s="63">
        <f>Notes!$L4</f>
        <v>2024</v>
      </c>
      <c r="E8" s="63">
        <f>Notes!$L4</f>
        <v>2024</v>
      </c>
      <c r="F8" s="64">
        <f>Notes!$L4</f>
        <v>2024</v>
      </c>
      <c r="G8" s="63">
        <f>Notes!$L4</f>
        <v>2024</v>
      </c>
      <c r="H8" s="63">
        <f>Notes!$L4</f>
        <v>2024</v>
      </c>
      <c r="I8" s="64">
        <f>Notes!$L4</f>
        <v>2024</v>
      </c>
      <c r="J8" s="63">
        <f>Notes!$L4</f>
        <v>2024</v>
      </c>
      <c r="K8" s="63">
        <f>Notes!$L4</f>
        <v>2024</v>
      </c>
      <c r="L8" s="45"/>
      <c r="N8" s="8"/>
      <c r="O8" s="1" t="s">
        <v>339</v>
      </c>
      <c r="P8" s="63">
        <f>Notes!$L4</f>
        <v>2024</v>
      </c>
      <c r="Q8" s="64">
        <f>Notes!$L4</f>
        <v>2024</v>
      </c>
      <c r="R8" s="63">
        <f>Notes!$L4</f>
        <v>2024</v>
      </c>
      <c r="S8" s="64">
        <f>Notes!$L4</f>
        <v>2024</v>
      </c>
      <c r="T8" s="63">
        <f>Notes!$L4</f>
        <v>2024</v>
      </c>
      <c r="U8" s="70"/>
      <c r="X8" s="8"/>
      <c r="Y8" s="1" t="s">
        <v>339</v>
      </c>
      <c r="Z8" s="63">
        <f>Notes!$L4</f>
        <v>2024</v>
      </c>
      <c r="AA8" s="63">
        <f>Notes!$L4</f>
        <v>2024</v>
      </c>
      <c r="AB8" s="63">
        <f>Notes!$L4</f>
        <v>2024</v>
      </c>
      <c r="AC8" s="63">
        <f>Notes!$L4</f>
        <v>2024</v>
      </c>
      <c r="AD8" s="64">
        <f>Notes!$L4</f>
        <v>2024</v>
      </c>
      <c r="AE8" s="63">
        <f>Notes!$L4</f>
        <v>2024</v>
      </c>
      <c r="AF8" s="64">
        <f>Notes!$L4</f>
        <v>2024</v>
      </c>
      <c r="AG8" s="63">
        <f>Notes!$L4</f>
        <v>2024</v>
      </c>
      <c r="AH8" s="45"/>
      <c r="AJ8" s="8"/>
      <c r="AK8" s="1" t="s">
        <v>339</v>
      </c>
      <c r="AL8" s="63">
        <f>Notes!$L4</f>
        <v>2024</v>
      </c>
      <c r="AM8" s="63">
        <f>Notes!$L4</f>
        <v>2024</v>
      </c>
      <c r="AN8" s="63">
        <f>Notes!$L4</f>
        <v>2024</v>
      </c>
      <c r="AO8" s="64">
        <f>Notes!$L4</f>
        <v>2024</v>
      </c>
      <c r="AP8" s="63">
        <f>Notes!$L4</f>
        <v>2024</v>
      </c>
      <c r="AQ8" s="64">
        <f>Notes!$L$4</f>
        <v>2024</v>
      </c>
      <c r="AR8" s="63">
        <f>Notes!$L4</f>
        <v>2024</v>
      </c>
      <c r="AS8" s="45"/>
      <c r="AV8" s="8"/>
      <c r="AW8" s="9" t="s">
        <v>92</v>
      </c>
      <c r="AX8" s="53" t="s">
        <v>93</v>
      </c>
      <c r="AY8" s="63">
        <f>Notes!$L$4</f>
        <v>2024</v>
      </c>
      <c r="AZ8" s="63">
        <f>Notes!$L$5</f>
        <v>2040</v>
      </c>
      <c r="BA8" s="26">
        <v>0</v>
      </c>
      <c r="BB8" s="34">
        <v>1</v>
      </c>
    </row>
    <row r="9" spans="1:55" x14ac:dyDescent="0.3">
      <c r="B9" s="8"/>
      <c r="C9" s="1" t="s">
        <v>340</v>
      </c>
      <c r="D9" s="63">
        <f>Notes!$L5</f>
        <v>2040</v>
      </c>
      <c r="E9" s="63">
        <f>Notes!$L5</f>
        <v>2040</v>
      </c>
      <c r="F9" s="64">
        <f>Notes!$L5</f>
        <v>2040</v>
      </c>
      <c r="G9" s="63">
        <f>Notes!$L5</f>
        <v>2040</v>
      </c>
      <c r="H9" s="63">
        <f>Notes!$L5</f>
        <v>2040</v>
      </c>
      <c r="I9" s="64">
        <f>Notes!$L5</f>
        <v>2040</v>
      </c>
      <c r="J9" s="63">
        <f>Notes!$L5</f>
        <v>2040</v>
      </c>
      <c r="K9" s="63">
        <f>Notes!$L5</f>
        <v>2040</v>
      </c>
      <c r="L9" s="45"/>
      <c r="N9" s="8"/>
      <c r="O9" s="1" t="s">
        <v>340</v>
      </c>
      <c r="P9" s="63">
        <f>Notes!$L5</f>
        <v>2040</v>
      </c>
      <c r="Q9" s="64">
        <f>Notes!$L5</f>
        <v>2040</v>
      </c>
      <c r="R9" s="63">
        <f>Notes!$L5</f>
        <v>2040</v>
      </c>
      <c r="S9" s="64">
        <f>Notes!$L5</f>
        <v>2040</v>
      </c>
      <c r="T9" s="63">
        <f>Notes!$L5</f>
        <v>2040</v>
      </c>
      <c r="U9" s="70"/>
      <c r="X9" s="8"/>
      <c r="Y9" s="1" t="s">
        <v>340</v>
      </c>
      <c r="Z9" s="63">
        <f>Notes!$L5</f>
        <v>2040</v>
      </c>
      <c r="AA9" s="63">
        <f>Notes!$L5</f>
        <v>2040</v>
      </c>
      <c r="AB9" s="63">
        <f>Notes!$L5</f>
        <v>2040</v>
      </c>
      <c r="AC9" s="63">
        <f>Notes!$L5</f>
        <v>2040</v>
      </c>
      <c r="AD9" s="64">
        <f>Notes!$L5</f>
        <v>2040</v>
      </c>
      <c r="AE9" s="63">
        <f>Notes!$L5</f>
        <v>2040</v>
      </c>
      <c r="AF9" s="64">
        <f>Notes!$L5</f>
        <v>2040</v>
      </c>
      <c r="AG9" s="63">
        <f>Notes!$L5</f>
        <v>2040</v>
      </c>
      <c r="AH9" s="45"/>
      <c r="AJ9" s="8"/>
      <c r="AK9" s="1" t="s">
        <v>340</v>
      </c>
      <c r="AL9" s="63">
        <f>Notes!$L5</f>
        <v>2040</v>
      </c>
      <c r="AM9" s="63">
        <f>Notes!$L5</f>
        <v>2040</v>
      </c>
      <c r="AN9" s="63">
        <f>Notes!$L5</f>
        <v>2040</v>
      </c>
      <c r="AO9" s="64">
        <f>Notes!$L5</f>
        <v>2040</v>
      </c>
      <c r="AP9" s="63">
        <f>Notes!$L5</f>
        <v>2040</v>
      </c>
      <c r="AQ9" s="64">
        <f>Notes!$L5</f>
        <v>2040</v>
      </c>
      <c r="AR9" s="63">
        <f>Notes!$L5</f>
        <v>2040</v>
      </c>
      <c r="AS9" s="45"/>
      <c r="AV9" s="8"/>
      <c r="AW9" s="9" t="s">
        <v>90</v>
      </c>
      <c r="AX9" s="53" t="s">
        <v>91</v>
      </c>
      <c r="AY9" s="63">
        <f>Notes!$L$4</f>
        <v>2024</v>
      </c>
      <c r="AZ9" s="63">
        <f>Notes!$L$5</f>
        <v>2040</v>
      </c>
      <c r="BA9" s="26">
        <v>0</v>
      </c>
      <c r="BB9" s="34">
        <v>1</v>
      </c>
    </row>
    <row r="10" spans="1:55" x14ac:dyDescent="0.3">
      <c r="B10" s="8"/>
      <c r="F10" s="45"/>
      <c r="I10" s="45"/>
      <c r="L10" s="45"/>
      <c r="N10" s="8"/>
      <c r="Q10" s="45"/>
      <c r="R10" s="46"/>
      <c r="U10" s="70"/>
      <c r="X10" s="8"/>
      <c r="AD10" s="45"/>
      <c r="AE10" s="46"/>
      <c r="AH10" s="45"/>
      <c r="AJ10" s="8"/>
      <c r="AO10" s="45"/>
      <c r="AP10" s="46"/>
      <c r="AS10" s="45"/>
      <c r="AV10" s="8"/>
      <c r="AW10" s="9" t="s">
        <v>298</v>
      </c>
      <c r="AX10" s="53" t="s">
        <v>299</v>
      </c>
      <c r="AY10" s="63">
        <f>Notes!$L$4</f>
        <v>2024</v>
      </c>
      <c r="AZ10" s="63">
        <f>Notes!$L$5</f>
        <v>2040</v>
      </c>
      <c r="BA10" s="26">
        <v>0</v>
      </c>
      <c r="BB10" s="34">
        <v>1</v>
      </c>
    </row>
    <row r="11" spans="1:55" x14ac:dyDescent="0.3">
      <c r="B11" s="8"/>
      <c r="C11" s="54" t="s">
        <v>302</v>
      </c>
      <c r="D11" s="55"/>
      <c r="E11" s="55"/>
      <c r="F11" s="56"/>
      <c r="G11" s="55"/>
      <c r="H11" s="55"/>
      <c r="I11" s="56"/>
      <c r="J11" s="55"/>
      <c r="K11" s="55"/>
      <c r="L11" s="56"/>
      <c r="N11" s="8"/>
      <c r="O11" s="54" t="s">
        <v>302</v>
      </c>
      <c r="P11" s="53"/>
      <c r="Q11" s="57"/>
      <c r="R11" s="58"/>
      <c r="S11" s="53"/>
      <c r="T11" s="53"/>
      <c r="U11" s="71"/>
      <c r="V11" s="53"/>
      <c r="X11" s="8"/>
      <c r="Y11" s="54" t="s">
        <v>302</v>
      </c>
      <c r="Z11" s="53"/>
      <c r="AA11" s="53"/>
      <c r="AB11" s="53"/>
      <c r="AC11" s="53"/>
      <c r="AD11" s="57"/>
      <c r="AE11" s="58"/>
      <c r="AF11" s="53"/>
      <c r="AG11" s="53"/>
      <c r="AH11" s="56"/>
      <c r="AJ11" s="8"/>
      <c r="AK11" s="54" t="s">
        <v>302</v>
      </c>
      <c r="AL11" s="54"/>
      <c r="AM11" s="59"/>
      <c r="AN11" s="53"/>
      <c r="AO11" s="57"/>
      <c r="AP11" s="58"/>
      <c r="AQ11" s="53"/>
      <c r="AR11" s="53"/>
      <c r="AS11" s="57"/>
      <c r="AT11" s="53"/>
      <c r="AV11" s="8"/>
      <c r="AW11" s="9" t="s">
        <v>98</v>
      </c>
      <c r="AX11" s="53" t="s">
        <v>101</v>
      </c>
      <c r="AY11" s="63">
        <f>Notes!$L$4</f>
        <v>2024</v>
      </c>
      <c r="AZ11" s="63">
        <f>Notes!$L$5</f>
        <v>2040</v>
      </c>
      <c r="BA11" s="26">
        <v>0</v>
      </c>
      <c r="BB11" s="34">
        <v>1</v>
      </c>
    </row>
    <row r="12" spans="1:55" x14ac:dyDescent="0.3">
      <c r="B12" s="8"/>
      <c r="C12" s="54"/>
      <c r="D12" s="50" t="s">
        <v>72</v>
      </c>
      <c r="E12" s="50" t="s">
        <v>73</v>
      </c>
      <c r="F12" s="51" t="s">
        <v>74</v>
      </c>
      <c r="G12" s="50" t="s">
        <v>75</v>
      </c>
      <c r="H12" s="50" t="s">
        <v>76</v>
      </c>
      <c r="I12" s="51" t="s">
        <v>77</v>
      </c>
      <c r="J12" s="50" t="s">
        <v>78</v>
      </c>
      <c r="K12" s="50" t="s">
        <v>79</v>
      </c>
      <c r="L12" s="56"/>
      <c r="N12" s="8"/>
      <c r="O12" s="54"/>
      <c r="P12" s="50" t="s">
        <v>81</v>
      </c>
      <c r="Q12" s="51" t="s">
        <v>82</v>
      </c>
      <c r="R12" s="52" t="s">
        <v>621</v>
      </c>
      <c r="S12" s="53"/>
      <c r="T12" s="53"/>
      <c r="U12" s="71"/>
      <c r="V12" s="53"/>
      <c r="X12" s="8"/>
      <c r="Y12" s="54"/>
      <c r="Z12" s="50" t="s">
        <v>84</v>
      </c>
      <c r="AA12" s="50" t="s">
        <v>85</v>
      </c>
      <c r="AB12" s="50" t="s">
        <v>310</v>
      </c>
      <c r="AC12" s="50" t="s">
        <v>83</v>
      </c>
      <c r="AD12" s="51" t="s">
        <v>130</v>
      </c>
      <c r="AE12" s="52" t="s">
        <v>131</v>
      </c>
      <c r="AF12" s="50" t="s">
        <v>128</v>
      </c>
      <c r="AG12" s="50" t="s">
        <v>129</v>
      </c>
      <c r="AH12" s="56"/>
      <c r="AJ12" s="8"/>
      <c r="AK12" s="54"/>
      <c r="AL12" s="50" t="s">
        <v>133</v>
      </c>
      <c r="AM12" s="50" t="s">
        <v>101</v>
      </c>
      <c r="AN12" s="50" t="s">
        <v>622</v>
      </c>
      <c r="AO12" s="51" t="s">
        <v>130</v>
      </c>
      <c r="AP12" s="52" t="s">
        <v>131</v>
      </c>
      <c r="AQ12" s="50" t="s">
        <v>128</v>
      </c>
      <c r="AR12" s="50" t="s">
        <v>129</v>
      </c>
      <c r="AS12" s="57"/>
      <c r="AT12" s="53"/>
      <c r="AV12" s="8"/>
      <c r="AW12" s="9" t="s">
        <v>94</v>
      </c>
      <c r="AX12" s="53" t="s">
        <v>95</v>
      </c>
      <c r="AY12" s="63">
        <f>Notes!$L$4</f>
        <v>2024</v>
      </c>
      <c r="AZ12" s="63">
        <f>Notes!$L$5</f>
        <v>2040</v>
      </c>
      <c r="BA12" s="26">
        <v>0</v>
      </c>
      <c r="BB12" s="34">
        <v>1</v>
      </c>
    </row>
    <row r="13" spans="1:55" x14ac:dyDescent="0.3">
      <c r="B13" s="8"/>
      <c r="C13" s="55"/>
      <c r="D13" s="34">
        <v>1</v>
      </c>
      <c r="E13" s="34">
        <v>1</v>
      </c>
      <c r="F13" s="32">
        <v>1</v>
      </c>
      <c r="G13" s="34">
        <v>1</v>
      </c>
      <c r="H13" s="34">
        <v>1</v>
      </c>
      <c r="I13" s="32">
        <v>1</v>
      </c>
      <c r="J13" s="34">
        <v>1</v>
      </c>
      <c r="K13" s="34">
        <v>1</v>
      </c>
      <c r="L13" s="56"/>
      <c r="N13" s="8"/>
      <c r="O13" s="55"/>
      <c r="P13" s="34">
        <v>1</v>
      </c>
      <c r="Q13" s="32">
        <v>1</v>
      </c>
      <c r="R13" s="35">
        <v>1</v>
      </c>
      <c r="S13" s="55"/>
      <c r="T13" s="55"/>
      <c r="U13" s="72"/>
      <c r="V13" s="55"/>
      <c r="X13" s="8"/>
      <c r="Y13" s="55"/>
      <c r="Z13" s="34">
        <v>1</v>
      </c>
      <c r="AA13" s="34">
        <v>1</v>
      </c>
      <c r="AB13" s="34">
        <v>1</v>
      </c>
      <c r="AC13" s="34">
        <v>1</v>
      </c>
      <c r="AD13" s="32">
        <v>1</v>
      </c>
      <c r="AE13" s="35">
        <v>1</v>
      </c>
      <c r="AF13" s="34">
        <v>1</v>
      </c>
      <c r="AG13" s="34">
        <v>1</v>
      </c>
      <c r="AH13" s="56"/>
      <c r="AJ13" s="8"/>
      <c r="AK13" s="55"/>
      <c r="AL13" s="34">
        <v>1</v>
      </c>
      <c r="AM13" s="34">
        <v>1</v>
      </c>
      <c r="AN13" s="34">
        <v>1</v>
      </c>
      <c r="AO13" s="32">
        <v>1</v>
      </c>
      <c r="AP13" s="35">
        <v>1</v>
      </c>
      <c r="AQ13" s="34">
        <v>1</v>
      </c>
      <c r="AR13" s="34">
        <v>1</v>
      </c>
      <c r="AS13" s="56"/>
      <c r="AT13" s="55"/>
      <c r="AV13" s="8"/>
      <c r="AW13" s="9" t="s">
        <v>96</v>
      </c>
      <c r="AX13" s="53" t="s">
        <v>97</v>
      </c>
      <c r="AY13" s="63">
        <f>Notes!$L$4</f>
        <v>2024</v>
      </c>
      <c r="AZ13" s="63">
        <f>Notes!$L$5</f>
        <v>2040</v>
      </c>
      <c r="BA13" s="26">
        <v>0</v>
      </c>
      <c r="BB13" s="34">
        <v>1</v>
      </c>
    </row>
    <row r="14" spans="1:55" x14ac:dyDescent="0.3">
      <c r="B14" s="8"/>
      <c r="C14" s="55"/>
      <c r="F14" s="45"/>
      <c r="I14" s="45"/>
      <c r="L14" s="45"/>
      <c r="N14" s="8"/>
      <c r="O14" s="55"/>
      <c r="Q14" s="45"/>
      <c r="R14" s="46"/>
      <c r="U14" s="70"/>
      <c r="X14" s="8"/>
      <c r="Y14" s="55"/>
      <c r="AD14" s="45"/>
      <c r="AE14" s="46"/>
      <c r="AH14" s="45"/>
      <c r="AJ14" s="8"/>
      <c r="AK14" s="55"/>
      <c r="AL14" s="55"/>
      <c r="AO14" s="45"/>
      <c r="AP14" s="46"/>
      <c r="AS14" s="45"/>
      <c r="AV14" s="8"/>
      <c r="AW14" s="9" t="s">
        <v>297</v>
      </c>
      <c r="AX14" s="53" t="s">
        <v>296</v>
      </c>
      <c r="AY14" s="63">
        <f>Notes!$L$4</f>
        <v>2024</v>
      </c>
      <c r="AZ14" s="63">
        <f>Notes!$L$5</f>
        <v>2040</v>
      </c>
      <c r="BA14" s="26">
        <v>0</v>
      </c>
      <c r="BB14" s="34">
        <v>1</v>
      </c>
    </row>
    <row r="15" spans="1:55" x14ac:dyDescent="0.3">
      <c r="B15" s="8"/>
      <c r="C15" s="54" t="s">
        <v>301</v>
      </c>
      <c r="F15" s="45"/>
      <c r="I15" s="45"/>
      <c r="L15" s="45"/>
      <c r="N15" s="8"/>
      <c r="O15" s="54" t="s">
        <v>301</v>
      </c>
      <c r="P15" s="60"/>
      <c r="Q15" s="45"/>
      <c r="R15" s="46"/>
      <c r="U15" s="70"/>
      <c r="X15" s="8"/>
      <c r="Y15" s="54" t="s">
        <v>301</v>
      </c>
      <c r="Z15" s="60"/>
      <c r="AD15" s="45"/>
      <c r="AE15" s="46"/>
      <c r="AH15" s="45"/>
      <c r="AJ15" s="8"/>
      <c r="AK15" s="54" t="s">
        <v>301</v>
      </c>
      <c r="AL15" s="54"/>
      <c r="AO15" s="45"/>
      <c r="AP15" s="46"/>
      <c r="AS15" s="45"/>
      <c r="AV15" s="8"/>
      <c r="AW15" s="9" t="s">
        <v>762</v>
      </c>
      <c r="AX15" s="53" t="s">
        <v>131</v>
      </c>
      <c r="AY15" s="63">
        <f>Notes!$L$4</f>
        <v>2024</v>
      </c>
      <c r="AZ15" s="63">
        <f>Notes!$L$5</f>
        <v>2040</v>
      </c>
      <c r="BA15" s="26">
        <v>0</v>
      </c>
      <c r="BB15" s="34">
        <v>1</v>
      </c>
    </row>
    <row r="16" spans="1:55" x14ac:dyDescent="0.3">
      <c r="B16" s="8"/>
      <c r="D16" s="50" t="s">
        <v>72</v>
      </c>
      <c r="E16" s="50" t="s">
        <v>73</v>
      </c>
      <c r="F16" s="51" t="s">
        <v>74</v>
      </c>
      <c r="G16" s="50" t="s">
        <v>75</v>
      </c>
      <c r="H16" s="50" t="s">
        <v>76</v>
      </c>
      <c r="I16" s="51" t="s">
        <v>77</v>
      </c>
      <c r="J16" s="50" t="s">
        <v>78</v>
      </c>
      <c r="K16" s="50" t="s">
        <v>79</v>
      </c>
      <c r="L16" s="51" t="s">
        <v>123</v>
      </c>
      <c r="N16" s="8"/>
      <c r="P16" s="50" t="s">
        <v>81</v>
      </c>
      <c r="Q16" s="51" t="s">
        <v>82</v>
      </c>
      <c r="R16" s="52" t="s">
        <v>621</v>
      </c>
      <c r="S16" s="50" t="s">
        <v>80</v>
      </c>
      <c r="T16" s="50" t="s">
        <v>285</v>
      </c>
      <c r="U16" s="73" t="s">
        <v>310</v>
      </c>
      <c r="V16" s="50" t="s">
        <v>123</v>
      </c>
      <c r="X16" s="8"/>
      <c r="Z16" s="50" t="s">
        <v>84</v>
      </c>
      <c r="AA16" s="50" t="s">
        <v>85</v>
      </c>
      <c r="AB16" s="50" t="s">
        <v>310</v>
      </c>
      <c r="AC16" s="50" t="s">
        <v>83</v>
      </c>
      <c r="AD16" s="51" t="s">
        <v>130</v>
      </c>
      <c r="AE16" s="52" t="s">
        <v>131</v>
      </c>
      <c r="AF16" s="50" t="s">
        <v>128</v>
      </c>
      <c r="AG16" s="61" t="s">
        <v>129</v>
      </c>
      <c r="AH16" s="51" t="s">
        <v>123</v>
      </c>
      <c r="AJ16" s="8"/>
      <c r="AL16" s="50" t="s">
        <v>133</v>
      </c>
      <c r="AM16" s="50" t="s">
        <v>101</v>
      </c>
      <c r="AN16" s="50" t="s">
        <v>622</v>
      </c>
      <c r="AO16" s="51" t="s">
        <v>130</v>
      </c>
      <c r="AP16" s="62" t="s">
        <v>131</v>
      </c>
      <c r="AQ16" s="50" t="s">
        <v>128</v>
      </c>
      <c r="AR16" s="61" t="s">
        <v>129</v>
      </c>
      <c r="AS16" s="51" t="s">
        <v>288</v>
      </c>
      <c r="AT16" s="50" t="s">
        <v>123</v>
      </c>
      <c r="AV16" s="8"/>
      <c r="AW16" s="9" t="s">
        <v>763</v>
      </c>
      <c r="AX16" s="53" t="s">
        <v>129</v>
      </c>
      <c r="AY16" s="63">
        <f>Notes!$L$4</f>
        <v>2024</v>
      </c>
      <c r="AZ16" s="63">
        <f>Notes!$L$5</f>
        <v>2040</v>
      </c>
      <c r="BA16" s="26">
        <v>0</v>
      </c>
      <c r="BB16" s="34">
        <v>1</v>
      </c>
    </row>
    <row r="17" spans="2:54" x14ac:dyDescent="0.3">
      <c r="B17" s="8"/>
      <c r="C17" s="2" t="s">
        <v>713</v>
      </c>
      <c r="D17" s="26">
        <v>0</v>
      </c>
      <c r="E17" s="26">
        <v>0</v>
      </c>
      <c r="F17" s="27">
        <v>0</v>
      </c>
      <c r="G17" s="26">
        <v>0</v>
      </c>
      <c r="H17" s="26">
        <v>0</v>
      </c>
      <c r="I17" s="27">
        <v>0</v>
      </c>
      <c r="J17" s="26">
        <v>0</v>
      </c>
      <c r="K17" s="26">
        <v>0</v>
      </c>
      <c r="L17" s="67">
        <v>1</v>
      </c>
      <c r="N17" s="8"/>
      <c r="O17" s="2" t="s">
        <v>649</v>
      </c>
      <c r="P17" s="26">
        <v>0</v>
      </c>
      <c r="Q17" s="27">
        <v>0</v>
      </c>
      <c r="R17" s="30">
        <v>0</v>
      </c>
      <c r="S17" s="27">
        <v>0</v>
      </c>
      <c r="T17" s="30">
        <v>0</v>
      </c>
      <c r="U17" s="34">
        <v>1</v>
      </c>
      <c r="V17" s="34">
        <v>1</v>
      </c>
      <c r="X17" s="8"/>
      <c r="Y17" s="2" t="s">
        <v>852</v>
      </c>
      <c r="Z17" s="26">
        <v>0</v>
      </c>
      <c r="AA17" s="26">
        <v>0</v>
      </c>
      <c r="AB17" s="26">
        <v>0</v>
      </c>
      <c r="AC17" s="26">
        <v>0</v>
      </c>
      <c r="AD17" s="27">
        <v>0</v>
      </c>
      <c r="AE17" s="30">
        <v>0</v>
      </c>
      <c r="AF17" s="26">
        <v>0</v>
      </c>
      <c r="AG17" s="26">
        <v>0</v>
      </c>
      <c r="AH17" s="32">
        <v>1</v>
      </c>
      <c r="AJ17" s="8"/>
      <c r="AK17" s="2" t="s">
        <v>8</v>
      </c>
      <c r="AL17" s="26">
        <v>0</v>
      </c>
      <c r="AM17" s="26">
        <v>0</v>
      </c>
      <c r="AN17" s="26">
        <v>0</v>
      </c>
      <c r="AO17" s="27">
        <v>0</v>
      </c>
      <c r="AP17" s="30">
        <v>0</v>
      </c>
      <c r="AQ17" s="26">
        <v>0</v>
      </c>
      <c r="AR17" s="26">
        <v>0</v>
      </c>
      <c r="AS17" s="32">
        <v>1</v>
      </c>
      <c r="AT17" s="34">
        <v>1</v>
      </c>
      <c r="AV17" s="8"/>
      <c r="AW17" s="9" t="s">
        <v>290</v>
      </c>
      <c r="AX17" s="53" t="s">
        <v>74</v>
      </c>
      <c r="AY17" s="63">
        <f>Notes!$L$4</f>
        <v>2024</v>
      </c>
      <c r="AZ17" s="63">
        <f>Notes!$L$5</f>
        <v>2040</v>
      </c>
      <c r="BA17" s="26">
        <v>0</v>
      </c>
      <c r="BB17" s="34">
        <v>1</v>
      </c>
    </row>
    <row r="18" spans="2:54" x14ac:dyDescent="0.3">
      <c r="B18" s="8"/>
      <c r="C18" s="2" t="s">
        <v>766</v>
      </c>
      <c r="D18" s="26">
        <v>0</v>
      </c>
      <c r="E18" s="26">
        <v>0</v>
      </c>
      <c r="F18" s="27">
        <v>0</v>
      </c>
      <c r="G18" s="26">
        <v>0</v>
      </c>
      <c r="H18" s="26">
        <v>0</v>
      </c>
      <c r="I18" s="27">
        <v>0</v>
      </c>
      <c r="J18" s="26">
        <v>0</v>
      </c>
      <c r="K18" s="26">
        <v>0</v>
      </c>
      <c r="L18" s="67">
        <v>1</v>
      </c>
      <c r="N18" s="8"/>
      <c r="O18" s="2" t="s">
        <v>809</v>
      </c>
      <c r="P18" s="26">
        <v>0</v>
      </c>
      <c r="Q18" s="27">
        <v>0</v>
      </c>
      <c r="R18" s="30">
        <v>0</v>
      </c>
      <c r="S18" s="27">
        <v>0</v>
      </c>
      <c r="T18" s="30">
        <v>0</v>
      </c>
      <c r="U18" s="34">
        <v>1</v>
      </c>
      <c r="V18" s="34">
        <v>1</v>
      </c>
      <c r="X18" s="8"/>
      <c r="Y18" s="2" t="s">
        <v>853</v>
      </c>
      <c r="Z18" s="26">
        <v>0</v>
      </c>
      <c r="AA18" s="26">
        <v>0</v>
      </c>
      <c r="AB18" s="26">
        <v>0</v>
      </c>
      <c r="AC18" s="26">
        <v>0</v>
      </c>
      <c r="AD18" s="27">
        <v>0</v>
      </c>
      <c r="AE18" s="30">
        <v>0</v>
      </c>
      <c r="AF18" s="26">
        <v>0</v>
      </c>
      <c r="AG18" s="26">
        <v>0</v>
      </c>
      <c r="AH18" s="32">
        <v>1</v>
      </c>
      <c r="AJ18" s="8"/>
      <c r="AK18" s="2" t="s">
        <v>985</v>
      </c>
      <c r="AL18" s="26">
        <v>0</v>
      </c>
      <c r="AM18" s="26">
        <v>0</v>
      </c>
      <c r="AN18" s="26">
        <v>0</v>
      </c>
      <c r="AO18" s="27">
        <v>0</v>
      </c>
      <c r="AP18" s="30">
        <v>0</v>
      </c>
      <c r="AQ18" s="26">
        <v>0</v>
      </c>
      <c r="AR18" s="26">
        <v>0</v>
      </c>
      <c r="AS18" s="32">
        <v>1</v>
      </c>
      <c r="AT18" s="34">
        <v>1</v>
      </c>
      <c r="AV18" s="8"/>
      <c r="AW18" s="9" t="s">
        <v>291</v>
      </c>
      <c r="AX18" s="53" t="s">
        <v>75</v>
      </c>
      <c r="AY18" s="63">
        <f>Notes!$L$4</f>
        <v>2024</v>
      </c>
      <c r="AZ18" s="63">
        <f>Notes!$L$5</f>
        <v>2040</v>
      </c>
      <c r="BA18" s="26">
        <v>0</v>
      </c>
      <c r="BB18" s="34">
        <v>1</v>
      </c>
    </row>
    <row r="19" spans="2:54" x14ac:dyDescent="0.3">
      <c r="B19" s="8"/>
      <c r="C19" s="2" t="s">
        <v>976</v>
      </c>
      <c r="D19" s="26">
        <v>0</v>
      </c>
      <c r="E19" s="26">
        <v>0</v>
      </c>
      <c r="F19" s="27">
        <v>0</v>
      </c>
      <c r="G19" s="26">
        <v>0</v>
      </c>
      <c r="H19" s="26">
        <v>0</v>
      </c>
      <c r="I19" s="27">
        <v>0</v>
      </c>
      <c r="J19" s="26">
        <v>0</v>
      </c>
      <c r="K19" s="26">
        <v>0</v>
      </c>
      <c r="L19" s="67">
        <v>1</v>
      </c>
      <c r="N19" s="8"/>
      <c r="O19" s="2" t="s">
        <v>946</v>
      </c>
      <c r="P19" s="26">
        <v>0</v>
      </c>
      <c r="Q19" s="27">
        <v>0</v>
      </c>
      <c r="R19" s="30">
        <v>0</v>
      </c>
      <c r="S19" s="27">
        <v>0</v>
      </c>
      <c r="T19" s="30">
        <v>0</v>
      </c>
      <c r="U19" s="34">
        <v>1</v>
      </c>
      <c r="V19" s="34">
        <v>1</v>
      </c>
      <c r="X19" s="8"/>
      <c r="Y19" s="2" t="s">
        <v>854</v>
      </c>
      <c r="Z19" s="26">
        <v>0</v>
      </c>
      <c r="AA19" s="26">
        <v>0</v>
      </c>
      <c r="AB19" s="26">
        <v>0</v>
      </c>
      <c r="AC19" s="26">
        <v>0</v>
      </c>
      <c r="AD19" s="27">
        <v>0</v>
      </c>
      <c r="AE19" s="30">
        <v>0</v>
      </c>
      <c r="AF19" s="26">
        <v>0</v>
      </c>
      <c r="AG19" s="26">
        <v>0</v>
      </c>
      <c r="AH19" s="32">
        <v>1</v>
      </c>
      <c r="AJ19" s="8"/>
      <c r="AK19" s="2" t="s">
        <v>986</v>
      </c>
      <c r="AL19" s="26">
        <v>0</v>
      </c>
      <c r="AM19" s="26">
        <v>0</v>
      </c>
      <c r="AN19" s="26">
        <v>0</v>
      </c>
      <c r="AO19" s="27">
        <v>0</v>
      </c>
      <c r="AP19" s="30">
        <v>0</v>
      </c>
      <c r="AQ19" s="26">
        <v>0</v>
      </c>
      <c r="AR19" s="26">
        <v>0</v>
      </c>
      <c r="AS19" s="32">
        <v>1</v>
      </c>
      <c r="AT19" s="34">
        <v>1</v>
      </c>
      <c r="AV19" s="8"/>
      <c r="AW19" s="9" t="s">
        <v>292</v>
      </c>
      <c r="AX19" s="53" t="s">
        <v>76</v>
      </c>
      <c r="AY19" s="63">
        <f>Notes!$L$4</f>
        <v>2024</v>
      </c>
      <c r="AZ19" s="63">
        <f>Notes!$L$5</f>
        <v>2040</v>
      </c>
      <c r="BA19" s="26">
        <v>0</v>
      </c>
      <c r="BB19" s="34">
        <v>1</v>
      </c>
    </row>
    <row r="20" spans="2:54" x14ac:dyDescent="0.3">
      <c r="B20" s="8"/>
      <c r="C20" s="2" t="s">
        <v>977</v>
      </c>
      <c r="D20" s="26">
        <v>0</v>
      </c>
      <c r="E20" s="26">
        <v>0</v>
      </c>
      <c r="F20" s="27">
        <v>0</v>
      </c>
      <c r="G20" s="26">
        <v>0</v>
      </c>
      <c r="H20" s="26">
        <v>0</v>
      </c>
      <c r="I20" s="27">
        <v>0</v>
      </c>
      <c r="J20" s="26">
        <v>0</v>
      </c>
      <c r="K20" s="26">
        <v>0</v>
      </c>
      <c r="L20" s="67">
        <v>1</v>
      </c>
      <c r="N20" s="8"/>
      <c r="O20" s="2" t="s">
        <v>947</v>
      </c>
      <c r="P20" s="26">
        <v>0</v>
      </c>
      <c r="Q20" s="27">
        <v>0</v>
      </c>
      <c r="R20" s="30">
        <v>0</v>
      </c>
      <c r="S20" s="27">
        <v>0</v>
      </c>
      <c r="T20" s="30">
        <v>0</v>
      </c>
      <c r="U20" s="34">
        <v>1</v>
      </c>
      <c r="V20" s="34">
        <v>1</v>
      </c>
      <c r="X20" s="8"/>
      <c r="Y20" s="2" t="s">
        <v>855</v>
      </c>
      <c r="Z20" s="26">
        <v>0</v>
      </c>
      <c r="AA20" s="26">
        <v>0</v>
      </c>
      <c r="AB20" s="26">
        <v>0</v>
      </c>
      <c r="AC20" s="26">
        <v>0</v>
      </c>
      <c r="AD20" s="27">
        <v>0</v>
      </c>
      <c r="AE20" s="30">
        <v>0</v>
      </c>
      <c r="AF20" s="26">
        <v>0</v>
      </c>
      <c r="AG20" s="26">
        <v>0</v>
      </c>
      <c r="AH20" s="32">
        <v>1</v>
      </c>
      <c r="AJ20" s="8"/>
      <c r="AK20" s="2" t="s">
        <v>987</v>
      </c>
      <c r="AL20" s="26">
        <v>0</v>
      </c>
      <c r="AM20" s="26">
        <v>0</v>
      </c>
      <c r="AN20" s="26">
        <v>0</v>
      </c>
      <c r="AO20" s="27">
        <v>0</v>
      </c>
      <c r="AP20" s="30">
        <v>0</v>
      </c>
      <c r="AQ20" s="26">
        <v>0</v>
      </c>
      <c r="AR20" s="26">
        <v>0</v>
      </c>
      <c r="AS20" s="32">
        <v>1</v>
      </c>
      <c r="AT20" s="34">
        <v>1</v>
      </c>
      <c r="AV20" s="8"/>
      <c r="AW20" s="9" t="s">
        <v>61</v>
      </c>
      <c r="AX20" s="53" t="s">
        <v>82</v>
      </c>
      <c r="AY20" s="63">
        <f>Notes!$L$4</f>
        <v>2024</v>
      </c>
      <c r="AZ20" s="63">
        <f>Notes!$L$5</f>
        <v>2040</v>
      </c>
      <c r="BA20" s="26">
        <v>0</v>
      </c>
      <c r="BB20" s="34">
        <v>1</v>
      </c>
    </row>
    <row r="21" spans="2:54" x14ac:dyDescent="0.3">
      <c r="B21" s="8"/>
      <c r="C21" s="2" t="s">
        <v>767</v>
      </c>
      <c r="D21" s="26">
        <v>0</v>
      </c>
      <c r="E21" s="26">
        <v>0</v>
      </c>
      <c r="F21" s="27">
        <v>0</v>
      </c>
      <c r="G21" s="26">
        <v>0</v>
      </c>
      <c r="H21" s="26">
        <v>0</v>
      </c>
      <c r="I21" s="27">
        <v>0</v>
      </c>
      <c r="J21" s="26">
        <v>0</v>
      </c>
      <c r="K21" s="26">
        <v>0</v>
      </c>
      <c r="L21" s="67">
        <v>1</v>
      </c>
      <c r="N21" s="8"/>
      <c r="O21" s="2" t="s">
        <v>810</v>
      </c>
      <c r="P21" s="26">
        <v>0</v>
      </c>
      <c r="Q21" s="27">
        <v>0</v>
      </c>
      <c r="R21" s="30">
        <v>0</v>
      </c>
      <c r="S21" s="27">
        <v>0</v>
      </c>
      <c r="T21" s="30">
        <v>0</v>
      </c>
      <c r="U21" s="34">
        <v>1</v>
      </c>
      <c r="V21" s="34">
        <v>1</v>
      </c>
      <c r="X21" s="8"/>
      <c r="Y21" s="2" t="s">
        <v>856</v>
      </c>
      <c r="Z21" s="26">
        <v>0</v>
      </c>
      <c r="AA21" s="26">
        <v>0</v>
      </c>
      <c r="AB21" s="26">
        <v>0</v>
      </c>
      <c r="AC21" s="26">
        <v>0</v>
      </c>
      <c r="AD21" s="27">
        <v>0</v>
      </c>
      <c r="AE21" s="30">
        <v>0</v>
      </c>
      <c r="AF21" s="26">
        <v>0</v>
      </c>
      <c r="AG21" s="26">
        <v>0</v>
      </c>
      <c r="AH21" s="32">
        <v>1</v>
      </c>
      <c r="AJ21" s="8"/>
      <c r="AK21" s="2" t="s">
        <v>988</v>
      </c>
      <c r="AL21" s="26">
        <v>0</v>
      </c>
      <c r="AM21" s="26">
        <v>0</v>
      </c>
      <c r="AN21" s="26">
        <v>0</v>
      </c>
      <c r="AO21" s="27">
        <v>0</v>
      </c>
      <c r="AP21" s="30">
        <v>0</v>
      </c>
      <c r="AQ21" s="26">
        <v>0</v>
      </c>
      <c r="AR21" s="26">
        <v>0</v>
      </c>
      <c r="AS21" s="32">
        <v>1</v>
      </c>
      <c r="AT21" s="34">
        <v>1</v>
      </c>
      <c r="AV21" s="8"/>
      <c r="AW21" s="9" t="s">
        <v>293</v>
      </c>
      <c r="AX21" s="53" t="s">
        <v>621</v>
      </c>
      <c r="AY21" s="63">
        <f>Notes!$L$4</f>
        <v>2024</v>
      </c>
      <c r="AZ21" s="63">
        <f>Notes!$L$5</f>
        <v>2040</v>
      </c>
      <c r="BA21" s="26">
        <v>0</v>
      </c>
      <c r="BB21" s="34">
        <v>1</v>
      </c>
    </row>
    <row r="22" spans="2:54" x14ac:dyDescent="0.3">
      <c r="B22" s="8"/>
      <c r="C22" s="2" t="s">
        <v>714</v>
      </c>
      <c r="D22" s="26">
        <v>0</v>
      </c>
      <c r="E22" s="26">
        <v>0</v>
      </c>
      <c r="F22" s="27">
        <v>0</v>
      </c>
      <c r="G22" s="26">
        <v>0</v>
      </c>
      <c r="H22" s="26">
        <v>0</v>
      </c>
      <c r="I22" s="27">
        <v>0</v>
      </c>
      <c r="J22" s="26">
        <v>0</v>
      </c>
      <c r="K22" s="26">
        <v>0</v>
      </c>
      <c r="L22" s="67">
        <v>1</v>
      </c>
      <c r="N22" s="8"/>
      <c r="O22" s="2" t="s">
        <v>650</v>
      </c>
      <c r="P22" s="26">
        <v>0</v>
      </c>
      <c r="Q22" s="27">
        <v>0</v>
      </c>
      <c r="R22" s="30">
        <v>0</v>
      </c>
      <c r="S22" s="27">
        <v>0</v>
      </c>
      <c r="T22" s="30">
        <v>0</v>
      </c>
      <c r="U22" s="34">
        <v>1</v>
      </c>
      <c r="V22" s="34">
        <v>1</v>
      </c>
      <c r="X22" s="8"/>
      <c r="Y22" s="2" t="s">
        <v>857</v>
      </c>
      <c r="Z22" s="26">
        <v>0</v>
      </c>
      <c r="AA22" s="26">
        <v>0</v>
      </c>
      <c r="AB22" s="26">
        <v>0</v>
      </c>
      <c r="AC22" s="26">
        <v>0</v>
      </c>
      <c r="AD22" s="27">
        <v>0</v>
      </c>
      <c r="AE22" s="30">
        <v>0</v>
      </c>
      <c r="AF22" s="26">
        <v>0</v>
      </c>
      <c r="AG22" s="26">
        <v>0</v>
      </c>
      <c r="AH22" s="32">
        <v>1</v>
      </c>
      <c r="AJ22" s="8"/>
      <c r="AK22" s="2" t="s">
        <v>989</v>
      </c>
      <c r="AL22" s="26">
        <v>0</v>
      </c>
      <c r="AM22" s="26">
        <v>0</v>
      </c>
      <c r="AN22" s="26">
        <v>0</v>
      </c>
      <c r="AO22" s="27">
        <v>0</v>
      </c>
      <c r="AP22" s="30">
        <v>0</v>
      </c>
      <c r="AQ22" s="26">
        <v>0</v>
      </c>
      <c r="AR22" s="26">
        <v>0</v>
      </c>
      <c r="AS22" s="32">
        <v>1</v>
      </c>
      <c r="AT22" s="34">
        <v>1</v>
      </c>
      <c r="AV22" s="8"/>
      <c r="AW22" s="9" t="s">
        <v>294</v>
      </c>
      <c r="AX22" s="53" t="s">
        <v>83</v>
      </c>
      <c r="AY22" s="63">
        <f>Notes!$L$4</f>
        <v>2024</v>
      </c>
      <c r="AZ22" s="63">
        <f>Notes!$L$5</f>
        <v>2040</v>
      </c>
      <c r="BA22" s="26">
        <v>0</v>
      </c>
      <c r="BB22" s="34">
        <v>1</v>
      </c>
    </row>
    <row r="23" spans="2:54" x14ac:dyDescent="0.3">
      <c r="B23" s="8"/>
      <c r="C23" s="2" t="s">
        <v>715</v>
      </c>
      <c r="D23" s="26">
        <v>0</v>
      </c>
      <c r="E23" s="26">
        <v>0</v>
      </c>
      <c r="F23" s="27">
        <v>0</v>
      </c>
      <c r="G23" s="26">
        <v>0</v>
      </c>
      <c r="H23" s="26">
        <v>0</v>
      </c>
      <c r="I23" s="27">
        <v>0</v>
      </c>
      <c r="J23" s="26">
        <v>0</v>
      </c>
      <c r="K23" s="26">
        <v>0</v>
      </c>
      <c r="L23" s="67">
        <v>1</v>
      </c>
      <c r="N23" s="8"/>
      <c r="O23" s="2" t="s">
        <v>651</v>
      </c>
      <c r="P23" s="26">
        <v>0</v>
      </c>
      <c r="Q23" s="27">
        <v>0</v>
      </c>
      <c r="R23" s="30">
        <v>0</v>
      </c>
      <c r="S23" s="27">
        <v>0</v>
      </c>
      <c r="T23" s="30">
        <v>0</v>
      </c>
      <c r="U23" s="34">
        <v>1</v>
      </c>
      <c r="V23" s="34">
        <v>1</v>
      </c>
      <c r="X23" s="8"/>
      <c r="Y23" s="2" t="s">
        <v>858</v>
      </c>
      <c r="Z23" s="26">
        <v>0</v>
      </c>
      <c r="AA23" s="26">
        <v>0</v>
      </c>
      <c r="AB23" s="26">
        <v>0</v>
      </c>
      <c r="AC23" s="26">
        <v>0</v>
      </c>
      <c r="AD23" s="27">
        <v>0</v>
      </c>
      <c r="AE23" s="30">
        <v>0</v>
      </c>
      <c r="AF23" s="26">
        <v>0</v>
      </c>
      <c r="AG23" s="26">
        <v>0</v>
      </c>
      <c r="AH23" s="32">
        <v>1</v>
      </c>
      <c r="AJ23" s="8"/>
      <c r="AK23" s="2" t="s">
        <v>990</v>
      </c>
      <c r="AL23" s="26">
        <v>0</v>
      </c>
      <c r="AM23" s="26">
        <v>0</v>
      </c>
      <c r="AN23" s="26">
        <v>0</v>
      </c>
      <c r="AO23" s="27">
        <v>0</v>
      </c>
      <c r="AP23" s="30">
        <v>0</v>
      </c>
      <c r="AQ23" s="26">
        <v>0</v>
      </c>
      <c r="AR23" s="26">
        <v>0</v>
      </c>
      <c r="AS23" s="32">
        <v>1</v>
      </c>
      <c r="AT23" s="34">
        <v>1</v>
      </c>
      <c r="AV23" s="8"/>
      <c r="AW23" s="9" t="s">
        <v>295</v>
      </c>
      <c r="AX23" s="53" t="s">
        <v>622</v>
      </c>
      <c r="AY23" s="63">
        <f>Notes!$L$4</f>
        <v>2024</v>
      </c>
      <c r="AZ23" s="63">
        <f>Notes!$L$5</f>
        <v>2040</v>
      </c>
      <c r="BA23" s="26">
        <v>0</v>
      </c>
      <c r="BB23" s="34">
        <v>1</v>
      </c>
    </row>
    <row r="24" spans="2:54" x14ac:dyDescent="0.3">
      <c r="B24" s="8"/>
      <c r="C24" s="2" t="s">
        <v>768</v>
      </c>
      <c r="D24" s="26">
        <v>0</v>
      </c>
      <c r="E24" s="26">
        <v>0</v>
      </c>
      <c r="F24" s="27">
        <v>0</v>
      </c>
      <c r="G24" s="26">
        <v>0</v>
      </c>
      <c r="H24" s="26">
        <v>0</v>
      </c>
      <c r="I24" s="27">
        <v>0</v>
      </c>
      <c r="J24" s="26">
        <v>0</v>
      </c>
      <c r="K24" s="26">
        <v>0</v>
      </c>
      <c r="L24" s="67">
        <v>1</v>
      </c>
      <c r="N24" s="8"/>
      <c r="O24" s="2" t="s">
        <v>811</v>
      </c>
      <c r="P24" s="26">
        <v>0</v>
      </c>
      <c r="Q24" s="27">
        <v>0</v>
      </c>
      <c r="R24" s="30">
        <v>0</v>
      </c>
      <c r="S24" s="27">
        <v>0</v>
      </c>
      <c r="T24" s="30">
        <v>0</v>
      </c>
      <c r="U24" s="34">
        <v>1</v>
      </c>
      <c r="V24" s="34">
        <v>1</v>
      </c>
      <c r="X24" s="8"/>
      <c r="Y24" s="2" t="s">
        <v>859</v>
      </c>
      <c r="Z24" s="26">
        <v>0</v>
      </c>
      <c r="AA24" s="26">
        <v>0</v>
      </c>
      <c r="AB24" s="26">
        <v>0</v>
      </c>
      <c r="AC24" s="26">
        <v>0</v>
      </c>
      <c r="AD24" s="27">
        <v>0</v>
      </c>
      <c r="AE24" s="30">
        <v>0</v>
      </c>
      <c r="AF24" s="26">
        <v>0</v>
      </c>
      <c r="AG24" s="26">
        <v>0</v>
      </c>
      <c r="AH24" s="32">
        <v>1</v>
      </c>
      <c r="AJ24" s="8"/>
      <c r="AK24" s="2" t="s">
        <v>991</v>
      </c>
      <c r="AL24" s="26">
        <v>0</v>
      </c>
      <c r="AM24" s="26">
        <v>0</v>
      </c>
      <c r="AN24" s="26">
        <v>0</v>
      </c>
      <c r="AO24" s="27">
        <v>0</v>
      </c>
      <c r="AP24" s="30">
        <v>0</v>
      </c>
      <c r="AQ24" s="26">
        <v>0</v>
      </c>
      <c r="AR24" s="26">
        <v>0</v>
      </c>
      <c r="AS24" s="32">
        <v>1</v>
      </c>
      <c r="AT24" s="34">
        <v>1</v>
      </c>
      <c r="AV24" s="8"/>
      <c r="AW24" s="9" t="s">
        <v>647</v>
      </c>
      <c r="AX24" s="53" t="s">
        <v>648</v>
      </c>
      <c r="AY24" s="63">
        <f>Notes!$L$4</f>
        <v>2024</v>
      </c>
      <c r="AZ24" s="63">
        <f>Notes!$L$5</f>
        <v>2040</v>
      </c>
      <c r="BA24" s="26">
        <v>0</v>
      </c>
      <c r="BB24" s="34">
        <v>1</v>
      </c>
    </row>
    <row r="25" spans="2:54" x14ac:dyDescent="0.3">
      <c r="B25" s="8"/>
      <c r="C25" s="2" t="s">
        <v>716</v>
      </c>
      <c r="D25" s="26">
        <v>0</v>
      </c>
      <c r="E25" s="26">
        <v>0</v>
      </c>
      <c r="F25" s="27">
        <v>0</v>
      </c>
      <c r="G25" s="26">
        <v>0</v>
      </c>
      <c r="H25" s="26">
        <v>0</v>
      </c>
      <c r="I25" s="27">
        <v>0</v>
      </c>
      <c r="J25" s="26">
        <v>0</v>
      </c>
      <c r="K25" s="26">
        <v>0</v>
      </c>
      <c r="L25" s="67">
        <v>1</v>
      </c>
      <c r="N25" s="8"/>
      <c r="O25" s="2" t="s">
        <v>652</v>
      </c>
      <c r="P25" s="26">
        <v>0</v>
      </c>
      <c r="Q25" s="27">
        <v>0</v>
      </c>
      <c r="R25" s="30">
        <v>0</v>
      </c>
      <c r="S25" s="27">
        <v>0</v>
      </c>
      <c r="T25" s="30">
        <v>0</v>
      </c>
      <c r="U25" s="34">
        <v>1</v>
      </c>
      <c r="V25" s="34">
        <v>1</v>
      </c>
      <c r="X25" s="8"/>
      <c r="Y25" s="2" t="s">
        <v>10</v>
      </c>
      <c r="Z25" s="26">
        <v>0</v>
      </c>
      <c r="AA25" s="26">
        <v>0</v>
      </c>
      <c r="AB25" s="26">
        <v>0</v>
      </c>
      <c r="AC25" s="26">
        <v>0</v>
      </c>
      <c r="AD25" s="27">
        <v>0</v>
      </c>
      <c r="AE25" s="30">
        <v>0</v>
      </c>
      <c r="AF25" s="26">
        <v>0</v>
      </c>
      <c r="AG25" s="26">
        <v>0</v>
      </c>
      <c r="AH25" s="32">
        <v>1</v>
      </c>
      <c r="AJ25" s="8"/>
      <c r="AK25" s="2" t="s">
        <v>992</v>
      </c>
      <c r="AL25" s="26">
        <v>0</v>
      </c>
      <c r="AM25" s="26">
        <v>0</v>
      </c>
      <c r="AN25" s="26">
        <v>0</v>
      </c>
      <c r="AO25" s="27">
        <v>0</v>
      </c>
      <c r="AP25" s="30">
        <v>0</v>
      </c>
      <c r="AQ25" s="26">
        <v>0</v>
      </c>
      <c r="AR25" s="26">
        <v>0</v>
      </c>
      <c r="AS25" s="32">
        <v>1</v>
      </c>
      <c r="AT25" s="34">
        <v>1</v>
      </c>
      <c r="AV25" s="8"/>
    </row>
    <row r="26" spans="2:54" x14ac:dyDescent="0.3">
      <c r="B26" s="8"/>
      <c r="C26" s="2" t="s">
        <v>769</v>
      </c>
      <c r="D26" s="26">
        <v>0</v>
      </c>
      <c r="E26" s="26">
        <v>0</v>
      </c>
      <c r="F26" s="27">
        <v>0</v>
      </c>
      <c r="G26" s="26">
        <v>0</v>
      </c>
      <c r="H26" s="26">
        <v>0</v>
      </c>
      <c r="I26" s="27">
        <v>0</v>
      </c>
      <c r="J26" s="26">
        <v>0</v>
      </c>
      <c r="K26" s="26">
        <v>0</v>
      </c>
      <c r="L26" s="67">
        <v>1</v>
      </c>
      <c r="N26" s="8"/>
      <c r="O26" s="2" t="s">
        <v>812</v>
      </c>
      <c r="P26" s="26">
        <v>0</v>
      </c>
      <c r="Q26" s="27">
        <v>0</v>
      </c>
      <c r="R26" s="30">
        <v>0</v>
      </c>
      <c r="S26" s="27">
        <v>0</v>
      </c>
      <c r="T26" s="30">
        <v>0</v>
      </c>
      <c r="U26" s="34">
        <v>1</v>
      </c>
      <c r="V26" s="34">
        <v>1</v>
      </c>
      <c r="X26" s="8"/>
      <c r="Y26" s="2" t="s">
        <v>860</v>
      </c>
      <c r="Z26" s="26">
        <v>0</v>
      </c>
      <c r="AA26" s="26">
        <v>0</v>
      </c>
      <c r="AB26" s="26">
        <v>0</v>
      </c>
      <c r="AC26" s="26">
        <v>0</v>
      </c>
      <c r="AD26" s="27">
        <v>0</v>
      </c>
      <c r="AE26" s="30">
        <v>0</v>
      </c>
      <c r="AF26" s="26">
        <v>0</v>
      </c>
      <c r="AG26" s="26">
        <v>0</v>
      </c>
      <c r="AH26" s="32">
        <v>1</v>
      </c>
      <c r="AJ26" s="8"/>
      <c r="AK26" s="2" t="s">
        <v>993</v>
      </c>
      <c r="AL26" s="26">
        <v>0</v>
      </c>
      <c r="AM26" s="26">
        <v>0</v>
      </c>
      <c r="AN26" s="26">
        <v>0</v>
      </c>
      <c r="AO26" s="27">
        <v>0</v>
      </c>
      <c r="AP26" s="30">
        <v>0</v>
      </c>
      <c r="AQ26" s="26">
        <v>0</v>
      </c>
      <c r="AR26" s="26">
        <v>0</v>
      </c>
      <c r="AS26" s="32">
        <v>1</v>
      </c>
      <c r="AT26" s="34">
        <v>1</v>
      </c>
    </row>
    <row r="27" spans="2:54" x14ac:dyDescent="0.3">
      <c r="B27" s="8"/>
      <c r="C27" s="2" t="s">
        <v>770</v>
      </c>
      <c r="D27" s="26">
        <v>0</v>
      </c>
      <c r="E27" s="26">
        <v>0</v>
      </c>
      <c r="F27" s="27">
        <v>0</v>
      </c>
      <c r="G27" s="26">
        <v>0</v>
      </c>
      <c r="H27" s="26">
        <v>0</v>
      </c>
      <c r="I27" s="27">
        <v>0</v>
      </c>
      <c r="J27" s="26">
        <v>0</v>
      </c>
      <c r="K27" s="26">
        <v>0</v>
      </c>
      <c r="L27" s="67">
        <v>1</v>
      </c>
      <c r="N27" s="8"/>
      <c r="O27" s="2" t="s">
        <v>813</v>
      </c>
      <c r="P27" s="26">
        <v>0</v>
      </c>
      <c r="Q27" s="27">
        <v>0</v>
      </c>
      <c r="R27" s="30">
        <v>0</v>
      </c>
      <c r="S27" s="27">
        <v>0</v>
      </c>
      <c r="T27" s="30">
        <v>0</v>
      </c>
      <c r="U27" s="34">
        <v>1</v>
      </c>
      <c r="V27" s="34">
        <v>1</v>
      </c>
      <c r="X27" s="8"/>
      <c r="Y27" s="2" t="s">
        <v>861</v>
      </c>
      <c r="Z27" s="26">
        <v>0</v>
      </c>
      <c r="AA27" s="26">
        <v>0</v>
      </c>
      <c r="AB27" s="26">
        <v>0</v>
      </c>
      <c r="AC27" s="26">
        <v>0</v>
      </c>
      <c r="AD27" s="27">
        <v>0</v>
      </c>
      <c r="AE27" s="30">
        <v>0</v>
      </c>
      <c r="AF27" s="26">
        <v>0</v>
      </c>
      <c r="AG27" s="26">
        <v>0</v>
      </c>
      <c r="AH27" s="32">
        <v>1</v>
      </c>
      <c r="AJ27" s="8"/>
      <c r="AK27" s="2" t="s">
        <v>994</v>
      </c>
      <c r="AL27" s="26">
        <v>0</v>
      </c>
      <c r="AM27" s="26">
        <v>0</v>
      </c>
      <c r="AN27" s="26">
        <v>0</v>
      </c>
      <c r="AO27" s="27">
        <v>0</v>
      </c>
      <c r="AP27" s="30">
        <v>0</v>
      </c>
      <c r="AQ27" s="26">
        <v>0</v>
      </c>
      <c r="AR27" s="26">
        <v>0</v>
      </c>
      <c r="AS27" s="32">
        <v>1</v>
      </c>
      <c r="AT27" s="34">
        <v>1</v>
      </c>
    </row>
    <row r="28" spans="2:54" x14ac:dyDescent="0.3">
      <c r="B28" s="8"/>
      <c r="C28" s="2" t="s">
        <v>771</v>
      </c>
      <c r="D28" s="26">
        <v>0</v>
      </c>
      <c r="E28" s="26">
        <v>0</v>
      </c>
      <c r="F28" s="27">
        <v>0</v>
      </c>
      <c r="G28" s="26">
        <v>0</v>
      </c>
      <c r="H28" s="26">
        <v>0</v>
      </c>
      <c r="I28" s="27">
        <v>0</v>
      </c>
      <c r="J28" s="26">
        <v>0</v>
      </c>
      <c r="K28" s="26">
        <v>0</v>
      </c>
      <c r="L28" s="67">
        <v>1</v>
      </c>
      <c r="N28" s="8"/>
      <c r="O28" s="2" t="s">
        <v>814</v>
      </c>
      <c r="P28" s="26">
        <v>0</v>
      </c>
      <c r="Q28" s="27">
        <v>0</v>
      </c>
      <c r="R28" s="30">
        <v>0</v>
      </c>
      <c r="S28" s="27">
        <v>0</v>
      </c>
      <c r="T28" s="30">
        <v>0</v>
      </c>
      <c r="U28" s="34">
        <v>1</v>
      </c>
      <c r="V28" s="34">
        <v>1</v>
      </c>
      <c r="X28" s="8"/>
      <c r="Y28" s="2" t="s">
        <v>862</v>
      </c>
      <c r="Z28" s="26">
        <v>0</v>
      </c>
      <c r="AA28" s="26">
        <v>0</v>
      </c>
      <c r="AB28" s="26">
        <v>0</v>
      </c>
      <c r="AC28" s="26">
        <v>0</v>
      </c>
      <c r="AD28" s="27">
        <v>0</v>
      </c>
      <c r="AE28" s="30">
        <v>0</v>
      </c>
      <c r="AF28" s="26">
        <v>0</v>
      </c>
      <c r="AG28" s="26">
        <v>0</v>
      </c>
      <c r="AH28" s="32">
        <v>1</v>
      </c>
      <c r="AJ28" s="8"/>
      <c r="AK28" s="2" t="s">
        <v>995</v>
      </c>
      <c r="AL28" s="26">
        <v>0</v>
      </c>
      <c r="AM28" s="26">
        <v>0</v>
      </c>
      <c r="AN28" s="26">
        <v>0</v>
      </c>
      <c r="AO28" s="27">
        <v>0</v>
      </c>
      <c r="AP28" s="30">
        <v>0</v>
      </c>
      <c r="AQ28" s="26">
        <v>0</v>
      </c>
      <c r="AR28" s="26">
        <v>0</v>
      </c>
      <c r="AS28" s="32">
        <v>1</v>
      </c>
      <c r="AT28" s="34">
        <v>1</v>
      </c>
    </row>
    <row r="29" spans="2:54" x14ac:dyDescent="0.3">
      <c r="B29" s="8"/>
      <c r="C29" s="2" t="s">
        <v>717</v>
      </c>
      <c r="D29" s="26">
        <v>0</v>
      </c>
      <c r="E29" s="26">
        <v>0</v>
      </c>
      <c r="F29" s="27">
        <v>0</v>
      </c>
      <c r="G29" s="26">
        <v>0</v>
      </c>
      <c r="H29" s="26">
        <v>0</v>
      </c>
      <c r="I29" s="27">
        <v>0</v>
      </c>
      <c r="J29" s="26">
        <v>0</v>
      </c>
      <c r="K29" s="26">
        <v>0</v>
      </c>
      <c r="L29" s="67">
        <v>1</v>
      </c>
      <c r="N29" s="8"/>
      <c r="O29" s="2" t="s">
        <v>653</v>
      </c>
      <c r="P29" s="26">
        <v>0</v>
      </c>
      <c r="Q29" s="27">
        <v>0</v>
      </c>
      <c r="R29" s="30">
        <v>0</v>
      </c>
      <c r="S29" s="27">
        <v>0</v>
      </c>
      <c r="T29" s="30">
        <v>0</v>
      </c>
      <c r="U29" s="34">
        <v>1</v>
      </c>
      <c r="V29" s="34">
        <v>1</v>
      </c>
      <c r="X29" s="8"/>
      <c r="Y29" s="2" t="s">
        <v>863</v>
      </c>
      <c r="Z29" s="26">
        <v>0</v>
      </c>
      <c r="AA29" s="26">
        <v>0</v>
      </c>
      <c r="AB29" s="26">
        <v>0</v>
      </c>
      <c r="AC29" s="26">
        <v>0</v>
      </c>
      <c r="AD29" s="27">
        <v>0</v>
      </c>
      <c r="AE29" s="30">
        <v>0</v>
      </c>
      <c r="AF29" s="26">
        <v>0</v>
      </c>
      <c r="AG29" s="26">
        <v>0</v>
      </c>
      <c r="AH29" s="32">
        <v>1</v>
      </c>
      <c r="AJ29" s="8"/>
      <c r="AK29" s="2" t="s">
        <v>996</v>
      </c>
      <c r="AL29" s="26">
        <v>0</v>
      </c>
      <c r="AM29" s="26">
        <v>0</v>
      </c>
      <c r="AN29" s="26">
        <v>0</v>
      </c>
      <c r="AO29" s="27">
        <v>0</v>
      </c>
      <c r="AP29" s="30">
        <v>0</v>
      </c>
      <c r="AQ29" s="26">
        <v>0</v>
      </c>
      <c r="AR29" s="26">
        <v>0</v>
      </c>
      <c r="AS29" s="32">
        <v>1</v>
      </c>
      <c r="AT29" s="34">
        <v>1</v>
      </c>
    </row>
    <row r="30" spans="2:54" x14ac:dyDescent="0.3">
      <c r="B30" s="8"/>
      <c r="C30" s="2" t="s">
        <v>978</v>
      </c>
      <c r="D30" s="26">
        <v>0</v>
      </c>
      <c r="E30" s="26">
        <v>0</v>
      </c>
      <c r="F30" s="27">
        <v>0</v>
      </c>
      <c r="G30" s="26">
        <v>0</v>
      </c>
      <c r="H30" s="26">
        <v>0</v>
      </c>
      <c r="I30" s="27">
        <v>0</v>
      </c>
      <c r="J30" s="26">
        <v>0</v>
      </c>
      <c r="K30" s="26">
        <v>0</v>
      </c>
      <c r="L30" s="67">
        <v>1</v>
      </c>
      <c r="N30" s="8"/>
      <c r="O30" s="2" t="s">
        <v>948</v>
      </c>
      <c r="P30" s="26">
        <v>0</v>
      </c>
      <c r="Q30" s="27">
        <v>0</v>
      </c>
      <c r="R30" s="30">
        <v>0</v>
      </c>
      <c r="S30" s="27">
        <v>0</v>
      </c>
      <c r="T30" s="30">
        <v>0</v>
      </c>
      <c r="U30" s="34">
        <v>1</v>
      </c>
      <c r="V30" s="34">
        <v>1</v>
      </c>
      <c r="X30" s="8"/>
      <c r="Y30" s="2"/>
      <c r="Z30" s="26"/>
      <c r="AA30" s="26"/>
      <c r="AB30" s="26"/>
      <c r="AC30" s="26"/>
      <c r="AD30" s="27"/>
      <c r="AE30" s="30"/>
      <c r="AF30" s="26"/>
      <c r="AG30" s="26"/>
      <c r="AH30" s="32"/>
      <c r="AJ30" s="8"/>
      <c r="AK30" s="2" t="s">
        <v>997</v>
      </c>
      <c r="AL30" s="26">
        <v>0</v>
      </c>
      <c r="AM30" s="26">
        <v>0</v>
      </c>
      <c r="AN30" s="26">
        <v>0</v>
      </c>
      <c r="AO30" s="27">
        <v>0</v>
      </c>
      <c r="AP30" s="30">
        <v>0</v>
      </c>
      <c r="AQ30" s="26">
        <v>0</v>
      </c>
      <c r="AR30" s="26">
        <v>0</v>
      </c>
      <c r="AS30" s="32">
        <v>1</v>
      </c>
      <c r="AT30" s="34">
        <v>1</v>
      </c>
    </row>
    <row r="31" spans="2:54" x14ac:dyDescent="0.3">
      <c r="B31" s="8"/>
      <c r="C31" s="2" t="s">
        <v>718</v>
      </c>
      <c r="D31" s="26">
        <v>0</v>
      </c>
      <c r="E31" s="26">
        <v>0</v>
      </c>
      <c r="F31" s="27">
        <v>0</v>
      </c>
      <c r="G31" s="26">
        <v>0</v>
      </c>
      <c r="H31" s="26">
        <v>0</v>
      </c>
      <c r="I31" s="27">
        <v>0</v>
      </c>
      <c r="J31" s="26">
        <v>0</v>
      </c>
      <c r="K31" s="26">
        <v>0</v>
      </c>
      <c r="L31" s="67">
        <v>1</v>
      </c>
      <c r="N31" s="8"/>
      <c r="O31" s="2" t="s">
        <v>654</v>
      </c>
      <c r="P31" s="26">
        <v>0</v>
      </c>
      <c r="Q31" s="27">
        <v>0</v>
      </c>
      <c r="R31" s="30">
        <v>0</v>
      </c>
      <c r="S31" s="27">
        <v>0</v>
      </c>
      <c r="T31" s="30">
        <v>0</v>
      </c>
      <c r="U31" s="34">
        <v>1</v>
      </c>
      <c r="V31" s="34">
        <v>1</v>
      </c>
      <c r="X31" s="8"/>
      <c r="Y31" s="2"/>
      <c r="Z31" s="26"/>
      <c r="AA31" s="26"/>
      <c r="AB31" s="26"/>
      <c r="AC31" s="26"/>
      <c r="AD31" s="27"/>
      <c r="AE31" s="30"/>
      <c r="AF31" s="26"/>
      <c r="AG31" s="26"/>
      <c r="AH31" s="32"/>
      <c r="AJ31" s="8"/>
      <c r="AK31" s="2" t="s">
        <v>998</v>
      </c>
      <c r="AL31" s="26">
        <v>0</v>
      </c>
      <c r="AM31" s="26">
        <v>0</v>
      </c>
      <c r="AN31" s="26">
        <v>0</v>
      </c>
      <c r="AO31" s="27">
        <v>0</v>
      </c>
      <c r="AP31" s="30">
        <v>0</v>
      </c>
      <c r="AQ31" s="26">
        <v>0</v>
      </c>
      <c r="AR31" s="26">
        <v>0</v>
      </c>
      <c r="AS31" s="32">
        <v>1</v>
      </c>
      <c r="AT31" s="34">
        <v>1</v>
      </c>
    </row>
    <row r="32" spans="2:54" x14ac:dyDescent="0.3">
      <c r="B32" s="8"/>
      <c r="C32" s="2" t="s">
        <v>719</v>
      </c>
      <c r="D32" s="26">
        <v>0</v>
      </c>
      <c r="E32" s="26">
        <v>0</v>
      </c>
      <c r="F32" s="27">
        <v>0</v>
      </c>
      <c r="G32" s="26">
        <v>0</v>
      </c>
      <c r="H32" s="26">
        <v>0</v>
      </c>
      <c r="I32" s="27">
        <v>0</v>
      </c>
      <c r="J32" s="26">
        <v>0</v>
      </c>
      <c r="K32" s="26">
        <v>0</v>
      </c>
      <c r="L32" s="67">
        <v>1</v>
      </c>
      <c r="N32" s="8"/>
      <c r="O32" s="2" t="s">
        <v>655</v>
      </c>
      <c r="P32" s="26">
        <v>0</v>
      </c>
      <c r="Q32" s="27">
        <v>0</v>
      </c>
      <c r="R32" s="30">
        <v>0</v>
      </c>
      <c r="S32" s="27">
        <v>0</v>
      </c>
      <c r="T32" s="30">
        <v>0</v>
      </c>
      <c r="U32" s="34">
        <v>1</v>
      </c>
      <c r="V32" s="34">
        <v>1</v>
      </c>
      <c r="X32" s="8"/>
      <c r="Y32" s="2"/>
      <c r="Z32" s="26"/>
      <c r="AA32" s="26"/>
      <c r="AB32" s="26"/>
      <c r="AC32" s="26"/>
      <c r="AD32" s="27"/>
      <c r="AE32" s="30"/>
      <c r="AF32" s="26"/>
      <c r="AG32" s="26"/>
      <c r="AH32" s="32"/>
      <c r="AJ32" s="8"/>
      <c r="AK32" s="2" t="s">
        <v>999</v>
      </c>
      <c r="AL32" s="26">
        <v>0</v>
      </c>
      <c r="AM32" s="26">
        <v>0</v>
      </c>
      <c r="AN32" s="26">
        <v>0</v>
      </c>
      <c r="AO32" s="27">
        <v>0</v>
      </c>
      <c r="AP32" s="30">
        <v>0</v>
      </c>
      <c r="AQ32" s="26">
        <v>0</v>
      </c>
      <c r="AR32" s="26">
        <v>0</v>
      </c>
      <c r="AS32" s="32">
        <v>1</v>
      </c>
      <c r="AT32" s="34">
        <v>1</v>
      </c>
    </row>
    <row r="33" spans="2:46" x14ac:dyDescent="0.3">
      <c r="B33" s="8"/>
      <c r="C33" s="2" t="s">
        <v>720</v>
      </c>
      <c r="D33" s="26">
        <v>0</v>
      </c>
      <c r="E33" s="26">
        <v>0</v>
      </c>
      <c r="F33" s="27">
        <v>0</v>
      </c>
      <c r="G33" s="26">
        <v>0</v>
      </c>
      <c r="H33" s="26">
        <v>0</v>
      </c>
      <c r="I33" s="27">
        <v>0</v>
      </c>
      <c r="J33" s="26">
        <v>0</v>
      </c>
      <c r="K33" s="26">
        <v>0</v>
      </c>
      <c r="L33" s="67">
        <v>1</v>
      </c>
      <c r="N33" s="8"/>
      <c r="O33" s="2" t="s">
        <v>656</v>
      </c>
      <c r="P33" s="26">
        <v>0</v>
      </c>
      <c r="Q33" s="27">
        <v>0</v>
      </c>
      <c r="R33" s="30">
        <v>0</v>
      </c>
      <c r="S33" s="27">
        <v>0</v>
      </c>
      <c r="T33" s="30">
        <v>0</v>
      </c>
      <c r="U33" s="34">
        <v>1</v>
      </c>
      <c r="V33" s="34">
        <v>1</v>
      </c>
      <c r="X33" s="8"/>
      <c r="Y33" s="2"/>
      <c r="Z33" s="26"/>
      <c r="AA33" s="26"/>
      <c r="AB33" s="26"/>
      <c r="AC33" s="26"/>
      <c r="AD33" s="27"/>
      <c r="AE33" s="30"/>
      <c r="AF33" s="26"/>
      <c r="AG33" s="26"/>
      <c r="AH33" s="32"/>
      <c r="AJ33" s="8"/>
      <c r="AK33" s="2" t="s">
        <v>1000</v>
      </c>
      <c r="AL33" s="26">
        <v>0</v>
      </c>
      <c r="AM33" s="26">
        <v>0</v>
      </c>
      <c r="AN33" s="26">
        <v>0</v>
      </c>
      <c r="AO33" s="27">
        <v>0</v>
      </c>
      <c r="AP33" s="30">
        <v>0</v>
      </c>
      <c r="AQ33" s="26">
        <v>0</v>
      </c>
      <c r="AR33" s="26">
        <v>0</v>
      </c>
      <c r="AS33" s="32">
        <v>1</v>
      </c>
      <c r="AT33" s="34">
        <v>1</v>
      </c>
    </row>
    <row r="34" spans="2:46" x14ac:dyDescent="0.3">
      <c r="B34" s="8"/>
      <c r="C34" s="2" t="s">
        <v>721</v>
      </c>
      <c r="D34" s="26">
        <v>0</v>
      </c>
      <c r="E34" s="26">
        <v>0</v>
      </c>
      <c r="F34" s="27">
        <v>0</v>
      </c>
      <c r="G34" s="26">
        <v>0</v>
      </c>
      <c r="H34" s="26">
        <v>0</v>
      </c>
      <c r="I34" s="27">
        <v>0</v>
      </c>
      <c r="J34" s="26">
        <v>0</v>
      </c>
      <c r="K34" s="26">
        <v>0</v>
      </c>
      <c r="L34" s="67">
        <v>1</v>
      </c>
      <c r="N34" s="8"/>
      <c r="O34" s="2" t="s">
        <v>657</v>
      </c>
      <c r="P34" s="26">
        <v>0</v>
      </c>
      <c r="Q34" s="27">
        <v>0</v>
      </c>
      <c r="R34" s="30">
        <v>0</v>
      </c>
      <c r="S34" s="27">
        <v>0</v>
      </c>
      <c r="T34" s="30">
        <v>0</v>
      </c>
      <c r="U34" s="34">
        <v>1</v>
      </c>
      <c r="V34" s="34">
        <v>1</v>
      </c>
      <c r="X34" s="8"/>
      <c r="Y34" s="2"/>
      <c r="Z34" s="26"/>
      <c r="AA34" s="26"/>
      <c r="AB34" s="26"/>
      <c r="AC34" s="26"/>
      <c r="AD34" s="27"/>
      <c r="AE34" s="30"/>
      <c r="AF34" s="26"/>
      <c r="AG34" s="26"/>
      <c r="AH34" s="32"/>
      <c r="AJ34" s="8"/>
      <c r="AK34" s="2" t="s">
        <v>1001</v>
      </c>
      <c r="AL34" s="26">
        <v>0</v>
      </c>
      <c r="AM34" s="26">
        <v>0</v>
      </c>
      <c r="AN34" s="26">
        <v>0</v>
      </c>
      <c r="AO34" s="27">
        <v>0</v>
      </c>
      <c r="AP34" s="30">
        <v>0</v>
      </c>
      <c r="AQ34" s="26">
        <v>0</v>
      </c>
      <c r="AR34" s="26">
        <v>0</v>
      </c>
      <c r="AS34" s="32">
        <v>1</v>
      </c>
      <c r="AT34" s="34">
        <v>1</v>
      </c>
    </row>
    <row r="35" spans="2:46" x14ac:dyDescent="0.3">
      <c r="B35" s="8"/>
      <c r="C35" s="2" t="s">
        <v>979</v>
      </c>
      <c r="D35" s="26">
        <v>0</v>
      </c>
      <c r="E35" s="26">
        <v>0</v>
      </c>
      <c r="F35" s="27">
        <v>0</v>
      </c>
      <c r="G35" s="26">
        <v>0</v>
      </c>
      <c r="H35" s="26">
        <v>0</v>
      </c>
      <c r="I35" s="27">
        <v>0</v>
      </c>
      <c r="J35" s="26">
        <v>0</v>
      </c>
      <c r="K35" s="26">
        <v>0</v>
      </c>
      <c r="L35" s="67">
        <v>1</v>
      </c>
      <c r="N35" s="8"/>
      <c r="O35" s="2" t="s">
        <v>949</v>
      </c>
      <c r="P35" s="26">
        <v>0</v>
      </c>
      <c r="Q35" s="27">
        <v>0</v>
      </c>
      <c r="R35" s="30">
        <v>0</v>
      </c>
      <c r="S35" s="27">
        <v>0</v>
      </c>
      <c r="T35" s="30">
        <v>0</v>
      </c>
      <c r="U35" s="34">
        <v>1</v>
      </c>
      <c r="V35" s="34">
        <v>1</v>
      </c>
      <c r="X35" s="8"/>
      <c r="Y35" s="2"/>
      <c r="Z35" s="26"/>
      <c r="AA35" s="26"/>
      <c r="AB35" s="26"/>
      <c r="AC35" s="26"/>
      <c r="AD35" s="27"/>
      <c r="AE35" s="30"/>
      <c r="AF35" s="26"/>
      <c r="AG35" s="26"/>
      <c r="AH35" s="32"/>
      <c r="AJ35" s="8"/>
      <c r="AK35" s="2" t="s">
        <v>1002</v>
      </c>
      <c r="AL35" s="26">
        <v>0</v>
      </c>
      <c r="AM35" s="26">
        <v>0</v>
      </c>
      <c r="AN35" s="26">
        <v>0</v>
      </c>
      <c r="AO35" s="27">
        <v>0</v>
      </c>
      <c r="AP35" s="30">
        <v>0</v>
      </c>
      <c r="AQ35" s="26">
        <v>0</v>
      </c>
      <c r="AR35" s="26">
        <v>0</v>
      </c>
      <c r="AS35" s="32">
        <v>1</v>
      </c>
      <c r="AT35" s="34">
        <v>1</v>
      </c>
    </row>
    <row r="36" spans="2:46" x14ac:dyDescent="0.3">
      <c r="B36" s="8"/>
      <c r="C36" s="2" t="s">
        <v>772</v>
      </c>
      <c r="D36" s="26">
        <v>0</v>
      </c>
      <c r="E36" s="26">
        <v>0</v>
      </c>
      <c r="F36" s="27">
        <v>0</v>
      </c>
      <c r="G36" s="26">
        <v>0</v>
      </c>
      <c r="H36" s="26">
        <v>0</v>
      </c>
      <c r="I36" s="27">
        <v>0</v>
      </c>
      <c r="J36" s="26">
        <v>0</v>
      </c>
      <c r="K36" s="26">
        <v>0</v>
      </c>
      <c r="L36" s="67">
        <v>1</v>
      </c>
      <c r="N36" s="8"/>
      <c r="O36" s="2" t="s">
        <v>815</v>
      </c>
      <c r="P36" s="26">
        <v>0</v>
      </c>
      <c r="Q36" s="27">
        <v>0</v>
      </c>
      <c r="R36" s="30">
        <v>0</v>
      </c>
      <c r="S36" s="27">
        <v>0</v>
      </c>
      <c r="T36" s="30">
        <v>0</v>
      </c>
      <c r="U36" s="34">
        <v>1</v>
      </c>
      <c r="V36" s="34">
        <v>1</v>
      </c>
      <c r="X36" s="8"/>
      <c r="Y36" s="2"/>
      <c r="Z36" s="26"/>
      <c r="AA36" s="26"/>
      <c r="AB36" s="26"/>
      <c r="AC36" s="26"/>
      <c r="AD36" s="27"/>
      <c r="AE36" s="30"/>
      <c r="AF36" s="26"/>
      <c r="AG36" s="26"/>
      <c r="AH36" s="32"/>
      <c r="AJ36" s="8"/>
      <c r="AK36" s="2" t="s">
        <v>1003</v>
      </c>
      <c r="AL36" s="26">
        <v>0</v>
      </c>
      <c r="AM36" s="26">
        <v>0</v>
      </c>
      <c r="AN36" s="26">
        <v>0</v>
      </c>
      <c r="AO36" s="27">
        <v>0</v>
      </c>
      <c r="AP36" s="30">
        <v>0</v>
      </c>
      <c r="AQ36" s="26">
        <v>0</v>
      </c>
      <c r="AR36" s="26">
        <v>0</v>
      </c>
      <c r="AS36" s="32">
        <v>1</v>
      </c>
      <c r="AT36" s="34">
        <v>1</v>
      </c>
    </row>
    <row r="37" spans="2:46" x14ac:dyDescent="0.3">
      <c r="B37" s="8"/>
      <c r="C37" s="2" t="s">
        <v>773</v>
      </c>
      <c r="D37" s="26">
        <v>0</v>
      </c>
      <c r="E37" s="26">
        <v>0</v>
      </c>
      <c r="F37" s="27">
        <v>0</v>
      </c>
      <c r="G37" s="26">
        <v>0</v>
      </c>
      <c r="H37" s="26">
        <v>0</v>
      </c>
      <c r="I37" s="27">
        <v>0</v>
      </c>
      <c r="J37" s="26">
        <v>0</v>
      </c>
      <c r="K37" s="26">
        <v>0</v>
      </c>
      <c r="L37" s="67">
        <v>1</v>
      </c>
      <c r="N37" s="8"/>
      <c r="O37" s="2" t="s">
        <v>816</v>
      </c>
      <c r="P37" s="26">
        <v>0</v>
      </c>
      <c r="Q37" s="27">
        <v>0</v>
      </c>
      <c r="R37" s="30">
        <v>0</v>
      </c>
      <c r="S37" s="27">
        <v>0</v>
      </c>
      <c r="T37" s="30">
        <v>0</v>
      </c>
      <c r="U37" s="34">
        <v>1</v>
      </c>
      <c r="V37" s="34">
        <v>1</v>
      </c>
      <c r="X37" s="8"/>
      <c r="Y37" s="2"/>
      <c r="Z37" s="26"/>
      <c r="AA37" s="26"/>
      <c r="AB37" s="26"/>
      <c r="AC37" s="26"/>
      <c r="AD37" s="27"/>
      <c r="AE37" s="30"/>
      <c r="AF37" s="26"/>
      <c r="AG37" s="26"/>
      <c r="AH37" s="32"/>
      <c r="AJ37" s="8"/>
      <c r="AK37" s="2" t="s">
        <v>1004</v>
      </c>
      <c r="AL37" s="26">
        <v>0</v>
      </c>
      <c r="AM37" s="26">
        <v>0</v>
      </c>
      <c r="AN37" s="26">
        <v>0</v>
      </c>
      <c r="AO37" s="27">
        <v>0</v>
      </c>
      <c r="AP37" s="30">
        <v>0</v>
      </c>
      <c r="AQ37" s="26">
        <v>0</v>
      </c>
      <c r="AR37" s="26">
        <v>0</v>
      </c>
      <c r="AS37" s="32">
        <v>1</v>
      </c>
      <c r="AT37" s="34">
        <v>1</v>
      </c>
    </row>
    <row r="38" spans="2:46" x14ac:dyDescent="0.3">
      <c r="B38" s="8"/>
      <c r="C38" s="2" t="s">
        <v>722</v>
      </c>
      <c r="D38" s="26">
        <v>0</v>
      </c>
      <c r="E38" s="26">
        <v>0</v>
      </c>
      <c r="F38" s="27">
        <v>0</v>
      </c>
      <c r="G38" s="26">
        <v>0</v>
      </c>
      <c r="H38" s="26">
        <v>0</v>
      </c>
      <c r="I38" s="27">
        <v>0</v>
      </c>
      <c r="J38" s="26">
        <v>0</v>
      </c>
      <c r="K38" s="26">
        <v>0</v>
      </c>
      <c r="L38" s="67">
        <v>1</v>
      </c>
      <c r="N38" s="8"/>
      <c r="O38" s="2" t="s">
        <v>658</v>
      </c>
      <c r="P38" s="26">
        <v>0</v>
      </c>
      <c r="Q38" s="27">
        <v>0</v>
      </c>
      <c r="R38" s="30">
        <v>0</v>
      </c>
      <c r="S38" s="27">
        <v>0</v>
      </c>
      <c r="T38" s="30">
        <v>0</v>
      </c>
      <c r="U38" s="34">
        <v>1</v>
      </c>
      <c r="V38" s="34">
        <v>1</v>
      </c>
      <c r="X38" s="8"/>
      <c r="Y38" s="2"/>
      <c r="Z38" s="26"/>
      <c r="AA38" s="26"/>
      <c r="AB38" s="26"/>
      <c r="AC38" s="26"/>
      <c r="AD38" s="27"/>
      <c r="AE38" s="30"/>
      <c r="AF38" s="26"/>
      <c r="AG38" s="26"/>
      <c r="AH38" s="32"/>
      <c r="AJ38" s="8"/>
      <c r="AK38" s="2"/>
      <c r="AL38" s="26"/>
      <c r="AM38" s="26"/>
      <c r="AN38" s="26"/>
      <c r="AO38" s="27"/>
      <c r="AP38" s="30"/>
      <c r="AQ38" s="26"/>
      <c r="AR38" s="26"/>
      <c r="AS38" s="32"/>
      <c r="AT38" s="34"/>
    </row>
    <row r="39" spans="2:46" x14ac:dyDescent="0.3">
      <c r="B39" s="8"/>
      <c r="C39" s="2" t="s">
        <v>774</v>
      </c>
      <c r="D39" s="26">
        <v>0</v>
      </c>
      <c r="E39" s="26">
        <v>0</v>
      </c>
      <c r="F39" s="27">
        <v>0</v>
      </c>
      <c r="G39" s="26">
        <v>0</v>
      </c>
      <c r="H39" s="26">
        <v>0</v>
      </c>
      <c r="I39" s="27">
        <v>0</v>
      </c>
      <c r="J39" s="26">
        <v>0</v>
      </c>
      <c r="K39" s="26">
        <v>0</v>
      </c>
      <c r="L39" s="67">
        <v>1</v>
      </c>
      <c r="N39" s="8"/>
      <c r="O39" s="2" t="s">
        <v>817</v>
      </c>
      <c r="P39" s="26">
        <v>0</v>
      </c>
      <c r="Q39" s="27">
        <v>0</v>
      </c>
      <c r="R39" s="30">
        <v>0</v>
      </c>
      <c r="S39" s="27">
        <v>0</v>
      </c>
      <c r="T39" s="30">
        <v>0</v>
      </c>
      <c r="U39" s="34">
        <v>1</v>
      </c>
      <c r="V39" s="34">
        <v>1</v>
      </c>
      <c r="X39" s="8"/>
      <c r="Y39" s="2"/>
      <c r="Z39" s="26"/>
      <c r="AA39" s="26"/>
      <c r="AB39" s="26"/>
      <c r="AC39" s="26"/>
      <c r="AD39" s="27"/>
      <c r="AE39" s="30"/>
      <c r="AF39" s="26"/>
      <c r="AG39" s="26"/>
      <c r="AH39" s="32"/>
      <c r="AJ39" s="8"/>
      <c r="AK39" s="2"/>
      <c r="AL39" s="26"/>
      <c r="AM39" s="26"/>
      <c r="AN39" s="26"/>
      <c r="AO39" s="27"/>
      <c r="AP39" s="30"/>
      <c r="AQ39" s="26"/>
      <c r="AR39" s="26"/>
      <c r="AS39" s="32"/>
      <c r="AT39" s="34"/>
    </row>
    <row r="40" spans="2:46" x14ac:dyDescent="0.3">
      <c r="B40" s="8"/>
      <c r="C40" s="2" t="s">
        <v>723</v>
      </c>
      <c r="D40" s="26">
        <v>0</v>
      </c>
      <c r="E40" s="26">
        <v>0</v>
      </c>
      <c r="F40" s="27">
        <v>0</v>
      </c>
      <c r="G40" s="26">
        <v>0</v>
      </c>
      <c r="H40" s="26">
        <v>0</v>
      </c>
      <c r="I40" s="27">
        <v>0</v>
      </c>
      <c r="J40" s="26">
        <v>0</v>
      </c>
      <c r="K40" s="26">
        <v>0</v>
      </c>
      <c r="L40" s="67">
        <v>1</v>
      </c>
      <c r="N40" s="8"/>
      <c r="O40" s="2" t="s">
        <v>659</v>
      </c>
      <c r="P40" s="26">
        <v>0</v>
      </c>
      <c r="Q40" s="27">
        <v>0</v>
      </c>
      <c r="R40" s="30">
        <v>0</v>
      </c>
      <c r="S40" s="27">
        <v>0</v>
      </c>
      <c r="T40" s="30">
        <v>0</v>
      </c>
      <c r="U40" s="34">
        <v>1</v>
      </c>
      <c r="V40" s="34">
        <v>1</v>
      </c>
      <c r="X40" s="8"/>
      <c r="Y40" s="2"/>
      <c r="Z40" s="26"/>
      <c r="AA40" s="26"/>
      <c r="AB40" s="26"/>
      <c r="AC40" s="26"/>
      <c r="AD40" s="27"/>
      <c r="AE40" s="30"/>
      <c r="AF40" s="26"/>
      <c r="AG40" s="26"/>
      <c r="AH40" s="32"/>
      <c r="AJ40" s="8"/>
      <c r="AK40" s="2"/>
      <c r="AL40" s="26"/>
      <c r="AM40" s="26"/>
      <c r="AN40" s="26"/>
      <c r="AO40" s="27"/>
      <c r="AP40" s="30"/>
      <c r="AQ40" s="26"/>
      <c r="AR40" s="26"/>
      <c r="AS40" s="32"/>
      <c r="AT40" s="34"/>
    </row>
    <row r="41" spans="2:46" x14ac:dyDescent="0.3">
      <c r="B41" s="8"/>
      <c r="C41" s="2" t="s">
        <v>775</v>
      </c>
      <c r="D41" s="26">
        <v>0</v>
      </c>
      <c r="E41" s="26">
        <v>0</v>
      </c>
      <c r="F41" s="27">
        <v>0</v>
      </c>
      <c r="G41" s="26">
        <v>0</v>
      </c>
      <c r="H41" s="26">
        <v>0</v>
      </c>
      <c r="I41" s="27">
        <v>0</v>
      </c>
      <c r="J41" s="26">
        <v>0</v>
      </c>
      <c r="K41" s="26">
        <v>0</v>
      </c>
      <c r="L41" s="67">
        <v>1</v>
      </c>
      <c r="N41" s="8"/>
      <c r="O41" s="2" t="s">
        <v>818</v>
      </c>
      <c r="P41" s="26">
        <v>0</v>
      </c>
      <c r="Q41" s="27">
        <v>0</v>
      </c>
      <c r="R41" s="30">
        <v>0</v>
      </c>
      <c r="S41" s="27">
        <v>0</v>
      </c>
      <c r="T41" s="30">
        <v>0</v>
      </c>
      <c r="U41" s="34">
        <v>1</v>
      </c>
      <c r="V41" s="34">
        <v>1</v>
      </c>
      <c r="X41" s="8"/>
      <c r="Y41" s="2"/>
      <c r="Z41" s="26"/>
      <c r="AA41" s="26"/>
      <c r="AB41" s="26"/>
      <c r="AC41" s="26"/>
      <c r="AD41" s="27"/>
      <c r="AE41" s="30"/>
      <c r="AF41" s="26"/>
      <c r="AG41" s="26"/>
      <c r="AH41" s="32"/>
      <c r="AJ41" s="8"/>
      <c r="AK41" s="2"/>
      <c r="AL41" s="26"/>
      <c r="AM41" s="26"/>
      <c r="AN41" s="26"/>
      <c r="AO41" s="27"/>
      <c r="AP41" s="30"/>
      <c r="AQ41" s="26"/>
      <c r="AR41" s="26"/>
      <c r="AS41" s="32"/>
      <c r="AT41" s="34"/>
    </row>
    <row r="42" spans="2:46" x14ac:dyDescent="0.3">
      <c r="B42" s="8"/>
      <c r="C42" s="2" t="s">
        <v>776</v>
      </c>
      <c r="D42" s="26">
        <v>0</v>
      </c>
      <c r="E42" s="26">
        <v>0</v>
      </c>
      <c r="F42" s="27">
        <v>0</v>
      </c>
      <c r="G42" s="26">
        <v>0</v>
      </c>
      <c r="H42" s="26">
        <v>0</v>
      </c>
      <c r="I42" s="27">
        <v>0</v>
      </c>
      <c r="J42" s="26">
        <v>0</v>
      </c>
      <c r="K42" s="26">
        <v>0</v>
      </c>
      <c r="L42" s="67">
        <v>1</v>
      </c>
      <c r="N42" s="8"/>
      <c r="O42" s="2" t="s">
        <v>819</v>
      </c>
      <c r="P42" s="26">
        <v>0</v>
      </c>
      <c r="Q42" s="27">
        <v>0</v>
      </c>
      <c r="R42" s="30">
        <v>0</v>
      </c>
      <c r="S42" s="27">
        <v>0</v>
      </c>
      <c r="T42" s="30">
        <v>0</v>
      </c>
      <c r="U42" s="34">
        <v>1</v>
      </c>
      <c r="V42" s="34">
        <v>1</v>
      </c>
      <c r="X42" s="8"/>
      <c r="Y42" s="2"/>
      <c r="Z42" s="26"/>
      <c r="AA42" s="26"/>
      <c r="AB42" s="26"/>
      <c r="AC42" s="26"/>
      <c r="AD42" s="27"/>
      <c r="AE42" s="30"/>
      <c r="AF42" s="26"/>
      <c r="AG42" s="26"/>
      <c r="AH42" s="32"/>
      <c r="AJ42" s="8"/>
      <c r="AK42" s="2"/>
      <c r="AL42" s="26"/>
      <c r="AM42" s="26"/>
      <c r="AN42" s="26"/>
      <c r="AO42" s="27"/>
      <c r="AP42" s="30"/>
      <c r="AQ42" s="26"/>
      <c r="AR42" s="26"/>
      <c r="AS42" s="32"/>
      <c r="AT42" s="34"/>
    </row>
    <row r="43" spans="2:46" x14ac:dyDescent="0.3">
      <c r="B43" s="8"/>
      <c r="C43" s="2" t="s">
        <v>777</v>
      </c>
      <c r="D43" s="26">
        <v>0</v>
      </c>
      <c r="E43" s="26">
        <v>0</v>
      </c>
      <c r="F43" s="27">
        <v>0</v>
      </c>
      <c r="G43" s="26">
        <v>0</v>
      </c>
      <c r="H43" s="26">
        <v>0</v>
      </c>
      <c r="I43" s="27">
        <v>0</v>
      </c>
      <c r="J43" s="26">
        <v>0</v>
      </c>
      <c r="K43" s="26">
        <v>0</v>
      </c>
      <c r="L43" s="67">
        <v>1</v>
      </c>
      <c r="N43" s="8"/>
      <c r="O43" s="2" t="s">
        <v>820</v>
      </c>
      <c r="P43" s="26">
        <v>0</v>
      </c>
      <c r="Q43" s="27">
        <v>0</v>
      </c>
      <c r="R43" s="30">
        <v>0</v>
      </c>
      <c r="S43" s="27">
        <v>0</v>
      </c>
      <c r="T43" s="30">
        <v>0</v>
      </c>
      <c r="U43" s="34">
        <v>1</v>
      </c>
      <c r="V43" s="34">
        <v>1</v>
      </c>
      <c r="X43" s="8"/>
      <c r="Y43" s="2"/>
      <c r="Z43" s="26"/>
      <c r="AA43" s="26"/>
      <c r="AB43" s="26"/>
      <c r="AC43" s="26"/>
      <c r="AD43" s="27"/>
      <c r="AE43" s="30"/>
      <c r="AF43" s="26"/>
      <c r="AG43" s="26"/>
      <c r="AH43" s="32"/>
      <c r="AJ43" s="8"/>
      <c r="AK43" s="2"/>
      <c r="AL43" s="26"/>
      <c r="AM43" s="26"/>
      <c r="AN43" s="26"/>
      <c r="AO43" s="27"/>
      <c r="AP43" s="30"/>
      <c r="AQ43" s="26"/>
      <c r="AR43" s="26"/>
      <c r="AS43" s="32"/>
      <c r="AT43" s="34"/>
    </row>
    <row r="44" spans="2:46" x14ac:dyDescent="0.3">
      <c r="B44" s="8"/>
      <c r="C44" s="2" t="s">
        <v>724</v>
      </c>
      <c r="D44" s="26">
        <v>0</v>
      </c>
      <c r="E44" s="26">
        <v>0</v>
      </c>
      <c r="F44" s="27">
        <v>0</v>
      </c>
      <c r="G44" s="26">
        <v>0</v>
      </c>
      <c r="H44" s="26">
        <v>0</v>
      </c>
      <c r="I44" s="27">
        <v>0</v>
      </c>
      <c r="J44" s="26">
        <v>0</v>
      </c>
      <c r="K44" s="26">
        <v>0</v>
      </c>
      <c r="L44" s="67">
        <v>1</v>
      </c>
      <c r="N44" s="8"/>
      <c r="O44" s="2" t="s">
        <v>660</v>
      </c>
      <c r="P44" s="26">
        <v>0</v>
      </c>
      <c r="Q44" s="27">
        <v>0</v>
      </c>
      <c r="R44" s="30">
        <v>0</v>
      </c>
      <c r="S44" s="27">
        <v>0</v>
      </c>
      <c r="T44" s="30">
        <v>0</v>
      </c>
      <c r="U44" s="34">
        <v>1</v>
      </c>
      <c r="V44" s="34">
        <v>1</v>
      </c>
      <c r="X44" s="8"/>
      <c r="Y44" s="2"/>
      <c r="Z44" s="26"/>
      <c r="AA44" s="26"/>
      <c r="AB44" s="26"/>
      <c r="AC44" s="26"/>
      <c r="AD44" s="27"/>
      <c r="AE44" s="30"/>
      <c r="AF44" s="26"/>
      <c r="AG44" s="26"/>
      <c r="AH44" s="32"/>
      <c r="AJ44" s="8"/>
      <c r="AK44" s="2"/>
      <c r="AL44" s="26"/>
      <c r="AM44" s="26"/>
      <c r="AN44" s="26"/>
      <c r="AO44" s="27"/>
      <c r="AP44" s="30"/>
      <c r="AQ44" s="26"/>
      <c r="AR44" s="26"/>
      <c r="AS44" s="32"/>
      <c r="AT44" s="34"/>
    </row>
    <row r="45" spans="2:46" x14ac:dyDescent="0.3">
      <c r="B45" s="8"/>
      <c r="C45" s="2" t="s">
        <v>725</v>
      </c>
      <c r="D45" s="26">
        <v>0</v>
      </c>
      <c r="E45" s="26">
        <v>0</v>
      </c>
      <c r="F45" s="27">
        <v>0</v>
      </c>
      <c r="G45" s="26">
        <v>0</v>
      </c>
      <c r="H45" s="26">
        <v>0</v>
      </c>
      <c r="I45" s="27">
        <v>0</v>
      </c>
      <c r="J45" s="26">
        <v>0</v>
      </c>
      <c r="K45" s="26">
        <v>0</v>
      </c>
      <c r="L45" s="67">
        <v>1</v>
      </c>
      <c r="N45" s="8"/>
      <c r="O45" s="2" t="s">
        <v>661</v>
      </c>
      <c r="P45" s="26">
        <v>0</v>
      </c>
      <c r="Q45" s="27">
        <v>0</v>
      </c>
      <c r="R45" s="30">
        <v>0</v>
      </c>
      <c r="S45" s="27">
        <v>0</v>
      </c>
      <c r="T45" s="30">
        <v>0</v>
      </c>
      <c r="U45" s="34">
        <v>1</v>
      </c>
      <c r="V45" s="34">
        <v>1</v>
      </c>
      <c r="X45" s="8"/>
      <c r="Y45" s="2"/>
      <c r="Z45" s="26"/>
      <c r="AA45" s="26"/>
      <c r="AB45" s="26"/>
      <c r="AC45" s="26"/>
      <c r="AD45" s="27"/>
      <c r="AE45" s="30"/>
      <c r="AF45" s="26"/>
      <c r="AG45" s="26"/>
      <c r="AH45" s="32"/>
      <c r="AJ45" s="8"/>
      <c r="AK45" s="2"/>
      <c r="AL45" s="26"/>
      <c r="AM45" s="26"/>
      <c r="AN45" s="26"/>
      <c r="AO45" s="27"/>
      <c r="AP45" s="30"/>
      <c r="AQ45" s="26"/>
      <c r="AR45" s="26"/>
      <c r="AS45" s="32"/>
      <c r="AT45" s="34"/>
    </row>
    <row r="46" spans="2:46" x14ac:dyDescent="0.3">
      <c r="B46" s="8"/>
      <c r="C46" s="2" t="s">
        <v>778</v>
      </c>
      <c r="D46" s="26">
        <v>0</v>
      </c>
      <c r="E46" s="26">
        <v>0</v>
      </c>
      <c r="F46" s="27">
        <v>0</v>
      </c>
      <c r="G46" s="26">
        <v>0</v>
      </c>
      <c r="H46" s="26">
        <v>0</v>
      </c>
      <c r="I46" s="27">
        <v>0</v>
      </c>
      <c r="J46" s="26">
        <v>0</v>
      </c>
      <c r="K46" s="26">
        <v>0</v>
      </c>
      <c r="L46" s="67">
        <v>1</v>
      </c>
      <c r="N46" s="8"/>
      <c r="O46" s="2" t="s">
        <v>821</v>
      </c>
      <c r="P46" s="26">
        <v>0</v>
      </c>
      <c r="Q46" s="27">
        <v>0</v>
      </c>
      <c r="R46" s="30">
        <v>0</v>
      </c>
      <c r="S46" s="27">
        <v>0</v>
      </c>
      <c r="T46" s="30">
        <v>0</v>
      </c>
      <c r="U46" s="34">
        <v>1</v>
      </c>
      <c r="V46" s="34">
        <v>1</v>
      </c>
      <c r="X46" s="8"/>
      <c r="Y46" s="2"/>
      <c r="Z46" s="26"/>
      <c r="AA46" s="26"/>
      <c r="AB46" s="26"/>
      <c r="AC46" s="26"/>
      <c r="AD46" s="27"/>
      <c r="AE46" s="30"/>
      <c r="AF46" s="26"/>
      <c r="AG46" s="26"/>
      <c r="AH46" s="32"/>
      <c r="AJ46" s="8"/>
      <c r="AK46" s="2"/>
      <c r="AL46" s="26"/>
      <c r="AM46" s="26"/>
      <c r="AN46" s="26"/>
      <c r="AO46" s="27"/>
      <c r="AP46" s="30"/>
      <c r="AQ46" s="26"/>
      <c r="AR46" s="26"/>
      <c r="AS46" s="32"/>
      <c r="AT46" s="34"/>
    </row>
    <row r="47" spans="2:46" x14ac:dyDescent="0.3">
      <c r="B47" s="8"/>
      <c r="C47" s="2" t="s">
        <v>726</v>
      </c>
      <c r="D47" s="26">
        <v>0</v>
      </c>
      <c r="E47" s="26">
        <v>0</v>
      </c>
      <c r="F47" s="27">
        <v>0</v>
      </c>
      <c r="G47" s="26">
        <v>0</v>
      </c>
      <c r="H47" s="26">
        <v>0</v>
      </c>
      <c r="I47" s="27">
        <v>0</v>
      </c>
      <c r="J47" s="26">
        <v>0</v>
      </c>
      <c r="K47" s="26">
        <v>0</v>
      </c>
      <c r="L47" s="67">
        <v>1</v>
      </c>
      <c r="N47" s="8"/>
      <c r="O47" s="2" t="s">
        <v>662</v>
      </c>
      <c r="P47" s="26">
        <v>0</v>
      </c>
      <c r="Q47" s="27">
        <v>0</v>
      </c>
      <c r="R47" s="30">
        <v>0</v>
      </c>
      <c r="S47" s="27">
        <v>0</v>
      </c>
      <c r="T47" s="30">
        <v>0</v>
      </c>
      <c r="U47" s="34">
        <v>1</v>
      </c>
      <c r="V47" s="34">
        <v>1</v>
      </c>
      <c r="X47" s="8"/>
      <c r="Y47" s="2"/>
      <c r="Z47" s="26"/>
      <c r="AA47" s="26"/>
      <c r="AB47" s="26"/>
      <c r="AC47" s="26"/>
      <c r="AD47" s="27"/>
      <c r="AE47" s="30"/>
      <c r="AF47" s="26"/>
      <c r="AG47" s="26"/>
      <c r="AH47" s="32"/>
      <c r="AJ47" s="8"/>
      <c r="AK47" s="2"/>
      <c r="AL47" s="26"/>
      <c r="AM47" s="26"/>
      <c r="AN47" s="26"/>
      <c r="AO47" s="27"/>
      <c r="AP47" s="30"/>
      <c r="AQ47" s="26"/>
      <c r="AR47" s="26"/>
      <c r="AS47" s="32"/>
      <c r="AT47" s="34"/>
    </row>
    <row r="48" spans="2:46" x14ac:dyDescent="0.3">
      <c r="B48" s="8"/>
      <c r="C48" s="2" t="s">
        <v>779</v>
      </c>
      <c r="D48" s="26">
        <v>0</v>
      </c>
      <c r="E48" s="26">
        <v>0</v>
      </c>
      <c r="F48" s="27">
        <v>0</v>
      </c>
      <c r="G48" s="26">
        <v>0</v>
      </c>
      <c r="H48" s="26">
        <v>0</v>
      </c>
      <c r="I48" s="27">
        <v>0</v>
      </c>
      <c r="J48" s="26">
        <v>0</v>
      </c>
      <c r="K48" s="26">
        <v>0</v>
      </c>
      <c r="L48" s="67">
        <v>1</v>
      </c>
      <c r="N48" s="8"/>
      <c r="O48" s="2" t="s">
        <v>822</v>
      </c>
      <c r="P48" s="26">
        <v>0</v>
      </c>
      <c r="Q48" s="27">
        <v>0</v>
      </c>
      <c r="R48" s="30">
        <v>0</v>
      </c>
      <c r="S48" s="27">
        <v>0</v>
      </c>
      <c r="T48" s="30">
        <v>0</v>
      </c>
      <c r="U48" s="34">
        <v>1</v>
      </c>
      <c r="V48" s="34">
        <v>1</v>
      </c>
      <c r="X48" s="8"/>
      <c r="Y48" s="2"/>
      <c r="Z48" s="26"/>
      <c r="AA48" s="26"/>
      <c r="AB48" s="26"/>
      <c r="AC48" s="26"/>
      <c r="AD48" s="27"/>
      <c r="AE48" s="30"/>
      <c r="AF48" s="26"/>
      <c r="AG48" s="26"/>
      <c r="AH48" s="32"/>
      <c r="AJ48" s="8"/>
      <c r="AK48" s="2"/>
      <c r="AL48" s="26"/>
      <c r="AM48" s="26"/>
      <c r="AN48" s="26"/>
      <c r="AO48" s="27"/>
      <c r="AP48" s="30"/>
      <c r="AQ48" s="26"/>
      <c r="AR48" s="26"/>
      <c r="AS48" s="32"/>
      <c r="AT48" s="34"/>
    </row>
    <row r="49" spans="2:46" x14ac:dyDescent="0.3">
      <c r="B49" s="8"/>
      <c r="C49" s="2" t="s">
        <v>780</v>
      </c>
      <c r="D49" s="26">
        <v>0</v>
      </c>
      <c r="E49" s="26">
        <v>0</v>
      </c>
      <c r="F49" s="27">
        <v>0</v>
      </c>
      <c r="G49" s="26">
        <v>0</v>
      </c>
      <c r="H49" s="26">
        <v>0</v>
      </c>
      <c r="I49" s="27">
        <v>0</v>
      </c>
      <c r="J49" s="26">
        <v>0</v>
      </c>
      <c r="K49" s="26">
        <v>0</v>
      </c>
      <c r="L49" s="67">
        <v>1</v>
      </c>
      <c r="N49" s="8"/>
      <c r="O49" s="2" t="s">
        <v>823</v>
      </c>
      <c r="P49" s="26">
        <v>0</v>
      </c>
      <c r="Q49" s="27">
        <v>0</v>
      </c>
      <c r="R49" s="30">
        <v>0</v>
      </c>
      <c r="S49" s="27">
        <v>0</v>
      </c>
      <c r="T49" s="30">
        <v>0</v>
      </c>
      <c r="U49" s="34">
        <v>1</v>
      </c>
      <c r="V49" s="34">
        <v>1</v>
      </c>
      <c r="X49" s="8"/>
      <c r="Y49" s="2"/>
      <c r="Z49" s="26"/>
      <c r="AA49" s="26"/>
      <c r="AB49" s="26"/>
      <c r="AC49" s="26"/>
      <c r="AD49" s="27"/>
      <c r="AE49" s="30"/>
      <c r="AF49" s="26"/>
      <c r="AG49" s="26"/>
      <c r="AH49" s="32"/>
      <c r="AJ49" s="8"/>
      <c r="AK49" s="2"/>
      <c r="AL49" s="26"/>
      <c r="AM49" s="26"/>
      <c r="AN49" s="26"/>
      <c r="AO49" s="27"/>
      <c r="AP49" s="30"/>
      <c r="AQ49" s="26"/>
      <c r="AR49" s="26"/>
      <c r="AS49" s="32"/>
      <c r="AT49" s="34"/>
    </row>
    <row r="50" spans="2:46" x14ac:dyDescent="0.3">
      <c r="B50" s="8"/>
      <c r="C50" s="2" t="s">
        <v>727</v>
      </c>
      <c r="D50" s="26">
        <v>0</v>
      </c>
      <c r="E50" s="26">
        <v>0</v>
      </c>
      <c r="F50" s="27">
        <v>0</v>
      </c>
      <c r="G50" s="26">
        <v>0</v>
      </c>
      <c r="H50" s="26">
        <v>0</v>
      </c>
      <c r="I50" s="27">
        <v>0</v>
      </c>
      <c r="J50" s="26">
        <v>0</v>
      </c>
      <c r="K50" s="26">
        <v>0</v>
      </c>
      <c r="L50" s="67">
        <v>1</v>
      </c>
      <c r="N50" s="8"/>
      <c r="O50" s="2" t="s">
        <v>663</v>
      </c>
      <c r="P50" s="26">
        <v>0</v>
      </c>
      <c r="Q50" s="27">
        <v>0</v>
      </c>
      <c r="R50" s="30">
        <v>0</v>
      </c>
      <c r="S50" s="27">
        <v>0</v>
      </c>
      <c r="T50" s="30">
        <v>0</v>
      </c>
      <c r="U50" s="34">
        <v>1</v>
      </c>
      <c r="V50" s="34">
        <v>1</v>
      </c>
      <c r="X50" s="8"/>
      <c r="Y50" s="2"/>
      <c r="Z50" s="26"/>
      <c r="AA50" s="26"/>
      <c r="AB50" s="26"/>
      <c r="AC50" s="26"/>
      <c r="AD50" s="27"/>
      <c r="AE50" s="30"/>
      <c r="AF50" s="26"/>
      <c r="AG50" s="26"/>
      <c r="AH50" s="32"/>
      <c r="AJ50" s="8"/>
      <c r="AK50" s="2"/>
      <c r="AL50" s="26"/>
      <c r="AM50" s="26"/>
      <c r="AN50" s="26"/>
      <c r="AO50" s="27"/>
      <c r="AP50" s="30"/>
      <c r="AQ50" s="26"/>
      <c r="AR50" s="26"/>
      <c r="AS50" s="32"/>
      <c r="AT50" s="34"/>
    </row>
    <row r="51" spans="2:46" x14ac:dyDescent="0.3">
      <c r="B51" s="8"/>
      <c r="C51" s="2" t="s">
        <v>728</v>
      </c>
      <c r="D51" s="26">
        <v>0</v>
      </c>
      <c r="E51" s="26">
        <v>0</v>
      </c>
      <c r="F51" s="27">
        <v>0</v>
      </c>
      <c r="G51" s="26">
        <v>0</v>
      </c>
      <c r="H51" s="26">
        <v>0</v>
      </c>
      <c r="I51" s="27">
        <v>0</v>
      </c>
      <c r="J51" s="26">
        <v>0</v>
      </c>
      <c r="K51" s="26">
        <v>0</v>
      </c>
      <c r="L51" s="67">
        <v>1</v>
      </c>
      <c r="N51" s="8"/>
      <c r="O51" s="2" t="s">
        <v>664</v>
      </c>
      <c r="P51" s="26">
        <v>0</v>
      </c>
      <c r="Q51" s="27">
        <v>0</v>
      </c>
      <c r="R51" s="30">
        <v>0</v>
      </c>
      <c r="S51" s="27">
        <v>0</v>
      </c>
      <c r="T51" s="30">
        <v>0</v>
      </c>
      <c r="U51" s="34">
        <v>1</v>
      </c>
      <c r="V51" s="34">
        <v>1</v>
      </c>
      <c r="X51" s="8"/>
      <c r="Y51" s="2"/>
      <c r="Z51" s="26"/>
      <c r="AA51" s="26"/>
      <c r="AB51" s="26"/>
      <c r="AC51" s="26"/>
      <c r="AD51" s="27"/>
      <c r="AE51" s="30"/>
      <c r="AF51" s="26"/>
      <c r="AG51" s="26"/>
      <c r="AH51" s="32"/>
      <c r="AJ51" s="8"/>
      <c r="AK51" s="2"/>
      <c r="AL51" s="26"/>
      <c r="AM51" s="26"/>
      <c r="AN51" s="26"/>
      <c r="AO51" s="27"/>
      <c r="AP51" s="30"/>
      <c r="AQ51" s="26"/>
      <c r="AR51" s="26"/>
      <c r="AS51" s="32"/>
      <c r="AT51" s="34"/>
    </row>
    <row r="52" spans="2:46" x14ac:dyDescent="0.3">
      <c r="B52" s="8"/>
      <c r="C52" s="2" t="s">
        <v>781</v>
      </c>
      <c r="D52" s="26">
        <v>0</v>
      </c>
      <c r="E52" s="26">
        <v>0</v>
      </c>
      <c r="F52" s="27">
        <v>0</v>
      </c>
      <c r="G52" s="26">
        <v>0</v>
      </c>
      <c r="H52" s="26">
        <v>0</v>
      </c>
      <c r="I52" s="27">
        <v>0</v>
      </c>
      <c r="J52" s="26">
        <v>0</v>
      </c>
      <c r="K52" s="26">
        <v>0</v>
      </c>
      <c r="L52" s="67">
        <v>1</v>
      </c>
      <c r="N52" s="8"/>
      <c r="O52" s="2" t="s">
        <v>824</v>
      </c>
      <c r="P52" s="26">
        <v>0</v>
      </c>
      <c r="Q52" s="27">
        <v>0</v>
      </c>
      <c r="R52" s="30">
        <v>0</v>
      </c>
      <c r="S52" s="27">
        <v>0</v>
      </c>
      <c r="T52" s="30">
        <v>0</v>
      </c>
      <c r="U52" s="34">
        <v>1</v>
      </c>
      <c r="V52" s="34">
        <v>1</v>
      </c>
      <c r="X52" s="8"/>
      <c r="Y52" s="2"/>
      <c r="Z52" s="26"/>
      <c r="AA52" s="26"/>
      <c r="AB52" s="26"/>
      <c r="AC52" s="26"/>
      <c r="AD52" s="27"/>
      <c r="AE52" s="30"/>
      <c r="AF52" s="26"/>
      <c r="AG52" s="26"/>
      <c r="AH52" s="32"/>
      <c r="AJ52" s="8"/>
      <c r="AK52" s="2"/>
      <c r="AL52" s="26"/>
      <c r="AM52" s="26"/>
      <c r="AN52" s="26"/>
      <c r="AO52" s="27"/>
      <c r="AP52" s="30"/>
      <c r="AQ52" s="26"/>
      <c r="AR52" s="26"/>
      <c r="AS52" s="32"/>
      <c r="AT52" s="34"/>
    </row>
    <row r="53" spans="2:46" x14ac:dyDescent="0.3">
      <c r="B53" s="8"/>
      <c r="C53" s="2" t="s">
        <v>729</v>
      </c>
      <c r="D53" s="26">
        <v>0</v>
      </c>
      <c r="E53" s="26">
        <v>0</v>
      </c>
      <c r="F53" s="27">
        <v>0</v>
      </c>
      <c r="G53" s="26">
        <v>0</v>
      </c>
      <c r="H53" s="26">
        <v>0</v>
      </c>
      <c r="I53" s="27">
        <v>0</v>
      </c>
      <c r="J53" s="26">
        <v>0</v>
      </c>
      <c r="K53" s="26">
        <v>0</v>
      </c>
      <c r="L53" s="67">
        <v>1</v>
      </c>
      <c r="N53" s="8"/>
      <c r="O53" s="2" t="s">
        <v>665</v>
      </c>
      <c r="P53" s="26">
        <v>0</v>
      </c>
      <c r="Q53" s="27">
        <v>0</v>
      </c>
      <c r="R53" s="30">
        <v>0</v>
      </c>
      <c r="S53" s="27">
        <v>0</v>
      </c>
      <c r="T53" s="30">
        <v>0</v>
      </c>
      <c r="U53" s="34">
        <v>1</v>
      </c>
      <c r="V53" s="34">
        <v>1</v>
      </c>
      <c r="X53" s="8"/>
      <c r="Y53" s="2"/>
      <c r="Z53" s="26"/>
      <c r="AA53" s="26"/>
      <c r="AB53" s="26"/>
      <c r="AC53" s="26"/>
      <c r="AD53" s="27"/>
      <c r="AE53" s="30"/>
      <c r="AF53" s="26"/>
      <c r="AG53" s="26"/>
      <c r="AH53" s="32"/>
      <c r="AJ53" s="8"/>
      <c r="AK53" s="2"/>
      <c r="AL53" s="26"/>
      <c r="AM53" s="26"/>
      <c r="AN53" s="26"/>
      <c r="AO53" s="27"/>
      <c r="AP53" s="30"/>
      <c r="AQ53" s="26"/>
      <c r="AR53" s="26"/>
      <c r="AS53" s="32"/>
      <c r="AT53" s="34"/>
    </row>
    <row r="54" spans="2:46" x14ac:dyDescent="0.3">
      <c r="B54" s="8"/>
      <c r="C54" s="2" t="s">
        <v>782</v>
      </c>
      <c r="D54" s="26">
        <v>0</v>
      </c>
      <c r="E54" s="26">
        <v>0</v>
      </c>
      <c r="F54" s="27">
        <v>0</v>
      </c>
      <c r="G54" s="26">
        <v>0</v>
      </c>
      <c r="H54" s="26">
        <v>0</v>
      </c>
      <c r="I54" s="27">
        <v>0</v>
      </c>
      <c r="J54" s="26">
        <v>0</v>
      </c>
      <c r="K54" s="26">
        <v>0</v>
      </c>
      <c r="L54" s="67">
        <v>1</v>
      </c>
      <c r="N54" s="8"/>
      <c r="O54" s="2" t="s">
        <v>825</v>
      </c>
      <c r="P54" s="26">
        <v>0</v>
      </c>
      <c r="Q54" s="27">
        <v>0</v>
      </c>
      <c r="R54" s="30">
        <v>0</v>
      </c>
      <c r="S54" s="27">
        <v>0</v>
      </c>
      <c r="T54" s="30">
        <v>0</v>
      </c>
      <c r="U54" s="34">
        <v>1</v>
      </c>
      <c r="V54" s="34">
        <v>1</v>
      </c>
      <c r="X54" s="8"/>
      <c r="Y54" s="2"/>
      <c r="Z54" s="26"/>
      <c r="AA54" s="26"/>
      <c r="AB54" s="26"/>
      <c r="AC54" s="26"/>
      <c r="AD54" s="27"/>
      <c r="AE54" s="30"/>
      <c r="AF54" s="26"/>
      <c r="AG54" s="26"/>
      <c r="AH54" s="32"/>
      <c r="AJ54" s="8"/>
      <c r="AK54" s="2"/>
      <c r="AL54" s="26"/>
      <c r="AM54" s="26"/>
      <c r="AN54" s="26"/>
      <c r="AO54" s="27"/>
      <c r="AP54" s="30"/>
      <c r="AQ54" s="26"/>
      <c r="AR54" s="26"/>
      <c r="AS54" s="32"/>
      <c r="AT54" s="34"/>
    </row>
    <row r="55" spans="2:46" x14ac:dyDescent="0.3">
      <c r="B55" s="8"/>
      <c r="C55" s="2" t="s">
        <v>783</v>
      </c>
      <c r="D55" s="26">
        <v>0</v>
      </c>
      <c r="E55" s="26">
        <v>0</v>
      </c>
      <c r="F55" s="27">
        <v>0</v>
      </c>
      <c r="G55" s="26">
        <v>0</v>
      </c>
      <c r="H55" s="26">
        <v>0</v>
      </c>
      <c r="I55" s="27">
        <v>0</v>
      </c>
      <c r="J55" s="26">
        <v>0</v>
      </c>
      <c r="K55" s="26">
        <v>0</v>
      </c>
      <c r="L55" s="67">
        <v>1</v>
      </c>
      <c r="N55" s="8"/>
      <c r="O55" s="2" t="s">
        <v>826</v>
      </c>
      <c r="P55" s="26">
        <v>0</v>
      </c>
      <c r="Q55" s="27">
        <v>0</v>
      </c>
      <c r="R55" s="30">
        <v>0</v>
      </c>
      <c r="S55" s="27">
        <v>0</v>
      </c>
      <c r="T55" s="30">
        <v>0</v>
      </c>
      <c r="U55" s="34">
        <v>1</v>
      </c>
      <c r="V55" s="34">
        <v>1</v>
      </c>
      <c r="X55" s="8"/>
      <c r="Y55" s="2"/>
      <c r="Z55" s="26"/>
      <c r="AA55" s="26"/>
      <c r="AB55" s="26"/>
      <c r="AC55" s="26"/>
      <c r="AD55" s="27"/>
      <c r="AE55" s="30"/>
      <c r="AF55" s="26"/>
      <c r="AG55" s="26"/>
      <c r="AH55" s="32"/>
      <c r="AJ55" s="8"/>
      <c r="AK55" s="2"/>
      <c r="AL55" s="26"/>
      <c r="AM55" s="26"/>
      <c r="AN55" s="26"/>
      <c r="AO55" s="27"/>
      <c r="AP55" s="30"/>
      <c r="AQ55" s="26"/>
      <c r="AR55" s="26"/>
      <c r="AS55" s="32"/>
      <c r="AT55" s="34"/>
    </row>
    <row r="56" spans="2:46" x14ac:dyDescent="0.3">
      <c r="B56" s="8"/>
      <c r="C56" s="2" t="s">
        <v>784</v>
      </c>
      <c r="D56" s="26">
        <v>0</v>
      </c>
      <c r="E56" s="26">
        <v>0</v>
      </c>
      <c r="F56" s="27">
        <v>0</v>
      </c>
      <c r="G56" s="26">
        <v>0</v>
      </c>
      <c r="H56" s="26">
        <v>0</v>
      </c>
      <c r="I56" s="27">
        <v>0</v>
      </c>
      <c r="J56" s="26">
        <v>0</v>
      </c>
      <c r="K56" s="26">
        <v>0</v>
      </c>
      <c r="L56" s="67">
        <v>1</v>
      </c>
      <c r="N56" s="8"/>
      <c r="O56" s="2" t="s">
        <v>827</v>
      </c>
      <c r="P56" s="26">
        <v>0</v>
      </c>
      <c r="Q56" s="27">
        <v>0</v>
      </c>
      <c r="R56" s="30">
        <v>0</v>
      </c>
      <c r="S56" s="27">
        <v>0</v>
      </c>
      <c r="T56" s="30">
        <v>0</v>
      </c>
      <c r="U56" s="34">
        <v>1</v>
      </c>
      <c r="V56" s="34">
        <v>1</v>
      </c>
      <c r="X56" s="8"/>
      <c r="Y56" s="2"/>
      <c r="Z56" s="26"/>
      <c r="AA56" s="26"/>
      <c r="AB56" s="26"/>
      <c r="AC56" s="26"/>
      <c r="AD56" s="27"/>
      <c r="AE56" s="30"/>
      <c r="AF56" s="26"/>
      <c r="AG56" s="26"/>
      <c r="AH56" s="32"/>
      <c r="AJ56" s="8"/>
      <c r="AK56" s="2"/>
      <c r="AL56" s="26"/>
      <c r="AM56" s="26"/>
      <c r="AN56" s="26"/>
      <c r="AO56" s="27"/>
      <c r="AP56" s="30"/>
      <c r="AQ56" s="26"/>
      <c r="AR56" s="26"/>
      <c r="AS56" s="32"/>
      <c r="AT56" s="34"/>
    </row>
    <row r="57" spans="2:46" x14ac:dyDescent="0.3">
      <c r="B57" s="8"/>
      <c r="C57" s="2" t="s">
        <v>785</v>
      </c>
      <c r="D57" s="26">
        <v>0</v>
      </c>
      <c r="E57" s="26">
        <v>0</v>
      </c>
      <c r="F57" s="27">
        <v>0</v>
      </c>
      <c r="G57" s="26">
        <v>0</v>
      </c>
      <c r="H57" s="26">
        <v>0</v>
      </c>
      <c r="I57" s="27">
        <v>0</v>
      </c>
      <c r="J57" s="26">
        <v>0</v>
      </c>
      <c r="K57" s="26">
        <v>0</v>
      </c>
      <c r="L57" s="67">
        <v>1</v>
      </c>
      <c r="N57" s="8"/>
      <c r="O57" s="2" t="s">
        <v>828</v>
      </c>
      <c r="P57" s="26">
        <v>0</v>
      </c>
      <c r="Q57" s="27">
        <v>0</v>
      </c>
      <c r="R57" s="30">
        <v>0</v>
      </c>
      <c r="S57" s="27">
        <v>0</v>
      </c>
      <c r="T57" s="30">
        <v>0</v>
      </c>
      <c r="U57" s="34">
        <v>1</v>
      </c>
      <c r="V57" s="34">
        <v>1</v>
      </c>
      <c r="X57" s="8"/>
      <c r="Y57" s="2"/>
      <c r="Z57" s="26"/>
      <c r="AA57" s="26"/>
      <c r="AB57" s="26"/>
      <c r="AC57" s="26"/>
      <c r="AD57" s="27"/>
      <c r="AE57" s="30"/>
      <c r="AF57" s="26"/>
      <c r="AG57" s="26"/>
      <c r="AH57" s="32"/>
      <c r="AJ57" s="8"/>
      <c r="AK57" s="2"/>
      <c r="AL57" s="26"/>
      <c r="AM57" s="26"/>
      <c r="AN57" s="26"/>
      <c r="AO57" s="27"/>
      <c r="AP57" s="30"/>
      <c r="AQ57" s="26"/>
      <c r="AR57" s="26"/>
      <c r="AS57" s="32"/>
      <c r="AT57" s="34"/>
    </row>
    <row r="58" spans="2:46" x14ac:dyDescent="0.3">
      <c r="B58" s="8"/>
      <c r="C58" s="2" t="s">
        <v>786</v>
      </c>
      <c r="D58" s="26">
        <v>0</v>
      </c>
      <c r="E58" s="26">
        <v>0</v>
      </c>
      <c r="F58" s="27">
        <v>0</v>
      </c>
      <c r="G58" s="26">
        <v>0</v>
      </c>
      <c r="H58" s="26">
        <v>0</v>
      </c>
      <c r="I58" s="27">
        <v>0</v>
      </c>
      <c r="J58" s="26">
        <v>0</v>
      </c>
      <c r="K58" s="26">
        <v>0</v>
      </c>
      <c r="L58" s="67">
        <v>1</v>
      </c>
      <c r="N58" s="8"/>
      <c r="O58" s="2" t="s">
        <v>829</v>
      </c>
      <c r="P58" s="26">
        <v>0</v>
      </c>
      <c r="Q58" s="27">
        <v>0</v>
      </c>
      <c r="R58" s="30">
        <v>0</v>
      </c>
      <c r="S58" s="27">
        <v>0</v>
      </c>
      <c r="T58" s="30">
        <v>0</v>
      </c>
      <c r="U58" s="34">
        <v>1</v>
      </c>
      <c r="V58" s="34">
        <v>1</v>
      </c>
      <c r="X58" s="8"/>
      <c r="Y58" s="2"/>
      <c r="Z58" s="26"/>
      <c r="AA58" s="26"/>
      <c r="AB58" s="26"/>
      <c r="AC58" s="26"/>
      <c r="AD58" s="27"/>
      <c r="AE58" s="30"/>
      <c r="AF58" s="26"/>
      <c r="AG58" s="26"/>
      <c r="AH58" s="32"/>
      <c r="AJ58" s="8"/>
      <c r="AK58" s="2"/>
      <c r="AL58" s="26"/>
      <c r="AM58" s="26"/>
      <c r="AN58" s="26"/>
      <c r="AO58" s="27"/>
      <c r="AP58" s="30"/>
      <c r="AQ58" s="26"/>
      <c r="AR58" s="26"/>
      <c r="AS58" s="32"/>
      <c r="AT58" s="34"/>
    </row>
    <row r="59" spans="2:46" x14ac:dyDescent="0.3">
      <c r="B59" s="8"/>
      <c r="C59" s="2" t="s">
        <v>787</v>
      </c>
      <c r="D59" s="26">
        <v>0</v>
      </c>
      <c r="E59" s="26">
        <v>0</v>
      </c>
      <c r="F59" s="27">
        <v>0</v>
      </c>
      <c r="G59" s="26">
        <v>0</v>
      </c>
      <c r="H59" s="26">
        <v>0</v>
      </c>
      <c r="I59" s="27">
        <v>0</v>
      </c>
      <c r="J59" s="26">
        <v>0</v>
      </c>
      <c r="K59" s="26">
        <v>0</v>
      </c>
      <c r="L59" s="67">
        <v>1</v>
      </c>
      <c r="N59" s="8"/>
      <c r="O59" s="2" t="s">
        <v>830</v>
      </c>
      <c r="P59" s="26">
        <v>0</v>
      </c>
      <c r="Q59" s="27">
        <v>0</v>
      </c>
      <c r="R59" s="30">
        <v>0</v>
      </c>
      <c r="S59" s="27">
        <v>0</v>
      </c>
      <c r="T59" s="30">
        <v>0</v>
      </c>
      <c r="U59" s="34">
        <v>1</v>
      </c>
      <c r="V59" s="34">
        <v>1</v>
      </c>
      <c r="X59" s="8"/>
      <c r="Y59" s="2"/>
      <c r="Z59" s="26"/>
      <c r="AA59" s="26"/>
      <c r="AB59" s="26"/>
      <c r="AC59" s="26"/>
      <c r="AD59" s="27"/>
      <c r="AE59" s="30"/>
      <c r="AF59" s="26"/>
      <c r="AG59" s="26"/>
      <c r="AH59" s="32"/>
      <c r="AJ59" s="8"/>
      <c r="AK59" s="2"/>
      <c r="AL59" s="26"/>
      <c r="AM59" s="26"/>
      <c r="AN59" s="26"/>
      <c r="AO59" s="27"/>
      <c r="AP59" s="30"/>
      <c r="AQ59" s="26"/>
      <c r="AR59" s="26"/>
      <c r="AS59" s="32"/>
      <c r="AT59" s="34"/>
    </row>
    <row r="60" spans="2:46" x14ac:dyDescent="0.3">
      <c r="B60" s="8"/>
      <c r="C60" s="2" t="s">
        <v>788</v>
      </c>
      <c r="D60" s="26">
        <v>0</v>
      </c>
      <c r="E60" s="26">
        <v>0</v>
      </c>
      <c r="F60" s="27">
        <v>0</v>
      </c>
      <c r="G60" s="26">
        <v>0</v>
      </c>
      <c r="H60" s="26">
        <v>0</v>
      </c>
      <c r="I60" s="27">
        <v>0</v>
      </c>
      <c r="J60" s="26">
        <v>0</v>
      </c>
      <c r="K60" s="26">
        <v>0</v>
      </c>
      <c r="L60" s="67">
        <v>1</v>
      </c>
      <c r="N60" s="8"/>
      <c r="O60" s="2" t="s">
        <v>831</v>
      </c>
      <c r="P60" s="26">
        <v>0</v>
      </c>
      <c r="Q60" s="27">
        <v>0</v>
      </c>
      <c r="R60" s="30">
        <v>0</v>
      </c>
      <c r="S60" s="27">
        <v>0</v>
      </c>
      <c r="T60" s="30">
        <v>0</v>
      </c>
      <c r="U60" s="34">
        <v>1</v>
      </c>
      <c r="V60" s="34">
        <v>1</v>
      </c>
      <c r="X60" s="8"/>
      <c r="Y60" s="2"/>
      <c r="Z60" s="26"/>
      <c r="AA60" s="26"/>
      <c r="AB60" s="26"/>
      <c r="AC60" s="26"/>
      <c r="AD60" s="27"/>
      <c r="AE60" s="30"/>
      <c r="AF60" s="26"/>
      <c r="AG60" s="26"/>
      <c r="AH60" s="32"/>
      <c r="AJ60" s="8"/>
      <c r="AK60" s="2"/>
      <c r="AL60" s="26"/>
      <c r="AM60" s="26"/>
      <c r="AN60" s="26"/>
      <c r="AO60" s="27"/>
      <c r="AP60" s="30"/>
      <c r="AQ60" s="26"/>
      <c r="AR60" s="26"/>
      <c r="AS60" s="32"/>
      <c r="AT60" s="34"/>
    </row>
    <row r="61" spans="2:46" x14ac:dyDescent="0.3">
      <c r="B61" s="8"/>
      <c r="C61" s="2" t="s">
        <v>789</v>
      </c>
      <c r="D61" s="26">
        <v>0</v>
      </c>
      <c r="E61" s="26">
        <v>0</v>
      </c>
      <c r="F61" s="27">
        <v>0</v>
      </c>
      <c r="G61" s="26">
        <v>0</v>
      </c>
      <c r="H61" s="26">
        <v>0</v>
      </c>
      <c r="I61" s="27">
        <v>0</v>
      </c>
      <c r="J61" s="26">
        <v>0</v>
      </c>
      <c r="K61" s="26">
        <v>0</v>
      </c>
      <c r="L61" s="67">
        <v>1</v>
      </c>
      <c r="N61" s="8"/>
      <c r="O61" s="2" t="s">
        <v>832</v>
      </c>
      <c r="P61" s="26">
        <v>0</v>
      </c>
      <c r="Q61" s="27">
        <v>0</v>
      </c>
      <c r="R61" s="30">
        <v>0</v>
      </c>
      <c r="S61" s="27">
        <v>0</v>
      </c>
      <c r="T61" s="30">
        <v>0</v>
      </c>
      <c r="U61" s="34">
        <v>1</v>
      </c>
      <c r="V61" s="34">
        <v>1</v>
      </c>
      <c r="X61" s="8"/>
      <c r="Y61" s="2"/>
      <c r="Z61" s="26"/>
      <c r="AA61" s="26"/>
      <c r="AB61" s="26"/>
      <c r="AC61" s="26"/>
      <c r="AD61" s="27"/>
      <c r="AE61" s="30"/>
      <c r="AF61" s="26"/>
      <c r="AG61" s="26"/>
      <c r="AH61" s="32"/>
      <c r="AJ61" s="8"/>
      <c r="AK61" s="2"/>
      <c r="AL61" s="26"/>
      <c r="AM61" s="26"/>
      <c r="AN61" s="26"/>
      <c r="AO61" s="27"/>
      <c r="AP61" s="30"/>
      <c r="AQ61" s="26"/>
      <c r="AR61" s="26"/>
      <c r="AS61" s="32"/>
      <c r="AT61" s="34"/>
    </row>
    <row r="62" spans="2:46" x14ac:dyDescent="0.3">
      <c r="B62" s="8"/>
      <c r="C62" s="2" t="s">
        <v>790</v>
      </c>
      <c r="D62" s="26">
        <v>0</v>
      </c>
      <c r="E62" s="26">
        <v>0</v>
      </c>
      <c r="F62" s="27">
        <v>0</v>
      </c>
      <c r="G62" s="26">
        <v>0</v>
      </c>
      <c r="H62" s="26">
        <v>0</v>
      </c>
      <c r="I62" s="27">
        <v>0</v>
      </c>
      <c r="J62" s="26">
        <v>0</v>
      </c>
      <c r="K62" s="26">
        <v>0</v>
      </c>
      <c r="L62" s="67">
        <v>1</v>
      </c>
      <c r="N62" s="8"/>
      <c r="O62" s="2" t="s">
        <v>833</v>
      </c>
      <c r="P62" s="26">
        <v>0</v>
      </c>
      <c r="Q62" s="27">
        <v>0</v>
      </c>
      <c r="R62" s="30">
        <v>0</v>
      </c>
      <c r="S62" s="27">
        <v>0</v>
      </c>
      <c r="T62" s="30">
        <v>0</v>
      </c>
      <c r="U62" s="34">
        <v>1</v>
      </c>
      <c r="V62" s="34">
        <v>1</v>
      </c>
      <c r="X62" s="8"/>
      <c r="Y62" s="2"/>
      <c r="Z62" s="26"/>
      <c r="AA62" s="26"/>
      <c r="AB62" s="26"/>
      <c r="AC62" s="26"/>
      <c r="AD62" s="27"/>
      <c r="AE62" s="30"/>
      <c r="AF62" s="26"/>
      <c r="AG62" s="26"/>
      <c r="AH62" s="32"/>
      <c r="AJ62" s="8"/>
      <c r="AK62" s="2"/>
      <c r="AL62" s="26"/>
      <c r="AM62" s="26"/>
      <c r="AN62" s="26"/>
      <c r="AO62" s="27"/>
      <c r="AP62" s="30"/>
      <c r="AQ62" s="26"/>
      <c r="AR62" s="26"/>
      <c r="AS62" s="32"/>
      <c r="AT62" s="34"/>
    </row>
    <row r="63" spans="2:46" x14ac:dyDescent="0.3">
      <c r="B63" s="8"/>
      <c r="C63" s="2" t="s">
        <v>791</v>
      </c>
      <c r="D63" s="26">
        <v>0</v>
      </c>
      <c r="E63" s="26">
        <v>0</v>
      </c>
      <c r="F63" s="27">
        <v>0</v>
      </c>
      <c r="G63" s="26">
        <v>0</v>
      </c>
      <c r="H63" s="26">
        <v>0</v>
      </c>
      <c r="I63" s="27">
        <v>0</v>
      </c>
      <c r="J63" s="26">
        <v>0</v>
      </c>
      <c r="K63" s="26">
        <v>0</v>
      </c>
      <c r="L63" s="67">
        <v>1</v>
      </c>
      <c r="N63" s="8"/>
      <c r="O63" s="2" t="s">
        <v>834</v>
      </c>
      <c r="P63" s="26">
        <v>0</v>
      </c>
      <c r="Q63" s="27">
        <v>0</v>
      </c>
      <c r="R63" s="30">
        <v>0</v>
      </c>
      <c r="S63" s="27">
        <v>0</v>
      </c>
      <c r="T63" s="30">
        <v>0</v>
      </c>
      <c r="U63" s="34">
        <v>1</v>
      </c>
      <c r="V63" s="34">
        <v>1</v>
      </c>
      <c r="X63" s="8"/>
      <c r="Y63" s="2"/>
      <c r="Z63" s="26"/>
      <c r="AA63" s="26"/>
      <c r="AB63" s="26"/>
      <c r="AC63" s="26"/>
      <c r="AD63" s="27"/>
      <c r="AE63" s="30"/>
      <c r="AF63" s="26"/>
      <c r="AG63" s="26"/>
      <c r="AH63" s="32"/>
      <c r="AJ63" s="8"/>
      <c r="AK63" s="2"/>
      <c r="AL63" s="26"/>
      <c r="AM63" s="26"/>
      <c r="AN63" s="26"/>
      <c r="AO63" s="27"/>
      <c r="AP63" s="30"/>
      <c r="AQ63" s="26"/>
      <c r="AR63" s="26"/>
      <c r="AS63" s="32"/>
      <c r="AT63" s="34"/>
    </row>
    <row r="64" spans="2:46" x14ac:dyDescent="0.3">
      <c r="B64" s="8"/>
      <c r="C64" s="2" t="s">
        <v>792</v>
      </c>
      <c r="D64" s="26">
        <v>0</v>
      </c>
      <c r="E64" s="26">
        <v>0</v>
      </c>
      <c r="F64" s="27">
        <v>0</v>
      </c>
      <c r="G64" s="26">
        <v>0</v>
      </c>
      <c r="H64" s="26">
        <v>0</v>
      </c>
      <c r="I64" s="27">
        <v>0</v>
      </c>
      <c r="J64" s="26">
        <v>0</v>
      </c>
      <c r="K64" s="26">
        <v>0</v>
      </c>
      <c r="L64" s="67">
        <v>1</v>
      </c>
      <c r="N64" s="8"/>
      <c r="O64" s="2" t="s">
        <v>835</v>
      </c>
      <c r="P64" s="26">
        <v>0</v>
      </c>
      <c r="Q64" s="27">
        <v>0</v>
      </c>
      <c r="R64" s="30">
        <v>0</v>
      </c>
      <c r="S64" s="27">
        <v>0</v>
      </c>
      <c r="T64" s="30">
        <v>0</v>
      </c>
      <c r="U64" s="34">
        <v>1</v>
      </c>
      <c r="V64" s="34">
        <v>1</v>
      </c>
      <c r="X64" s="8"/>
      <c r="Y64" s="2"/>
      <c r="Z64" s="26"/>
      <c r="AA64" s="26"/>
      <c r="AB64" s="26"/>
      <c r="AC64" s="26"/>
      <c r="AD64" s="27"/>
      <c r="AE64" s="30"/>
      <c r="AF64" s="26"/>
      <c r="AG64" s="26"/>
      <c r="AH64" s="32"/>
      <c r="AJ64" s="8"/>
      <c r="AK64" s="2"/>
      <c r="AL64" s="26"/>
      <c r="AM64" s="26"/>
      <c r="AN64" s="26"/>
      <c r="AO64" s="27"/>
      <c r="AP64" s="30"/>
      <c r="AQ64" s="26"/>
      <c r="AR64" s="26"/>
      <c r="AS64" s="32"/>
      <c r="AT64" s="34"/>
    </row>
    <row r="65" spans="2:46" x14ac:dyDescent="0.3">
      <c r="B65" s="8"/>
      <c r="C65" s="2" t="s">
        <v>793</v>
      </c>
      <c r="D65" s="26">
        <v>0</v>
      </c>
      <c r="E65" s="26">
        <v>0</v>
      </c>
      <c r="F65" s="27">
        <v>0</v>
      </c>
      <c r="G65" s="26">
        <v>0</v>
      </c>
      <c r="H65" s="26">
        <v>0</v>
      </c>
      <c r="I65" s="27">
        <v>0</v>
      </c>
      <c r="J65" s="26">
        <v>0</v>
      </c>
      <c r="K65" s="26">
        <v>0</v>
      </c>
      <c r="L65" s="67">
        <v>1</v>
      </c>
      <c r="N65" s="8"/>
      <c r="O65" s="2" t="s">
        <v>836</v>
      </c>
      <c r="P65" s="26">
        <v>0</v>
      </c>
      <c r="Q65" s="27">
        <v>0</v>
      </c>
      <c r="R65" s="30">
        <v>0</v>
      </c>
      <c r="S65" s="27">
        <v>0</v>
      </c>
      <c r="T65" s="30">
        <v>0</v>
      </c>
      <c r="U65" s="34">
        <v>1</v>
      </c>
      <c r="V65" s="34">
        <v>1</v>
      </c>
      <c r="X65" s="8"/>
      <c r="Y65" s="2"/>
      <c r="Z65" s="26"/>
      <c r="AA65" s="26"/>
      <c r="AB65" s="26"/>
      <c r="AC65" s="26"/>
      <c r="AD65" s="27"/>
      <c r="AE65" s="30"/>
      <c r="AF65" s="26"/>
      <c r="AG65" s="26"/>
      <c r="AH65" s="32"/>
      <c r="AJ65" s="8"/>
      <c r="AK65" s="2"/>
      <c r="AL65" s="26"/>
      <c r="AM65" s="26"/>
      <c r="AN65" s="26"/>
      <c r="AO65" s="27"/>
      <c r="AP65" s="30"/>
      <c r="AQ65" s="26"/>
      <c r="AR65" s="26"/>
      <c r="AS65" s="32"/>
      <c r="AT65" s="34"/>
    </row>
    <row r="66" spans="2:46" x14ac:dyDescent="0.3">
      <c r="B66" s="8"/>
      <c r="C66" s="2" t="s">
        <v>980</v>
      </c>
      <c r="D66" s="26">
        <v>0</v>
      </c>
      <c r="E66" s="26">
        <v>0</v>
      </c>
      <c r="F66" s="27">
        <v>0</v>
      </c>
      <c r="G66" s="26">
        <v>0</v>
      </c>
      <c r="H66" s="26">
        <v>0</v>
      </c>
      <c r="I66" s="27">
        <v>0</v>
      </c>
      <c r="J66" s="26">
        <v>0</v>
      </c>
      <c r="K66" s="26">
        <v>0</v>
      </c>
      <c r="L66" s="67">
        <v>1</v>
      </c>
      <c r="N66" s="8"/>
      <c r="O66" s="2" t="s">
        <v>950</v>
      </c>
      <c r="P66" s="26">
        <v>0</v>
      </c>
      <c r="Q66" s="27">
        <v>0</v>
      </c>
      <c r="R66" s="30">
        <v>0</v>
      </c>
      <c r="S66" s="27">
        <v>0</v>
      </c>
      <c r="T66" s="30">
        <v>0</v>
      </c>
      <c r="U66" s="34">
        <v>1</v>
      </c>
      <c r="V66" s="34">
        <v>1</v>
      </c>
      <c r="X66" s="8"/>
      <c r="Y66" s="2"/>
      <c r="Z66" s="26"/>
      <c r="AA66" s="26"/>
      <c r="AB66" s="26"/>
      <c r="AC66" s="26"/>
      <c r="AD66" s="27"/>
      <c r="AE66" s="30"/>
      <c r="AF66" s="26"/>
      <c r="AG66" s="26"/>
      <c r="AH66" s="32"/>
      <c r="AJ66" s="8"/>
      <c r="AK66" s="2"/>
      <c r="AL66" s="26"/>
      <c r="AM66" s="26"/>
      <c r="AN66" s="26"/>
      <c r="AO66" s="27"/>
      <c r="AP66" s="30"/>
      <c r="AQ66" s="26"/>
      <c r="AR66" s="26"/>
      <c r="AS66" s="32"/>
      <c r="AT66" s="34"/>
    </row>
    <row r="67" spans="2:46" x14ac:dyDescent="0.3">
      <c r="B67" s="8"/>
      <c r="C67" s="2" t="s">
        <v>981</v>
      </c>
      <c r="D67" s="26">
        <v>0</v>
      </c>
      <c r="E67" s="26">
        <v>0</v>
      </c>
      <c r="F67" s="27">
        <v>0</v>
      </c>
      <c r="G67" s="26">
        <v>0</v>
      </c>
      <c r="H67" s="26">
        <v>0</v>
      </c>
      <c r="I67" s="27">
        <v>0</v>
      </c>
      <c r="J67" s="26">
        <v>0</v>
      </c>
      <c r="K67" s="26">
        <v>0</v>
      </c>
      <c r="L67" s="67">
        <v>1</v>
      </c>
      <c r="N67" s="8"/>
      <c r="O67" s="2" t="s">
        <v>951</v>
      </c>
      <c r="P67" s="26">
        <v>0</v>
      </c>
      <c r="Q67" s="27">
        <v>0</v>
      </c>
      <c r="R67" s="30">
        <v>0</v>
      </c>
      <c r="S67" s="27">
        <v>0</v>
      </c>
      <c r="T67" s="30">
        <v>0</v>
      </c>
      <c r="U67" s="34">
        <v>1</v>
      </c>
      <c r="V67" s="34">
        <v>1</v>
      </c>
      <c r="X67" s="8"/>
      <c r="Y67" s="2"/>
      <c r="Z67" s="26"/>
      <c r="AA67" s="26"/>
      <c r="AB67" s="26"/>
      <c r="AC67" s="26"/>
      <c r="AD67" s="27"/>
      <c r="AE67" s="30"/>
      <c r="AF67" s="26"/>
      <c r="AG67" s="26"/>
      <c r="AH67" s="32"/>
      <c r="AJ67" s="8"/>
      <c r="AK67" s="2"/>
      <c r="AL67" s="26"/>
      <c r="AM67" s="26"/>
      <c r="AN67" s="26"/>
      <c r="AO67" s="27"/>
      <c r="AP67" s="30"/>
      <c r="AQ67" s="26"/>
      <c r="AR67" s="26"/>
      <c r="AS67" s="32"/>
      <c r="AT67" s="34"/>
    </row>
    <row r="68" spans="2:46" x14ac:dyDescent="0.3">
      <c r="B68" s="8"/>
      <c r="C68" s="2" t="s">
        <v>794</v>
      </c>
      <c r="D68" s="26">
        <v>0</v>
      </c>
      <c r="E68" s="26">
        <v>0</v>
      </c>
      <c r="F68" s="27">
        <v>0</v>
      </c>
      <c r="G68" s="26">
        <v>0</v>
      </c>
      <c r="H68" s="26">
        <v>0</v>
      </c>
      <c r="I68" s="27">
        <v>0</v>
      </c>
      <c r="J68" s="26">
        <v>0</v>
      </c>
      <c r="K68" s="26">
        <v>0</v>
      </c>
      <c r="L68" s="67">
        <v>1</v>
      </c>
      <c r="N68" s="8"/>
      <c r="O68" s="2" t="s">
        <v>837</v>
      </c>
      <c r="P68" s="26">
        <v>0</v>
      </c>
      <c r="Q68" s="27">
        <v>0</v>
      </c>
      <c r="R68" s="30">
        <v>0</v>
      </c>
      <c r="S68" s="27">
        <v>0</v>
      </c>
      <c r="T68" s="30">
        <v>0</v>
      </c>
      <c r="U68" s="34">
        <v>1</v>
      </c>
      <c r="V68" s="34">
        <v>1</v>
      </c>
      <c r="X68" s="8"/>
      <c r="Y68" s="2"/>
      <c r="Z68" s="26"/>
      <c r="AA68" s="26"/>
      <c r="AB68" s="26"/>
      <c r="AC68" s="26"/>
      <c r="AD68" s="27"/>
      <c r="AE68" s="30"/>
      <c r="AF68" s="26"/>
      <c r="AG68" s="26"/>
      <c r="AH68" s="32"/>
      <c r="AJ68" s="8"/>
      <c r="AK68" s="2"/>
      <c r="AL68" s="26"/>
      <c r="AM68" s="26"/>
      <c r="AN68" s="26"/>
      <c r="AO68" s="27"/>
      <c r="AP68" s="30"/>
      <c r="AQ68" s="26"/>
      <c r="AR68" s="26"/>
      <c r="AS68" s="32"/>
      <c r="AT68" s="34"/>
    </row>
    <row r="69" spans="2:46" x14ac:dyDescent="0.3">
      <c r="B69" s="8"/>
      <c r="C69" s="2" t="s">
        <v>795</v>
      </c>
      <c r="D69" s="26">
        <v>0</v>
      </c>
      <c r="E69" s="26">
        <v>0</v>
      </c>
      <c r="F69" s="27">
        <v>0</v>
      </c>
      <c r="G69" s="26">
        <v>0</v>
      </c>
      <c r="H69" s="26">
        <v>0</v>
      </c>
      <c r="I69" s="27">
        <v>0</v>
      </c>
      <c r="J69" s="26">
        <v>0</v>
      </c>
      <c r="K69" s="26">
        <v>0</v>
      </c>
      <c r="L69" s="67">
        <v>1</v>
      </c>
      <c r="N69" s="8"/>
      <c r="O69" s="2" t="s">
        <v>838</v>
      </c>
      <c r="P69" s="26">
        <v>0</v>
      </c>
      <c r="Q69" s="27">
        <v>0</v>
      </c>
      <c r="R69" s="30">
        <v>0</v>
      </c>
      <c r="S69" s="27">
        <v>0</v>
      </c>
      <c r="T69" s="30">
        <v>0</v>
      </c>
      <c r="U69" s="34">
        <v>1</v>
      </c>
      <c r="V69" s="34">
        <v>1</v>
      </c>
      <c r="X69" s="8"/>
      <c r="Y69" s="2"/>
      <c r="Z69" s="26"/>
      <c r="AA69" s="26"/>
      <c r="AB69" s="26"/>
      <c r="AC69" s="26"/>
      <c r="AD69" s="27"/>
      <c r="AE69" s="30"/>
      <c r="AF69" s="26"/>
      <c r="AG69" s="26"/>
      <c r="AH69" s="32"/>
      <c r="AJ69" s="8"/>
      <c r="AK69" s="2"/>
      <c r="AL69" s="26"/>
      <c r="AM69" s="26"/>
      <c r="AN69" s="26"/>
      <c r="AO69" s="27"/>
      <c r="AP69" s="30"/>
      <c r="AQ69" s="26"/>
      <c r="AR69" s="26"/>
      <c r="AS69" s="32"/>
      <c r="AT69" s="34"/>
    </row>
    <row r="70" spans="2:46" x14ac:dyDescent="0.3">
      <c r="B70" s="8"/>
      <c r="C70" s="2" t="s">
        <v>796</v>
      </c>
      <c r="D70" s="26">
        <v>0</v>
      </c>
      <c r="E70" s="26">
        <v>0</v>
      </c>
      <c r="F70" s="27">
        <v>0</v>
      </c>
      <c r="G70" s="26">
        <v>0</v>
      </c>
      <c r="H70" s="26">
        <v>0</v>
      </c>
      <c r="I70" s="27">
        <v>0</v>
      </c>
      <c r="J70" s="26">
        <v>0</v>
      </c>
      <c r="K70" s="26">
        <v>0</v>
      </c>
      <c r="L70" s="67">
        <v>1</v>
      </c>
      <c r="N70" s="8"/>
      <c r="O70" s="2" t="s">
        <v>839</v>
      </c>
      <c r="P70" s="26">
        <v>0</v>
      </c>
      <c r="Q70" s="27">
        <v>0</v>
      </c>
      <c r="R70" s="30">
        <v>0</v>
      </c>
      <c r="S70" s="27">
        <v>0</v>
      </c>
      <c r="T70" s="30">
        <v>0</v>
      </c>
      <c r="U70" s="34">
        <v>1</v>
      </c>
      <c r="V70" s="34">
        <v>1</v>
      </c>
      <c r="X70" s="8"/>
      <c r="Y70" s="2"/>
      <c r="Z70" s="26"/>
      <c r="AA70" s="26"/>
      <c r="AB70" s="26"/>
      <c r="AC70" s="26"/>
      <c r="AD70" s="27"/>
      <c r="AE70" s="30"/>
      <c r="AF70" s="26"/>
      <c r="AG70" s="26"/>
      <c r="AH70" s="32"/>
      <c r="AJ70" s="8"/>
      <c r="AK70" s="2"/>
      <c r="AL70" s="26"/>
      <c r="AM70" s="26"/>
      <c r="AN70" s="26"/>
      <c r="AO70" s="27"/>
      <c r="AP70" s="30"/>
      <c r="AQ70" s="26"/>
      <c r="AR70" s="26"/>
      <c r="AS70" s="32"/>
      <c r="AT70" s="34"/>
    </row>
    <row r="71" spans="2:46" x14ac:dyDescent="0.3">
      <c r="B71" s="8"/>
      <c r="C71" s="2" t="s">
        <v>797</v>
      </c>
      <c r="D71" s="26">
        <v>0</v>
      </c>
      <c r="E71" s="26">
        <v>0</v>
      </c>
      <c r="F71" s="27">
        <v>0</v>
      </c>
      <c r="G71" s="26">
        <v>0</v>
      </c>
      <c r="H71" s="26">
        <v>0</v>
      </c>
      <c r="I71" s="27">
        <v>0</v>
      </c>
      <c r="J71" s="26">
        <v>0</v>
      </c>
      <c r="K71" s="26">
        <v>0</v>
      </c>
      <c r="L71" s="67">
        <v>1</v>
      </c>
      <c r="N71" s="8"/>
      <c r="O71" s="2" t="s">
        <v>840</v>
      </c>
      <c r="P71" s="26">
        <v>0</v>
      </c>
      <c r="Q71" s="27">
        <v>0</v>
      </c>
      <c r="R71" s="30">
        <v>0</v>
      </c>
      <c r="S71" s="27">
        <v>0</v>
      </c>
      <c r="T71" s="30">
        <v>0</v>
      </c>
      <c r="U71" s="34">
        <v>1</v>
      </c>
      <c r="V71" s="34">
        <v>1</v>
      </c>
      <c r="X71" s="8"/>
      <c r="Y71" s="2"/>
      <c r="Z71" s="26"/>
      <c r="AA71" s="26"/>
      <c r="AB71" s="26"/>
      <c r="AC71" s="26"/>
      <c r="AD71" s="27"/>
      <c r="AE71" s="30"/>
      <c r="AF71" s="26"/>
      <c r="AG71" s="26"/>
      <c r="AH71" s="32"/>
      <c r="AJ71" s="8"/>
      <c r="AK71" s="2"/>
      <c r="AL71" s="26"/>
      <c r="AM71" s="26"/>
      <c r="AN71" s="26"/>
      <c r="AO71" s="27"/>
      <c r="AP71" s="30"/>
      <c r="AQ71" s="26"/>
      <c r="AR71" s="26"/>
      <c r="AS71" s="32"/>
      <c r="AT71" s="34"/>
    </row>
    <row r="72" spans="2:46" x14ac:dyDescent="0.3">
      <c r="B72" s="8"/>
      <c r="C72" s="2" t="s">
        <v>798</v>
      </c>
      <c r="D72" s="26">
        <v>0</v>
      </c>
      <c r="E72" s="26">
        <v>0</v>
      </c>
      <c r="F72" s="27">
        <v>0</v>
      </c>
      <c r="G72" s="26">
        <v>0</v>
      </c>
      <c r="H72" s="26">
        <v>0</v>
      </c>
      <c r="I72" s="27">
        <v>0</v>
      </c>
      <c r="J72" s="26">
        <v>0</v>
      </c>
      <c r="K72" s="26">
        <v>0</v>
      </c>
      <c r="L72" s="67">
        <v>1</v>
      </c>
      <c r="N72" s="8"/>
      <c r="O72" s="2" t="s">
        <v>841</v>
      </c>
      <c r="P72" s="26">
        <v>0</v>
      </c>
      <c r="Q72" s="27">
        <v>0</v>
      </c>
      <c r="R72" s="30">
        <v>0</v>
      </c>
      <c r="S72" s="27">
        <v>0</v>
      </c>
      <c r="T72" s="30">
        <v>0</v>
      </c>
      <c r="U72" s="34">
        <v>1</v>
      </c>
      <c r="V72" s="34">
        <v>1</v>
      </c>
      <c r="X72" s="8"/>
      <c r="Y72" s="2"/>
      <c r="Z72" s="26"/>
      <c r="AA72" s="26"/>
      <c r="AB72" s="26"/>
      <c r="AC72" s="26"/>
      <c r="AD72" s="27"/>
      <c r="AE72" s="30"/>
      <c r="AF72" s="26"/>
      <c r="AG72" s="26"/>
      <c r="AH72" s="32"/>
      <c r="AJ72" s="8"/>
      <c r="AK72" s="2"/>
      <c r="AL72" s="26"/>
      <c r="AM72" s="26"/>
      <c r="AN72" s="26"/>
      <c r="AO72" s="27"/>
      <c r="AP72" s="30"/>
      <c r="AQ72" s="26"/>
      <c r="AR72" s="26"/>
      <c r="AS72" s="32"/>
      <c r="AT72" s="34"/>
    </row>
    <row r="73" spans="2:46" x14ac:dyDescent="0.3">
      <c r="B73" s="8"/>
      <c r="C73" s="2" t="s">
        <v>730</v>
      </c>
      <c r="D73" s="26">
        <v>0</v>
      </c>
      <c r="E73" s="26">
        <v>0</v>
      </c>
      <c r="F73" s="27">
        <v>0</v>
      </c>
      <c r="G73" s="26">
        <v>0</v>
      </c>
      <c r="H73" s="26">
        <v>0</v>
      </c>
      <c r="I73" s="27">
        <v>0</v>
      </c>
      <c r="J73" s="26">
        <v>0</v>
      </c>
      <c r="K73" s="26">
        <v>0</v>
      </c>
      <c r="L73" s="67">
        <v>1</v>
      </c>
      <c r="N73" s="8"/>
      <c r="O73" s="2" t="s">
        <v>666</v>
      </c>
      <c r="P73" s="26">
        <v>0</v>
      </c>
      <c r="Q73" s="27">
        <v>0</v>
      </c>
      <c r="R73" s="30">
        <v>0</v>
      </c>
      <c r="S73" s="27">
        <v>0</v>
      </c>
      <c r="T73" s="30">
        <v>0</v>
      </c>
      <c r="U73" s="34">
        <v>1</v>
      </c>
      <c r="V73" s="34">
        <v>1</v>
      </c>
      <c r="X73" s="8"/>
      <c r="Y73" s="2"/>
      <c r="Z73" s="26"/>
      <c r="AA73" s="26"/>
      <c r="AB73" s="26"/>
      <c r="AC73" s="26"/>
      <c r="AD73" s="27"/>
      <c r="AE73" s="30"/>
      <c r="AF73" s="26"/>
      <c r="AG73" s="26"/>
      <c r="AH73" s="32"/>
      <c r="AJ73" s="8"/>
      <c r="AK73" s="2"/>
      <c r="AL73" s="26"/>
      <c r="AM73" s="26"/>
      <c r="AN73" s="26"/>
      <c r="AO73" s="27"/>
      <c r="AP73" s="30"/>
      <c r="AQ73" s="26"/>
      <c r="AR73" s="26"/>
      <c r="AS73" s="32"/>
      <c r="AT73" s="34"/>
    </row>
    <row r="74" spans="2:46" x14ac:dyDescent="0.3">
      <c r="B74" s="8"/>
      <c r="C74" s="2" t="s">
        <v>799</v>
      </c>
      <c r="D74" s="26">
        <v>0</v>
      </c>
      <c r="E74" s="26">
        <v>0</v>
      </c>
      <c r="F74" s="27">
        <v>0</v>
      </c>
      <c r="G74" s="26">
        <v>0</v>
      </c>
      <c r="H74" s="26">
        <v>0</v>
      </c>
      <c r="I74" s="27">
        <v>0</v>
      </c>
      <c r="J74" s="26">
        <v>0</v>
      </c>
      <c r="K74" s="26">
        <v>0</v>
      </c>
      <c r="L74" s="67">
        <v>1</v>
      </c>
      <c r="N74" s="8"/>
      <c r="O74" s="2" t="s">
        <v>842</v>
      </c>
      <c r="P74" s="26">
        <v>0</v>
      </c>
      <c r="Q74" s="27">
        <v>0</v>
      </c>
      <c r="R74" s="30">
        <v>0</v>
      </c>
      <c r="S74" s="27">
        <v>0</v>
      </c>
      <c r="T74" s="30">
        <v>0</v>
      </c>
      <c r="U74" s="34">
        <v>1</v>
      </c>
      <c r="V74" s="34">
        <v>1</v>
      </c>
      <c r="X74" s="8"/>
      <c r="Y74" s="2"/>
      <c r="Z74" s="26"/>
      <c r="AA74" s="26"/>
      <c r="AB74" s="26"/>
      <c r="AC74" s="26"/>
      <c r="AD74" s="27"/>
      <c r="AE74" s="30"/>
      <c r="AF74" s="26"/>
      <c r="AG74" s="26"/>
      <c r="AH74" s="32"/>
      <c r="AJ74" s="8"/>
      <c r="AK74" s="2"/>
      <c r="AL74" s="26"/>
      <c r="AM74" s="26"/>
      <c r="AN74" s="26"/>
      <c r="AO74" s="27"/>
      <c r="AP74" s="30"/>
      <c r="AQ74" s="26"/>
      <c r="AR74" s="26"/>
      <c r="AS74" s="32"/>
      <c r="AT74" s="34"/>
    </row>
    <row r="75" spans="2:46" x14ac:dyDescent="0.3">
      <c r="B75" s="8"/>
      <c r="C75" s="2" t="s">
        <v>731</v>
      </c>
      <c r="D75" s="26">
        <v>0</v>
      </c>
      <c r="E75" s="26">
        <v>0</v>
      </c>
      <c r="F75" s="27">
        <v>0</v>
      </c>
      <c r="G75" s="26">
        <v>0</v>
      </c>
      <c r="H75" s="26">
        <v>0</v>
      </c>
      <c r="I75" s="27">
        <v>0</v>
      </c>
      <c r="J75" s="26">
        <v>0</v>
      </c>
      <c r="K75" s="26">
        <v>0</v>
      </c>
      <c r="L75" s="67">
        <v>1</v>
      </c>
      <c r="N75" s="8"/>
      <c r="O75" s="2" t="s">
        <v>667</v>
      </c>
      <c r="P75" s="26">
        <v>0</v>
      </c>
      <c r="Q75" s="27">
        <v>0</v>
      </c>
      <c r="R75" s="30">
        <v>0</v>
      </c>
      <c r="S75" s="27">
        <v>0</v>
      </c>
      <c r="T75" s="30">
        <v>0</v>
      </c>
      <c r="U75" s="34">
        <v>1</v>
      </c>
      <c r="V75" s="34">
        <v>1</v>
      </c>
      <c r="X75" s="8"/>
      <c r="Y75" s="2"/>
      <c r="Z75" s="26"/>
      <c r="AA75" s="26"/>
      <c r="AB75" s="26"/>
      <c r="AC75" s="26"/>
      <c r="AD75" s="27"/>
      <c r="AE75" s="30"/>
      <c r="AF75" s="26"/>
      <c r="AG75" s="26"/>
      <c r="AH75" s="32"/>
      <c r="AJ75" s="8"/>
      <c r="AK75" s="2"/>
      <c r="AL75" s="26"/>
      <c r="AM75" s="26"/>
      <c r="AN75" s="26"/>
      <c r="AO75" s="27"/>
      <c r="AP75" s="30"/>
      <c r="AQ75" s="26"/>
      <c r="AR75" s="26"/>
      <c r="AS75" s="32"/>
      <c r="AT75" s="34"/>
    </row>
    <row r="76" spans="2:46" x14ac:dyDescent="0.3">
      <c r="B76" s="8"/>
      <c r="C76" s="2" t="s">
        <v>800</v>
      </c>
      <c r="D76" s="26">
        <v>0</v>
      </c>
      <c r="E76" s="26">
        <v>0</v>
      </c>
      <c r="F76" s="27">
        <v>0</v>
      </c>
      <c r="G76" s="26">
        <v>0</v>
      </c>
      <c r="H76" s="26">
        <v>0</v>
      </c>
      <c r="I76" s="27">
        <v>0</v>
      </c>
      <c r="J76" s="26">
        <v>0</v>
      </c>
      <c r="K76" s="26">
        <v>0</v>
      </c>
      <c r="L76" s="67">
        <v>1</v>
      </c>
      <c r="N76" s="8"/>
      <c r="O76" s="2" t="s">
        <v>843</v>
      </c>
      <c r="P76" s="26">
        <v>0</v>
      </c>
      <c r="Q76" s="27">
        <v>0</v>
      </c>
      <c r="R76" s="30">
        <v>0</v>
      </c>
      <c r="S76" s="27">
        <v>0</v>
      </c>
      <c r="T76" s="30">
        <v>0</v>
      </c>
      <c r="U76" s="34">
        <v>1</v>
      </c>
      <c r="V76" s="34">
        <v>1</v>
      </c>
      <c r="X76" s="8"/>
      <c r="Y76" s="2"/>
      <c r="Z76" s="26"/>
      <c r="AA76" s="26"/>
      <c r="AB76" s="26"/>
      <c r="AC76" s="26"/>
      <c r="AD76" s="27"/>
      <c r="AE76" s="30"/>
      <c r="AF76" s="26"/>
      <c r="AG76" s="26"/>
      <c r="AH76" s="32"/>
      <c r="AJ76" s="8"/>
      <c r="AK76" s="2"/>
      <c r="AL76" s="26"/>
      <c r="AM76" s="26"/>
      <c r="AN76" s="26"/>
      <c r="AO76" s="27"/>
      <c r="AP76" s="30"/>
      <c r="AQ76" s="26"/>
      <c r="AR76" s="26"/>
      <c r="AS76" s="32"/>
      <c r="AT76" s="34"/>
    </row>
    <row r="77" spans="2:46" x14ac:dyDescent="0.3">
      <c r="B77" s="8"/>
      <c r="C77" s="2" t="s">
        <v>982</v>
      </c>
      <c r="D77" s="26">
        <v>0</v>
      </c>
      <c r="E77" s="26">
        <v>0</v>
      </c>
      <c r="F77" s="27">
        <v>0</v>
      </c>
      <c r="G77" s="26">
        <v>0</v>
      </c>
      <c r="H77" s="26">
        <v>0</v>
      </c>
      <c r="I77" s="27">
        <v>0</v>
      </c>
      <c r="J77" s="26">
        <v>0</v>
      </c>
      <c r="K77" s="26">
        <v>0</v>
      </c>
      <c r="L77" s="67">
        <v>1</v>
      </c>
      <c r="N77" s="8"/>
      <c r="O77" s="2" t="s">
        <v>952</v>
      </c>
      <c r="P77" s="26">
        <v>0</v>
      </c>
      <c r="Q77" s="27">
        <v>0</v>
      </c>
      <c r="R77" s="30">
        <v>0</v>
      </c>
      <c r="S77" s="27">
        <v>0</v>
      </c>
      <c r="T77" s="30">
        <v>0</v>
      </c>
      <c r="U77" s="34">
        <v>1</v>
      </c>
      <c r="V77" s="34">
        <v>1</v>
      </c>
      <c r="X77" s="8"/>
      <c r="Y77" s="2"/>
      <c r="Z77" s="26"/>
      <c r="AA77" s="26"/>
      <c r="AB77" s="26"/>
      <c r="AC77" s="26"/>
      <c r="AD77" s="27"/>
      <c r="AE77" s="30"/>
      <c r="AF77" s="26"/>
      <c r="AG77" s="26"/>
      <c r="AH77" s="32"/>
      <c r="AJ77" s="8"/>
      <c r="AK77" s="2"/>
      <c r="AL77" s="26"/>
      <c r="AM77" s="26"/>
      <c r="AN77" s="26"/>
      <c r="AO77" s="27"/>
      <c r="AP77" s="30"/>
      <c r="AQ77" s="26"/>
      <c r="AR77" s="26"/>
      <c r="AS77" s="32"/>
      <c r="AT77" s="34"/>
    </row>
    <row r="78" spans="2:46" x14ac:dyDescent="0.3">
      <c r="B78" s="8"/>
      <c r="C78" s="2" t="s">
        <v>983</v>
      </c>
      <c r="D78" s="26">
        <v>0</v>
      </c>
      <c r="E78" s="26">
        <v>0</v>
      </c>
      <c r="F78" s="27">
        <v>0</v>
      </c>
      <c r="G78" s="26">
        <v>0</v>
      </c>
      <c r="H78" s="26">
        <v>0</v>
      </c>
      <c r="I78" s="27">
        <v>0</v>
      </c>
      <c r="J78" s="26">
        <v>0</v>
      </c>
      <c r="K78" s="26">
        <v>0</v>
      </c>
      <c r="L78" s="67">
        <v>1</v>
      </c>
      <c r="N78" s="8"/>
      <c r="O78" s="2" t="s">
        <v>953</v>
      </c>
      <c r="P78" s="26">
        <v>0</v>
      </c>
      <c r="Q78" s="27">
        <v>0</v>
      </c>
      <c r="R78" s="30">
        <v>0</v>
      </c>
      <c r="S78" s="27">
        <v>0</v>
      </c>
      <c r="T78" s="30">
        <v>0</v>
      </c>
      <c r="U78" s="34">
        <v>1</v>
      </c>
      <c r="V78" s="34">
        <v>1</v>
      </c>
      <c r="X78" s="8"/>
      <c r="Y78" s="2"/>
      <c r="Z78" s="26"/>
      <c r="AA78" s="26"/>
      <c r="AB78" s="26"/>
      <c r="AC78" s="26"/>
      <c r="AD78" s="27"/>
      <c r="AE78" s="30"/>
      <c r="AF78" s="26"/>
      <c r="AG78" s="26"/>
      <c r="AH78" s="32"/>
      <c r="AJ78" s="8"/>
      <c r="AK78" s="2"/>
      <c r="AL78" s="26"/>
      <c r="AM78" s="26"/>
      <c r="AN78" s="26"/>
      <c r="AO78" s="27"/>
      <c r="AP78" s="30"/>
      <c r="AQ78" s="26"/>
      <c r="AR78" s="26"/>
      <c r="AS78" s="32"/>
      <c r="AT78" s="34"/>
    </row>
    <row r="79" spans="2:46" x14ac:dyDescent="0.3">
      <c r="B79" s="8"/>
      <c r="C79" s="2" t="s">
        <v>984</v>
      </c>
      <c r="D79" s="26">
        <v>0</v>
      </c>
      <c r="E79" s="26">
        <v>0</v>
      </c>
      <c r="F79" s="27">
        <v>0</v>
      </c>
      <c r="G79" s="26">
        <v>0</v>
      </c>
      <c r="H79" s="26">
        <v>0</v>
      </c>
      <c r="I79" s="27">
        <v>0</v>
      </c>
      <c r="J79" s="26">
        <v>0</v>
      </c>
      <c r="K79" s="26">
        <v>0</v>
      </c>
      <c r="L79" s="67">
        <v>1</v>
      </c>
      <c r="N79" s="8"/>
      <c r="O79" s="2" t="s">
        <v>954</v>
      </c>
      <c r="P79" s="26">
        <v>0</v>
      </c>
      <c r="Q79" s="27">
        <v>0</v>
      </c>
      <c r="R79" s="30">
        <v>0</v>
      </c>
      <c r="S79" s="27">
        <v>0</v>
      </c>
      <c r="T79" s="30">
        <v>0</v>
      </c>
      <c r="U79" s="34">
        <v>1</v>
      </c>
      <c r="V79" s="34">
        <v>1</v>
      </c>
      <c r="X79" s="8"/>
      <c r="Y79" s="2"/>
      <c r="Z79" s="26"/>
      <c r="AA79" s="26"/>
      <c r="AB79" s="26"/>
      <c r="AC79" s="26"/>
      <c r="AD79" s="27"/>
      <c r="AE79" s="30"/>
      <c r="AF79" s="26"/>
      <c r="AG79" s="26"/>
      <c r="AH79" s="32"/>
      <c r="AJ79" s="8"/>
      <c r="AK79" s="2"/>
      <c r="AL79" s="26"/>
      <c r="AM79" s="26"/>
      <c r="AN79" s="26"/>
      <c r="AO79" s="27"/>
      <c r="AP79" s="30"/>
      <c r="AQ79" s="26"/>
      <c r="AR79" s="26"/>
      <c r="AS79" s="32"/>
      <c r="AT79" s="34"/>
    </row>
    <row r="80" spans="2:46" x14ac:dyDescent="0.3">
      <c r="B80" s="8"/>
      <c r="C80" s="2" t="s">
        <v>732</v>
      </c>
      <c r="D80" s="26">
        <v>0</v>
      </c>
      <c r="E80" s="26">
        <v>0</v>
      </c>
      <c r="F80" s="27">
        <v>0</v>
      </c>
      <c r="G80" s="26">
        <v>0</v>
      </c>
      <c r="H80" s="26">
        <v>0</v>
      </c>
      <c r="I80" s="27">
        <v>0</v>
      </c>
      <c r="J80" s="26">
        <v>0</v>
      </c>
      <c r="K80" s="26">
        <v>0</v>
      </c>
      <c r="L80" s="67">
        <v>1</v>
      </c>
      <c r="N80" s="8"/>
      <c r="O80" s="2" t="s">
        <v>668</v>
      </c>
      <c r="P80" s="26">
        <v>0</v>
      </c>
      <c r="Q80" s="27">
        <v>0</v>
      </c>
      <c r="R80" s="30">
        <v>0</v>
      </c>
      <c r="S80" s="27">
        <v>0</v>
      </c>
      <c r="T80" s="30">
        <v>0</v>
      </c>
      <c r="U80" s="34">
        <v>1</v>
      </c>
      <c r="V80" s="34">
        <v>1</v>
      </c>
      <c r="X80" s="8"/>
      <c r="Y80" s="2"/>
      <c r="Z80" s="26"/>
      <c r="AA80" s="26"/>
      <c r="AB80" s="26"/>
      <c r="AC80" s="26"/>
      <c r="AD80" s="27"/>
      <c r="AE80" s="30"/>
      <c r="AF80" s="26"/>
      <c r="AG80" s="26"/>
      <c r="AH80" s="32"/>
      <c r="AJ80" s="8"/>
      <c r="AK80" s="2"/>
      <c r="AL80" s="26"/>
      <c r="AM80" s="26"/>
      <c r="AN80" s="26"/>
      <c r="AO80" s="27"/>
      <c r="AP80" s="30"/>
      <c r="AQ80" s="26"/>
      <c r="AR80" s="26"/>
      <c r="AS80" s="32"/>
      <c r="AT80" s="34"/>
    </row>
    <row r="81" spans="2:46" x14ac:dyDescent="0.3">
      <c r="B81" s="8"/>
      <c r="C81" s="2" t="s">
        <v>801</v>
      </c>
      <c r="D81" s="26">
        <v>0</v>
      </c>
      <c r="E81" s="26">
        <v>0</v>
      </c>
      <c r="F81" s="27">
        <v>0</v>
      </c>
      <c r="G81" s="26">
        <v>0</v>
      </c>
      <c r="H81" s="26">
        <v>0</v>
      </c>
      <c r="I81" s="27">
        <v>0</v>
      </c>
      <c r="J81" s="26">
        <v>0</v>
      </c>
      <c r="K81" s="26">
        <v>0</v>
      </c>
      <c r="L81" s="67">
        <v>1</v>
      </c>
      <c r="N81" s="8"/>
      <c r="O81" s="2" t="s">
        <v>844</v>
      </c>
      <c r="P81" s="26">
        <v>0</v>
      </c>
      <c r="Q81" s="27">
        <v>0</v>
      </c>
      <c r="R81" s="30">
        <v>0</v>
      </c>
      <c r="S81" s="27">
        <v>0</v>
      </c>
      <c r="T81" s="30">
        <v>0</v>
      </c>
      <c r="U81" s="34">
        <v>1</v>
      </c>
      <c r="V81" s="34">
        <v>1</v>
      </c>
      <c r="X81" s="8"/>
      <c r="Y81" s="2"/>
      <c r="Z81" s="26"/>
      <c r="AA81" s="26"/>
      <c r="AB81" s="26"/>
      <c r="AC81" s="26"/>
      <c r="AD81" s="27"/>
      <c r="AE81" s="30"/>
      <c r="AF81" s="26"/>
      <c r="AG81" s="26"/>
      <c r="AH81" s="32"/>
      <c r="AJ81" s="8"/>
      <c r="AK81" s="2"/>
      <c r="AL81" s="26"/>
      <c r="AM81" s="26"/>
      <c r="AN81" s="26"/>
      <c r="AO81" s="27"/>
      <c r="AP81" s="30"/>
      <c r="AQ81" s="26"/>
      <c r="AR81" s="26"/>
      <c r="AS81" s="32"/>
      <c r="AT81" s="34"/>
    </row>
    <row r="82" spans="2:46" x14ac:dyDescent="0.3">
      <c r="B82" s="8"/>
      <c r="C82" s="2" t="s">
        <v>802</v>
      </c>
      <c r="D82" s="26">
        <v>0</v>
      </c>
      <c r="E82" s="26">
        <v>0</v>
      </c>
      <c r="F82" s="27">
        <v>0</v>
      </c>
      <c r="G82" s="26">
        <v>0</v>
      </c>
      <c r="H82" s="26">
        <v>0</v>
      </c>
      <c r="I82" s="27">
        <v>0</v>
      </c>
      <c r="J82" s="26">
        <v>0</v>
      </c>
      <c r="K82" s="26">
        <v>0</v>
      </c>
      <c r="L82" s="67">
        <v>1</v>
      </c>
      <c r="N82" s="8"/>
      <c r="O82" s="2" t="s">
        <v>845</v>
      </c>
      <c r="P82" s="26">
        <v>0</v>
      </c>
      <c r="Q82" s="27">
        <v>0</v>
      </c>
      <c r="R82" s="30">
        <v>0</v>
      </c>
      <c r="S82" s="27">
        <v>0</v>
      </c>
      <c r="T82" s="30">
        <v>0</v>
      </c>
      <c r="U82" s="34">
        <v>1</v>
      </c>
      <c r="V82" s="34">
        <v>1</v>
      </c>
      <c r="X82" s="8"/>
      <c r="Y82" s="2"/>
      <c r="Z82" s="26"/>
      <c r="AA82" s="26"/>
      <c r="AB82" s="26"/>
      <c r="AC82" s="26"/>
      <c r="AD82" s="27"/>
      <c r="AE82" s="30"/>
      <c r="AF82" s="26"/>
      <c r="AG82" s="26"/>
      <c r="AH82" s="32"/>
      <c r="AJ82" s="8"/>
      <c r="AK82" s="2"/>
      <c r="AL82" s="26"/>
      <c r="AM82" s="26"/>
      <c r="AN82" s="26"/>
      <c r="AO82" s="27"/>
      <c r="AP82" s="30"/>
      <c r="AQ82" s="26"/>
      <c r="AR82" s="26"/>
      <c r="AS82" s="32"/>
      <c r="AT82" s="34"/>
    </row>
    <row r="83" spans="2:46" x14ac:dyDescent="0.3">
      <c r="B83" s="8"/>
      <c r="C83" s="2" t="s">
        <v>733</v>
      </c>
      <c r="D83" s="26">
        <v>0</v>
      </c>
      <c r="E83" s="26">
        <v>0</v>
      </c>
      <c r="F83" s="27">
        <v>0</v>
      </c>
      <c r="G83" s="26">
        <v>0</v>
      </c>
      <c r="H83" s="26">
        <v>0</v>
      </c>
      <c r="I83" s="27">
        <v>0</v>
      </c>
      <c r="J83" s="26">
        <v>0</v>
      </c>
      <c r="K83" s="26">
        <v>0</v>
      </c>
      <c r="L83" s="67">
        <v>1</v>
      </c>
      <c r="N83" s="8"/>
      <c r="O83" s="2" t="s">
        <v>669</v>
      </c>
      <c r="P83" s="26">
        <v>0</v>
      </c>
      <c r="Q83" s="27">
        <v>0</v>
      </c>
      <c r="R83" s="30">
        <v>0</v>
      </c>
      <c r="S83" s="27">
        <v>0</v>
      </c>
      <c r="T83" s="30">
        <v>0</v>
      </c>
      <c r="U83" s="34">
        <v>1</v>
      </c>
      <c r="V83" s="34">
        <v>1</v>
      </c>
      <c r="X83" s="8"/>
      <c r="Y83" s="2"/>
      <c r="Z83" s="26"/>
      <c r="AA83" s="26"/>
      <c r="AB83" s="26"/>
      <c r="AC83" s="26"/>
      <c r="AD83" s="27"/>
      <c r="AE83" s="30"/>
      <c r="AF83" s="26"/>
      <c r="AG83" s="26"/>
      <c r="AH83" s="32"/>
      <c r="AJ83" s="8"/>
      <c r="AK83" s="2"/>
      <c r="AL83" s="26"/>
      <c r="AM83" s="26"/>
      <c r="AN83" s="26"/>
      <c r="AO83" s="27"/>
      <c r="AP83" s="30"/>
      <c r="AQ83" s="26"/>
      <c r="AR83" s="26"/>
      <c r="AS83" s="32"/>
      <c r="AT83" s="34"/>
    </row>
    <row r="84" spans="2:46" x14ac:dyDescent="0.3">
      <c r="B84" s="8"/>
      <c r="C84" s="2" t="s">
        <v>803</v>
      </c>
      <c r="D84" s="26">
        <v>0</v>
      </c>
      <c r="E84" s="26">
        <v>0</v>
      </c>
      <c r="F84" s="27">
        <v>0</v>
      </c>
      <c r="G84" s="26">
        <v>0</v>
      </c>
      <c r="H84" s="26">
        <v>0</v>
      </c>
      <c r="I84" s="27">
        <v>0</v>
      </c>
      <c r="J84" s="26">
        <v>0</v>
      </c>
      <c r="K84" s="26">
        <v>0</v>
      </c>
      <c r="L84" s="67">
        <v>1</v>
      </c>
      <c r="N84" s="8"/>
      <c r="O84" s="2" t="s">
        <v>846</v>
      </c>
      <c r="P84" s="26">
        <v>0</v>
      </c>
      <c r="Q84" s="27">
        <v>0</v>
      </c>
      <c r="R84" s="30">
        <v>0</v>
      </c>
      <c r="S84" s="27">
        <v>0</v>
      </c>
      <c r="T84" s="30">
        <v>0</v>
      </c>
      <c r="U84" s="34">
        <v>1</v>
      </c>
      <c r="V84" s="34">
        <v>1</v>
      </c>
      <c r="X84" s="8"/>
      <c r="Y84" s="2"/>
      <c r="Z84" s="26"/>
      <c r="AA84" s="26"/>
      <c r="AB84" s="26"/>
      <c r="AC84" s="26"/>
      <c r="AD84" s="27"/>
      <c r="AE84" s="30"/>
      <c r="AF84" s="26"/>
      <c r="AG84" s="26"/>
      <c r="AH84" s="32"/>
      <c r="AJ84" s="8"/>
      <c r="AK84" s="2"/>
      <c r="AL84" s="26"/>
      <c r="AM84" s="26"/>
      <c r="AN84" s="26"/>
      <c r="AO84" s="27"/>
      <c r="AP84" s="30"/>
      <c r="AQ84" s="26"/>
      <c r="AR84" s="26"/>
      <c r="AS84" s="32"/>
      <c r="AT84" s="34"/>
    </row>
    <row r="85" spans="2:46" x14ac:dyDescent="0.3">
      <c r="B85" s="8"/>
      <c r="C85" s="2" t="s">
        <v>804</v>
      </c>
      <c r="D85" s="26">
        <v>0</v>
      </c>
      <c r="E85" s="26">
        <v>0</v>
      </c>
      <c r="F85" s="27">
        <v>0</v>
      </c>
      <c r="G85" s="26">
        <v>0</v>
      </c>
      <c r="H85" s="26">
        <v>0</v>
      </c>
      <c r="I85" s="27">
        <v>0</v>
      </c>
      <c r="J85" s="26">
        <v>0</v>
      </c>
      <c r="K85" s="26">
        <v>0</v>
      </c>
      <c r="L85" s="67">
        <v>1</v>
      </c>
      <c r="N85" s="8"/>
      <c r="O85" s="2" t="s">
        <v>847</v>
      </c>
      <c r="P85" s="26">
        <v>0</v>
      </c>
      <c r="Q85" s="27">
        <v>0</v>
      </c>
      <c r="R85" s="30">
        <v>0</v>
      </c>
      <c r="S85" s="27">
        <v>0</v>
      </c>
      <c r="T85" s="30">
        <v>0</v>
      </c>
      <c r="U85" s="34">
        <v>1</v>
      </c>
      <c r="V85" s="34">
        <v>1</v>
      </c>
      <c r="X85" s="8"/>
      <c r="Y85" s="2"/>
      <c r="Z85" s="26"/>
      <c r="AA85" s="26"/>
      <c r="AB85" s="26"/>
      <c r="AC85" s="26"/>
      <c r="AD85" s="27"/>
      <c r="AE85" s="30"/>
      <c r="AF85" s="26"/>
      <c r="AG85" s="26"/>
      <c r="AH85" s="32"/>
      <c r="AJ85" s="8"/>
      <c r="AK85" s="2"/>
      <c r="AL85" s="26"/>
      <c r="AM85" s="26"/>
      <c r="AN85" s="26"/>
      <c r="AO85" s="27"/>
      <c r="AP85" s="30"/>
      <c r="AQ85" s="26"/>
      <c r="AR85" s="26"/>
      <c r="AS85" s="32"/>
      <c r="AT85" s="34"/>
    </row>
    <row r="86" spans="2:46" x14ac:dyDescent="0.3">
      <c r="B86" s="8"/>
      <c r="C86" s="2" t="s">
        <v>805</v>
      </c>
      <c r="D86" s="26">
        <v>0</v>
      </c>
      <c r="E86" s="26">
        <v>0</v>
      </c>
      <c r="F86" s="27">
        <v>0</v>
      </c>
      <c r="G86" s="26">
        <v>0</v>
      </c>
      <c r="H86" s="26">
        <v>0</v>
      </c>
      <c r="I86" s="27">
        <v>0</v>
      </c>
      <c r="J86" s="26">
        <v>0</v>
      </c>
      <c r="K86" s="26">
        <v>0</v>
      </c>
      <c r="L86" s="67">
        <v>1</v>
      </c>
      <c r="N86" s="8"/>
      <c r="O86" s="2" t="s">
        <v>848</v>
      </c>
      <c r="P86" s="26">
        <v>0</v>
      </c>
      <c r="Q86" s="27">
        <v>0</v>
      </c>
      <c r="R86" s="30">
        <v>0</v>
      </c>
      <c r="S86" s="27">
        <v>0</v>
      </c>
      <c r="T86" s="30">
        <v>0</v>
      </c>
      <c r="U86" s="34">
        <v>1</v>
      </c>
      <c r="V86" s="34">
        <v>1</v>
      </c>
      <c r="X86" s="8"/>
      <c r="Y86" s="2"/>
      <c r="Z86" s="26"/>
      <c r="AA86" s="26"/>
      <c r="AB86" s="26"/>
      <c r="AC86" s="26"/>
      <c r="AD86" s="27"/>
      <c r="AE86" s="30"/>
      <c r="AF86" s="26"/>
      <c r="AG86" s="26"/>
      <c r="AH86" s="32"/>
      <c r="AJ86" s="8"/>
      <c r="AK86" s="2"/>
      <c r="AL86" s="26"/>
      <c r="AM86" s="26"/>
      <c r="AN86" s="26"/>
      <c r="AO86" s="27"/>
      <c r="AP86" s="30"/>
      <c r="AQ86" s="26"/>
      <c r="AR86" s="26"/>
      <c r="AS86" s="32"/>
      <c r="AT86" s="34"/>
    </row>
    <row r="87" spans="2:46" x14ac:dyDescent="0.3">
      <c r="B87" s="8"/>
      <c r="C87" s="2" t="s">
        <v>734</v>
      </c>
      <c r="D87" s="26">
        <v>0</v>
      </c>
      <c r="E87" s="26">
        <v>0</v>
      </c>
      <c r="F87" s="27">
        <v>0</v>
      </c>
      <c r="G87" s="26">
        <v>0</v>
      </c>
      <c r="H87" s="26">
        <v>0</v>
      </c>
      <c r="I87" s="27">
        <v>0</v>
      </c>
      <c r="J87" s="26">
        <v>0</v>
      </c>
      <c r="K87" s="26">
        <v>0</v>
      </c>
      <c r="L87" s="67">
        <v>1</v>
      </c>
      <c r="N87" s="8"/>
      <c r="O87" s="2" t="s">
        <v>670</v>
      </c>
      <c r="P87" s="26">
        <v>0</v>
      </c>
      <c r="Q87" s="27">
        <v>0</v>
      </c>
      <c r="R87" s="30">
        <v>0</v>
      </c>
      <c r="S87" s="27">
        <v>0</v>
      </c>
      <c r="T87" s="30">
        <v>0</v>
      </c>
      <c r="U87" s="34">
        <v>1</v>
      </c>
      <c r="V87" s="34">
        <v>1</v>
      </c>
      <c r="X87" s="8"/>
      <c r="Y87" s="2"/>
      <c r="Z87" s="26"/>
      <c r="AA87" s="26"/>
      <c r="AB87" s="26"/>
      <c r="AC87" s="26"/>
      <c r="AD87" s="27"/>
      <c r="AE87" s="30"/>
      <c r="AF87" s="26"/>
      <c r="AG87" s="26"/>
      <c r="AH87" s="32"/>
      <c r="AJ87" s="8"/>
      <c r="AK87" s="2"/>
      <c r="AL87" s="26"/>
      <c r="AM87" s="26"/>
      <c r="AN87" s="26"/>
      <c r="AO87" s="27"/>
      <c r="AP87" s="30"/>
      <c r="AQ87" s="26"/>
      <c r="AR87" s="26"/>
      <c r="AS87" s="32"/>
      <c r="AT87" s="34"/>
    </row>
    <row r="88" spans="2:46" x14ac:dyDescent="0.3">
      <c r="B88" s="8"/>
      <c r="C88" s="2" t="s">
        <v>735</v>
      </c>
      <c r="D88" s="26">
        <v>0</v>
      </c>
      <c r="E88" s="26">
        <v>0</v>
      </c>
      <c r="F88" s="27">
        <v>0</v>
      </c>
      <c r="G88" s="26">
        <v>0</v>
      </c>
      <c r="H88" s="26">
        <v>0</v>
      </c>
      <c r="I88" s="27">
        <v>0</v>
      </c>
      <c r="J88" s="26">
        <v>0</v>
      </c>
      <c r="K88" s="26">
        <v>0</v>
      </c>
      <c r="L88" s="67">
        <v>1</v>
      </c>
      <c r="N88" s="8"/>
      <c r="O88" s="2" t="s">
        <v>671</v>
      </c>
      <c r="P88" s="26">
        <v>0</v>
      </c>
      <c r="Q88" s="27">
        <v>0</v>
      </c>
      <c r="R88" s="30">
        <v>0</v>
      </c>
      <c r="S88" s="27">
        <v>0</v>
      </c>
      <c r="T88" s="30">
        <v>0</v>
      </c>
      <c r="U88" s="34">
        <v>1</v>
      </c>
      <c r="V88" s="34">
        <v>1</v>
      </c>
      <c r="X88" s="8"/>
      <c r="Y88" s="2"/>
      <c r="Z88" s="26"/>
      <c r="AA88" s="26"/>
      <c r="AB88" s="26"/>
      <c r="AC88" s="26"/>
      <c r="AD88" s="27"/>
      <c r="AE88" s="30"/>
      <c r="AF88" s="26"/>
      <c r="AG88" s="26"/>
      <c r="AH88" s="32"/>
      <c r="AJ88" s="8"/>
      <c r="AK88" s="2"/>
      <c r="AL88" s="26"/>
      <c r="AM88" s="26"/>
      <c r="AN88" s="26"/>
      <c r="AO88" s="27"/>
      <c r="AP88" s="30"/>
      <c r="AQ88" s="26"/>
      <c r="AR88" s="26"/>
      <c r="AS88" s="32"/>
      <c r="AT88" s="34"/>
    </row>
    <row r="89" spans="2:46" x14ac:dyDescent="0.3">
      <c r="B89" s="8"/>
      <c r="C89" s="2" t="s">
        <v>736</v>
      </c>
      <c r="D89" s="26">
        <v>0</v>
      </c>
      <c r="E89" s="26">
        <v>0</v>
      </c>
      <c r="F89" s="27">
        <v>0</v>
      </c>
      <c r="G89" s="26">
        <v>0</v>
      </c>
      <c r="H89" s="26">
        <v>0</v>
      </c>
      <c r="I89" s="27">
        <v>0</v>
      </c>
      <c r="J89" s="26">
        <v>0</v>
      </c>
      <c r="K89" s="26">
        <v>0</v>
      </c>
      <c r="L89" s="67">
        <v>1</v>
      </c>
      <c r="N89" s="8"/>
      <c r="O89" s="2" t="s">
        <v>672</v>
      </c>
      <c r="P89" s="26">
        <v>0</v>
      </c>
      <c r="Q89" s="27">
        <v>0</v>
      </c>
      <c r="R89" s="30">
        <v>0</v>
      </c>
      <c r="S89" s="27">
        <v>0</v>
      </c>
      <c r="T89" s="30">
        <v>0</v>
      </c>
      <c r="U89" s="34">
        <v>1</v>
      </c>
      <c r="V89" s="34">
        <v>1</v>
      </c>
      <c r="X89" s="8"/>
      <c r="Y89" s="2"/>
      <c r="Z89" s="26"/>
      <c r="AA89" s="26"/>
      <c r="AB89" s="26"/>
      <c r="AC89" s="26"/>
      <c r="AD89" s="27"/>
      <c r="AE89" s="30"/>
      <c r="AF89" s="26"/>
      <c r="AG89" s="26"/>
      <c r="AH89" s="32"/>
      <c r="AJ89" s="8"/>
      <c r="AK89" s="2"/>
      <c r="AL89" s="26"/>
      <c r="AM89" s="26"/>
      <c r="AN89" s="26"/>
      <c r="AO89" s="27"/>
      <c r="AP89" s="30"/>
      <c r="AQ89" s="26"/>
      <c r="AR89" s="26"/>
      <c r="AS89" s="32"/>
      <c r="AT89" s="34"/>
    </row>
    <row r="90" spans="2:46" x14ac:dyDescent="0.3">
      <c r="B90" s="8"/>
      <c r="C90" s="2" t="s">
        <v>737</v>
      </c>
      <c r="D90" s="26">
        <v>0</v>
      </c>
      <c r="E90" s="26">
        <v>0</v>
      </c>
      <c r="F90" s="27">
        <v>0</v>
      </c>
      <c r="G90" s="26">
        <v>0</v>
      </c>
      <c r="H90" s="26">
        <v>0</v>
      </c>
      <c r="I90" s="27">
        <v>0</v>
      </c>
      <c r="J90" s="26">
        <v>0</v>
      </c>
      <c r="K90" s="26">
        <v>0</v>
      </c>
      <c r="L90" s="67">
        <v>1</v>
      </c>
      <c r="N90" s="8"/>
      <c r="O90" s="2" t="s">
        <v>673</v>
      </c>
      <c r="P90" s="26">
        <v>0</v>
      </c>
      <c r="Q90" s="27">
        <v>0</v>
      </c>
      <c r="R90" s="30">
        <v>0</v>
      </c>
      <c r="S90" s="27">
        <v>0</v>
      </c>
      <c r="T90" s="30">
        <v>0</v>
      </c>
      <c r="U90" s="34">
        <v>1</v>
      </c>
      <c r="V90" s="34">
        <v>1</v>
      </c>
      <c r="X90" s="8"/>
      <c r="Y90" s="2"/>
      <c r="Z90" s="26"/>
      <c r="AA90" s="26"/>
      <c r="AB90" s="26"/>
      <c r="AC90" s="26"/>
      <c r="AD90" s="27"/>
      <c r="AE90" s="30"/>
      <c r="AF90" s="26"/>
      <c r="AG90" s="26"/>
      <c r="AH90" s="32"/>
      <c r="AJ90" s="8"/>
      <c r="AK90" s="2"/>
      <c r="AL90" s="26"/>
      <c r="AM90" s="26"/>
      <c r="AN90" s="26"/>
      <c r="AO90" s="27"/>
      <c r="AP90" s="30"/>
      <c r="AQ90" s="26"/>
      <c r="AR90" s="26"/>
      <c r="AS90" s="32"/>
      <c r="AT90" s="34"/>
    </row>
    <row r="91" spans="2:46" x14ac:dyDescent="0.3">
      <c r="B91" s="8"/>
      <c r="C91" s="2" t="s">
        <v>806</v>
      </c>
      <c r="D91" s="26">
        <v>0</v>
      </c>
      <c r="E91" s="26">
        <v>0</v>
      </c>
      <c r="F91" s="27">
        <v>0</v>
      </c>
      <c r="G91" s="26">
        <v>0</v>
      </c>
      <c r="H91" s="26">
        <v>0</v>
      </c>
      <c r="I91" s="27">
        <v>0</v>
      </c>
      <c r="J91" s="26">
        <v>0</v>
      </c>
      <c r="K91" s="26">
        <v>0</v>
      </c>
      <c r="L91" s="67">
        <v>1</v>
      </c>
      <c r="N91" s="8"/>
      <c r="O91" s="2" t="s">
        <v>849</v>
      </c>
      <c r="P91" s="26">
        <v>0</v>
      </c>
      <c r="Q91" s="27">
        <v>0</v>
      </c>
      <c r="R91" s="30">
        <v>0</v>
      </c>
      <c r="S91" s="27">
        <v>0</v>
      </c>
      <c r="T91" s="30">
        <v>0</v>
      </c>
      <c r="U91" s="34">
        <v>1</v>
      </c>
      <c r="V91" s="34">
        <v>1</v>
      </c>
      <c r="X91" s="8"/>
      <c r="Y91" s="2"/>
      <c r="Z91" s="26"/>
      <c r="AA91" s="26"/>
      <c r="AB91" s="26"/>
      <c r="AC91" s="26"/>
      <c r="AD91" s="27"/>
      <c r="AE91" s="30"/>
      <c r="AF91" s="26"/>
      <c r="AG91" s="26"/>
      <c r="AH91" s="32"/>
      <c r="AJ91" s="8"/>
      <c r="AK91" s="2"/>
      <c r="AL91" s="26"/>
      <c r="AM91" s="26"/>
      <c r="AN91" s="26"/>
      <c r="AO91" s="27"/>
      <c r="AP91" s="30"/>
      <c r="AQ91" s="26"/>
      <c r="AR91" s="26"/>
      <c r="AS91" s="32"/>
      <c r="AT91" s="34"/>
    </row>
    <row r="92" spans="2:46" x14ac:dyDescent="0.3">
      <c r="B92" s="8"/>
      <c r="C92" s="2" t="s">
        <v>807</v>
      </c>
      <c r="D92" s="26">
        <v>0</v>
      </c>
      <c r="E92" s="26">
        <v>0</v>
      </c>
      <c r="F92" s="27">
        <v>0</v>
      </c>
      <c r="G92" s="26">
        <v>0</v>
      </c>
      <c r="H92" s="26">
        <v>0</v>
      </c>
      <c r="I92" s="27">
        <v>0</v>
      </c>
      <c r="J92" s="26">
        <v>0</v>
      </c>
      <c r="K92" s="26">
        <v>0</v>
      </c>
      <c r="L92" s="67">
        <v>1</v>
      </c>
      <c r="N92" s="8"/>
      <c r="O92" s="2" t="s">
        <v>850</v>
      </c>
      <c r="P92" s="26">
        <v>0</v>
      </c>
      <c r="Q92" s="27">
        <v>0</v>
      </c>
      <c r="R92" s="30">
        <v>0</v>
      </c>
      <c r="S92" s="27">
        <v>0</v>
      </c>
      <c r="T92" s="30">
        <v>0</v>
      </c>
      <c r="U92" s="34">
        <v>1</v>
      </c>
      <c r="V92" s="34">
        <v>1</v>
      </c>
      <c r="X92" s="8"/>
      <c r="Y92" s="2"/>
      <c r="Z92" s="26"/>
      <c r="AA92" s="26"/>
      <c r="AB92" s="26"/>
      <c r="AC92" s="26"/>
      <c r="AD92" s="27"/>
      <c r="AE92" s="30"/>
      <c r="AF92" s="26"/>
      <c r="AG92" s="26"/>
      <c r="AH92" s="32"/>
      <c r="AJ92" s="8"/>
      <c r="AK92" s="2"/>
      <c r="AL92" s="26"/>
      <c r="AM92" s="26"/>
      <c r="AN92" s="26"/>
      <c r="AO92" s="27"/>
      <c r="AP92" s="30"/>
      <c r="AQ92" s="26"/>
      <c r="AR92" s="26"/>
      <c r="AS92" s="32"/>
      <c r="AT92" s="34"/>
    </row>
    <row r="93" spans="2:46" x14ac:dyDescent="0.3">
      <c r="B93" s="8"/>
      <c r="C93" s="2" t="s">
        <v>738</v>
      </c>
      <c r="D93" s="26">
        <v>0</v>
      </c>
      <c r="E93" s="26">
        <v>0</v>
      </c>
      <c r="F93" s="27">
        <v>0</v>
      </c>
      <c r="G93" s="26">
        <v>0</v>
      </c>
      <c r="H93" s="26">
        <v>0</v>
      </c>
      <c r="I93" s="27">
        <v>0</v>
      </c>
      <c r="J93" s="26">
        <v>0</v>
      </c>
      <c r="K93" s="26">
        <v>0</v>
      </c>
      <c r="L93" s="67">
        <v>1</v>
      </c>
      <c r="N93" s="8"/>
      <c r="O93" s="2" t="s">
        <v>674</v>
      </c>
      <c r="P93" s="26">
        <v>0</v>
      </c>
      <c r="Q93" s="27">
        <v>0</v>
      </c>
      <c r="R93" s="30">
        <v>0</v>
      </c>
      <c r="S93" s="27">
        <v>0</v>
      </c>
      <c r="T93" s="30">
        <v>0</v>
      </c>
      <c r="U93" s="34">
        <v>1</v>
      </c>
      <c r="V93" s="34">
        <v>1</v>
      </c>
      <c r="X93" s="8"/>
      <c r="Y93" s="2"/>
      <c r="Z93" s="26"/>
      <c r="AA93" s="26"/>
      <c r="AB93" s="26"/>
      <c r="AC93" s="26"/>
      <c r="AD93" s="27"/>
      <c r="AE93" s="30"/>
      <c r="AF93" s="26"/>
      <c r="AG93" s="26"/>
      <c r="AH93" s="32"/>
      <c r="AJ93" s="8"/>
      <c r="AK93" s="2"/>
      <c r="AL93" s="26"/>
      <c r="AM93" s="26"/>
      <c r="AN93" s="26"/>
      <c r="AO93" s="27"/>
      <c r="AP93" s="30"/>
      <c r="AQ93" s="26"/>
      <c r="AR93" s="26"/>
      <c r="AS93" s="32"/>
      <c r="AT93" s="34"/>
    </row>
    <row r="94" spans="2:46" x14ac:dyDescent="0.3">
      <c r="B94" s="8"/>
      <c r="C94" s="2" t="s">
        <v>739</v>
      </c>
      <c r="D94" s="26">
        <v>0</v>
      </c>
      <c r="E94" s="26">
        <v>0</v>
      </c>
      <c r="F94" s="27">
        <v>0</v>
      </c>
      <c r="G94" s="26">
        <v>0</v>
      </c>
      <c r="H94" s="26">
        <v>0</v>
      </c>
      <c r="I94" s="27">
        <v>0</v>
      </c>
      <c r="J94" s="26">
        <v>0</v>
      </c>
      <c r="K94" s="26">
        <v>0</v>
      </c>
      <c r="L94" s="67">
        <v>1</v>
      </c>
      <c r="N94" s="8"/>
      <c r="O94" s="2" t="s">
        <v>675</v>
      </c>
      <c r="P94" s="26">
        <v>0</v>
      </c>
      <c r="Q94" s="27">
        <v>0</v>
      </c>
      <c r="R94" s="30">
        <v>0</v>
      </c>
      <c r="S94" s="27">
        <v>0</v>
      </c>
      <c r="T94" s="30">
        <v>0</v>
      </c>
      <c r="U94" s="34">
        <v>1</v>
      </c>
      <c r="V94" s="34">
        <v>1</v>
      </c>
      <c r="X94" s="8"/>
      <c r="Y94" s="2"/>
      <c r="Z94" s="26"/>
      <c r="AA94" s="26"/>
      <c r="AB94" s="26"/>
      <c r="AC94" s="26"/>
      <c r="AD94" s="27"/>
      <c r="AE94" s="30"/>
      <c r="AF94" s="26"/>
      <c r="AG94" s="26"/>
      <c r="AH94" s="32"/>
      <c r="AJ94" s="8"/>
      <c r="AK94" s="2"/>
      <c r="AL94" s="26"/>
      <c r="AM94" s="26"/>
      <c r="AN94" s="26"/>
      <c r="AO94" s="27"/>
      <c r="AP94" s="30"/>
      <c r="AQ94" s="26"/>
      <c r="AR94" s="26"/>
      <c r="AS94" s="32"/>
      <c r="AT94" s="34"/>
    </row>
    <row r="95" spans="2:46" x14ac:dyDescent="0.3">
      <c r="B95" s="8"/>
      <c r="C95" s="2" t="s">
        <v>740</v>
      </c>
      <c r="D95" s="26">
        <v>0</v>
      </c>
      <c r="E95" s="26">
        <v>0</v>
      </c>
      <c r="F95" s="27">
        <v>0</v>
      </c>
      <c r="G95" s="26">
        <v>0</v>
      </c>
      <c r="H95" s="26">
        <v>0</v>
      </c>
      <c r="I95" s="27">
        <v>0</v>
      </c>
      <c r="J95" s="26">
        <v>0</v>
      </c>
      <c r="K95" s="26">
        <v>0</v>
      </c>
      <c r="L95" s="67">
        <v>1</v>
      </c>
      <c r="N95" s="8"/>
      <c r="O95" s="2" t="s">
        <v>676</v>
      </c>
      <c r="P95" s="26">
        <v>0</v>
      </c>
      <c r="Q95" s="27">
        <v>0</v>
      </c>
      <c r="R95" s="30">
        <v>0</v>
      </c>
      <c r="S95" s="27">
        <v>0</v>
      </c>
      <c r="T95" s="30">
        <v>0</v>
      </c>
      <c r="U95" s="34">
        <v>1</v>
      </c>
      <c r="V95" s="34">
        <v>1</v>
      </c>
      <c r="X95" s="8"/>
      <c r="Y95" s="2"/>
      <c r="Z95" s="26"/>
      <c r="AA95" s="26"/>
      <c r="AB95" s="26"/>
      <c r="AC95" s="26"/>
      <c r="AD95" s="27"/>
      <c r="AE95" s="30"/>
      <c r="AF95" s="26"/>
      <c r="AG95" s="26"/>
      <c r="AH95" s="32"/>
      <c r="AJ95" s="8"/>
      <c r="AK95" s="2"/>
      <c r="AL95" s="26"/>
      <c r="AM95" s="26"/>
      <c r="AN95" s="26"/>
      <c r="AO95" s="27"/>
      <c r="AP95" s="30"/>
      <c r="AQ95" s="26"/>
      <c r="AR95" s="26"/>
      <c r="AS95" s="32"/>
      <c r="AT95" s="34"/>
    </row>
    <row r="96" spans="2:46" x14ac:dyDescent="0.3">
      <c r="B96" s="8"/>
      <c r="C96" s="2" t="s">
        <v>741</v>
      </c>
      <c r="D96" s="26">
        <v>0</v>
      </c>
      <c r="E96" s="26">
        <v>0</v>
      </c>
      <c r="F96" s="27">
        <v>0</v>
      </c>
      <c r="G96" s="26">
        <v>0</v>
      </c>
      <c r="H96" s="26">
        <v>0</v>
      </c>
      <c r="I96" s="27">
        <v>0</v>
      </c>
      <c r="J96" s="26">
        <v>0</v>
      </c>
      <c r="K96" s="26">
        <v>0</v>
      </c>
      <c r="L96" s="67">
        <v>1</v>
      </c>
      <c r="N96" s="8"/>
      <c r="O96" s="2" t="s">
        <v>677</v>
      </c>
      <c r="P96" s="26">
        <v>0</v>
      </c>
      <c r="Q96" s="27">
        <v>0</v>
      </c>
      <c r="R96" s="30">
        <v>0</v>
      </c>
      <c r="S96" s="27">
        <v>0</v>
      </c>
      <c r="T96" s="30">
        <v>0</v>
      </c>
      <c r="U96" s="34">
        <v>1</v>
      </c>
      <c r="V96" s="34">
        <v>1</v>
      </c>
      <c r="X96" s="8"/>
      <c r="Y96" s="2"/>
      <c r="Z96" s="26"/>
      <c r="AA96" s="26"/>
      <c r="AB96" s="26"/>
      <c r="AC96" s="26"/>
      <c r="AD96" s="27"/>
      <c r="AE96" s="30"/>
      <c r="AF96" s="26"/>
      <c r="AG96" s="26"/>
      <c r="AH96" s="32"/>
      <c r="AJ96" s="8"/>
      <c r="AK96" s="2"/>
      <c r="AL96" s="26"/>
      <c r="AM96" s="26"/>
      <c r="AN96" s="26"/>
      <c r="AO96" s="27"/>
      <c r="AP96" s="30"/>
      <c r="AQ96" s="26"/>
      <c r="AR96" s="26"/>
      <c r="AS96" s="32"/>
      <c r="AT96" s="34"/>
    </row>
    <row r="97" spans="2:46" x14ac:dyDescent="0.3">
      <c r="B97" s="8"/>
      <c r="C97" s="2" t="s">
        <v>742</v>
      </c>
      <c r="D97" s="26">
        <v>0</v>
      </c>
      <c r="E97" s="26">
        <v>0</v>
      </c>
      <c r="F97" s="27">
        <v>0</v>
      </c>
      <c r="G97" s="26">
        <v>0</v>
      </c>
      <c r="H97" s="26">
        <v>0</v>
      </c>
      <c r="I97" s="27">
        <v>0</v>
      </c>
      <c r="J97" s="26">
        <v>0</v>
      </c>
      <c r="K97" s="26">
        <v>0</v>
      </c>
      <c r="L97" s="67">
        <v>1</v>
      </c>
      <c r="N97" s="8"/>
      <c r="O97" s="2" t="s">
        <v>678</v>
      </c>
      <c r="P97" s="26">
        <v>0</v>
      </c>
      <c r="Q97" s="27">
        <v>0</v>
      </c>
      <c r="R97" s="30">
        <v>0</v>
      </c>
      <c r="S97" s="27">
        <v>0</v>
      </c>
      <c r="T97" s="30">
        <v>0</v>
      </c>
      <c r="U97" s="34">
        <v>1</v>
      </c>
      <c r="V97" s="34">
        <v>1</v>
      </c>
      <c r="X97" s="8"/>
      <c r="Y97" s="2"/>
      <c r="Z97" s="26"/>
      <c r="AA97" s="26"/>
      <c r="AB97" s="26"/>
      <c r="AC97" s="26"/>
      <c r="AD97" s="27"/>
      <c r="AE97" s="30"/>
      <c r="AF97" s="26"/>
      <c r="AG97" s="26"/>
      <c r="AH97" s="32"/>
      <c r="AJ97" s="8"/>
      <c r="AK97" s="2"/>
      <c r="AL97" s="26"/>
      <c r="AM97" s="26"/>
      <c r="AN97" s="26"/>
      <c r="AO97" s="27"/>
      <c r="AP97" s="30"/>
      <c r="AQ97" s="26"/>
      <c r="AR97" s="26"/>
      <c r="AS97" s="32"/>
      <c r="AT97" s="34"/>
    </row>
    <row r="98" spans="2:46" x14ac:dyDescent="0.3">
      <c r="B98" s="8"/>
      <c r="C98" s="2" t="s">
        <v>743</v>
      </c>
      <c r="D98" s="26">
        <v>0</v>
      </c>
      <c r="E98" s="26">
        <v>0</v>
      </c>
      <c r="F98" s="27">
        <v>0</v>
      </c>
      <c r="G98" s="26">
        <v>0</v>
      </c>
      <c r="H98" s="26">
        <v>0</v>
      </c>
      <c r="I98" s="27">
        <v>0</v>
      </c>
      <c r="J98" s="26">
        <v>0</v>
      </c>
      <c r="K98" s="26">
        <v>0</v>
      </c>
      <c r="L98" s="67">
        <v>1</v>
      </c>
      <c r="N98" s="8"/>
      <c r="O98" s="2" t="s">
        <v>679</v>
      </c>
      <c r="P98" s="26">
        <v>0</v>
      </c>
      <c r="Q98" s="27">
        <v>0</v>
      </c>
      <c r="R98" s="30">
        <v>0</v>
      </c>
      <c r="S98" s="27">
        <v>0</v>
      </c>
      <c r="T98" s="30">
        <v>0</v>
      </c>
      <c r="U98" s="34">
        <v>1</v>
      </c>
      <c r="V98" s="34">
        <v>1</v>
      </c>
      <c r="X98" s="8"/>
      <c r="Y98" s="2"/>
      <c r="Z98" s="26"/>
      <c r="AA98" s="26"/>
      <c r="AB98" s="26"/>
      <c r="AC98" s="26"/>
      <c r="AD98" s="27"/>
      <c r="AE98" s="30"/>
      <c r="AF98" s="26"/>
      <c r="AG98" s="26"/>
      <c r="AH98" s="32"/>
      <c r="AJ98" s="8"/>
      <c r="AK98" s="2"/>
      <c r="AL98" s="26"/>
      <c r="AM98" s="26"/>
      <c r="AN98" s="26"/>
      <c r="AO98" s="27"/>
      <c r="AP98" s="30"/>
      <c r="AQ98" s="26"/>
      <c r="AR98" s="26"/>
      <c r="AS98" s="32"/>
      <c r="AT98" s="34"/>
    </row>
    <row r="99" spans="2:46" x14ac:dyDescent="0.3">
      <c r="B99" s="8"/>
      <c r="C99" s="2" t="s">
        <v>744</v>
      </c>
      <c r="D99" s="26">
        <v>0</v>
      </c>
      <c r="E99" s="26">
        <v>0</v>
      </c>
      <c r="F99" s="27">
        <v>0</v>
      </c>
      <c r="G99" s="26">
        <v>0</v>
      </c>
      <c r="H99" s="26">
        <v>0</v>
      </c>
      <c r="I99" s="27">
        <v>0</v>
      </c>
      <c r="J99" s="26">
        <v>0</v>
      </c>
      <c r="K99" s="26">
        <v>0</v>
      </c>
      <c r="L99" s="67">
        <v>1</v>
      </c>
      <c r="N99" s="8"/>
      <c r="O99" s="2" t="s">
        <v>680</v>
      </c>
      <c r="P99" s="26">
        <v>0</v>
      </c>
      <c r="Q99" s="27">
        <v>0</v>
      </c>
      <c r="R99" s="30">
        <v>0</v>
      </c>
      <c r="S99" s="27">
        <v>0</v>
      </c>
      <c r="T99" s="30">
        <v>0</v>
      </c>
      <c r="U99" s="34">
        <v>1</v>
      </c>
      <c r="V99" s="34">
        <v>1</v>
      </c>
      <c r="X99" s="8"/>
      <c r="Y99" s="2"/>
      <c r="Z99" s="26"/>
      <c r="AA99" s="26"/>
      <c r="AB99" s="26"/>
      <c r="AC99" s="26"/>
      <c r="AD99" s="27"/>
      <c r="AE99" s="30"/>
      <c r="AF99" s="26"/>
      <c r="AG99" s="26"/>
      <c r="AH99" s="32"/>
      <c r="AJ99" s="8"/>
      <c r="AK99" s="2"/>
      <c r="AL99" s="26"/>
      <c r="AM99" s="26"/>
      <c r="AN99" s="26"/>
      <c r="AO99" s="27"/>
      <c r="AP99" s="30"/>
      <c r="AQ99" s="26"/>
      <c r="AR99" s="26"/>
      <c r="AS99" s="32"/>
      <c r="AT99" s="34"/>
    </row>
    <row r="100" spans="2:46" x14ac:dyDescent="0.3">
      <c r="B100" s="8"/>
      <c r="C100" s="2" t="s">
        <v>808</v>
      </c>
      <c r="D100" s="26">
        <v>0</v>
      </c>
      <c r="E100" s="26">
        <v>0</v>
      </c>
      <c r="F100" s="27">
        <v>0</v>
      </c>
      <c r="G100" s="26">
        <v>0</v>
      </c>
      <c r="H100" s="26">
        <v>0</v>
      </c>
      <c r="I100" s="27">
        <v>0</v>
      </c>
      <c r="J100" s="26">
        <v>0</v>
      </c>
      <c r="K100" s="26">
        <v>0</v>
      </c>
      <c r="L100" s="67">
        <v>1</v>
      </c>
      <c r="N100" s="8"/>
      <c r="O100" s="2" t="s">
        <v>851</v>
      </c>
      <c r="P100" s="26">
        <v>0</v>
      </c>
      <c r="Q100" s="27">
        <v>0</v>
      </c>
      <c r="R100" s="30">
        <v>0</v>
      </c>
      <c r="S100" s="27">
        <v>0</v>
      </c>
      <c r="T100" s="30">
        <v>0</v>
      </c>
      <c r="U100" s="34">
        <v>1</v>
      </c>
      <c r="V100" s="34">
        <v>1</v>
      </c>
      <c r="X100" s="8"/>
      <c r="Y100" s="2"/>
      <c r="Z100" s="26"/>
      <c r="AA100" s="26"/>
      <c r="AB100" s="26"/>
      <c r="AC100" s="26"/>
      <c r="AD100" s="27"/>
      <c r="AE100" s="30"/>
      <c r="AF100" s="26"/>
      <c r="AG100" s="26"/>
      <c r="AH100" s="32"/>
      <c r="AJ100" s="8"/>
      <c r="AK100" s="2"/>
      <c r="AL100" s="26"/>
      <c r="AM100" s="26"/>
      <c r="AN100" s="26"/>
      <c r="AO100" s="27"/>
      <c r="AP100" s="30"/>
      <c r="AQ100" s="26"/>
      <c r="AR100" s="26"/>
      <c r="AS100" s="32"/>
      <c r="AT100" s="34"/>
    </row>
    <row r="101" spans="2:46" x14ac:dyDescent="0.3">
      <c r="B101" s="8"/>
      <c r="C101" s="2" t="s">
        <v>745</v>
      </c>
      <c r="D101" s="26">
        <v>0</v>
      </c>
      <c r="E101" s="26">
        <v>0</v>
      </c>
      <c r="F101" s="27">
        <v>0</v>
      </c>
      <c r="G101" s="26">
        <v>0</v>
      </c>
      <c r="H101" s="26">
        <v>0</v>
      </c>
      <c r="I101" s="27">
        <v>0</v>
      </c>
      <c r="J101" s="26">
        <v>0</v>
      </c>
      <c r="K101" s="26">
        <v>0</v>
      </c>
      <c r="L101" s="67">
        <v>1</v>
      </c>
      <c r="N101" s="8"/>
      <c r="O101" s="2" t="s">
        <v>681</v>
      </c>
      <c r="P101" s="26">
        <v>0</v>
      </c>
      <c r="Q101" s="27">
        <v>0</v>
      </c>
      <c r="R101" s="30">
        <v>0</v>
      </c>
      <c r="S101" s="27">
        <v>0</v>
      </c>
      <c r="T101" s="30">
        <v>0</v>
      </c>
      <c r="U101" s="34">
        <v>1</v>
      </c>
      <c r="V101" s="34">
        <v>1</v>
      </c>
      <c r="X101" s="8"/>
      <c r="Y101" s="2"/>
      <c r="Z101" s="26"/>
      <c r="AA101" s="26"/>
      <c r="AB101" s="26"/>
      <c r="AC101" s="26"/>
      <c r="AD101" s="27"/>
      <c r="AE101" s="30"/>
      <c r="AF101" s="26"/>
      <c r="AG101" s="26"/>
      <c r="AH101" s="32"/>
      <c r="AJ101" s="8"/>
      <c r="AK101" s="2"/>
      <c r="AL101" s="26"/>
      <c r="AM101" s="26"/>
      <c r="AN101" s="26"/>
      <c r="AO101" s="27"/>
      <c r="AP101" s="30"/>
      <c r="AQ101" s="26"/>
      <c r="AR101" s="26"/>
      <c r="AS101" s="32"/>
      <c r="AT101" s="34"/>
    </row>
    <row r="102" spans="2:46" x14ac:dyDescent="0.3">
      <c r="B102" s="8"/>
      <c r="C102" s="2" t="s">
        <v>746</v>
      </c>
      <c r="D102" s="26">
        <v>0</v>
      </c>
      <c r="E102" s="26">
        <v>0</v>
      </c>
      <c r="F102" s="27">
        <v>0</v>
      </c>
      <c r="G102" s="26">
        <v>0</v>
      </c>
      <c r="H102" s="26">
        <v>0</v>
      </c>
      <c r="I102" s="27">
        <v>0</v>
      </c>
      <c r="J102" s="26">
        <v>0</v>
      </c>
      <c r="K102" s="26">
        <v>0</v>
      </c>
      <c r="L102" s="67">
        <v>1</v>
      </c>
      <c r="N102" s="8"/>
      <c r="O102" s="2" t="s">
        <v>682</v>
      </c>
      <c r="P102" s="26">
        <v>0</v>
      </c>
      <c r="Q102" s="27">
        <v>0</v>
      </c>
      <c r="R102" s="30">
        <v>0</v>
      </c>
      <c r="S102" s="27">
        <v>0</v>
      </c>
      <c r="T102" s="30">
        <v>0</v>
      </c>
      <c r="U102" s="34">
        <v>1</v>
      </c>
      <c r="V102" s="34">
        <v>1</v>
      </c>
      <c r="X102" s="8"/>
      <c r="Y102" s="2"/>
      <c r="Z102" s="26"/>
      <c r="AA102" s="26"/>
      <c r="AB102" s="26"/>
      <c r="AC102" s="26"/>
      <c r="AD102" s="27"/>
      <c r="AE102" s="30"/>
      <c r="AF102" s="26"/>
      <c r="AG102" s="26"/>
      <c r="AH102" s="32"/>
      <c r="AJ102" s="8"/>
      <c r="AK102" s="2"/>
      <c r="AL102" s="26"/>
      <c r="AM102" s="26"/>
      <c r="AN102" s="26"/>
      <c r="AO102" s="27"/>
      <c r="AP102" s="30"/>
      <c r="AQ102" s="26"/>
      <c r="AR102" s="26"/>
      <c r="AS102" s="32"/>
      <c r="AT102" s="34"/>
    </row>
    <row r="103" spans="2:46" x14ac:dyDescent="0.3">
      <c r="B103" s="8"/>
      <c r="C103" s="2" t="s">
        <v>747</v>
      </c>
      <c r="D103" s="26">
        <v>0</v>
      </c>
      <c r="E103" s="26">
        <v>0</v>
      </c>
      <c r="F103" s="27">
        <v>0</v>
      </c>
      <c r="G103" s="26">
        <v>0</v>
      </c>
      <c r="H103" s="26">
        <v>0</v>
      </c>
      <c r="I103" s="27">
        <v>0</v>
      </c>
      <c r="J103" s="26">
        <v>0</v>
      </c>
      <c r="K103" s="26">
        <v>0</v>
      </c>
      <c r="L103" s="67">
        <v>1</v>
      </c>
      <c r="N103" s="8"/>
      <c r="O103" s="2" t="s">
        <v>683</v>
      </c>
      <c r="P103" s="26">
        <v>0</v>
      </c>
      <c r="Q103" s="27">
        <v>0</v>
      </c>
      <c r="R103" s="30">
        <v>0</v>
      </c>
      <c r="S103" s="27">
        <v>0</v>
      </c>
      <c r="T103" s="30">
        <v>0</v>
      </c>
      <c r="U103" s="34">
        <v>1</v>
      </c>
      <c r="V103" s="34">
        <v>1</v>
      </c>
      <c r="X103" s="8"/>
      <c r="Y103" s="2"/>
      <c r="Z103" s="26"/>
      <c r="AA103" s="26"/>
      <c r="AB103" s="26"/>
      <c r="AC103" s="26"/>
      <c r="AD103" s="27"/>
      <c r="AE103" s="30"/>
      <c r="AF103" s="26"/>
      <c r="AG103" s="26"/>
      <c r="AH103" s="32"/>
      <c r="AJ103" s="8"/>
      <c r="AK103" s="2"/>
      <c r="AL103" s="26"/>
      <c r="AM103" s="26"/>
      <c r="AN103" s="26"/>
      <c r="AO103" s="27"/>
      <c r="AP103" s="30"/>
      <c r="AQ103" s="26"/>
      <c r="AR103" s="26"/>
      <c r="AS103" s="32"/>
      <c r="AT103" s="34"/>
    </row>
    <row r="104" spans="2:46" x14ac:dyDescent="0.3">
      <c r="B104" s="8"/>
      <c r="C104" s="2" t="s">
        <v>748</v>
      </c>
      <c r="D104" s="26">
        <v>0</v>
      </c>
      <c r="E104" s="26">
        <v>0</v>
      </c>
      <c r="F104" s="27">
        <v>0</v>
      </c>
      <c r="G104" s="26">
        <v>0</v>
      </c>
      <c r="H104" s="26">
        <v>0</v>
      </c>
      <c r="I104" s="27">
        <v>0</v>
      </c>
      <c r="J104" s="26">
        <v>0</v>
      </c>
      <c r="K104" s="26">
        <v>0</v>
      </c>
      <c r="L104" s="67">
        <v>1</v>
      </c>
      <c r="N104" s="8"/>
      <c r="O104" s="2" t="s">
        <v>684</v>
      </c>
      <c r="P104" s="26">
        <v>0</v>
      </c>
      <c r="Q104" s="27">
        <v>0</v>
      </c>
      <c r="R104" s="30">
        <v>0</v>
      </c>
      <c r="S104" s="27">
        <v>0</v>
      </c>
      <c r="T104" s="30">
        <v>0</v>
      </c>
      <c r="U104" s="34">
        <v>1</v>
      </c>
      <c r="V104" s="34">
        <v>1</v>
      </c>
      <c r="X104" s="8"/>
      <c r="Y104" s="2"/>
      <c r="Z104" s="26"/>
      <c r="AA104" s="26"/>
      <c r="AB104" s="26"/>
      <c r="AC104" s="26"/>
      <c r="AD104" s="27"/>
      <c r="AE104" s="30"/>
      <c r="AF104" s="26"/>
      <c r="AG104" s="26"/>
      <c r="AH104" s="32"/>
      <c r="AJ104" s="8"/>
      <c r="AK104" s="2"/>
      <c r="AL104" s="26"/>
      <c r="AM104" s="26"/>
      <c r="AN104" s="26"/>
      <c r="AO104" s="27"/>
      <c r="AP104" s="30"/>
      <c r="AQ104" s="26"/>
      <c r="AR104" s="26"/>
      <c r="AS104" s="32"/>
      <c r="AT104" s="34"/>
    </row>
    <row r="105" spans="2:46" x14ac:dyDescent="0.3">
      <c r="B105" s="8"/>
      <c r="C105" s="2" t="s">
        <v>749</v>
      </c>
      <c r="D105" s="26">
        <v>0</v>
      </c>
      <c r="E105" s="26">
        <v>0</v>
      </c>
      <c r="F105" s="27">
        <v>0</v>
      </c>
      <c r="G105" s="26">
        <v>0</v>
      </c>
      <c r="H105" s="26">
        <v>0</v>
      </c>
      <c r="I105" s="27">
        <v>0</v>
      </c>
      <c r="J105" s="26">
        <v>0</v>
      </c>
      <c r="K105" s="26">
        <v>0</v>
      </c>
      <c r="L105" s="67">
        <v>1</v>
      </c>
      <c r="N105" s="8"/>
      <c r="O105" s="2" t="s">
        <v>685</v>
      </c>
      <c r="P105" s="26">
        <v>0</v>
      </c>
      <c r="Q105" s="27">
        <v>0</v>
      </c>
      <c r="R105" s="30">
        <v>0</v>
      </c>
      <c r="S105" s="27">
        <v>0</v>
      </c>
      <c r="T105" s="30">
        <v>0</v>
      </c>
      <c r="U105" s="34">
        <v>1</v>
      </c>
      <c r="V105" s="34">
        <v>1</v>
      </c>
      <c r="X105" s="8"/>
      <c r="Y105" s="2"/>
      <c r="Z105" s="26"/>
      <c r="AA105" s="26"/>
      <c r="AB105" s="26"/>
      <c r="AC105" s="26"/>
      <c r="AD105" s="27"/>
      <c r="AE105" s="30"/>
      <c r="AF105" s="26"/>
      <c r="AG105" s="26"/>
      <c r="AH105" s="32"/>
      <c r="AJ105" s="8"/>
      <c r="AK105" s="2"/>
      <c r="AL105" s="26"/>
      <c r="AM105" s="26"/>
      <c r="AN105" s="26"/>
      <c r="AO105" s="27"/>
      <c r="AP105" s="30"/>
      <c r="AQ105" s="26"/>
      <c r="AR105" s="26"/>
      <c r="AS105" s="32"/>
      <c r="AT105" s="34"/>
    </row>
    <row r="106" spans="2:46" x14ac:dyDescent="0.3">
      <c r="B106" s="8"/>
      <c r="C106" s="2" t="s">
        <v>750</v>
      </c>
      <c r="D106" s="26">
        <v>0</v>
      </c>
      <c r="E106" s="26">
        <v>0</v>
      </c>
      <c r="F106" s="27">
        <v>0</v>
      </c>
      <c r="G106" s="26">
        <v>0</v>
      </c>
      <c r="H106" s="26">
        <v>0</v>
      </c>
      <c r="I106" s="27">
        <v>0</v>
      </c>
      <c r="J106" s="26">
        <v>0</v>
      </c>
      <c r="K106" s="26">
        <v>0</v>
      </c>
      <c r="L106" s="67">
        <v>1</v>
      </c>
      <c r="N106" s="8"/>
      <c r="O106" s="2" t="s">
        <v>686</v>
      </c>
      <c r="P106" s="26">
        <v>0</v>
      </c>
      <c r="Q106" s="27">
        <v>0</v>
      </c>
      <c r="R106" s="30">
        <v>0</v>
      </c>
      <c r="S106" s="27">
        <v>0</v>
      </c>
      <c r="T106" s="30">
        <v>0</v>
      </c>
      <c r="U106" s="34">
        <v>1</v>
      </c>
      <c r="V106" s="34">
        <v>1</v>
      </c>
      <c r="X106" s="8"/>
      <c r="Y106" s="2"/>
      <c r="Z106" s="26"/>
      <c r="AA106" s="26"/>
      <c r="AB106" s="26"/>
      <c r="AC106" s="26"/>
      <c r="AD106" s="27"/>
      <c r="AE106" s="30"/>
      <c r="AF106" s="26"/>
      <c r="AG106" s="26"/>
      <c r="AH106" s="32"/>
      <c r="AJ106" s="8"/>
      <c r="AK106" s="2"/>
      <c r="AL106" s="26"/>
      <c r="AM106" s="26"/>
      <c r="AN106" s="26"/>
      <c r="AO106" s="27"/>
      <c r="AP106" s="30"/>
      <c r="AQ106" s="26"/>
      <c r="AR106" s="26"/>
      <c r="AS106" s="32"/>
      <c r="AT106" s="34"/>
    </row>
    <row r="107" spans="2:46" x14ac:dyDescent="0.3">
      <c r="B107" s="8"/>
      <c r="C107" s="2" t="s">
        <v>751</v>
      </c>
      <c r="D107" s="26">
        <v>0</v>
      </c>
      <c r="E107" s="26">
        <v>0</v>
      </c>
      <c r="F107" s="27">
        <v>0</v>
      </c>
      <c r="G107" s="26">
        <v>0</v>
      </c>
      <c r="H107" s="26">
        <v>0</v>
      </c>
      <c r="I107" s="27">
        <v>0</v>
      </c>
      <c r="J107" s="26">
        <v>0</v>
      </c>
      <c r="K107" s="26">
        <v>0</v>
      </c>
      <c r="L107" s="67">
        <v>1</v>
      </c>
      <c r="N107" s="8"/>
      <c r="O107" s="2" t="s">
        <v>687</v>
      </c>
      <c r="P107" s="26">
        <v>0</v>
      </c>
      <c r="Q107" s="27">
        <v>0</v>
      </c>
      <c r="R107" s="30">
        <v>0</v>
      </c>
      <c r="S107" s="27">
        <v>0</v>
      </c>
      <c r="T107" s="30">
        <v>0</v>
      </c>
      <c r="U107" s="34">
        <v>1</v>
      </c>
      <c r="V107" s="34">
        <v>1</v>
      </c>
      <c r="X107" s="8"/>
      <c r="Y107" s="2"/>
      <c r="Z107" s="26"/>
      <c r="AA107" s="26"/>
      <c r="AB107" s="26"/>
      <c r="AC107" s="26"/>
      <c r="AD107" s="27"/>
      <c r="AE107" s="30"/>
      <c r="AF107" s="26"/>
      <c r="AG107" s="26"/>
      <c r="AH107" s="32"/>
      <c r="AJ107" s="8"/>
      <c r="AK107" s="2"/>
      <c r="AL107" s="26"/>
      <c r="AM107" s="26"/>
      <c r="AN107" s="26"/>
      <c r="AO107" s="27"/>
      <c r="AP107" s="30"/>
      <c r="AQ107" s="26"/>
      <c r="AR107" s="26"/>
      <c r="AS107" s="32"/>
      <c r="AT107" s="34"/>
    </row>
    <row r="108" spans="2:46" x14ac:dyDescent="0.3">
      <c r="B108" s="8"/>
      <c r="C108" s="2" t="s">
        <v>752</v>
      </c>
      <c r="D108" s="26">
        <v>0</v>
      </c>
      <c r="E108" s="26">
        <v>0</v>
      </c>
      <c r="F108" s="27">
        <v>0</v>
      </c>
      <c r="G108" s="26">
        <v>0</v>
      </c>
      <c r="H108" s="26">
        <v>0</v>
      </c>
      <c r="I108" s="27">
        <v>0</v>
      </c>
      <c r="J108" s="26">
        <v>0</v>
      </c>
      <c r="K108" s="26">
        <v>0</v>
      </c>
      <c r="L108" s="67">
        <v>1</v>
      </c>
      <c r="N108" s="8"/>
      <c r="O108" s="2" t="s">
        <v>688</v>
      </c>
      <c r="P108" s="26">
        <v>0</v>
      </c>
      <c r="Q108" s="27">
        <v>0</v>
      </c>
      <c r="R108" s="30">
        <v>0</v>
      </c>
      <c r="S108" s="27">
        <v>0</v>
      </c>
      <c r="T108" s="30">
        <v>0</v>
      </c>
      <c r="U108" s="34">
        <v>1</v>
      </c>
      <c r="V108" s="34">
        <v>1</v>
      </c>
      <c r="X108" s="8"/>
      <c r="Y108" s="2"/>
      <c r="Z108" s="26"/>
      <c r="AA108" s="26"/>
      <c r="AB108" s="26"/>
      <c r="AC108" s="26"/>
      <c r="AD108" s="27"/>
      <c r="AE108" s="30"/>
      <c r="AF108" s="26"/>
      <c r="AG108" s="26"/>
      <c r="AH108" s="32"/>
      <c r="AJ108" s="8"/>
      <c r="AK108" s="2"/>
      <c r="AL108" s="26"/>
      <c r="AM108" s="26"/>
      <c r="AN108" s="26"/>
      <c r="AO108" s="27"/>
      <c r="AP108" s="30"/>
      <c r="AQ108" s="26"/>
      <c r="AR108" s="26"/>
      <c r="AS108" s="32"/>
      <c r="AT108" s="34"/>
    </row>
    <row r="109" spans="2:46" x14ac:dyDescent="0.3">
      <c r="B109" s="8"/>
      <c r="C109" s="2"/>
      <c r="D109" s="26"/>
      <c r="E109" s="26"/>
      <c r="F109" s="27"/>
      <c r="G109" s="26"/>
      <c r="H109" s="26"/>
      <c r="I109" s="27"/>
      <c r="J109" s="26"/>
      <c r="K109" s="26"/>
      <c r="L109" s="67"/>
      <c r="N109" s="8"/>
      <c r="O109" s="2"/>
      <c r="P109" s="26"/>
      <c r="Q109" s="27"/>
      <c r="R109" s="30"/>
      <c r="S109" s="27"/>
      <c r="T109" s="30"/>
      <c r="U109" s="34"/>
      <c r="V109" s="34"/>
      <c r="X109" s="8"/>
      <c r="Y109" s="2"/>
      <c r="Z109" s="26"/>
      <c r="AA109" s="26"/>
      <c r="AB109" s="26"/>
      <c r="AC109" s="26"/>
      <c r="AD109" s="27"/>
      <c r="AE109" s="30"/>
      <c r="AF109" s="26"/>
      <c r="AG109" s="26"/>
      <c r="AH109" s="32"/>
      <c r="AJ109" s="8"/>
      <c r="AK109" s="2"/>
      <c r="AL109" s="26"/>
      <c r="AM109" s="26"/>
      <c r="AN109" s="26"/>
      <c r="AO109" s="27"/>
      <c r="AP109" s="30"/>
      <c r="AQ109" s="26"/>
      <c r="AR109" s="26"/>
      <c r="AS109" s="32"/>
      <c r="AT109" s="34"/>
    </row>
    <row r="110" spans="2:46" x14ac:dyDescent="0.3">
      <c r="B110" s="8"/>
      <c r="C110" s="2"/>
      <c r="D110" s="26"/>
      <c r="E110" s="26"/>
      <c r="F110" s="27"/>
      <c r="G110" s="26"/>
      <c r="H110" s="26"/>
      <c r="I110" s="27"/>
      <c r="J110" s="26"/>
      <c r="K110" s="26"/>
      <c r="L110" s="67"/>
      <c r="N110" s="8"/>
      <c r="O110" s="2"/>
      <c r="P110" s="26"/>
      <c r="Q110" s="27"/>
      <c r="R110" s="30"/>
      <c r="S110" s="27"/>
      <c r="T110" s="30"/>
      <c r="U110" s="34"/>
      <c r="V110" s="34"/>
      <c r="X110" s="8"/>
      <c r="Y110" s="2"/>
      <c r="Z110" s="26"/>
      <c r="AA110" s="26"/>
      <c r="AB110" s="26"/>
      <c r="AC110" s="26"/>
      <c r="AD110" s="27"/>
      <c r="AE110" s="30"/>
      <c r="AF110" s="26"/>
      <c r="AG110" s="26"/>
      <c r="AH110" s="32"/>
      <c r="AJ110" s="8"/>
      <c r="AK110" s="2"/>
      <c r="AL110" s="26"/>
      <c r="AM110" s="26"/>
      <c r="AN110" s="26"/>
      <c r="AO110" s="27"/>
      <c r="AP110" s="30"/>
      <c r="AQ110" s="26"/>
      <c r="AR110" s="26"/>
      <c r="AS110" s="32"/>
      <c r="AT110" s="34"/>
    </row>
    <row r="111" spans="2:46" x14ac:dyDescent="0.3">
      <c r="B111" s="8"/>
      <c r="C111" s="2"/>
      <c r="D111" s="26"/>
      <c r="E111" s="26"/>
      <c r="F111" s="27"/>
      <c r="G111" s="26"/>
      <c r="H111" s="26"/>
      <c r="I111" s="27"/>
      <c r="J111" s="26"/>
      <c r="K111" s="26"/>
      <c r="L111" s="67"/>
      <c r="N111" s="8"/>
      <c r="O111" s="2"/>
      <c r="P111" s="26"/>
      <c r="Q111" s="27"/>
      <c r="R111" s="30"/>
      <c r="S111" s="27"/>
      <c r="T111" s="30"/>
      <c r="U111" s="34"/>
      <c r="V111" s="34"/>
      <c r="X111" s="8"/>
      <c r="Y111" s="2"/>
      <c r="Z111" s="26"/>
      <c r="AA111" s="26"/>
      <c r="AB111" s="26"/>
      <c r="AC111" s="26"/>
      <c r="AD111" s="27"/>
      <c r="AE111" s="30"/>
      <c r="AF111" s="26"/>
      <c r="AG111" s="26"/>
      <c r="AH111" s="32"/>
      <c r="AJ111" s="8"/>
      <c r="AK111" s="2"/>
      <c r="AL111" s="26"/>
      <c r="AM111" s="26"/>
      <c r="AN111" s="26"/>
      <c r="AO111" s="27"/>
      <c r="AP111" s="30"/>
      <c r="AQ111" s="26"/>
      <c r="AR111" s="26"/>
      <c r="AS111" s="32"/>
      <c r="AT111" s="34"/>
    </row>
    <row r="112" spans="2:46" x14ac:dyDescent="0.3">
      <c r="B112" s="8"/>
      <c r="C112" s="2"/>
      <c r="D112" s="26"/>
      <c r="E112" s="26"/>
      <c r="F112" s="27"/>
      <c r="G112" s="26"/>
      <c r="H112" s="26"/>
      <c r="I112" s="27"/>
      <c r="J112" s="26"/>
      <c r="K112" s="26"/>
      <c r="L112" s="67"/>
      <c r="N112" s="8"/>
      <c r="O112" s="2"/>
      <c r="P112" s="26"/>
      <c r="Q112" s="27"/>
      <c r="R112" s="30"/>
      <c r="S112" s="27"/>
      <c r="T112" s="30"/>
      <c r="U112" s="34"/>
      <c r="V112" s="34"/>
      <c r="X112" s="8"/>
      <c r="Y112" s="2"/>
      <c r="Z112" s="26"/>
      <c r="AA112" s="26"/>
      <c r="AB112" s="26"/>
      <c r="AC112" s="26"/>
      <c r="AD112" s="27"/>
      <c r="AE112" s="30"/>
      <c r="AF112" s="26"/>
      <c r="AG112" s="26"/>
      <c r="AH112" s="32"/>
      <c r="AJ112" s="8"/>
      <c r="AK112" s="2"/>
      <c r="AL112" s="26"/>
      <c r="AM112" s="26"/>
      <c r="AN112" s="26"/>
      <c r="AO112" s="27"/>
      <c r="AP112" s="30"/>
      <c r="AQ112" s="26"/>
      <c r="AR112" s="26"/>
      <c r="AS112" s="32"/>
      <c r="AT112" s="34"/>
    </row>
    <row r="113" spans="2:46" x14ac:dyDescent="0.3">
      <c r="B113" s="8"/>
      <c r="C113" s="2"/>
      <c r="D113" s="26"/>
      <c r="E113" s="26"/>
      <c r="F113" s="27"/>
      <c r="G113" s="26"/>
      <c r="H113" s="26"/>
      <c r="I113" s="27"/>
      <c r="J113" s="26"/>
      <c r="K113" s="26"/>
      <c r="L113" s="67"/>
      <c r="N113" s="8"/>
      <c r="O113" s="2"/>
      <c r="P113" s="26"/>
      <c r="Q113" s="27"/>
      <c r="R113" s="30"/>
      <c r="S113" s="27"/>
      <c r="T113" s="30"/>
      <c r="U113" s="34"/>
      <c r="V113" s="34"/>
      <c r="X113" s="8"/>
      <c r="Y113" s="2"/>
      <c r="Z113" s="26"/>
      <c r="AA113" s="26"/>
      <c r="AB113" s="26"/>
      <c r="AC113" s="26"/>
      <c r="AD113" s="27"/>
      <c r="AE113" s="30"/>
      <c r="AF113" s="26"/>
      <c r="AG113" s="26"/>
      <c r="AH113" s="32"/>
      <c r="AJ113" s="8"/>
      <c r="AK113" s="2"/>
      <c r="AL113" s="26"/>
      <c r="AM113" s="26"/>
      <c r="AN113" s="26"/>
      <c r="AO113" s="27"/>
      <c r="AP113" s="30"/>
      <c r="AQ113" s="26"/>
      <c r="AR113" s="26"/>
      <c r="AS113" s="32"/>
      <c r="AT113" s="34"/>
    </row>
    <row r="114" spans="2:46" x14ac:dyDescent="0.3">
      <c r="B114" s="8"/>
      <c r="C114" s="2"/>
      <c r="D114" s="26"/>
      <c r="E114" s="26"/>
      <c r="F114" s="27"/>
      <c r="G114" s="26"/>
      <c r="H114" s="26"/>
      <c r="I114" s="27"/>
      <c r="J114" s="26"/>
      <c r="K114" s="26"/>
      <c r="L114" s="67"/>
      <c r="N114" s="8"/>
      <c r="O114" s="2"/>
      <c r="P114" s="26"/>
      <c r="Q114" s="27"/>
      <c r="R114" s="30"/>
      <c r="S114" s="27"/>
      <c r="T114" s="30"/>
      <c r="U114" s="34"/>
      <c r="V114" s="34"/>
      <c r="X114" s="8"/>
      <c r="Y114" s="2"/>
      <c r="Z114" s="26"/>
      <c r="AA114" s="26"/>
      <c r="AB114" s="26"/>
      <c r="AC114" s="26"/>
      <c r="AD114" s="27"/>
      <c r="AE114" s="30"/>
      <c r="AF114" s="26"/>
      <c r="AG114" s="26"/>
      <c r="AH114" s="32"/>
      <c r="AJ114" s="8"/>
      <c r="AK114" s="2"/>
      <c r="AL114" s="26"/>
      <c r="AM114" s="26"/>
      <c r="AN114" s="26"/>
      <c r="AO114" s="27"/>
      <c r="AP114" s="30"/>
      <c r="AQ114" s="26"/>
      <c r="AR114" s="26"/>
      <c r="AS114" s="32"/>
      <c r="AT114" s="34"/>
    </row>
    <row r="115" spans="2:46" x14ac:dyDescent="0.3">
      <c r="B115" s="8"/>
      <c r="C115" s="2"/>
      <c r="D115" s="26"/>
      <c r="E115" s="26"/>
      <c r="F115" s="27"/>
      <c r="G115" s="26"/>
      <c r="H115" s="26"/>
      <c r="I115" s="27"/>
      <c r="J115" s="26"/>
      <c r="K115" s="26"/>
      <c r="L115" s="67"/>
      <c r="N115" s="8"/>
      <c r="O115" s="2"/>
      <c r="P115" s="26"/>
      <c r="Q115" s="27"/>
      <c r="R115" s="30"/>
      <c r="S115" s="27"/>
      <c r="T115" s="30"/>
      <c r="U115" s="34"/>
      <c r="V115" s="34"/>
      <c r="X115" s="8"/>
      <c r="Y115" s="2"/>
      <c r="Z115" s="26"/>
      <c r="AA115" s="26"/>
      <c r="AB115" s="26"/>
      <c r="AC115" s="26"/>
      <c r="AD115" s="27"/>
      <c r="AE115" s="30"/>
      <c r="AF115" s="26"/>
      <c r="AG115" s="26"/>
      <c r="AH115" s="32"/>
      <c r="AJ115" s="8"/>
      <c r="AK115" s="2"/>
      <c r="AL115" s="26"/>
      <c r="AM115" s="26"/>
      <c r="AN115" s="26"/>
      <c r="AO115" s="27"/>
      <c r="AP115" s="30"/>
      <c r="AQ115" s="26"/>
      <c r="AR115" s="26"/>
      <c r="AS115" s="32"/>
      <c r="AT115" s="34"/>
    </row>
    <row r="116" spans="2:46" x14ac:dyDescent="0.3">
      <c r="B116" s="8"/>
      <c r="C116" s="2"/>
      <c r="D116" s="26"/>
      <c r="E116" s="26"/>
      <c r="F116" s="27"/>
      <c r="G116" s="26"/>
      <c r="H116" s="26"/>
      <c r="I116" s="27"/>
      <c r="J116" s="26"/>
      <c r="K116" s="26"/>
      <c r="L116" s="67"/>
      <c r="N116" s="8"/>
      <c r="O116" s="2"/>
      <c r="P116" s="26"/>
      <c r="Q116" s="27"/>
      <c r="R116" s="30"/>
      <c r="S116" s="27"/>
      <c r="T116" s="30"/>
      <c r="U116" s="34"/>
      <c r="V116" s="34"/>
      <c r="X116" s="8"/>
      <c r="Y116" s="2"/>
      <c r="Z116" s="26"/>
      <c r="AA116" s="26"/>
      <c r="AB116" s="26"/>
      <c r="AC116" s="26"/>
      <c r="AD116" s="27"/>
      <c r="AE116" s="30"/>
      <c r="AF116" s="26"/>
      <c r="AG116" s="26"/>
      <c r="AH116" s="32"/>
      <c r="AJ116" s="8"/>
      <c r="AK116" s="2"/>
      <c r="AL116" s="26"/>
      <c r="AM116" s="26"/>
      <c r="AN116" s="26"/>
      <c r="AO116" s="27"/>
      <c r="AP116" s="30"/>
      <c r="AQ116" s="26"/>
      <c r="AR116" s="26"/>
      <c r="AS116" s="32"/>
      <c r="AT116" s="34"/>
    </row>
    <row r="117" spans="2:46" x14ac:dyDescent="0.3">
      <c r="B117" s="8"/>
      <c r="C117" s="2"/>
      <c r="D117" s="26"/>
      <c r="E117" s="26"/>
      <c r="F117" s="27"/>
      <c r="G117" s="26"/>
      <c r="H117" s="26"/>
      <c r="I117" s="27"/>
      <c r="J117" s="26"/>
      <c r="K117" s="26"/>
      <c r="L117" s="67"/>
      <c r="N117" s="8"/>
      <c r="O117" s="2"/>
      <c r="P117" s="26"/>
      <c r="Q117" s="27"/>
      <c r="R117" s="30"/>
      <c r="S117" s="27"/>
      <c r="T117" s="30"/>
      <c r="U117" s="34"/>
      <c r="V117" s="34"/>
      <c r="X117" s="8"/>
      <c r="Y117" s="2"/>
      <c r="Z117" s="26"/>
      <c r="AA117" s="26"/>
      <c r="AB117" s="26"/>
      <c r="AC117" s="26"/>
      <c r="AD117" s="27"/>
      <c r="AE117" s="30"/>
      <c r="AF117" s="26"/>
      <c r="AG117" s="26"/>
      <c r="AH117" s="32"/>
      <c r="AJ117" s="8"/>
      <c r="AK117" s="2"/>
      <c r="AL117" s="26"/>
      <c r="AM117" s="26"/>
      <c r="AN117" s="26"/>
      <c r="AO117" s="27"/>
      <c r="AP117" s="30"/>
      <c r="AQ117" s="26"/>
      <c r="AR117" s="26"/>
      <c r="AS117" s="32"/>
      <c r="AT117" s="34"/>
    </row>
    <row r="118" spans="2:46" x14ac:dyDescent="0.3">
      <c r="B118" s="8"/>
      <c r="C118" s="2"/>
      <c r="D118" s="26"/>
      <c r="E118" s="26"/>
      <c r="F118" s="27"/>
      <c r="G118" s="26"/>
      <c r="H118" s="26"/>
      <c r="I118" s="27"/>
      <c r="J118" s="26"/>
      <c r="K118" s="26"/>
      <c r="L118" s="67"/>
      <c r="N118" s="8"/>
      <c r="O118" s="2"/>
      <c r="P118" s="26"/>
      <c r="Q118" s="27"/>
      <c r="R118" s="30"/>
      <c r="S118" s="27"/>
      <c r="T118" s="30"/>
      <c r="U118" s="34"/>
      <c r="V118" s="34"/>
      <c r="X118" s="8"/>
      <c r="Y118" s="2"/>
      <c r="Z118" s="26"/>
      <c r="AA118" s="26"/>
      <c r="AB118" s="26"/>
      <c r="AC118" s="26"/>
      <c r="AD118" s="27"/>
      <c r="AE118" s="30"/>
      <c r="AF118" s="26"/>
      <c r="AG118" s="26"/>
      <c r="AH118" s="32"/>
      <c r="AJ118" s="8"/>
      <c r="AK118" s="2"/>
      <c r="AL118" s="26"/>
      <c r="AM118" s="26"/>
      <c r="AN118" s="26"/>
      <c r="AO118" s="27"/>
      <c r="AP118" s="30"/>
      <c r="AQ118" s="26"/>
      <c r="AR118" s="26"/>
      <c r="AS118" s="32"/>
      <c r="AT118" s="34"/>
    </row>
    <row r="119" spans="2:46" x14ac:dyDescent="0.3">
      <c r="B119" s="8"/>
      <c r="C119" s="2"/>
      <c r="D119" s="26"/>
      <c r="E119" s="26"/>
      <c r="F119" s="27"/>
      <c r="G119" s="26"/>
      <c r="H119" s="26"/>
      <c r="I119" s="27"/>
      <c r="J119" s="26"/>
      <c r="K119" s="26"/>
      <c r="L119" s="67"/>
      <c r="N119" s="8"/>
      <c r="O119" s="2"/>
      <c r="P119" s="26"/>
      <c r="Q119" s="27"/>
      <c r="R119" s="30"/>
      <c r="S119" s="27"/>
      <c r="T119" s="30"/>
      <c r="U119" s="34"/>
      <c r="V119" s="34"/>
      <c r="X119" s="8"/>
      <c r="Y119" s="2"/>
      <c r="Z119" s="26"/>
      <c r="AA119" s="26"/>
      <c r="AB119" s="26"/>
      <c r="AC119" s="26"/>
      <c r="AD119" s="27"/>
      <c r="AE119" s="30"/>
      <c r="AF119" s="26"/>
      <c r="AG119" s="26"/>
      <c r="AH119" s="32"/>
      <c r="AJ119" s="8"/>
      <c r="AK119" s="2"/>
      <c r="AL119" s="26"/>
      <c r="AM119" s="26"/>
      <c r="AN119" s="26"/>
      <c r="AO119" s="27"/>
      <c r="AP119" s="30"/>
      <c r="AQ119" s="26"/>
      <c r="AR119" s="26"/>
      <c r="AS119" s="32"/>
      <c r="AT119" s="34"/>
    </row>
    <row r="120" spans="2:46" x14ac:dyDescent="0.3">
      <c r="B120" s="8"/>
      <c r="C120" s="2"/>
      <c r="D120" s="26"/>
      <c r="E120" s="26"/>
      <c r="F120" s="27"/>
      <c r="G120" s="26"/>
      <c r="H120" s="26"/>
      <c r="I120" s="27"/>
      <c r="J120" s="26"/>
      <c r="K120" s="26"/>
      <c r="L120" s="67"/>
      <c r="N120" s="8"/>
      <c r="O120" s="2"/>
      <c r="P120" s="26"/>
      <c r="Q120" s="27"/>
      <c r="R120" s="30"/>
      <c r="S120" s="27"/>
      <c r="T120" s="30"/>
      <c r="U120" s="34"/>
      <c r="V120" s="34"/>
      <c r="X120" s="8"/>
      <c r="Y120" s="2"/>
      <c r="Z120" s="26"/>
      <c r="AA120" s="26"/>
      <c r="AB120" s="26"/>
      <c r="AC120" s="26"/>
      <c r="AD120" s="27"/>
      <c r="AE120" s="30"/>
      <c r="AF120" s="26"/>
      <c r="AG120" s="26"/>
      <c r="AH120" s="32"/>
      <c r="AJ120" s="8"/>
      <c r="AK120" s="2"/>
      <c r="AL120" s="26"/>
      <c r="AM120" s="26"/>
      <c r="AN120" s="26"/>
      <c r="AO120" s="27"/>
      <c r="AP120" s="30"/>
      <c r="AQ120" s="26"/>
      <c r="AR120" s="26"/>
      <c r="AS120" s="32"/>
      <c r="AT120" s="34"/>
    </row>
    <row r="121" spans="2:46" x14ac:dyDescent="0.3">
      <c r="B121" s="8"/>
      <c r="C121" s="2"/>
      <c r="D121" s="26"/>
      <c r="E121" s="26"/>
      <c r="F121" s="27"/>
      <c r="G121" s="26"/>
      <c r="H121" s="26"/>
      <c r="I121" s="27"/>
      <c r="J121" s="26"/>
      <c r="K121" s="26"/>
      <c r="L121" s="67"/>
      <c r="N121" s="8"/>
      <c r="O121" s="2"/>
      <c r="P121" s="26"/>
      <c r="Q121" s="27"/>
      <c r="R121" s="30"/>
      <c r="S121" s="27"/>
      <c r="T121" s="30"/>
      <c r="U121" s="34"/>
      <c r="V121" s="34"/>
      <c r="X121" s="8"/>
      <c r="Y121" s="2"/>
      <c r="Z121" s="26"/>
      <c r="AA121" s="26"/>
      <c r="AB121" s="26"/>
      <c r="AC121" s="26"/>
      <c r="AD121" s="27"/>
      <c r="AE121" s="30"/>
      <c r="AF121" s="26"/>
      <c r="AG121" s="26"/>
      <c r="AH121" s="32"/>
      <c r="AJ121" s="8"/>
      <c r="AK121" s="2"/>
      <c r="AL121" s="26"/>
      <c r="AM121" s="26"/>
      <c r="AN121" s="26"/>
      <c r="AO121" s="27"/>
      <c r="AP121" s="30"/>
      <c r="AQ121" s="26"/>
      <c r="AR121" s="26"/>
      <c r="AS121" s="32"/>
      <c r="AT121" s="34"/>
    </row>
    <row r="122" spans="2:46" x14ac:dyDescent="0.3">
      <c r="B122" s="8"/>
      <c r="C122" s="2"/>
      <c r="D122" s="26"/>
      <c r="E122" s="26"/>
      <c r="F122" s="27"/>
      <c r="G122" s="26"/>
      <c r="H122" s="26"/>
      <c r="I122" s="27"/>
      <c r="J122" s="26"/>
      <c r="K122" s="26"/>
      <c r="L122" s="67"/>
      <c r="N122" s="8"/>
      <c r="O122" s="2"/>
      <c r="P122" s="26"/>
      <c r="Q122" s="27"/>
      <c r="R122" s="30"/>
      <c r="S122" s="27"/>
      <c r="T122" s="30"/>
      <c r="U122" s="34"/>
      <c r="V122" s="34"/>
      <c r="X122" s="8"/>
      <c r="Y122" s="2"/>
      <c r="Z122" s="26"/>
      <c r="AA122" s="26"/>
      <c r="AB122" s="26"/>
      <c r="AC122" s="26"/>
      <c r="AD122" s="27"/>
      <c r="AE122" s="30"/>
      <c r="AF122" s="26"/>
      <c r="AG122" s="26"/>
      <c r="AH122" s="32"/>
      <c r="AJ122" s="8"/>
      <c r="AK122" s="2"/>
      <c r="AL122" s="26"/>
      <c r="AM122" s="26"/>
      <c r="AN122" s="26"/>
      <c r="AO122" s="27"/>
      <c r="AP122" s="30"/>
      <c r="AQ122" s="26"/>
      <c r="AR122" s="26"/>
      <c r="AS122" s="32"/>
      <c r="AT122" s="34"/>
    </row>
    <row r="123" spans="2:46" x14ac:dyDescent="0.3">
      <c r="B123" s="8"/>
      <c r="C123" s="2"/>
      <c r="D123" s="26"/>
      <c r="E123" s="26"/>
      <c r="F123" s="27"/>
      <c r="G123" s="26"/>
      <c r="H123" s="26"/>
      <c r="I123" s="27"/>
      <c r="J123" s="26"/>
      <c r="K123" s="26"/>
      <c r="L123" s="67"/>
      <c r="N123" s="8"/>
      <c r="O123" s="2"/>
      <c r="P123" s="26"/>
      <c r="Q123" s="27"/>
      <c r="R123" s="30"/>
      <c r="S123" s="27"/>
      <c r="T123" s="30"/>
      <c r="U123" s="34"/>
      <c r="V123" s="34"/>
      <c r="X123" s="8"/>
      <c r="Y123" s="2"/>
      <c r="Z123" s="26"/>
      <c r="AA123" s="26"/>
      <c r="AB123" s="26"/>
      <c r="AC123" s="26"/>
      <c r="AD123" s="27"/>
      <c r="AE123" s="30"/>
      <c r="AF123" s="26"/>
      <c r="AG123" s="26"/>
      <c r="AH123" s="32"/>
      <c r="AJ123" s="8"/>
      <c r="AK123" s="2"/>
      <c r="AL123" s="26"/>
      <c r="AM123" s="26"/>
      <c r="AN123" s="26"/>
      <c r="AO123" s="27"/>
      <c r="AP123" s="30"/>
      <c r="AQ123" s="26"/>
      <c r="AR123" s="26"/>
      <c r="AS123" s="32"/>
      <c r="AT123" s="34"/>
    </row>
    <row r="124" spans="2:46" x14ac:dyDescent="0.3">
      <c r="B124" s="8"/>
      <c r="C124" s="2"/>
      <c r="D124" s="26"/>
      <c r="E124" s="26"/>
      <c r="F124" s="27"/>
      <c r="G124" s="26"/>
      <c r="H124" s="26"/>
      <c r="I124" s="27"/>
      <c r="J124" s="26"/>
      <c r="K124" s="26"/>
      <c r="L124" s="67"/>
      <c r="N124" s="8"/>
      <c r="O124" s="2"/>
      <c r="P124" s="26"/>
      <c r="Q124" s="27"/>
      <c r="R124" s="30"/>
      <c r="S124" s="27"/>
      <c r="T124" s="30"/>
      <c r="U124" s="34"/>
      <c r="V124" s="34"/>
      <c r="X124" s="8"/>
      <c r="Y124" s="2"/>
      <c r="Z124" s="26"/>
      <c r="AA124" s="26"/>
      <c r="AB124" s="26"/>
      <c r="AC124" s="26"/>
      <c r="AD124" s="27"/>
      <c r="AE124" s="30"/>
      <c r="AF124" s="26"/>
      <c r="AG124" s="26"/>
      <c r="AH124" s="32"/>
      <c r="AJ124" s="8"/>
      <c r="AK124" s="2"/>
      <c r="AL124" s="26"/>
      <c r="AM124" s="26"/>
      <c r="AN124" s="26"/>
      <c r="AO124" s="27"/>
      <c r="AP124" s="30"/>
      <c r="AQ124" s="26"/>
      <c r="AR124" s="26"/>
      <c r="AS124" s="32"/>
      <c r="AT124" s="34"/>
    </row>
    <row r="125" spans="2:46" x14ac:dyDescent="0.3">
      <c r="B125" s="8"/>
      <c r="C125" s="2"/>
      <c r="D125" s="26"/>
      <c r="E125" s="26"/>
      <c r="F125" s="27"/>
      <c r="G125" s="26"/>
      <c r="H125" s="26"/>
      <c r="I125" s="27"/>
      <c r="J125" s="26"/>
      <c r="K125" s="26"/>
      <c r="L125" s="67"/>
      <c r="N125" s="8"/>
      <c r="O125" s="2"/>
      <c r="P125" s="26"/>
      <c r="Q125" s="27"/>
      <c r="R125" s="30"/>
      <c r="S125" s="27"/>
      <c r="T125" s="30"/>
      <c r="U125" s="34"/>
      <c r="V125" s="34"/>
      <c r="X125" s="8"/>
      <c r="Y125" s="2"/>
      <c r="Z125" s="26"/>
      <c r="AA125" s="26"/>
      <c r="AB125" s="26"/>
      <c r="AC125" s="26"/>
      <c r="AD125" s="27"/>
      <c r="AE125" s="30"/>
      <c r="AF125" s="26"/>
      <c r="AG125" s="26"/>
      <c r="AH125" s="32"/>
      <c r="AJ125" s="8"/>
      <c r="AK125" s="2"/>
      <c r="AL125" s="26"/>
      <c r="AM125" s="26"/>
      <c r="AN125" s="26"/>
      <c r="AO125" s="27"/>
      <c r="AP125" s="30"/>
      <c r="AQ125" s="26"/>
      <c r="AR125" s="26"/>
      <c r="AS125" s="32"/>
      <c r="AT125" s="34"/>
    </row>
    <row r="126" spans="2:46" x14ac:dyDescent="0.3">
      <c r="B126" s="8"/>
      <c r="C126" s="2"/>
      <c r="D126" s="26"/>
      <c r="E126" s="26"/>
      <c r="F126" s="27"/>
      <c r="G126" s="26"/>
      <c r="H126" s="26"/>
      <c r="I126" s="27"/>
      <c r="J126" s="26"/>
      <c r="K126" s="26"/>
      <c r="L126" s="67"/>
      <c r="N126" s="8"/>
      <c r="O126" s="2"/>
      <c r="P126" s="26"/>
      <c r="Q126" s="27"/>
      <c r="R126" s="30"/>
      <c r="S126" s="27"/>
      <c r="T126" s="30"/>
      <c r="U126" s="34"/>
      <c r="V126" s="34"/>
      <c r="X126" s="8"/>
      <c r="Y126" s="2"/>
      <c r="Z126" s="26"/>
      <c r="AA126" s="26"/>
      <c r="AB126" s="26"/>
      <c r="AC126" s="26"/>
      <c r="AD126" s="27"/>
      <c r="AE126" s="30"/>
      <c r="AF126" s="26"/>
      <c r="AG126" s="26"/>
      <c r="AH126" s="32"/>
      <c r="AJ126" s="8"/>
      <c r="AK126" s="2"/>
      <c r="AL126" s="26"/>
      <c r="AM126" s="26"/>
      <c r="AN126" s="26"/>
      <c r="AO126" s="27"/>
      <c r="AP126" s="30"/>
      <c r="AQ126" s="26"/>
      <c r="AR126" s="26"/>
      <c r="AS126" s="32"/>
      <c r="AT126" s="34"/>
    </row>
    <row r="127" spans="2:46" x14ac:dyDescent="0.3">
      <c r="B127" s="8"/>
      <c r="C127" s="2"/>
      <c r="D127" s="26"/>
      <c r="E127" s="26"/>
      <c r="F127" s="27"/>
      <c r="G127" s="26"/>
      <c r="H127" s="26"/>
      <c r="I127" s="27"/>
      <c r="J127" s="26"/>
      <c r="K127" s="26"/>
      <c r="L127" s="67"/>
      <c r="N127" s="8"/>
      <c r="O127" s="2"/>
      <c r="P127" s="26"/>
      <c r="Q127" s="27"/>
      <c r="R127" s="30"/>
      <c r="S127" s="27"/>
      <c r="T127" s="30"/>
      <c r="U127" s="34"/>
      <c r="V127" s="34"/>
      <c r="X127" s="8"/>
      <c r="Y127" s="2"/>
      <c r="Z127" s="26"/>
      <c r="AA127" s="26"/>
      <c r="AB127" s="26"/>
      <c r="AC127" s="26"/>
      <c r="AD127" s="27"/>
      <c r="AE127" s="30"/>
      <c r="AF127" s="26"/>
      <c r="AG127" s="26"/>
      <c r="AH127" s="32"/>
      <c r="AJ127" s="8"/>
      <c r="AK127" s="2"/>
      <c r="AL127" s="26"/>
      <c r="AM127" s="26"/>
      <c r="AN127" s="26"/>
      <c r="AO127" s="27"/>
      <c r="AP127" s="30"/>
      <c r="AQ127" s="26"/>
      <c r="AR127" s="26"/>
      <c r="AS127" s="32"/>
      <c r="AT127" s="34"/>
    </row>
    <row r="128" spans="2:46" x14ac:dyDescent="0.3">
      <c r="B128" s="8"/>
      <c r="C128" s="2"/>
      <c r="D128" s="26"/>
      <c r="E128" s="26"/>
      <c r="F128" s="27"/>
      <c r="G128" s="26"/>
      <c r="H128" s="26"/>
      <c r="I128" s="27"/>
      <c r="J128" s="26"/>
      <c r="K128" s="26"/>
      <c r="L128" s="67"/>
      <c r="N128" s="8"/>
      <c r="O128" s="2"/>
      <c r="P128" s="26"/>
      <c r="Q128" s="27"/>
      <c r="R128" s="30"/>
      <c r="S128" s="27"/>
      <c r="T128" s="30"/>
      <c r="U128" s="34"/>
      <c r="V128" s="34"/>
      <c r="X128" s="8"/>
      <c r="Y128" s="2"/>
      <c r="Z128" s="26"/>
      <c r="AA128" s="26"/>
      <c r="AB128" s="26"/>
      <c r="AC128" s="26"/>
      <c r="AD128" s="27"/>
      <c r="AE128" s="30"/>
      <c r="AF128" s="26"/>
      <c r="AG128" s="26"/>
      <c r="AH128" s="32"/>
      <c r="AJ128" s="8"/>
      <c r="AK128" s="2"/>
      <c r="AL128" s="26"/>
      <c r="AM128" s="26"/>
      <c r="AN128" s="26"/>
      <c r="AO128" s="27"/>
      <c r="AP128" s="30"/>
      <c r="AQ128" s="26"/>
      <c r="AR128" s="26"/>
      <c r="AS128" s="32"/>
      <c r="AT128" s="34"/>
    </row>
    <row r="129" spans="2:46" x14ac:dyDescent="0.3">
      <c r="B129" s="8"/>
      <c r="C129" s="2"/>
      <c r="D129" s="26"/>
      <c r="E129" s="26"/>
      <c r="F129" s="27"/>
      <c r="G129" s="26"/>
      <c r="H129" s="26"/>
      <c r="I129" s="27"/>
      <c r="J129" s="26"/>
      <c r="K129" s="26"/>
      <c r="L129" s="67"/>
      <c r="N129" s="8"/>
      <c r="O129" s="2"/>
      <c r="P129" s="26"/>
      <c r="Q129" s="27"/>
      <c r="R129" s="30"/>
      <c r="S129" s="27"/>
      <c r="T129" s="30"/>
      <c r="U129" s="34"/>
      <c r="V129" s="34"/>
      <c r="X129" s="8"/>
      <c r="Y129" s="2"/>
      <c r="Z129" s="26"/>
      <c r="AA129" s="26"/>
      <c r="AB129" s="26"/>
      <c r="AC129" s="26"/>
      <c r="AD129" s="27"/>
      <c r="AE129" s="30"/>
      <c r="AF129" s="26"/>
      <c r="AG129" s="26"/>
      <c r="AH129" s="32"/>
      <c r="AJ129" s="8"/>
      <c r="AK129" s="2"/>
      <c r="AL129" s="26"/>
      <c r="AM129" s="26"/>
      <c r="AN129" s="26"/>
      <c r="AO129" s="27"/>
      <c r="AP129" s="30"/>
      <c r="AQ129" s="26"/>
      <c r="AR129" s="26"/>
      <c r="AS129" s="32"/>
      <c r="AT129" s="34"/>
    </row>
    <row r="130" spans="2:46" x14ac:dyDescent="0.3">
      <c r="B130" s="8"/>
      <c r="C130" s="2"/>
      <c r="D130" s="26"/>
      <c r="E130" s="26"/>
      <c r="F130" s="27"/>
      <c r="G130" s="26"/>
      <c r="H130" s="26"/>
      <c r="I130" s="27"/>
      <c r="J130" s="26"/>
      <c r="K130" s="26"/>
      <c r="L130" s="67"/>
      <c r="N130" s="8"/>
      <c r="O130" s="2"/>
      <c r="P130" s="26"/>
      <c r="Q130" s="27"/>
      <c r="R130" s="30"/>
      <c r="S130" s="27"/>
      <c r="T130" s="30"/>
      <c r="U130" s="34"/>
      <c r="V130" s="34"/>
      <c r="X130" s="8"/>
      <c r="Y130" s="2"/>
      <c r="Z130" s="26"/>
      <c r="AA130" s="26"/>
      <c r="AB130" s="26"/>
      <c r="AC130" s="26"/>
      <c r="AD130" s="27"/>
      <c r="AE130" s="30"/>
      <c r="AF130" s="26"/>
      <c r="AG130" s="26"/>
      <c r="AH130" s="32"/>
      <c r="AJ130" s="8"/>
      <c r="AK130" s="2"/>
      <c r="AL130" s="26"/>
      <c r="AM130" s="26"/>
      <c r="AN130" s="26"/>
      <c r="AO130" s="27"/>
      <c r="AP130" s="30"/>
      <c r="AQ130" s="26"/>
      <c r="AR130" s="26"/>
      <c r="AS130" s="32"/>
      <c r="AT130" s="34"/>
    </row>
    <row r="131" spans="2:46" x14ac:dyDescent="0.3">
      <c r="B131" s="8"/>
      <c r="C131" s="2"/>
      <c r="D131" s="26"/>
      <c r="E131" s="26"/>
      <c r="F131" s="27"/>
      <c r="G131" s="26"/>
      <c r="H131" s="26"/>
      <c r="I131" s="27"/>
      <c r="J131" s="26"/>
      <c r="K131" s="26"/>
      <c r="L131" s="67"/>
      <c r="N131" s="8"/>
      <c r="O131" s="2"/>
      <c r="P131" s="26"/>
      <c r="Q131" s="27"/>
      <c r="R131" s="30"/>
      <c r="S131" s="27"/>
      <c r="T131" s="30"/>
      <c r="U131" s="34"/>
      <c r="V131" s="34"/>
      <c r="X131" s="8"/>
      <c r="Y131" s="2"/>
      <c r="Z131" s="26"/>
      <c r="AA131" s="26"/>
      <c r="AB131" s="26"/>
      <c r="AC131" s="26"/>
      <c r="AD131" s="27"/>
      <c r="AE131" s="30"/>
      <c r="AF131" s="26"/>
      <c r="AG131" s="26"/>
      <c r="AH131" s="32"/>
      <c r="AJ131" s="8"/>
      <c r="AK131" s="2"/>
      <c r="AL131" s="26"/>
      <c r="AM131" s="26"/>
      <c r="AN131" s="26"/>
      <c r="AO131" s="27"/>
      <c r="AP131" s="30"/>
      <c r="AQ131" s="26"/>
      <c r="AR131" s="26"/>
      <c r="AS131" s="32"/>
      <c r="AT131" s="34"/>
    </row>
    <row r="132" spans="2:46" x14ac:dyDescent="0.3">
      <c r="B132" s="8"/>
      <c r="C132" s="2"/>
      <c r="D132" s="26"/>
      <c r="E132" s="26"/>
      <c r="F132" s="27"/>
      <c r="G132" s="26"/>
      <c r="H132" s="26"/>
      <c r="I132" s="27"/>
      <c r="J132" s="26"/>
      <c r="K132" s="26"/>
      <c r="L132" s="67"/>
      <c r="N132" s="8"/>
      <c r="O132" s="2"/>
      <c r="P132" s="26"/>
      <c r="Q132" s="27"/>
      <c r="R132" s="30"/>
      <c r="S132" s="27"/>
      <c r="T132" s="30"/>
      <c r="U132" s="34"/>
      <c r="V132" s="34"/>
      <c r="X132" s="8"/>
      <c r="Y132" s="2"/>
      <c r="Z132" s="26"/>
      <c r="AA132" s="26"/>
      <c r="AB132" s="26"/>
      <c r="AC132" s="26"/>
      <c r="AD132" s="27"/>
      <c r="AE132" s="30"/>
      <c r="AF132" s="26"/>
      <c r="AG132" s="26"/>
      <c r="AH132" s="32"/>
      <c r="AJ132" s="8"/>
      <c r="AK132" s="2"/>
      <c r="AL132" s="26"/>
      <c r="AM132" s="26"/>
      <c r="AN132" s="26"/>
      <c r="AO132" s="27"/>
      <c r="AP132" s="30"/>
      <c r="AQ132" s="26"/>
      <c r="AR132" s="26"/>
      <c r="AS132" s="32"/>
      <c r="AT132" s="34"/>
    </row>
    <row r="133" spans="2:46" x14ac:dyDescent="0.3">
      <c r="B133" s="8"/>
      <c r="C133" s="2"/>
      <c r="D133" s="26"/>
      <c r="E133" s="26"/>
      <c r="F133" s="27"/>
      <c r="G133" s="26"/>
      <c r="H133" s="26"/>
      <c r="I133" s="27"/>
      <c r="J133" s="26"/>
      <c r="K133" s="26"/>
      <c r="L133" s="67"/>
      <c r="N133" s="8"/>
      <c r="O133" s="2"/>
      <c r="P133" s="26"/>
      <c r="Q133" s="27"/>
      <c r="R133" s="30"/>
      <c r="S133" s="27"/>
      <c r="T133" s="30"/>
      <c r="U133" s="34"/>
      <c r="V133" s="34"/>
      <c r="X133" s="8"/>
      <c r="Y133" s="2"/>
      <c r="Z133" s="26"/>
      <c r="AA133" s="26"/>
      <c r="AB133" s="26"/>
      <c r="AC133" s="26"/>
      <c r="AD133" s="27"/>
      <c r="AE133" s="30"/>
      <c r="AF133" s="26"/>
      <c r="AG133" s="26"/>
      <c r="AH133" s="32"/>
      <c r="AJ133" s="8"/>
      <c r="AK133" s="2"/>
      <c r="AL133" s="26"/>
      <c r="AM133" s="26"/>
      <c r="AN133" s="26"/>
      <c r="AO133" s="27"/>
      <c r="AP133" s="30"/>
      <c r="AQ133" s="26"/>
      <c r="AR133" s="26"/>
      <c r="AS133" s="32"/>
      <c r="AT133" s="34"/>
    </row>
    <row r="134" spans="2:46" x14ac:dyDescent="0.3">
      <c r="B134" s="8"/>
      <c r="C134" s="2"/>
      <c r="D134" s="26"/>
      <c r="E134" s="26"/>
      <c r="F134" s="27"/>
      <c r="G134" s="26"/>
      <c r="H134" s="26"/>
      <c r="I134" s="27"/>
      <c r="J134" s="26"/>
      <c r="K134" s="26"/>
      <c r="L134" s="67"/>
      <c r="N134" s="8"/>
      <c r="O134" s="2"/>
      <c r="P134" s="26"/>
      <c r="Q134" s="27"/>
      <c r="R134" s="30"/>
      <c r="S134" s="27"/>
      <c r="T134" s="30"/>
      <c r="U134" s="34"/>
      <c r="V134" s="34"/>
      <c r="X134" s="8"/>
      <c r="Y134" s="2"/>
      <c r="Z134" s="26"/>
      <c r="AA134" s="26"/>
      <c r="AB134" s="26"/>
      <c r="AC134" s="26"/>
      <c r="AD134" s="27"/>
      <c r="AE134" s="30"/>
      <c r="AF134" s="26"/>
      <c r="AG134" s="26"/>
      <c r="AH134" s="32"/>
      <c r="AJ134" s="8"/>
      <c r="AK134" s="2"/>
      <c r="AL134" s="26"/>
      <c r="AM134" s="26"/>
      <c r="AN134" s="26"/>
      <c r="AO134" s="27"/>
      <c r="AP134" s="30"/>
      <c r="AQ134" s="26"/>
      <c r="AR134" s="26"/>
      <c r="AS134" s="32"/>
      <c r="AT134" s="34"/>
    </row>
    <row r="135" spans="2:46" x14ac:dyDescent="0.3">
      <c r="B135" s="8"/>
      <c r="C135" s="2"/>
      <c r="D135" s="26"/>
      <c r="E135" s="26"/>
      <c r="F135" s="27"/>
      <c r="G135" s="26"/>
      <c r="H135" s="26"/>
      <c r="I135" s="27"/>
      <c r="J135" s="26"/>
      <c r="K135" s="26"/>
      <c r="L135" s="67"/>
      <c r="N135" s="8"/>
      <c r="O135" s="2"/>
      <c r="P135" s="26"/>
      <c r="Q135" s="27"/>
      <c r="R135" s="30"/>
      <c r="S135" s="27"/>
      <c r="T135" s="30"/>
      <c r="U135" s="34"/>
      <c r="V135" s="34"/>
      <c r="X135" s="8"/>
      <c r="Y135" s="2"/>
      <c r="Z135" s="26"/>
      <c r="AA135" s="26"/>
      <c r="AB135" s="26"/>
      <c r="AC135" s="26"/>
      <c r="AD135" s="27"/>
      <c r="AE135" s="30"/>
      <c r="AF135" s="26"/>
      <c r="AG135" s="26"/>
      <c r="AH135" s="32"/>
      <c r="AJ135" s="8"/>
      <c r="AK135" s="2"/>
      <c r="AL135" s="26"/>
      <c r="AM135" s="26"/>
      <c r="AN135" s="26"/>
      <c r="AO135" s="27"/>
      <c r="AP135" s="30"/>
      <c r="AQ135" s="26"/>
      <c r="AR135" s="26"/>
      <c r="AS135" s="32"/>
      <c r="AT135" s="34"/>
    </row>
    <row r="136" spans="2:46" x14ac:dyDescent="0.3">
      <c r="B136" s="8"/>
      <c r="C136" s="2"/>
      <c r="D136" s="26"/>
      <c r="E136" s="26"/>
      <c r="F136" s="27"/>
      <c r="G136" s="26"/>
      <c r="H136" s="26"/>
      <c r="I136" s="27"/>
      <c r="J136" s="26"/>
      <c r="K136" s="26"/>
      <c r="L136" s="67"/>
      <c r="N136" s="8"/>
      <c r="O136" s="2"/>
      <c r="P136" s="26"/>
      <c r="Q136" s="27"/>
      <c r="R136" s="30"/>
      <c r="S136" s="27"/>
      <c r="T136" s="30"/>
      <c r="U136" s="34"/>
      <c r="V136" s="34"/>
      <c r="X136" s="8"/>
      <c r="Y136" s="2"/>
      <c r="Z136" s="26"/>
      <c r="AA136" s="26"/>
      <c r="AB136" s="26"/>
      <c r="AC136" s="26"/>
      <c r="AD136" s="27"/>
      <c r="AE136" s="30"/>
      <c r="AF136" s="26"/>
      <c r="AG136" s="26"/>
      <c r="AH136" s="32"/>
      <c r="AJ136" s="8"/>
      <c r="AK136" s="2"/>
      <c r="AL136" s="26"/>
      <c r="AM136" s="26"/>
      <c r="AN136" s="26"/>
      <c r="AO136" s="27"/>
      <c r="AP136" s="30"/>
      <c r="AQ136" s="26"/>
      <c r="AR136" s="26"/>
      <c r="AS136" s="32"/>
      <c r="AT136" s="34"/>
    </row>
    <row r="137" spans="2:46" x14ac:dyDescent="0.3">
      <c r="B137" s="8"/>
      <c r="C137" s="2"/>
      <c r="D137" s="26"/>
      <c r="E137" s="26"/>
      <c r="F137" s="27"/>
      <c r="G137" s="26"/>
      <c r="H137" s="26"/>
      <c r="I137" s="27"/>
      <c r="J137" s="26"/>
      <c r="K137" s="26"/>
      <c r="L137" s="67"/>
      <c r="N137" s="8"/>
      <c r="O137" s="2"/>
      <c r="P137" s="26"/>
      <c r="Q137" s="27"/>
      <c r="R137" s="30"/>
      <c r="S137" s="27"/>
      <c r="T137" s="30"/>
      <c r="U137" s="34"/>
      <c r="V137" s="34"/>
      <c r="X137" s="8"/>
      <c r="Y137" s="2"/>
      <c r="Z137" s="26"/>
      <c r="AA137" s="26"/>
      <c r="AB137" s="26"/>
      <c r="AC137" s="26"/>
      <c r="AD137" s="27"/>
      <c r="AE137" s="30"/>
      <c r="AF137" s="26"/>
      <c r="AG137" s="26"/>
      <c r="AH137" s="32"/>
      <c r="AJ137" s="8"/>
      <c r="AK137" s="2"/>
      <c r="AL137" s="26"/>
      <c r="AM137" s="26"/>
      <c r="AN137" s="26"/>
      <c r="AO137" s="27"/>
      <c r="AP137" s="30"/>
      <c r="AQ137" s="26"/>
      <c r="AR137" s="26"/>
      <c r="AS137" s="32"/>
      <c r="AT137" s="34"/>
    </row>
    <row r="138" spans="2:46" x14ac:dyDescent="0.3">
      <c r="B138" s="8"/>
      <c r="C138" s="2"/>
      <c r="D138" s="26"/>
      <c r="E138" s="26"/>
      <c r="F138" s="27"/>
      <c r="G138" s="26"/>
      <c r="H138" s="26"/>
      <c r="I138" s="27"/>
      <c r="J138" s="26"/>
      <c r="K138" s="26"/>
      <c r="L138" s="67"/>
      <c r="N138" s="8"/>
      <c r="O138" s="2"/>
      <c r="P138" s="26"/>
      <c r="Q138" s="27"/>
      <c r="R138" s="30"/>
      <c r="S138" s="27"/>
      <c r="T138" s="30"/>
      <c r="U138" s="34"/>
      <c r="V138" s="34"/>
      <c r="X138" s="8"/>
      <c r="Y138" s="2"/>
      <c r="Z138" s="26"/>
      <c r="AA138" s="26"/>
      <c r="AB138" s="26"/>
      <c r="AC138" s="26"/>
      <c r="AD138" s="27"/>
      <c r="AE138" s="30"/>
      <c r="AF138" s="26"/>
      <c r="AG138" s="26"/>
      <c r="AH138" s="32"/>
      <c r="AJ138" s="8"/>
      <c r="AK138" s="2"/>
      <c r="AL138" s="26"/>
      <c r="AM138" s="26"/>
      <c r="AN138" s="26"/>
      <c r="AO138" s="27"/>
      <c r="AP138" s="30"/>
      <c r="AQ138" s="26"/>
      <c r="AR138" s="26"/>
      <c r="AS138" s="32"/>
      <c r="AT138" s="34"/>
    </row>
    <row r="139" spans="2:46" x14ac:dyDescent="0.3">
      <c r="B139" s="8"/>
      <c r="C139" s="2"/>
      <c r="D139" s="26"/>
      <c r="E139" s="26"/>
      <c r="F139" s="27"/>
      <c r="G139" s="26"/>
      <c r="H139" s="26"/>
      <c r="I139" s="27"/>
      <c r="J139" s="26"/>
      <c r="K139" s="26"/>
      <c r="L139" s="67"/>
      <c r="N139" s="8"/>
      <c r="O139" s="2"/>
      <c r="P139" s="26"/>
      <c r="Q139" s="27"/>
      <c r="R139" s="30"/>
      <c r="S139" s="27"/>
      <c r="T139" s="30"/>
      <c r="U139" s="34"/>
      <c r="V139" s="34"/>
      <c r="X139" s="8"/>
      <c r="Y139" s="2"/>
      <c r="Z139" s="26"/>
      <c r="AA139" s="26"/>
      <c r="AB139" s="26"/>
      <c r="AC139" s="26"/>
      <c r="AD139" s="27"/>
      <c r="AE139" s="30"/>
      <c r="AF139" s="26"/>
      <c r="AG139" s="26"/>
      <c r="AH139" s="32"/>
      <c r="AJ139" s="8"/>
      <c r="AK139" s="2"/>
      <c r="AL139" s="26"/>
      <c r="AM139" s="26"/>
      <c r="AN139" s="26"/>
      <c r="AO139" s="27"/>
      <c r="AP139" s="30"/>
      <c r="AQ139" s="26"/>
      <c r="AR139" s="26"/>
      <c r="AS139" s="32"/>
      <c r="AT139" s="34"/>
    </row>
    <row r="140" spans="2:46" x14ac:dyDescent="0.3">
      <c r="B140" s="8"/>
      <c r="C140" s="2"/>
      <c r="D140" s="26"/>
      <c r="E140" s="26"/>
      <c r="F140" s="27"/>
      <c r="G140" s="26"/>
      <c r="H140" s="26"/>
      <c r="I140" s="27"/>
      <c r="J140" s="26"/>
      <c r="K140" s="26"/>
      <c r="L140" s="67"/>
      <c r="N140" s="8"/>
      <c r="O140" s="2"/>
      <c r="P140" s="26"/>
      <c r="Q140" s="27"/>
      <c r="R140" s="30"/>
      <c r="S140" s="27"/>
      <c r="T140" s="30"/>
      <c r="U140" s="34"/>
      <c r="V140" s="34"/>
      <c r="X140" s="8"/>
      <c r="Y140" s="2"/>
      <c r="Z140" s="26"/>
      <c r="AA140" s="26"/>
      <c r="AB140" s="26"/>
      <c r="AC140" s="26"/>
      <c r="AD140" s="27"/>
      <c r="AE140" s="30"/>
      <c r="AF140" s="26"/>
      <c r="AG140" s="26"/>
      <c r="AH140" s="32"/>
      <c r="AJ140" s="8"/>
      <c r="AK140" s="2"/>
      <c r="AL140" s="26"/>
      <c r="AM140" s="26"/>
      <c r="AN140" s="26"/>
      <c r="AO140" s="27"/>
      <c r="AP140" s="30"/>
      <c r="AQ140" s="26"/>
      <c r="AR140" s="26"/>
      <c r="AS140" s="32"/>
      <c r="AT140" s="34"/>
    </row>
    <row r="141" spans="2:46" x14ac:dyDescent="0.3">
      <c r="B141" s="8"/>
      <c r="C141" s="2"/>
      <c r="D141" s="26"/>
      <c r="E141" s="26"/>
      <c r="F141" s="27"/>
      <c r="G141" s="26"/>
      <c r="H141" s="26"/>
      <c r="I141" s="27"/>
      <c r="J141" s="26"/>
      <c r="K141" s="26"/>
      <c r="L141" s="67"/>
      <c r="N141" s="8"/>
      <c r="O141" s="2"/>
      <c r="P141" s="26"/>
      <c r="Q141" s="27"/>
      <c r="R141" s="30"/>
      <c r="S141" s="27"/>
      <c r="T141" s="30"/>
      <c r="U141" s="34"/>
      <c r="V141" s="34"/>
      <c r="X141" s="8"/>
      <c r="Y141" s="2"/>
      <c r="Z141" s="26"/>
      <c r="AA141" s="26"/>
      <c r="AB141" s="26"/>
      <c r="AC141" s="26"/>
      <c r="AD141" s="27"/>
      <c r="AE141" s="30"/>
      <c r="AF141" s="26"/>
      <c r="AG141" s="26"/>
      <c r="AH141" s="32"/>
      <c r="AJ141" s="8"/>
      <c r="AK141" s="2"/>
      <c r="AL141" s="26"/>
      <c r="AM141" s="26"/>
      <c r="AN141" s="26"/>
      <c r="AO141" s="27"/>
      <c r="AP141" s="30"/>
      <c r="AQ141" s="26"/>
      <c r="AR141" s="26"/>
      <c r="AS141" s="32"/>
      <c r="AT141" s="34"/>
    </row>
    <row r="142" spans="2:46" x14ac:dyDescent="0.3">
      <c r="B142" s="8"/>
      <c r="C142" s="2"/>
      <c r="D142" s="26"/>
      <c r="E142" s="26"/>
      <c r="F142" s="27"/>
      <c r="G142" s="26"/>
      <c r="H142" s="26"/>
      <c r="I142" s="27"/>
      <c r="J142" s="26"/>
      <c r="K142" s="26"/>
      <c r="L142" s="67"/>
      <c r="N142" s="8"/>
      <c r="O142" s="2"/>
      <c r="P142" s="26"/>
      <c r="Q142" s="27"/>
      <c r="R142" s="30"/>
      <c r="S142" s="27"/>
      <c r="T142" s="30"/>
      <c r="U142" s="34"/>
      <c r="V142" s="34"/>
      <c r="X142" s="8"/>
      <c r="Y142" s="2"/>
      <c r="Z142" s="26"/>
      <c r="AA142" s="26"/>
      <c r="AB142" s="26"/>
      <c r="AC142" s="26"/>
      <c r="AD142" s="27"/>
      <c r="AE142" s="30"/>
      <c r="AF142" s="26"/>
      <c r="AG142" s="26"/>
      <c r="AH142" s="32"/>
      <c r="AJ142" s="8"/>
      <c r="AK142" s="2"/>
      <c r="AL142" s="26"/>
      <c r="AM142" s="26"/>
      <c r="AN142" s="26"/>
      <c r="AO142" s="27"/>
      <c r="AP142" s="30"/>
      <c r="AQ142" s="26"/>
      <c r="AR142" s="26"/>
      <c r="AS142" s="32"/>
      <c r="AT142" s="34"/>
    </row>
    <row r="143" spans="2:46" x14ac:dyDescent="0.3">
      <c r="B143" s="8"/>
      <c r="C143" s="2"/>
      <c r="D143" s="26"/>
      <c r="E143" s="26"/>
      <c r="F143" s="27"/>
      <c r="G143" s="26"/>
      <c r="H143" s="26"/>
      <c r="I143" s="27"/>
      <c r="J143" s="26"/>
      <c r="K143" s="26"/>
      <c r="L143" s="67"/>
      <c r="N143" s="8"/>
      <c r="O143" s="2"/>
      <c r="P143" s="26"/>
      <c r="Q143" s="27"/>
      <c r="R143" s="30"/>
      <c r="S143" s="27"/>
      <c r="T143" s="30"/>
      <c r="U143" s="34"/>
      <c r="V143" s="34"/>
      <c r="X143" s="8"/>
      <c r="Y143" s="2"/>
      <c r="Z143" s="26"/>
      <c r="AA143" s="26"/>
      <c r="AB143" s="26"/>
      <c r="AC143" s="26"/>
      <c r="AD143" s="27"/>
      <c r="AE143" s="30"/>
      <c r="AF143" s="26"/>
      <c r="AG143" s="26"/>
      <c r="AH143" s="32"/>
      <c r="AJ143" s="8"/>
      <c r="AK143" s="2"/>
      <c r="AL143" s="26"/>
      <c r="AM143" s="26"/>
      <c r="AN143" s="26"/>
      <c r="AO143" s="27"/>
      <c r="AP143" s="30"/>
      <c r="AQ143" s="26"/>
      <c r="AR143" s="26"/>
      <c r="AS143" s="32"/>
      <c r="AT143" s="34"/>
    </row>
    <row r="144" spans="2:46" x14ac:dyDescent="0.3">
      <c r="B144" s="8"/>
      <c r="C144" s="2"/>
      <c r="D144" s="26"/>
      <c r="E144" s="26"/>
      <c r="F144" s="27"/>
      <c r="G144" s="26"/>
      <c r="H144" s="26"/>
      <c r="I144" s="27"/>
      <c r="J144" s="26"/>
      <c r="K144" s="26"/>
      <c r="L144" s="67"/>
      <c r="N144" s="8"/>
      <c r="O144" s="2"/>
      <c r="P144" s="26"/>
      <c r="Q144" s="27"/>
      <c r="R144" s="30"/>
      <c r="S144" s="27"/>
      <c r="T144" s="30"/>
      <c r="U144" s="34"/>
      <c r="V144" s="34"/>
      <c r="X144" s="8"/>
      <c r="Y144" s="2"/>
      <c r="Z144" s="26"/>
      <c r="AA144" s="26"/>
      <c r="AB144" s="26"/>
      <c r="AC144" s="26"/>
      <c r="AD144" s="27"/>
      <c r="AE144" s="30"/>
      <c r="AF144" s="26"/>
      <c r="AG144" s="26"/>
      <c r="AH144" s="32"/>
      <c r="AJ144" s="8"/>
      <c r="AK144" s="2"/>
      <c r="AL144" s="26"/>
      <c r="AM144" s="26"/>
      <c r="AN144" s="26"/>
      <c r="AO144" s="27"/>
      <c r="AP144" s="30"/>
      <c r="AQ144" s="26"/>
      <c r="AR144" s="26"/>
      <c r="AS144" s="32"/>
      <c r="AT144" s="34"/>
    </row>
    <row r="145" spans="2:46" x14ac:dyDescent="0.3">
      <c r="B145" s="8"/>
      <c r="C145" s="2"/>
      <c r="D145" s="26"/>
      <c r="E145" s="26"/>
      <c r="F145" s="27"/>
      <c r="G145" s="26"/>
      <c r="H145" s="26"/>
      <c r="I145" s="27"/>
      <c r="J145" s="26"/>
      <c r="K145" s="26"/>
      <c r="L145" s="67"/>
      <c r="N145" s="8"/>
      <c r="O145" s="2"/>
      <c r="P145" s="26"/>
      <c r="Q145" s="27"/>
      <c r="R145" s="30"/>
      <c r="S145" s="27"/>
      <c r="T145" s="30"/>
      <c r="U145" s="34"/>
      <c r="V145" s="34"/>
      <c r="X145" s="8"/>
      <c r="Y145" s="2"/>
      <c r="Z145" s="26"/>
      <c r="AA145" s="26"/>
      <c r="AB145" s="26"/>
      <c r="AC145" s="26"/>
      <c r="AD145" s="27"/>
      <c r="AE145" s="30"/>
      <c r="AF145" s="26"/>
      <c r="AG145" s="26"/>
      <c r="AH145" s="32"/>
      <c r="AJ145" s="8"/>
      <c r="AK145" s="2"/>
      <c r="AL145" s="26"/>
      <c r="AM145" s="26"/>
      <c r="AN145" s="26"/>
      <c r="AO145" s="27"/>
      <c r="AP145" s="30"/>
      <c r="AQ145" s="26"/>
      <c r="AR145" s="26"/>
      <c r="AS145" s="32"/>
      <c r="AT145" s="34"/>
    </row>
    <row r="146" spans="2:46" x14ac:dyDescent="0.3">
      <c r="B146" s="8"/>
      <c r="C146" s="2"/>
      <c r="D146" s="26"/>
      <c r="E146" s="26"/>
      <c r="F146" s="27"/>
      <c r="G146" s="26"/>
      <c r="H146" s="26"/>
      <c r="I146" s="27"/>
      <c r="J146" s="26"/>
      <c r="K146" s="26"/>
      <c r="L146" s="67"/>
      <c r="N146" s="8"/>
      <c r="O146" s="2"/>
      <c r="P146" s="26"/>
      <c r="Q146" s="27"/>
      <c r="R146" s="30"/>
      <c r="S146" s="27"/>
      <c r="T146" s="30"/>
      <c r="U146" s="34"/>
      <c r="V146" s="34"/>
      <c r="X146" s="8"/>
      <c r="Y146" s="2"/>
      <c r="Z146" s="26"/>
      <c r="AA146" s="26"/>
      <c r="AB146" s="26"/>
      <c r="AC146" s="26"/>
      <c r="AD146" s="27"/>
      <c r="AE146" s="30"/>
      <c r="AF146" s="26"/>
      <c r="AG146" s="26"/>
      <c r="AH146" s="32"/>
      <c r="AJ146" s="8"/>
      <c r="AK146" s="2"/>
      <c r="AL146" s="26"/>
      <c r="AM146" s="26"/>
      <c r="AN146" s="26"/>
      <c r="AO146" s="27"/>
      <c r="AP146" s="30"/>
      <c r="AQ146" s="26"/>
      <c r="AR146" s="26"/>
      <c r="AS146" s="32"/>
      <c r="AT146" s="34"/>
    </row>
    <row r="147" spans="2:46" x14ac:dyDescent="0.3">
      <c r="B147" s="8"/>
      <c r="C147" s="2"/>
      <c r="D147" s="26"/>
      <c r="E147" s="26"/>
      <c r="F147" s="27"/>
      <c r="G147" s="26"/>
      <c r="H147" s="26"/>
      <c r="I147" s="27"/>
      <c r="J147" s="26"/>
      <c r="K147" s="26"/>
      <c r="L147" s="67"/>
      <c r="N147" s="8"/>
      <c r="O147" s="2"/>
      <c r="P147" s="26"/>
      <c r="Q147" s="27"/>
      <c r="R147" s="30"/>
      <c r="S147" s="27"/>
      <c r="T147" s="30"/>
      <c r="U147" s="34"/>
      <c r="V147" s="34"/>
      <c r="X147" s="8"/>
      <c r="Y147" s="2"/>
      <c r="Z147" s="26"/>
      <c r="AA147" s="26"/>
      <c r="AB147" s="26"/>
      <c r="AC147" s="26"/>
      <c r="AD147" s="27"/>
      <c r="AE147" s="30"/>
      <c r="AF147" s="26"/>
      <c r="AG147" s="26"/>
      <c r="AH147" s="32"/>
      <c r="AJ147" s="8"/>
      <c r="AK147" s="2"/>
      <c r="AL147" s="26"/>
      <c r="AM147" s="26"/>
      <c r="AN147" s="26"/>
      <c r="AO147" s="27"/>
      <c r="AP147" s="30"/>
      <c r="AQ147" s="26"/>
      <c r="AR147" s="26"/>
      <c r="AS147" s="32"/>
      <c r="AT147" s="34"/>
    </row>
    <row r="148" spans="2:46" x14ac:dyDescent="0.3">
      <c r="B148" s="8"/>
      <c r="C148" s="2"/>
      <c r="D148" s="26"/>
      <c r="E148" s="26"/>
      <c r="F148" s="27"/>
      <c r="G148" s="26"/>
      <c r="H148" s="26"/>
      <c r="I148" s="27"/>
      <c r="J148" s="26"/>
      <c r="K148" s="26"/>
      <c r="L148" s="67"/>
      <c r="N148" s="8"/>
      <c r="O148" s="2"/>
      <c r="P148" s="26"/>
      <c r="Q148" s="27"/>
      <c r="R148" s="30"/>
      <c r="S148" s="27"/>
      <c r="T148" s="30"/>
      <c r="U148" s="34"/>
      <c r="V148" s="34"/>
      <c r="X148" s="8"/>
      <c r="Y148" s="2"/>
      <c r="Z148" s="26"/>
      <c r="AA148" s="26"/>
      <c r="AB148" s="26"/>
      <c r="AC148" s="26"/>
      <c r="AD148" s="27"/>
      <c r="AE148" s="30"/>
      <c r="AF148" s="26"/>
      <c r="AG148" s="26"/>
      <c r="AH148" s="32"/>
      <c r="AJ148" s="8"/>
      <c r="AK148" s="2"/>
      <c r="AL148" s="26"/>
      <c r="AM148" s="26"/>
      <c r="AN148" s="26"/>
      <c r="AO148" s="27"/>
      <c r="AP148" s="30"/>
      <c r="AQ148" s="26"/>
      <c r="AR148" s="26"/>
      <c r="AS148" s="32"/>
      <c r="AT148" s="34"/>
    </row>
    <row r="149" spans="2:46" x14ac:dyDescent="0.3">
      <c r="B149" s="8"/>
      <c r="C149" s="2"/>
      <c r="D149" s="26"/>
      <c r="E149" s="26"/>
      <c r="F149" s="27"/>
      <c r="G149" s="26"/>
      <c r="H149" s="26"/>
      <c r="I149" s="27"/>
      <c r="J149" s="26"/>
      <c r="K149" s="26"/>
      <c r="L149" s="67"/>
      <c r="N149" s="8"/>
      <c r="O149" s="2"/>
      <c r="P149" s="26"/>
      <c r="Q149" s="27"/>
      <c r="R149" s="30"/>
      <c r="S149" s="27"/>
      <c r="T149" s="30"/>
      <c r="U149" s="34"/>
      <c r="V149" s="34"/>
      <c r="X149" s="8"/>
      <c r="Y149" s="2"/>
      <c r="Z149" s="26"/>
      <c r="AA149" s="26"/>
      <c r="AB149" s="26"/>
      <c r="AC149" s="26"/>
      <c r="AD149" s="27"/>
      <c r="AE149" s="30"/>
      <c r="AF149" s="26"/>
      <c r="AG149" s="26"/>
      <c r="AH149" s="32"/>
      <c r="AJ149" s="8"/>
      <c r="AK149" s="2"/>
      <c r="AL149" s="26"/>
      <c r="AM149" s="26"/>
      <c r="AN149" s="26"/>
      <c r="AO149" s="27"/>
      <c r="AP149" s="30"/>
      <c r="AQ149" s="26"/>
      <c r="AR149" s="26"/>
      <c r="AS149" s="32"/>
      <c r="AT149" s="34"/>
    </row>
    <row r="150" spans="2:46" x14ac:dyDescent="0.3">
      <c r="B150" s="8"/>
      <c r="C150" s="2"/>
      <c r="D150" s="26"/>
      <c r="E150" s="26"/>
      <c r="F150" s="27"/>
      <c r="G150" s="26"/>
      <c r="H150" s="26"/>
      <c r="I150" s="27"/>
      <c r="J150" s="26"/>
      <c r="K150" s="26"/>
      <c r="L150" s="67"/>
      <c r="N150" s="8"/>
      <c r="O150" s="2"/>
      <c r="P150" s="26"/>
      <c r="Q150" s="27"/>
      <c r="R150" s="30"/>
      <c r="S150" s="27"/>
      <c r="T150" s="30"/>
      <c r="U150" s="34"/>
      <c r="V150" s="34"/>
      <c r="X150" s="8"/>
      <c r="Y150" s="2"/>
      <c r="Z150" s="26"/>
      <c r="AA150" s="26"/>
      <c r="AB150" s="26"/>
      <c r="AC150" s="26"/>
      <c r="AD150" s="27"/>
      <c r="AE150" s="30"/>
      <c r="AF150" s="26"/>
      <c r="AG150" s="26"/>
      <c r="AH150" s="32"/>
      <c r="AJ150" s="8"/>
      <c r="AK150" s="2"/>
      <c r="AL150" s="26"/>
      <c r="AM150" s="26"/>
      <c r="AN150" s="26"/>
      <c r="AO150" s="27"/>
      <c r="AP150" s="30"/>
      <c r="AQ150" s="26"/>
      <c r="AR150" s="26"/>
      <c r="AS150" s="32"/>
      <c r="AT150" s="34"/>
    </row>
    <row r="151" spans="2:46" x14ac:dyDescent="0.3">
      <c r="B151" s="8"/>
      <c r="C151" s="2"/>
      <c r="D151" s="26"/>
      <c r="E151" s="26"/>
      <c r="F151" s="27"/>
      <c r="G151" s="26"/>
      <c r="H151" s="26"/>
      <c r="I151" s="27"/>
      <c r="J151" s="26"/>
      <c r="K151" s="26"/>
      <c r="L151" s="67"/>
      <c r="N151" s="8"/>
      <c r="O151" s="2"/>
      <c r="P151" s="26"/>
      <c r="Q151" s="27"/>
      <c r="R151" s="30"/>
      <c r="S151" s="27"/>
      <c r="T151" s="30"/>
      <c r="U151" s="34"/>
      <c r="V151" s="34"/>
      <c r="X151" s="8"/>
      <c r="Y151" s="2"/>
      <c r="Z151" s="26"/>
      <c r="AA151" s="26"/>
      <c r="AB151" s="26"/>
      <c r="AC151" s="26"/>
      <c r="AD151" s="27"/>
      <c r="AE151" s="30"/>
      <c r="AF151" s="26"/>
      <c r="AG151" s="26"/>
      <c r="AH151" s="32"/>
      <c r="AJ151" s="8"/>
      <c r="AK151" s="2"/>
      <c r="AL151" s="26"/>
      <c r="AM151" s="26"/>
      <c r="AN151" s="26"/>
      <c r="AO151" s="27"/>
      <c r="AP151" s="30"/>
      <c r="AQ151" s="26"/>
      <c r="AR151" s="26"/>
      <c r="AS151" s="32"/>
      <c r="AT151" s="34"/>
    </row>
    <row r="152" spans="2:46" x14ac:dyDescent="0.3">
      <c r="B152" s="8"/>
      <c r="C152" s="2"/>
      <c r="D152" s="26"/>
      <c r="E152" s="26"/>
      <c r="F152" s="27"/>
      <c r="G152" s="26"/>
      <c r="H152" s="26"/>
      <c r="I152" s="27"/>
      <c r="J152" s="26"/>
      <c r="K152" s="26"/>
      <c r="L152" s="67"/>
      <c r="N152" s="8"/>
      <c r="O152" s="2"/>
      <c r="P152" s="26"/>
      <c r="Q152" s="27"/>
      <c r="R152" s="30"/>
      <c r="S152" s="27"/>
      <c r="T152" s="30"/>
      <c r="U152" s="34"/>
      <c r="V152" s="34"/>
      <c r="X152" s="8"/>
      <c r="Y152" s="2"/>
      <c r="Z152" s="26"/>
      <c r="AA152" s="26"/>
      <c r="AB152" s="26"/>
      <c r="AC152" s="26"/>
      <c r="AD152" s="27"/>
      <c r="AE152" s="30"/>
      <c r="AF152" s="26"/>
      <c r="AG152" s="26"/>
      <c r="AH152" s="32"/>
      <c r="AJ152" s="8"/>
      <c r="AK152" s="2"/>
      <c r="AL152" s="26"/>
      <c r="AM152" s="26"/>
      <c r="AN152" s="26"/>
      <c r="AO152" s="27"/>
      <c r="AP152" s="30"/>
      <c r="AQ152" s="26"/>
      <c r="AR152" s="26"/>
      <c r="AS152" s="32"/>
      <c r="AT152" s="34"/>
    </row>
    <row r="153" spans="2:46" x14ac:dyDescent="0.3">
      <c r="B153" s="8"/>
      <c r="C153" s="2"/>
      <c r="D153" s="26"/>
      <c r="E153" s="26"/>
      <c r="F153" s="27"/>
      <c r="G153" s="26"/>
      <c r="H153" s="26"/>
      <c r="I153" s="27"/>
      <c r="J153" s="26"/>
      <c r="K153" s="26"/>
      <c r="L153" s="67"/>
      <c r="N153" s="8"/>
      <c r="O153" s="2"/>
      <c r="P153" s="26"/>
      <c r="Q153" s="27"/>
      <c r="R153" s="30"/>
      <c r="S153" s="27"/>
      <c r="T153" s="30"/>
      <c r="U153" s="34"/>
      <c r="V153" s="34"/>
      <c r="X153" s="8"/>
      <c r="Y153" s="2"/>
      <c r="Z153" s="26"/>
      <c r="AA153" s="26"/>
      <c r="AB153" s="26"/>
      <c r="AC153" s="26"/>
      <c r="AD153" s="27"/>
      <c r="AE153" s="30"/>
      <c r="AF153" s="26"/>
      <c r="AG153" s="26"/>
      <c r="AH153" s="32"/>
      <c r="AJ153" s="8"/>
      <c r="AK153" s="2"/>
      <c r="AL153" s="26"/>
      <c r="AM153" s="26"/>
      <c r="AN153" s="26"/>
      <c r="AO153" s="27"/>
      <c r="AP153" s="30"/>
      <c r="AQ153" s="26"/>
      <c r="AR153" s="26"/>
      <c r="AS153" s="32"/>
      <c r="AT153" s="34"/>
    </row>
    <row r="154" spans="2:46" x14ac:dyDescent="0.3">
      <c r="B154" s="8"/>
      <c r="C154" s="2"/>
      <c r="D154" s="26"/>
      <c r="E154" s="26"/>
      <c r="F154" s="27"/>
      <c r="G154" s="26"/>
      <c r="H154" s="26"/>
      <c r="I154" s="27"/>
      <c r="J154" s="26"/>
      <c r="K154" s="26"/>
      <c r="L154" s="67"/>
      <c r="N154" s="8"/>
      <c r="O154" s="2"/>
      <c r="P154" s="26"/>
      <c r="Q154" s="27"/>
      <c r="R154" s="30"/>
      <c r="S154" s="27"/>
      <c r="T154" s="30"/>
      <c r="U154" s="34"/>
      <c r="V154" s="34"/>
      <c r="X154" s="8"/>
      <c r="Y154" s="2"/>
      <c r="Z154" s="26"/>
      <c r="AA154" s="26"/>
      <c r="AB154" s="26"/>
      <c r="AC154" s="26"/>
      <c r="AD154" s="27"/>
      <c r="AE154" s="30"/>
      <c r="AF154" s="26"/>
      <c r="AG154" s="26"/>
      <c r="AH154" s="32"/>
      <c r="AJ154" s="8"/>
      <c r="AK154" s="2"/>
      <c r="AL154" s="26"/>
      <c r="AM154" s="26"/>
      <c r="AN154" s="26"/>
      <c r="AO154" s="27"/>
      <c r="AP154" s="30"/>
      <c r="AQ154" s="26"/>
      <c r="AR154" s="26"/>
      <c r="AS154" s="32"/>
      <c r="AT154" s="34"/>
    </row>
    <row r="155" spans="2:46" x14ac:dyDescent="0.3">
      <c r="B155" s="8"/>
      <c r="C155" s="2"/>
      <c r="D155" s="26"/>
      <c r="E155" s="26"/>
      <c r="F155" s="27"/>
      <c r="G155" s="26"/>
      <c r="H155" s="26"/>
      <c r="I155" s="27"/>
      <c r="J155" s="26"/>
      <c r="K155" s="26"/>
      <c r="L155" s="67"/>
      <c r="N155" s="8"/>
      <c r="O155" s="2"/>
      <c r="P155" s="26"/>
      <c r="Q155" s="27"/>
      <c r="R155" s="30"/>
      <c r="S155" s="27"/>
      <c r="T155" s="30"/>
      <c r="U155" s="34"/>
      <c r="V155" s="34"/>
      <c r="X155" s="8"/>
      <c r="Y155" s="2"/>
      <c r="Z155" s="26"/>
      <c r="AA155" s="26"/>
      <c r="AB155" s="26"/>
      <c r="AC155" s="26"/>
      <c r="AD155" s="27"/>
      <c r="AE155" s="30"/>
      <c r="AF155" s="26"/>
      <c r="AG155" s="26"/>
      <c r="AH155" s="32"/>
      <c r="AJ155" s="8"/>
      <c r="AK155" s="2"/>
      <c r="AL155" s="26"/>
      <c r="AM155" s="26"/>
      <c r="AN155" s="26"/>
      <c r="AO155" s="27"/>
      <c r="AP155" s="30"/>
      <c r="AQ155" s="26"/>
      <c r="AR155" s="26"/>
      <c r="AS155" s="32"/>
      <c r="AT155" s="34"/>
    </row>
    <row r="156" spans="2:46" x14ac:dyDescent="0.3">
      <c r="B156" s="8"/>
      <c r="C156" s="2"/>
      <c r="D156" s="26"/>
      <c r="E156" s="26"/>
      <c r="F156" s="27"/>
      <c r="G156" s="26"/>
      <c r="H156" s="26"/>
      <c r="I156" s="27"/>
      <c r="J156" s="26"/>
      <c r="K156" s="26"/>
      <c r="L156" s="67"/>
      <c r="N156" s="8"/>
      <c r="O156" s="2"/>
      <c r="P156" s="26"/>
      <c r="Q156" s="27"/>
      <c r="R156" s="30"/>
      <c r="S156" s="27"/>
      <c r="T156" s="30"/>
      <c r="U156" s="34"/>
      <c r="V156" s="34"/>
      <c r="X156" s="8"/>
      <c r="Y156" s="2"/>
      <c r="Z156" s="26"/>
      <c r="AA156" s="26"/>
      <c r="AB156" s="26"/>
      <c r="AC156" s="26"/>
      <c r="AD156" s="27"/>
      <c r="AE156" s="30"/>
      <c r="AF156" s="26"/>
      <c r="AG156" s="26"/>
      <c r="AH156" s="32"/>
      <c r="AJ156" s="8"/>
      <c r="AK156" s="2"/>
      <c r="AL156" s="26"/>
      <c r="AM156" s="26"/>
      <c r="AN156" s="26"/>
      <c r="AO156" s="27"/>
      <c r="AP156" s="30"/>
      <c r="AQ156" s="26"/>
      <c r="AR156" s="26"/>
      <c r="AS156" s="32"/>
      <c r="AT156" s="34"/>
    </row>
    <row r="157" spans="2:46" x14ac:dyDescent="0.3">
      <c r="B157" s="8"/>
      <c r="C157" s="2"/>
      <c r="D157" s="26"/>
      <c r="E157" s="26"/>
      <c r="F157" s="27"/>
      <c r="G157" s="26"/>
      <c r="H157" s="26"/>
      <c r="I157" s="27"/>
      <c r="J157" s="26"/>
      <c r="K157" s="26"/>
      <c r="L157" s="67"/>
      <c r="N157" s="8"/>
      <c r="O157" s="2"/>
      <c r="P157" s="26"/>
      <c r="Q157" s="27"/>
      <c r="R157" s="30"/>
      <c r="S157" s="27"/>
      <c r="T157" s="30"/>
      <c r="U157" s="34"/>
      <c r="V157" s="34"/>
      <c r="X157" s="8"/>
      <c r="Y157" s="2"/>
      <c r="Z157" s="26"/>
      <c r="AA157" s="26"/>
      <c r="AB157" s="26"/>
      <c r="AC157" s="26"/>
      <c r="AD157" s="27"/>
      <c r="AE157" s="30"/>
      <c r="AF157" s="26"/>
      <c r="AG157" s="26"/>
      <c r="AH157" s="32"/>
      <c r="AJ157" s="8"/>
      <c r="AK157" s="2"/>
      <c r="AL157" s="26"/>
      <c r="AM157" s="26"/>
      <c r="AN157" s="26"/>
      <c r="AO157" s="27"/>
      <c r="AP157" s="30"/>
      <c r="AQ157" s="26"/>
      <c r="AR157" s="26"/>
      <c r="AS157" s="32"/>
      <c r="AT157" s="34"/>
    </row>
    <row r="158" spans="2:46" x14ac:dyDescent="0.3">
      <c r="B158" s="8"/>
      <c r="C158" s="2"/>
      <c r="D158" s="26"/>
      <c r="E158" s="26"/>
      <c r="F158" s="27"/>
      <c r="G158" s="26"/>
      <c r="H158" s="26"/>
      <c r="I158" s="27"/>
      <c r="J158" s="26"/>
      <c r="K158" s="26"/>
      <c r="L158" s="67"/>
      <c r="N158" s="8"/>
      <c r="O158" s="2"/>
      <c r="P158" s="26"/>
      <c r="Q158" s="27"/>
      <c r="R158" s="30"/>
      <c r="S158" s="27"/>
      <c r="T158" s="30"/>
      <c r="U158" s="34"/>
      <c r="V158" s="34"/>
      <c r="X158" s="8"/>
      <c r="Y158" s="2"/>
      <c r="Z158" s="26"/>
      <c r="AA158" s="26"/>
      <c r="AB158" s="26"/>
      <c r="AC158" s="26"/>
      <c r="AD158" s="27"/>
      <c r="AE158" s="30"/>
      <c r="AF158" s="26"/>
      <c r="AG158" s="26"/>
      <c r="AH158" s="32"/>
      <c r="AJ158" s="8"/>
      <c r="AK158" s="2"/>
      <c r="AL158" s="26"/>
      <c r="AM158" s="26"/>
      <c r="AN158" s="26"/>
      <c r="AO158" s="27"/>
      <c r="AP158" s="30"/>
      <c r="AQ158" s="26"/>
      <c r="AR158" s="26"/>
      <c r="AS158" s="32"/>
      <c r="AT158" s="34"/>
    </row>
    <row r="159" spans="2:46" x14ac:dyDescent="0.3">
      <c r="B159" s="8"/>
      <c r="C159" s="2"/>
      <c r="D159" s="26"/>
      <c r="E159" s="26"/>
      <c r="F159" s="27"/>
      <c r="G159" s="26"/>
      <c r="H159" s="26"/>
      <c r="I159" s="27"/>
      <c r="J159" s="26"/>
      <c r="K159" s="26"/>
      <c r="L159" s="67"/>
      <c r="N159" s="8"/>
      <c r="O159" s="2"/>
      <c r="P159" s="26"/>
      <c r="Q159" s="27"/>
      <c r="R159" s="30"/>
      <c r="S159" s="27"/>
      <c r="T159" s="30"/>
      <c r="U159" s="34"/>
      <c r="V159" s="34"/>
      <c r="X159" s="8"/>
      <c r="Y159" s="2"/>
      <c r="Z159" s="26"/>
      <c r="AA159" s="26"/>
      <c r="AB159" s="26"/>
      <c r="AC159" s="26"/>
      <c r="AD159" s="27"/>
      <c r="AE159" s="30"/>
      <c r="AF159" s="26"/>
      <c r="AG159" s="26"/>
      <c r="AH159" s="32"/>
      <c r="AJ159" s="8"/>
      <c r="AK159" s="2"/>
      <c r="AL159" s="26"/>
      <c r="AM159" s="26"/>
      <c r="AN159" s="26"/>
      <c r="AO159" s="27"/>
      <c r="AP159" s="30"/>
      <c r="AQ159" s="26"/>
      <c r="AR159" s="26"/>
      <c r="AS159" s="32"/>
      <c r="AT159" s="34"/>
    </row>
    <row r="160" spans="2:46" x14ac:dyDescent="0.3">
      <c r="B160" s="8"/>
      <c r="C160" s="2"/>
      <c r="D160" s="26"/>
      <c r="E160" s="26"/>
      <c r="F160" s="27"/>
      <c r="G160" s="26"/>
      <c r="H160" s="26"/>
      <c r="I160" s="27"/>
      <c r="J160" s="26"/>
      <c r="K160" s="26"/>
      <c r="L160" s="67"/>
      <c r="N160" s="8"/>
      <c r="O160" s="2"/>
      <c r="P160" s="26"/>
      <c r="Q160" s="27"/>
      <c r="R160" s="30"/>
      <c r="S160" s="27"/>
      <c r="T160" s="30"/>
      <c r="U160" s="34"/>
      <c r="V160" s="34"/>
      <c r="X160" s="8"/>
      <c r="Y160" s="2"/>
      <c r="Z160" s="26"/>
      <c r="AA160" s="26"/>
      <c r="AB160" s="26"/>
      <c r="AC160" s="26"/>
      <c r="AD160" s="27"/>
      <c r="AE160" s="30"/>
      <c r="AF160" s="26"/>
      <c r="AG160" s="26"/>
      <c r="AH160" s="32"/>
      <c r="AJ160" s="8"/>
      <c r="AK160" s="2"/>
      <c r="AL160" s="26"/>
      <c r="AM160" s="26"/>
      <c r="AN160" s="26"/>
      <c r="AO160" s="27"/>
      <c r="AP160" s="30"/>
      <c r="AQ160" s="26"/>
      <c r="AR160" s="26"/>
      <c r="AS160" s="32"/>
      <c r="AT160" s="34"/>
    </row>
    <row r="161" spans="2:46" x14ac:dyDescent="0.3">
      <c r="B161" s="8"/>
      <c r="C161" s="2"/>
      <c r="D161" s="26"/>
      <c r="E161" s="26"/>
      <c r="F161" s="27"/>
      <c r="G161" s="26"/>
      <c r="H161" s="26"/>
      <c r="I161" s="27"/>
      <c r="J161" s="26"/>
      <c r="K161" s="26"/>
      <c r="L161" s="67"/>
      <c r="N161" s="8"/>
      <c r="O161" s="2"/>
      <c r="P161" s="26"/>
      <c r="Q161" s="27"/>
      <c r="R161" s="30"/>
      <c r="S161" s="27"/>
      <c r="T161" s="30"/>
      <c r="U161" s="34"/>
      <c r="V161" s="34"/>
      <c r="X161" s="8"/>
      <c r="Y161" s="2"/>
      <c r="Z161" s="26"/>
      <c r="AA161" s="26"/>
      <c r="AB161" s="26"/>
      <c r="AC161" s="26"/>
      <c r="AD161" s="27"/>
      <c r="AE161" s="30"/>
      <c r="AF161" s="26"/>
      <c r="AG161" s="26"/>
      <c r="AH161" s="32"/>
      <c r="AJ161" s="8"/>
      <c r="AK161" s="2"/>
      <c r="AL161" s="26"/>
      <c r="AM161" s="26"/>
      <c r="AN161" s="26"/>
      <c r="AO161" s="27"/>
      <c r="AP161" s="30"/>
      <c r="AQ161" s="26"/>
      <c r="AR161" s="26"/>
      <c r="AS161" s="32"/>
      <c r="AT161" s="34"/>
    </row>
    <row r="162" spans="2:46" x14ac:dyDescent="0.3">
      <c r="B162" s="8"/>
      <c r="C162" s="2"/>
      <c r="D162" s="26"/>
      <c r="E162" s="26"/>
      <c r="F162" s="27"/>
      <c r="G162" s="26"/>
      <c r="H162" s="26"/>
      <c r="I162" s="27"/>
      <c r="J162" s="26"/>
      <c r="K162" s="26"/>
      <c r="L162" s="67"/>
      <c r="N162" s="8"/>
      <c r="O162" s="2"/>
      <c r="P162" s="26"/>
      <c r="Q162" s="27"/>
      <c r="R162" s="30"/>
      <c r="S162" s="27"/>
      <c r="T162" s="30"/>
      <c r="U162" s="34"/>
      <c r="V162" s="34"/>
      <c r="X162" s="8"/>
      <c r="Y162" s="2"/>
      <c r="Z162" s="26"/>
      <c r="AA162" s="26"/>
      <c r="AB162" s="26"/>
      <c r="AC162" s="26"/>
      <c r="AD162" s="27"/>
      <c r="AE162" s="30"/>
      <c r="AF162" s="26"/>
      <c r="AG162" s="26"/>
      <c r="AH162" s="32"/>
      <c r="AJ162" s="8"/>
      <c r="AK162" s="2"/>
      <c r="AL162" s="26"/>
      <c r="AM162" s="26"/>
      <c r="AN162" s="26"/>
      <c r="AO162" s="27"/>
      <c r="AP162" s="30"/>
      <c r="AQ162" s="26"/>
      <c r="AR162" s="26"/>
      <c r="AS162" s="32"/>
      <c r="AT162" s="34"/>
    </row>
    <row r="163" spans="2:46" x14ac:dyDescent="0.3">
      <c r="B163" s="8"/>
      <c r="C163" s="2"/>
      <c r="D163" s="26"/>
      <c r="E163" s="26"/>
      <c r="F163" s="27"/>
      <c r="G163" s="26"/>
      <c r="H163" s="26"/>
      <c r="I163" s="27"/>
      <c r="J163" s="26"/>
      <c r="K163" s="26"/>
      <c r="L163" s="67"/>
      <c r="N163" s="8"/>
      <c r="O163" s="2"/>
      <c r="P163" s="26"/>
      <c r="Q163" s="27"/>
      <c r="R163" s="30"/>
      <c r="S163" s="27"/>
      <c r="T163" s="30"/>
      <c r="U163" s="34"/>
      <c r="V163" s="34"/>
      <c r="X163" s="8"/>
      <c r="Y163" s="2"/>
      <c r="Z163" s="26"/>
      <c r="AA163" s="26"/>
      <c r="AB163" s="26"/>
      <c r="AC163" s="26"/>
      <c r="AD163" s="27"/>
      <c r="AE163" s="30"/>
      <c r="AF163" s="26"/>
      <c r="AG163" s="26"/>
      <c r="AH163" s="32"/>
      <c r="AJ163" s="8"/>
      <c r="AK163" s="2"/>
      <c r="AL163" s="26"/>
      <c r="AM163" s="26"/>
      <c r="AN163" s="26"/>
      <c r="AO163" s="27"/>
      <c r="AP163" s="30"/>
      <c r="AQ163" s="26"/>
      <c r="AR163" s="26"/>
      <c r="AS163" s="32"/>
      <c r="AT163" s="34"/>
    </row>
    <row r="164" spans="2:46" x14ac:dyDescent="0.3">
      <c r="B164" s="8"/>
      <c r="C164" s="2"/>
      <c r="D164" s="26"/>
      <c r="E164" s="26"/>
      <c r="F164" s="27"/>
      <c r="G164" s="26"/>
      <c r="H164" s="26"/>
      <c r="I164" s="27"/>
      <c r="J164" s="26"/>
      <c r="K164" s="26"/>
      <c r="L164" s="67"/>
      <c r="N164" s="8"/>
      <c r="O164" s="2"/>
      <c r="P164" s="26"/>
      <c r="Q164" s="27"/>
      <c r="R164" s="30"/>
      <c r="S164" s="27"/>
      <c r="T164" s="30"/>
      <c r="U164" s="34"/>
      <c r="V164" s="34"/>
      <c r="X164" s="8"/>
      <c r="Y164" s="2"/>
      <c r="Z164" s="26"/>
      <c r="AA164" s="26"/>
      <c r="AB164" s="26"/>
      <c r="AC164" s="26"/>
      <c r="AD164" s="27"/>
      <c r="AE164" s="30"/>
      <c r="AF164" s="26"/>
      <c r="AG164" s="26"/>
      <c r="AH164" s="32"/>
      <c r="AJ164" s="8"/>
      <c r="AK164" s="2"/>
      <c r="AL164" s="26"/>
      <c r="AM164" s="26"/>
      <c r="AN164" s="26"/>
      <c r="AO164" s="27"/>
      <c r="AP164" s="30"/>
      <c r="AQ164" s="26"/>
      <c r="AR164" s="26"/>
      <c r="AS164" s="32"/>
      <c r="AT164" s="34"/>
    </row>
    <row r="165" spans="2:46" x14ac:dyDescent="0.3">
      <c r="B165" s="8"/>
      <c r="C165" s="2"/>
      <c r="D165" s="26"/>
      <c r="E165" s="26"/>
      <c r="F165" s="27"/>
      <c r="G165" s="26"/>
      <c r="H165" s="26"/>
      <c r="I165" s="27"/>
      <c r="J165" s="26"/>
      <c r="K165" s="26"/>
      <c r="L165" s="67"/>
      <c r="N165" s="8"/>
      <c r="O165" s="2"/>
      <c r="P165" s="26"/>
      <c r="Q165" s="27"/>
      <c r="R165" s="30"/>
      <c r="S165" s="27"/>
      <c r="T165" s="30"/>
      <c r="U165" s="34"/>
      <c r="V165" s="34"/>
      <c r="X165" s="8"/>
      <c r="Y165" s="2"/>
      <c r="Z165" s="26"/>
      <c r="AA165" s="26"/>
      <c r="AB165" s="26"/>
      <c r="AC165" s="26"/>
      <c r="AD165" s="27"/>
      <c r="AE165" s="30"/>
      <c r="AF165" s="26"/>
      <c r="AG165" s="26"/>
      <c r="AH165" s="32"/>
      <c r="AJ165" s="8"/>
      <c r="AK165" s="2"/>
      <c r="AL165" s="26"/>
      <c r="AM165" s="26"/>
      <c r="AN165" s="26"/>
      <c r="AO165" s="27"/>
      <c r="AP165" s="30"/>
      <c r="AQ165" s="26"/>
      <c r="AR165" s="26"/>
      <c r="AS165" s="32"/>
      <c r="AT165" s="34"/>
    </row>
    <row r="166" spans="2:46" x14ac:dyDescent="0.3">
      <c r="B166" s="8"/>
      <c r="C166" s="2"/>
      <c r="D166" s="26"/>
      <c r="E166" s="26"/>
      <c r="F166" s="28"/>
      <c r="G166" s="29"/>
      <c r="H166" s="29"/>
      <c r="I166" s="28"/>
      <c r="J166" s="29"/>
      <c r="K166" s="29"/>
      <c r="L166" s="68"/>
      <c r="N166" s="8"/>
      <c r="O166" s="2"/>
      <c r="P166" s="26"/>
      <c r="Q166" s="28"/>
      <c r="R166" s="31"/>
      <c r="S166" s="28"/>
      <c r="T166" s="31"/>
      <c r="U166" s="34"/>
      <c r="V166" s="34"/>
      <c r="X166" s="8"/>
      <c r="Y166" s="2"/>
      <c r="Z166" s="26"/>
      <c r="AA166" s="26"/>
      <c r="AB166" s="26"/>
      <c r="AC166" s="26"/>
      <c r="AD166" s="28"/>
      <c r="AE166" s="31"/>
      <c r="AF166" s="26"/>
      <c r="AG166" s="26"/>
      <c r="AH166" s="33"/>
      <c r="AJ166" s="8"/>
      <c r="AK166" s="2"/>
      <c r="AL166" s="26"/>
      <c r="AM166" s="26"/>
      <c r="AN166" s="26"/>
      <c r="AO166" s="28"/>
      <c r="AP166" s="31"/>
      <c r="AQ166" s="26"/>
      <c r="AR166" s="26"/>
      <c r="AS166" s="32"/>
      <c r="AT166" s="34"/>
    </row>
    <row r="167" spans="2:46" x14ac:dyDescent="0.3">
      <c r="B167" s="22"/>
      <c r="C167" s="22"/>
      <c r="D167" s="22"/>
      <c r="E167" s="22"/>
      <c r="F167" s="22"/>
      <c r="G167" s="22"/>
      <c r="H167" s="22"/>
      <c r="I167" s="22"/>
      <c r="J167" s="22"/>
      <c r="K167" s="22"/>
      <c r="L167" s="22"/>
      <c r="N167" s="22"/>
      <c r="O167" s="22"/>
      <c r="P167" s="22"/>
      <c r="Q167" s="22"/>
      <c r="R167" s="22"/>
      <c r="S167" s="22"/>
      <c r="T167" s="22"/>
      <c r="U167" s="22"/>
      <c r="V167" s="22"/>
      <c r="X167" s="22"/>
      <c r="Y167" s="22"/>
      <c r="Z167" s="22"/>
      <c r="AA167" s="22"/>
      <c r="AB167" s="22"/>
      <c r="AC167" s="22"/>
      <c r="AD167" s="22"/>
      <c r="AE167" s="22"/>
      <c r="AF167" s="22"/>
      <c r="AG167" s="22"/>
      <c r="AH167" s="22"/>
      <c r="AJ167" s="22"/>
      <c r="AK167" s="22"/>
      <c r="AL167" s="22"/>
      <c r="AM167" s="22"/>
      <c r="AN167" s="22"/>
      <c r="AO167" s="22"/>
      <c r="AP167" s="22"/>
      <c r="AQ167" s="22"/>
      <c r="AR167" s="22"/>
      <c r="AS167" s="22"/>
      <c r="AT167" s="22"/>
    </row>
  </sheetData>
  <mergeCells count="11">
    <mergeCell ref="AF4:AG4"/>
    <mergeCell ref="AO4:AP4"/>
    <mergeCell ref="AQ4:AR4"/>
    <mergeCell ref="AS4:AT4"/>
    <mergeCell ref="D4:E4"/>
    <mergeCell ref="F4:H4"/>
    <mergeCell ref="I4:K4"/>
    <mergeCell ref="Q4:R4"/>
    <mergeCell ref="AD4:AE4"/>
    <mergeCell ref="S4:T4"/>
    <mergeCell ref="U4:V4"/>
  </mergeCells>
  <conditionalFormatting sqref="D13:K13 P13:R13 Z13:AG13 AL13:AR13">
    <cfRule type="cellIs" dxfId="54" priority="11" operator="greaterThan">
      <formula>1</formula>
    </cfRule>
  </conditionalFormatting>
  <conditionalFormatting sqref="D17:K166 Z17:AG166 AL17:AR166">
    <cfRule type="cellIs" dxfId="53" priority="12" operator="lessThan">
      <formula>0</formula>
    </cfRule>
    <cfRule type="cellIs" dxfId="52" priority="13" operator="greaterThan">
      <formula>0</formula>
    </cfRule>
  </conditionalFormatting>
  <conditionalFormatting sqref="U17:V166">
    <cfRule type="cellIs" dxfId="51" priority="9" operator="greaterThan">
      <formula>1</formula>
    </cfRule>
  </conditionalFormatting>
  <conditionalFormatting sqref="AH17:AH166">
    <cfRule type="cellIs" dxfId="50" priority="8" operator="greaterThan">
      <formula>1</formula>
    </cfRule>
  </conditionalFormatting>
  <conditionalFormatting sqref="AS17:AT166">
    <cfRule type="cellIs" dxfId="49" priority="6" operator="greaterThan">
      <formula>1</formula>
    </cfRule>
  </conditionalFormatting>
  <conditionalFormatting sqref="BA7:BA24 P17:T166">
    <cfRule type="cellIs" dxfId="46" priority="3" operator="lessThan">
      <formula>0</formula>
    </cfRule>
    <cfRule type="cellIs" dxfId="45" priority="4" operator="greaterThan">
      <formula>0</formula>
    </cfRule>
  </conditionalFormatting>
  <conditionalFormatting sqref="BB7:BB24 L17:L166">
    <cfRule type="cellIs" dxfId="44" priority="5" operator="greaterThan">
      <formula>1</formula>
    </cfRule>
  </conditionalFormatting>
  <dataValidations count="4">
    <dataValidation type="whole" errorStyle="information" allowBlank="1" showInputMessage="1" showErrorMessage="1" errorTitle="Must select 1 or 2" error="1 = Multiplicative_x000a_2 = Additive" sqref="AL13:AR13 Z13:AG13 P13:R13 D13:K13 BB7:BB24" xr:uid="{2E89B266-12C7-432C-B99D-F57021AF2D31}">
      <formula1>1</formula1>
      <formula2>2</formula2>
    </dataValidation>
    <dataValidation type="decimal" errorStyle="information" allowBlank="1" showInputMessage="1" showErrorMessage="1" errorTitle="Must select a number" error="Cannot choose letters or special characters." sqref="D17:K166 BA7:BA24 AL17:AN37 P17:T166 Z17:AG166 AO17:AR166" xr:uid="{FBDE72A1-1FA8-4E95-88EF-77F1C23AE4F9}">
      <formula1>-1000000000</formula1>
      <formula2>1000000000</formula2>
    </dataValidation>
    <dataValidation type="whole" errorStyle="information" allowBlank="1" showInputMessage="1" showErrorMessage="1" errorTitle="Must select 1 or 2" error="1 = Included in shock_x000a_2 = Excluded" sqref="U17:U166" xr:uid="{6391C5EE-CAA8-4EE3-8862-AFE4DED9AED1}">
      <formula1>1</formula1>
      <formula2>2</formula2>
    </dataValidation>
    <dataValidation type="whole" errorStyle="information" allowBlank="1" showInputMessage="1" showErrorMessage="1" errorTitle="Must select 1 or 2" error="1 = Included in closure_x000a_2 = Excluded" sqref="V17:V166 AH17:AH166 L17:L166 AS17:AT166" xr:uid="{870058B9-592E-48C8-AA11-9BB3A338E955}">
      <formula1>1</formula1>
      <formula2>2</formula2>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ellIs" priority="15" operator="equal" id="{4E3B5D9B-C53C-4C3A-9A38-61F89B48CB25}">
            <xm:f>Notes!$L$4</xm:f>
            <x14:dxf>
              <font>
                <b val="0"/>
                <i val="0"/>
                <strike val="0"/>
                <color theme="0" tint="-0.34998626667073579"/>
              </font>
              <fill>
                <patternFill patternType="none">
                  <bgColor auto="1"/>
                </patternFill>
              </fill>
            </x14:dxf>
          </x14:cfRule>
          <xm:sqref>AY7:AY24 D8:K8 P8:T8 Z8:AG8 AL8:AR8</xm:sqref>
        </x14:conditionalFormatting>
        <x14:conditionalFormatting xmlns:xm="http://schemas.microsoft.com/office/excel/2006/main">
          <x14:cfRule type="cellIs" priority="14" operator="equal" id="{DB234939-A8CE-4571-A002-3C0E1010B10D}">
            <xm:f>Notes!$L$5</xm:f>
            <x14:dxf>
              <font>
                <b val="0"/>
                <i val="0"/>
                <strike val="0"/>
                <color theme="0" tint="-0.34998626667073579"/>
              </font>
              <fill>
                <patternFill patternType="none">
                  <bgColor auto="1"/>
                </patternFill>
              </fill>
            </x14:dxf>
          </x14:cfRule>
          <xm:sqref>AZ7:AZ24 D9:K9 P9:T9 Z9:AG9 AL9:AR9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Out of range" error="Time periods must fall within the range specified on the &quot;Base&quot; worksheet." xr:uid="{C49FFD51-D66D-460E-BACC-67BE181AB019}">
          <x14:formula1>
            <xm:f>Main!$H$5:$H$58</xm:f>
          </x14:formula1>
          <xm:sqref>D8:K9 AY7:AZ24 AL8:AR9 P8:T9</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5C700-6B0E-4E4D-AF6F-E658694C758C}">
  <sheetPr>
    <tabColor theme="8" tint="-0.499984740745262"/>
  </sheetPr>
  <dimension ref="A1:BE167"/>
  <sheetViews>
    <sheetView zoomScale="55" zoomScaleNormal="55" workbookViewId="0">
      <pane ySplit="16" topLeftCell="A17" activePane="bottomLeft" state="frozen"/>
      <selection activeCell="V17" sqref="V17"/>
      <selection pane="bottomLeft" activeCell="V17" sqref="V17"/>
    </sheetView>
  </sheetViews>
  <sheetFormatPr defaultColWidth="0" defaultRowHeight="14.4" zeroHeight="1" x14ac:dyDescent="0.3"/>
  <cols>
    <col min="1" max="2" width="2.44140625" customWidth="1"/>
    <col min="3" max="12" width="9.109375" customWidth="1"/>
    <col min="13" max="14" width="2.44140625" customWidth="1"/>
    <col min="15" max="22" width="9.109375" customWidth="1"/>
    <col min="23" max="24" width="2.44140625" customWidth="1"/>
    <col min="25" max="34" width="9.109375" customWidth="1"/>
    <col min="35" max="36" width="2.44140625" customWidth="1"/>
    <col min="37" max="37" width="11.77734375" customWidth="1"/>
    <col min="38" max="46" width="9.109375" customWidth="1"/>
    <col min="47" max="48" width="2.44140625" customWidth="1"/>
    <col min="49" max="49" width="18.88671875" bestFit="1" customWidth="1"/>
    <col min="50" max="54" width="9.109375" customWidth="1"/>
    <col min="55" max="55" width="2.44140625" customWidth="1"/>
    <col min="56" max="57" width="0" hidden="1" customWidth="1"/>
    <col min="58" max="16384" width="9.109375" hidden="1"/>
  </cols>
  <sheetData>
    <row r="1" spans="1:55" ht="18" x14ac:dyDescent="0.35">
      <c r="A1" s="6" t="str">
        <f>"Simulation "&amp;AC1&amp;IF(AD1&lt;&gt;""," : "&amp;AD1,"")</f>
        <v>Simulation sim12</v>
      </c>
      <c r="B1" s="6"/>
      <c r="C1" s="4"/>
      <c r="D1" s="4"/>
      <c r="E1" s="4"/>
      <c r="F1" s="4"/>
      <c r="G1" s="4"/>
      <c r="H1" s="4"/>
      <c r="I1" s="4"/>
      <c r="J1" s="4"/>
      <c r="K1" s="4"/>
      <c r="L1" s="4"/>
      <c r="M1" s="4"/>
      <c r="N1" s="4"/>
      <c r="O1" s="4"/>
      <c r="P1" s="4"/>
      <c r="Q1" s="4"/>
      <c r="R1" s="4"/>
      <c r="S1" s="4"/>
      <c r="T1" s="4"/>
      <c r="U1" s="4"/>
      <c r="V1" s="4"/>
      <c r="W1" s="4"/>
      <c r="X1" s="4"/>
      <c r="Y1" s="4"/>
      <c r="Z1" s="4"/>
      <c r="AA1" s="4"/>
      <c r="AB1" s="4"/>
      <c r="AC1" s="4" t="str">
        <f>Main!C18</f>
        <v>sim12</v>
      </c>
      <c r="AD1" s="4" t="str">
        <f>IF(Main!E18&lt;&gt;"",Main!E18,"")</f>
        <v/>
      </c>
      <c r="AE1" s="4"/>
      <c r="AF1" s="4"/>
      <c r="AG1" s="4"/>
      <c r="AH1" s="4"/>
      <c r="AI1" s="4"/>
      <c r="AJ1" s="4"/>
      <c r="AK1" s="4"/>
      <c r="AL1" s="4"/>
      <c r="AM1" s="4"/>
      <c r="AN1" s="4"/>
      <c r="AO1" s="4"/>
      <c r="AP1" s="4"/>
      <c r="AQ1" s="4"/>
      <c r="AR1" s="4"/>
      <c r="AS1" s="4"/>
      <c r="AT1" s="4"/>
      <c r="AU1" s="4"/>
      <c r="AV1" s="4"/>
      <c r="AW1" s="4"/>
      <c r="AX1" s="4"/>
      <c r="AY1" s="4"/>
      <c r="AZ1" s="4"/>
      <c r="BA1" s="4"/>
      <c r="BB1" s="4"/>
      <c r="BC1" s="4"/>
    </row>
    <row r="2" spans="1:55" x14ac:dyDescent="0.3"/>
    <row r="3" spans="1:55" ht="15.6" x14ac:dyDescent="0.3">
      <c r="B3" s="7"/>
      <c r="C3" s="17" t="s">
        <v>55</v>
      </c>
      <c r="D3" s="36"/>
      <c r="E3" s="36"/>
      <c r="F3" s="36"/>
      <c r="G3" s="36"/>
      <c r="H3" s="36"/>
      <c r="I3" s="36"/>
      <c r="J3" s="36"/>
      <c r="K3" s="36"/>
      <c r="L3" s="36"/>
      <c r="N3" s="7"/>
      <c r="O3" s="17" t="s">
        <v>56</v>
      </c>
      <c r="P3" s="36"/>
      <c r="Q3" s="36"/>
      <c r="R3" s="36"/>
      <c r="S3" s="36"/>
      <c r="T3" s="36"/>
      <c r="U3" s="36"/>
      <c r="V3" s="36"/>
      <c r="X3" s="7"/>
      <c r="Y3" s="17" t="s">
        <v>57</v>
      </c>
      <c r="Z3" s="36"/>
      <c r="AA3" s="36"/>
      <c r="AB3" s="36"/>
      <c r="AC3" s="36"/>
      <c r="AD3" s="36"/>
      <c r="AE3" s="36"/>
      <c r="AF3" s="36"/>
      <c r="AG3" s="36"/>
      <c r="AH3" s="36"/>
      <c r="AJ3" s="7"/>
      <c r="AK3" s="17" t="s">
        <v>283</v>
      </c>
      <c r="AL3" s="36"/>
      <c r="AM3" s="36"/>
      <c r="AN3" s="36"/>
      <c r="AO3" s="36"/>
      <c r="AP3" s="36"/>
      <c r="AQ3" s="36"/>
      <c r="AR3" s="36"/>
      <c r="AS3" s="36"/>
      <c r="AT3" s="36"/>
      <c r="AV3" s="7"/>
      <c r="AW3" s="17" t="s">
        <v>125</v>
      </c>
      <c r="AX3" s="36"/>
      <c r="AY3" s="36"/>
      <c r="AZ3" s="36"/>
      <c r="BA3" s="36"/>
      <c r="BB3" s="36"/>
    </row>
    <row r="4" spans="1:55" x14ac:dyDescent="0.3">
      <c r="B4" s="14"/>
      <c r="C4" s="9"/>
      <c r="D4" s="74" t="s">
        <v>58</v>
      </c>
      <c r="E4" s="74"/>
      <c r="F4" s="75" t="s">
        <v>59</v>
      </c>
      <c r="G4" s="74"/>
      <c r="H4" s="74"/>
      <c r="I4" s="75" t="s">
        <v>7</v>
      </c>
      <c r="J4" s="74"/>
      <c r="K4" s="74"/>
      <c r="L4" s="37" t="s">
        <v>103</v>
      </c>
      <c r="N4" s="14"/>
      <c r="O4" s="9"/>
      <c r="P4" s="38" t="s">
        <v>60</v>
      </c>
      <c r="Q4" s="75" t="s">
        <v>61</v>
      </c>
      <c r="R4" s="76"/>
      <c r="S4" s="75" t="s">
        <v>646</v>
      </c>
      <c r="T4" s="74"/>
      <c r="U4" s="75" t="s">
        <v>103</v>
      </c>
      <c r="V4" s="74"/>
      <c r="X4" s="14"/>
      <c r="Y4" s="9"/>
      <c r="Z4" s="38" t="s">
        <v>63</v>
      </c>
      <c r="AA4" s="38" t="s">
        <v>62</v>
      </c>
      <c r="AB4" s="38" t="s">
        <v>311</v>
      </c>
      <c r="AC4" s="38" t="s">
        <v>62</v>
      </c>
      <c r="AD4" s="75" t="s">
        <v>126</v>
      </c>
      <c r="AE4" s="76"/>
      <c r="AF4" s="74" t="s">
        <v>127</v>
      </c>
      <c r="AG4" s="74"/>
      <c r="AH4" s="37" t="s">
        <v>103</v>
      </c>
      <c r="AJ4" s="14"/>
      <c r="AK4" s="9"/>
      <c r="AL4" s="38" t="s">
        <v>132</v>
      </c>
      <c r="AM4" s="38" t="s">
        <v>99</v>
      </c>
      <c r="AN4" s="38" t="s">
        <v>289</v>
      </c>
      <c r="AO4" s="75" t="s">
        <v>126</v>
      </c>
      <c r="AP4" s="76"/>
      <c r="AQ4" s="74" t="s">
        <v>127</v>
      </c>
      <c r="AR4" s="74"/>
      <c r="AS4" s="75" t="s">
        <v>103</v>
      </c>
      <c r="AT4" s="74"/>
      <c r="AV4" s="8"/>
      <c r="AY4" s="39" t="s">
        <v>335</v>
      </c>
      <c r="AZ4" s="39" t="s">
        <v>336</v>
      </c>
      <c r="BA4" s="39" t="s">
        <v>300</v>
      </c>
      <c r="BB4" s="39" t="s">
        <v>304</v>
      </c>
    </row>
    <row r="5" spans="1:55" x14ac:dyDescent="0.3">
      <c r="B5" s="14"/>
      <c r="C5" s="9"/>
      <c r="D5" s="40" t="s">
        <v>64</v>
      </c>
      <c r="E5" s="40" t="s">
        <v>65</v>
      </c>
      <c r="F5" s="41" t="s">
        <v>64</v>
      </c>
      <c r="G5" s="40" t="s">
        <v>65</v>
      </c>
      <c r="H5" s="40" t="s">
        <v>66</v>
      </c>
      <c r="I5" s="41" t="s">
        <v>64</v>
      </c>
      <c r="J5" s="40" t="s">
        <v>65</v>
      </c>
      <c r="K5" s="40" t="s">
        <v>67</v>
      </c>
      <c r="L5" s="41" t="s">
        <v>100</v>
      </c>
      <c r="N5" s="14"/>
      <c r="O5" s="9"/>
      <c r="P5" s="40"/>
      <c r="Q5" s="41" t="s">
        <v>68</v>
      </c>
      <c r="R5" s="42" t="s">
        <v>124</v>
      </c>
      <c r="S5" s="40" t="s">
        <v>284</v>
      </c>
      <c r="T5" s="40" t="s">
        <v>286</v>
      </c>
      <c r="U5" s="69" t="s">
        <v>313</v>
      </c>
      <c r="V5" s="40" t="s">
        <v>100</v>
      </c>
      <c r="X5" s="14"/>
      <c r="Y5" s="9"/>
      <c r="Z5" s="38" t="s">
        <v>70</v>
      </c>
      <c r="AA5" s="38" t="s">
        <v>71</v>
      </c>
      <c r="AB5" s="38" t="s">
        <v>312</v>
      </c>
      <c r="AC5" s="38" t="s">
        <v>69</v>
      </c>
      <c r="AD5" s="41" t="s">
        <v>86</v>
      </c>
      <c r="AE5" s="42" t="s">
        <v>87</v>
      </c>
      <c r="AF5" s="40" t="s">
        <v>86</v>
      </c>
      <c r="AG5" s="40" t="s">
        <v>87</v>
      </c>
      <c r="AH5" s="41" t="s">
        <v>100</v>
      </c>
      <c r="AJ5" s="14"/>
      <c r="AK5" s="9"/>
      <c r="AL5" s="38" t="s">
        <v>134</v>
      </c>
      <c r="AM5" s="38" t="s">
        <v>70</v>
      </c>
      <c r="AN5" s="38" t="s">
        <v>123</v>
      </c>
      <c r="AO5" s="41" t="s">
        <v>86</v>
      </c>
      <c r="AP5" s="42" t="s">
        <v>87</v>
      </c>
      <c r="AQ5" s="40" t="s">
        <v>86</v>
      </c>
      <c r="AR5" s="40" t="s">
        <v>87</v>
      </c>
      <c r="AS5" s="41" t="s">
        <v>99</v>
      </c>
      <c r="AT5" s="40" t="s">
        <v>100</v>
      </c>
      <c r="AV5" s="8"/>
      <c r="BA5" s="43"/>
      <c r="BB5" s="44" t="s">
        <v>305</v>
      </c>
    </row>
    <row r="6" spans="1:55" x14ac:dyDescent="0.3">
      <c r="B6" s="8"/>
      <c r="F6" s="45"/>
      <c r="I6" s="45"/>
      <c r="L6" s="45"/>
      <c r="N6" s="8"/>
      <c r="Q6" s="45"/>
      <c r="R6" s="46"/>
      <c r="U6" s="70"/>
      <c r="X6" s="8"/>
      <c r="AD6" s="45"/>
      <c r="AE6" s="46"/>
      <c r="AH6" s="45"/>
      <c r="AJ6" s="8"/>
      <c r="AO6" s="45"/>
      <c r="AP6" s="46"/>
      <c r="AS6" s="45"/>
      <c r="AV6" s="8"/>
      <c r="AW6" s="47" t="s">
        <v>303</v>
      </c>
      <c r="AX6" s="48"/>
      <c r="AY6" s="49" t="s">
        <v>337</v>
      </c>
      <c r="AZ6" s="49" t="s">
        <v>338</v>
      </c>
      <c r="BA6" s="49" t="s">
        <v>206</v>
      </c>
      <c r="BB6" s="49" t="s">
        <v>207</v>
      </c>
    </row>
    <row r="7" spans="1:55" x14ac:dyDescent="0.3">
      <c r="B7" s="8"/>
      <c r="D7" s="50" t="s">
        <v>72</v>
      </c>
      <c r="E7" s="50" t="s">
        <v>73</v>
      </c>
      <c r="F7" s="51" t="s">
        <v>74</v>
      </c>
      <c r="G7" s="50" t="s">
        <v>75</v>
      </c>
      <c r="H7" s="50" t="s">
        <v>76</v>
      </c>
      <c r="I7" s="51" t="s">
        <v>77</v>
      </c>
      <c r="J7" s="50" t="s">
        <v>78</v>
      </c>
      <c r="K7" s="50" t="s">
        <v>79</v>
      </c>
      <c r="L7" s="45"/>
      <c r="N7" s="8"/>
      <c r="P7" s="50" t="s">
        <v>81</v>
      </c>
      <c r="Q7" s="51" t="s">
        <v>82</v>
      </c>
      <c r="R7" s="52" t="s">
        <v>621</v>
      </c>
      <c r="S7" s="50" t="s">
        <v>80</v>
      </c>
      <c r="T7" s="50" t="s">
        <v>285</v>
      </c>
      <c r="U7" s="70"/>
      <c r="X7" s="8"/>
      <c r="Z7" s="50" t="s">
        <v>84</v>
      </c>
      <c r="AA7" s="50" t="s">
        <v>85</v>
      </c>
      <c r="AB7" s="50" t="s">
        <v>310</v>
      </c>
      <c r="AC7" s="50" t="s">
        <v>83</v>
      </c>
      <c r="AD7" s="51" t="s">
        <v>130</v>
      </c>
      <c r="AE7" s="52" t="s">
        <v>131</v>
      </c>
      <c r="AF7" s="50" t="s">
        <v>128</v>
      </c>
      <c r="AG7" s="50" t="s">
        <v>129</v>
      </c>
      <c r="AH7" s="45"/>
      <c r="AJ7" s="8"/>
      <c r="AL7" s="50" t="s">
        <v>133</v>
      </c>
      <c r="AM7" s="50" t="s">
        <v>101</v>
      </c>
      <c r="AN7" s="50" t="s">
        <v>622</v>
      </c>
      <c r="AO7" s="51" t="s">
        <v>130</v>
      </c>
      <c r="AP7" s="52" t="s">
        <v>131</v>
      </c>
      <c r="AQ7" s="50" t="s">
        <v>128</v>
      </c>
      <c r="AR7" s="50" t="s">
        <v>129</v>
      </c>
      <c r="AS7" s="45"/>
      <c r="AV7" s="8"/>
      <c r="AW7" s="9" t="s">
        <v>88</v>
      </c>
      <c r="AX7" s="53" t="s">
        <v>89</v>
      </c>
      <c r="AY7" s="63">
        <f>Notes!$L$4</f>
        <v>2024</v>
      </c>
      <c r="AZ7" s="63">
        <f>Notes!$L$5</f>
        <v>2040</v>
      </c>
      <c r="BA7" s="26">
        <v>0</v>
      </c>
      <c r="BB7" s="34">
        <v>1</v>
      </c>
    </row>
    <row r="8" spans="1:55" x14ac:dyDescent="0.3">
      <c r="B8" s="8"/>
      <c r="C8" s="1" t="s">
        <v>339</v>
      </c>
      <c r="D8" s="63">
        <f>Notes!$L4</f>
        <v>2024</v>
      </c>
      <c r="E8" s="63">
        <f>Notes!$L4</f>
        <v>2024</v>
      </c>
      <c r="F8" s="64">
        <f>Notes!$L4</f>
        <v>2024</v>
      </c>
      <c r="G8" s="63">
        <f>Notes!$L4</f>
        <v>2024</v>
      </c>
      <c r="H8" s="63">
        <f>Notes!$L4</f>
        <v>2024</v>
      </c>
      <c r="I8" s="64">
        <f>Notes!$L4</f>
        <v>2024</v>
      </c>
      <c r="J8" s="63">
        <f>Notes!$L4</f>
        <v>2024</v>
      </c>
      <c r="K8" s="63">
        <f>Notes!$L4</f>
        <v>2024</v>
      </c>
      <c r="L8" s="45"/>
      <c r="N8" s="8"/>
      <c r="O8" s="1" t="s">
        <v>339</v>
      </c>
      <c r="P8" s="63">
        <f>Notes!$L4</f>
        <v>2024</v>
      </c>
      <c r="Q8" s="64">
        <f>Notes!$L4</f>
        <v>2024</v>
      </c>
      <c r="R8" s="63">
        <f>Notes!$L4</f>
        <v>2024</v>
      </c>
      <c r="S8" s="64">
        <f>Notes!$L4</f>
        <v>2024</v>
      </c>
      <c r="T8" s="63">
        <f>Notes!$L4</f>
        <v>2024</v>
      </c>
      <c r="U8" s="70"/>
      <c r="X8" s="8"/>
      <c r="Y8" s="1" t="s">
        <v>339</v>
      </c>
      <c r="Z8" s="63">
        <f>Notes!$L4</f>
        <v>2024</v>
      </c>
      <c r="AA8" s="63">
        <f>Notes!$L4</f>
        <v>2024</v>
      </c>
      <c r="AB8" s="63">
        <f>Notes!$L4</f>
        <v>2024</v>
      </c>
      <c r="AC8" s="63">
        <f>Notes!$L4</f>
        <v>2024</v>
      </c>
      <c r="AD8" s="64">
        <f>Notes!$L4</f>
        <v>2024</v>
      </c>
      <c r="AE8" s="63">
        <f>Notes!$L4</f>
        <v>2024</v>
      </c>
      <c r="AF8" s="64">
        <f>Notes!$L4</f>
        <v>2024</v>
      </c>
      <c r="AG8" s="63">
        <f>Notes!$L4</f>
        <v>2024</v>
      </c>
      <c r="AH8" s="45"/>
      <c r="AJ8" s="8"/>
      <c r="AK8" s="1" t="s">
        <v>339</v>
      </c>
      <c r="AL8" s="63">
        <f>Notes!$L4</f>
        <v>2024</v>
      </c>
      <c r="AM8" s="63">
        <f>Notes!$L4</f>
        <v>2024</v>
      </c>
      <c r="AN8" s="63">
        <f>Notes!$L4</f>
        <v>2024</v>
      </c>
      <c r="AO8" s="64">
        <f>Notes!$L4</f>
        <v>2024</v>
      </c>
      <c r="AP8" s="63">
        <f>Notes!$L4</f>
        <v>2024</v>
      </c>
      <c r="AQ8" s="64">
        <f>Notes!$L$4</f>
        <v>2024</v>
      </c>
      <c r="AR8" s="63">
        <f>Notes!$L4</f>
        <v>2024</v>
      </c>
      <c r="AS8" s="45"/>
      <c r="AV8" s="8"/>
      <c r="AW8" s="9" t="s">
        <v>92</v>
      </c>
      <c r="AX8" s="53" t="s">
        <v>93</v>
      </c>
      <c r="AY8" s="63">
        <f>Notes!$L$4</f>
        <v>2024</v>
      </c>
      <c r="AZ8" s="63">
        <f>Notes!$L$5</f>
        <v>2040</v>
      </c>
      <c r="BA8" s="26">
        <v>0</v>
      </c>
      <c r="BB8" s="34">
        <v>1</v>
      </c>
    </row>
    <row r="9" spans="1:55" x14ac:dyDescent="0.3">
      <c r="B9" s="8"/>
      <c r="C9" s="1" t="s">
        <v>340</v>
      </c>
      <c r="D9" s="63">
        <f>Notes!$L5</f>
        <v>2040</v>
      </c>
      <c r="E9" s="63">
        <f>Notes!$L5</f>
        <v>2040</v>
      </c>
      <c r="F9" s="64">
        <f>Notes!$L5</f>
        <v>2040</v>
      </c>
      <c r="G9" s="63">
        <f>Notes!$L5</f>
        <v>2040</v>
      </c>
      <c r="H9" s="63">
        <f>Notes!$L5</f>
        <v>2040</v>
      </c>
      <c r="I9" s="64">
        <f>Notes!$L5</f>
        <v>2040</v>
      </c>
      <c r="J9" s="63">
        <f>Notes!$L5</f>
        <v>2040</v>
      </c>
      <c r="K9" s="63">
        <f>Notes!$L5</f>
        <v>2040</v>
      </c>
      <c r="L9" s="45"/>
      <c r="N9" s="8"/>
      <c r="O9" s="1" t="s">
        <v>340</v>
      </c>
      <c r="P9" s="63">
        <f>Notes!$L5</f>
        <v>2040</v>
      </c>
      <c r="Q9" s="64">
        <f>Notes!$L5</f>
        <v>2040</v>
      </c>
      <c r="R9" s="63">
        <f>Notes!$L5</f>
        <v>2040</v>
      </c>
      <c r="S9" s="64">
        <f>Notes!$L5</f>
        <v>2040</v>
      </c>
      <c r="T9" s="63">
        <f>Notes!$L5</f>
        <v>2040</v>
      </c>
      <c r="U9" s="70"/>
      <c r="X9" s="8"/>
      <c r="Y9" s="1" t="s">
        <v>340</v>
      </c>
      <c r="Z9" s="63">
        <f>Notes!$L5</f>
        <v>2040</v>
      </c>
      <c r="AA9" s="63">
        <f>Notes!$L5</f>
        <v>2040</v>
      </c>
      <c r="AB9" s="63">
        <f>Notes!$L5</f>
        <v>2040</v>
      </c>
      <c r="AC9" s="63">
        <f>Notes!$L5</f>
        <v>2040</v>
      </c>
      <c r="AD9" s="64">
        <f>Notes!$L5</f>
        <v>2040</v>
      </c>
      <c r="AE9" s="63">
        <f>Notes!$L5</f>
        <v>2040</v>
      </c>
      <c r="AF9" s="64">
        <f>Notes!$L5</f>
        <v>2040</v>
      </c>
      <c r="AG9" s="63">
        <f>Notes!$L5</f>
        <v>2040</v>
      </c>
      <c r="AH9" s="45"/>
      <c r="AJ9" s="8"/>
      <c r="AK9" s="1" t="s">
        <v>340</v>
      </c>
      <c r="AL9" s="63">
        <f>Notes!$L5</f>
        <v>2040</v>
      </c>
      <c r="AM9" s="63">
        <f>Notes!$L5</f>
        <v>2040</v>
      </c>
      <c r="AN9" s="63">
        <f>Notes!$L5</f>
        <v>2040</v>
      </c>
      <c r="AO9" s="64">
        <f>Notes!$L5</f>
        <v>2040</v>
      </c>
      <c r="AP9" s="63">
        <f>Notes!$L5</f>
        <v>2040</v>
      </c>
      <c r="AQ9" s="64">
        <f>Notes!$L5</f>
        <v>2040</v>
      </c>
      <c r="AR9" s="63">
        <f>Notes!$L5</f>
        <v>2040</v>
      </c>
      <c r="AS9" s="45"/>
      <c r="AV9" s="8"/>
      <c r="AW9" s="9" t="s">
        <v>90</v>
      </c>
      <c r="AX9" s="53" t="s">
        <v>91</v>
      </c>
      <c r="AY9" s="63">
        <f>Notes!$L$4</f>
        <v>2024</v>
      </c>
      <c r="AZ9" s="63">
        <f>Notes!$L$5</f>
        <v>2040</v>
      </c>
      <c r="BA9" s="26">
        <v>0</v>
      </c>
      <c r="BB9" s="34">
        <v>1</v>
      </c>
    </row>
    <row r="10" spans="1:55" x14ac:dyDescent="0.3">
      <c r="B10" s="8"/>
      <c r="F10" s="45"/>
      <c r="I10" s="45"/>
      <c r="L10" s="45"/>
      <c r="N10" s="8"/>
      <c r="Q10" s="45"/>
      <c r="R10" s="46"/>
      <c r="U10" s="70"/>
      <c r="X10" s="8"/>
      <c r="AD10" s="45"/>
      <c r="AE10" s="46"/>
      <c r="AH10" s="45"/>
      <c r="AJ10" s="8"/>
      <c r="AO10" s="45"/>
      <c r="AP10" s="46"/>
      <c r="AS10" s="45"/>
      <c r="AV10" s="8"/>
      <c r="AW10" s="9" t="s">
        <v>298</v>
      </c>
      <c r="AX10" s="53" t="s">
        <v>299</v>
      </c>
      <c r="AY10" s="63">
        <f>Notes!$L$4</f>
        <v>2024</v>
      </c>
      <c r="AZ10" s="63">
        <f>Notes!$L$5</f>
        <v>2040</v>
      </c>
      <c r="BA10" s="26">
        <v>0</v>
      </c>
      <c r="BB10" s="34">
        <v>1</v>
      </c>
    </row>
    <row r="11" spans="1:55" x14ac:dyDescent="0.3">
      <c r="B11" s="8"/>
      <c r="C11" s="54" t="s">
        <v>302</v>
      </c>
      <c r="D11" s="55"/>
      <c r="E11" s="55"/>
      <c r="F11" s="56"/>
      <c r="G11" s="55"/>
      <c r="H11" s="55"/>
      <c r="I11" s="56"/>
      <c r="J11" s="55"/>
      <c r="K11" s="55"/>
      <c r="L11" s="56"/>
      <c r="N11" s="8"/>
      <c r="O11" s="54" t="s">
        <v>302</v>
      </c>
      <c r="P11" s="53"/>
      <c r="Q11" s="57"/>
      <c r="R11" s="58"/>
      <c r="S11" s="53"/>
      <c r="T11" s="53"/>
      <c r="U11" s="71"/>
      <c r="V11" s="53"/>
      <c r="X11" s="8"/>
      <c r="Y11" s="54" t="s">
        <v>302</v>
      </c>
      <c r="Z11" s="53"/>
      <c r="AA11" s="53"/>
      <c r="AB11" s="53"/>
      <c r="AC11" s="53"/>
      <c r="AD11" s="57"/>
      <c r="AE11" s="58"/>
      <c r="AF11" s="53"/>
      <c r="AG11" s="53"/>
      <c r="AH11" s="56"/>
      <c r="AJ11" s="8"/>
      <c r="AK11" s="54" t="s">
        <v>302</v>
      </c>
      <c r="AL11" s="54"/>
      <c r="AM11" s="59"/>
      <c r="AN11" s="53"/>
      <c r="AO11" s="57"/>
      <c r="AP11" s="58"/>
      <c r="AQ11" s="53"/>
      <c r="AR11" s="53"/>
      <c r="AS11" s="57"/>
      <c r="AT11" s="53"/>
      <c r="AV11" s="8"/>
      <c r="AW11" s="9" t="s">
        <v>98</v>
      </c>
      <c r="AX11" s="53" t="s">
        <v>101</v>
      </c>
      <c r="AY11" s="63">
        <f>Notes!$L$4</f>
        <v>2024</v>
      </c>
      <c r="AZ11" s="63">
        <f>Notes!$L$5</f>
        <v>2040</v>
      </c>
      <c r="BA11" s="26">
        <v>0</v>
      </c>
      <c r="BB11" s="34">
        <v>1</v>
      </c>
    </row>
    <row r="12" spans="1:55" x14ac:dyDescent="0.3">
      <c r="B12" s="8"/>
      <c r="C12" s="54"/>
      <c r="D12" s="50" t="s">
        <v>72</v>
      </c>
      <c r="E12" s="50" t="s">
        <v>73</v>
      </c>
      <c r="F12" s="51" t="s">
        <v>74</v>
      </c>
      <c r="G12" s="50" t="s">
        <v>75</v>
      </c>
      <c r="H12" s="50" t="s">
        <v>76</v>
      </c>
      <c r="I12" s="51" t="s">
        <v>77</v>
      </c>
      <c r="J12" s="50" t="s">
        <v>78</v>
      </c>
      <c r="K12" s="50" t="s">
        <v>79</v>
      </c>
      <c r="L12" s="56"/>
      <c r="N12" s="8"/>
      <c r="O12" s="54"/>
      <c r="P12" s="50" t="s">
        <v>81</v>
      </c>
      <c r="Q12" s="51" t="s">
        <v>82</v>
      </c>
      <c r="R12" s="52" t="s">
        <v>621</v>
      </c>
      <c r="S12" s="53"/>
      <c r="T12" s="53"/>
      <c r="U12" s="71"/>
      <c r="V12" s="53"/>
      <c r="X12" s="8"/>
      <c r="Y12" s="54"/>
      <c r="Z12" s="50" t="s">
        <v>84</v>
      </c>
      <c r="AA12" s="50" t="s">
        <v>85</v>
      </c>
      <c r="AB12" s="50" t="s">
        <v>310</v>
      </c>
      <c r="AC12" s="50" t="s">
        <v>83</v>
      </c>
      <c r="AD12" s="51" t="s">
        <v>130</v>
      </c>
      <c r="AE12" s="52" t="s">
        <v>131</v>
      </c>
      <c r="AF12" s="50" t="s">
        <v>128</v>
      </c>
      <c r="AG12" s="50" t="s">
        <v>129</v>
      </c>
      <c r="AH12" s="56"/>
      <c r="AJ12" s="8"/>
      <c r="AK12" s="54"/>
      <c r="AL12" s="50" t="s">
        <v>133</v>
      </c>
      <c r="AM12" s="50" t="s">
        <v>101</v>
      </c>
      <c r="AN12" s="50" t="s">
        <v>622</v>
      </c>
      <c r="AO12" s="51" t="s">
        <v>130</v>
      </c>
      <c r="AP12" s="52" t="s">
        <v>131</v>
      </c>
      <c r="AQ12" s="50" t="s">
        <v>128</v>
      </c>
      <c r="AR12" s="50" t="s">
        <v>129</v>
      </c>
      <c r="AS12" s="57"/>
      <c r="AT12" s="53"/>
      <c r="AV12" s="8"/>
      <c r="AW12" s="9" t="s">
        <v>94</v>
      </c>
      <c r="AX12" s="53" t="s">
        <v>95</v>
      </c>
      <c r="AY12" s="63">
        <f>Notes!$L$4</f>
        <v>2024</v>
      </c>
      <c r="AZ12" s="63">
        <f>Notes!$L$5</f>
        <v>2040</v>
      </c>
      <c r="BA12" s="26">
        <v>0</v>
      </c>
      <c r="BB12" s="34">
        <v>1</v>
      </c>
    </row>
    <row r="13" spans="1:55" x14ac:dyDescent="0.3">
      <c r="B13" s="8"/>
      <c r="C13" s="55"/>
      <c r="D13" s="34">
        <v>1</v>
      </c>
      <c r="E13" s="34">
        <v>1</v>
      </c>
      <c r="F13" s="32">
        <v>1</v>
      </c>
      <c r="G13" s="34">
        <v>1</v>
      </c>
      <c r="H13" s="34">
        <v>1</v>
      </c>
      <c r="I13" s="32">
        <v>1</v>
      </c>
      <c r="J13" s="34">
        <v>1</v>
      </c>
      <c r="K13" s="34">
        <v>1</v>
      </c>
      <c r="L13" s="56"/>
      <c r="N13" s="8"/>
      <c r="O13" s="55"/>
      <c r="P13" s="34">
        <v>1</v>
      </c>
      <c r="Q13" s="32">
        <v>1</v>
      </c>
      <c r="R13" s="35">
        <v>1</v>
      </c>
      <c r="S13" s="55"/>
      <c r="T13" s="55"/>
      <c r="U13" s="72"/>
      <c r="V13" s="55"/>
      <c r="X13" s="8"/>
      <c r="Y13" s="55"/>
      <c r="Z13" s="34">
        <v>1</v>
      </c>
      <c r="AA13" s="34">
        <v>1</v>
      </c>
      <c r="AB13" s="34">
        <v>1</v>
      </c>
      <c r="AC13" s="34">
        <v>1</v>
      </c>
      <c r="AD13" s="32">
        <v>1</v>
      </c>
      <c r="AE13" s="35">
        <v>1</v>
      </c>
      <c r="AF13" s="34">
        <v>1</v>
      </c>
      <c r="AG13" s="34">
        <v>1</v>
      </c>
      <c r="AH13" s="56"/>
      <c r="AJ13" s="8"/>
      <c r="AK13" s="55"/>
      <c r="AL13" s="34">
        <v>1</v>
      </c>
      <c r="AM13" s="34">
        <v>1</v>
      </c>
      <c r="AN13" s="34">
        <v>1</v>
      </c>
      <c r="AO13" s="32">
        <v>1</v>
      </c>
      <c r="AP13" s="35">
        <v>1</v>
      </c>
      <c r="AQ13" s="34">
        <v>1</v>
      </c>
      <c r="AR13" s="34">
        <v>1</v>
      </c>
      <c r="AS13" s="56"/>
      <c r="AT13" s="55"/>
      <c r="AV13" s="8"/>
      <c r="AW13" s="9" t="s">
        <v>96</v>
      </c>
      <c r="AX13" s="53" t="s">
        <v>97</v>
      </c>
      <c r="AY13" s="63">
        <f>Notes!$L$4</f>
        <v>2024</v>
      </c>
      <c r="AZ13" s="63">
        <f>Notes!$L$5</f>
        <v>2040</v>
      </c>
      <c r="BA13" s="26">
        <v>0</v>
      </c>
      <c r="BB13" s="34">
        <v>1</v>
      </c>
    </row>
    <row r="14" spans="1:55" x14ac:dyDescent="0.3">
      <c r="B14" s="8"/>
      <c r="C14" s="55"/>
      <c r="F14" s="45"/>
      <c r="I14" s="45"/>
      <c r="L14" s="45"/>
      <c r="N14" s="8"/>
      <c r="O14" s="55"/>
      <c r="Q14" s="45"/>
      <c r="R14" s="46"/>
      <c r="U14" s="70"/>
      <c r="X14" s="8"/>
      <c r="Y14" s="55"/>
      <c r="AD14" s="45"/>
      <c r="AE14" s="46"/>
      <c r="AH14" s="45"/>
      <c r="AJ14" s="8"/>
      <c r="AK14" s="55"/>
      <c r="AL14" s="55"/>
      <c r="AO14" s="45"/>
      <c r="AP14" s="46"/>
      <c r="AS14" s="45"/>
      <c r="AV14" s="8"/>
      <c r="AW14" s="9" t="s">
        <v>297</v>
      </c>
      <c r="AX14" s="53" t="s">
        <v>296</v>
      </c>
      <c r="AY14" s="63">
        <f>Notes!$L$4</f>
        <v>2024</v>
      </c>
      <c r="AZ14" s="63">
        <f>Notes!$L$5</f>
        <v>2040</v>
      </c>
      <c r="BA14" s="26">
        <v>0</v>
      </c>
      <c r="BB14" s="34">
        <v>1</v>
      </c>
    </row>
    <row r="15" spans="1:55" x14ac:dyDescent="0.3">
      <c r="B15" s="8"/>
      <c r="C15" s="54" t="s">
        <v>301</v>
      </c>
      <c r="F15" s="45"/>
      <c r="I15" s="45"/>
      <c r="L15" s="45"/>
      <c r="N15" s="8"/>
      <c r="O15" s="54" t="s">
        <v>301</v>
      </c>
      <c r="P15" s="60"/>
      <c r="Q15" s="45"/>
      <c r="R15" s="46"/>
      <c r="U15" s="70"/>
      <c r="X15" s="8"/>
      <c r="Y15" s="54" t="s">
        <v>301</v>
      </c>
      <c r="Z15" s="60"/>
      <c r="AD15" s="45"/>
      <c r="AE15" s="46"/>
      <c r="AH15" s="45"/>
      <c r="AJ15" s="8"/>
      <c r="AK15" s="54" t="s">
        <v>301</v>
      </c>
      <c r="AL15" s="54"/>
      <c r="AO15" s="45"/>
      <c r="AP15" s="46"/>
      <c r="AS15" s="45"/>
      <c r="AV15" s="8"/>
      <c r="AW15" s="9" t="s">
        <v>762</v>
      </c>
      <c r="AX15" s="53" t="s">
        <v>131</v>
      </c>
      <c r="AY15" s="63">
        <f>Notes!$L$4</f>
        <v>2024</v>
      </c>
      <c r="AZ15" s="63">
        <f>Notes!$L$5</f>
        <v>2040</v>
      </c>
      <c r="BA15" s="26">
        <v>0</v>
      </c>
      <c r="BB15" s="34">
        <v>1</v>
      </c>
    </row>
    <row r="16" spans="1:55" x14ac:dyDescent="0.3">
      <c r="B16" s="8"/>
      <c r="D16" s="50" t="s">
        <v>72</v>
      </c>
      <c r="E16" s="50" t="s">
        <v>73</v>
      </c>
      <c r="F16" s="51" t="s">
        <v>74</v>
      </c>
      <c r="G16" s="50" t="s">
        <v>75</v>
      </c>
      <c r="H16" s="50" t="s">
        <v>76</v>
      </c>
      <c r="I16" s="51" t="s">
        <v>77</v>
      </c>
      <c r="J16" s="50" t="s">
        <v>78</v>
      </c>
      <c r="K16" s="50" t="s">
        <v>79</v>
      </c>
      <c r="L16" s="51" t="s">
        <v>123</v>
      </c>
      <c r="N16" s="8"/>
      <c r="P16" s="50" t="s">
        <v>81</v>
      </c>
      <c r="Q16" s="51" t="s">
        <v>82</v>
      </c>
      <c r="R16" s="52" t="s">
        <v>621</v>
      </c>
      <c r="S16" s="50" t="s">
        <v>80</v>
      </c>
      <c r="T16" s="50" t="s">
        <v>285</v>
      </c>
      <c r="U16" s="73" t="s">
        <v>310</v>
      </c>
      <c r="V16" s="50" t="s">
        <v>123</v>
      </c>
      <c r="X16" s="8"/>
      <c r="Z16" s="50" t="s">
        <v>84</v>
      </c>
      <c r="AA16" s="50" t="s">
        <v>85</v>
      </c>
      <c r="AB16" s="50" t="s">
        <v>310</v>
      </c>
      <c r="AC16" s="50" t="s">
        <v>83</v>
      </c>
      <c r="AD16" s="51" t="s">
        <v>130</v>
      </c>
      <c r="AE16" s="52" t="s">
        <v>131</v>
      </c>
      <c r="AF16" s="50" t="s">
        <v>128</v>
      </c>
      <c r="AG16" s="61" t="s">
        <v>129</v>
      </c>
      <c r="AH16" s="51" t="s">
        <v>123</v>
      </c>
      <c r="AJ16" s="8"/>
      <c r="AL16" s="50" t="s">
        <v>133</v>
      </c>
      <c r="AM16" s="50" t="s">
        <v>101</v>
      </c>
      <c r="AN16" s="50" t="s">
        <v>622</v>
      </c>
      <c r="AO16" s="51" t="s">
        <v>130</v>
      </c>
      <c r="AP16" s="62" t="s">
        <v>131</v>
      </c>
      <c r="AQ16" s="50" t="s">
        <v>128</v>
      </c>
      <c r="AR16" s="61" t="s">
        <v>129</v>
      </c>
      <c r="AS16" s="51" t="s">
        <v>288</v>
      </c>
      <c r="AT16" s="50" t="s">
        <v>123</v>
      </c>
      <c r="AV16" s="8"/>
      <c r="AW16" s="9" t="s">
        <v>763</v>
      </c>
      <c r="AX16" s="53" t="s">
        <v>129</v>
      </c>
      <c r="AY16" s="63">
        <f>Notes!$L$4</f>
        <v>2024</v>
      </c>
      <c r="AZ16" s="63">
        <f>Notes!$L$5</f>
        <v>2040</v>
      </c>
      <c r="BA16" s="26">
        <v>0</v>
      </c>
      <c r="BB16" s="34">
        <v>1</v>
      </c>
    </row>
    <row r="17" spans="2:54" x14ac:dyDescent="0.3">
      <c r="B17" s="8"/>
      <c r="C17" s="2" t="s">
        <v>713</v>
      </c>
      <c r="D17" s="26">
        <v>0</v>
      </c>
      <c r="E17" s="26">
        <v>0</v>
      </c>
      <c r="F17" s="27">
        <v>0</v>
      </c>
      <c r="G17" s="26">
        <v>0</v>
      </c>
      <c r="H17" s="26">
        <v>0</v>
      </c>
      <c r="I17" s="27">
        <v>0</v>
      </c>
      <c r="J17" s="26">
        <v>0</v>
      </c>
      <c r="K17" s="26">
        <v>0</v>
      </c>
      <c r="L17" s="67">
        <v>1</v>
      </c>
      <c r="N17" s="8"/>
      <c r="O17" s="2" t="s">
        <v>649</v>
      </c>
      <c r="P17" s="26">
        <v>0</v>
      </c>
      <c r="Q17" s="27">
        <v>0</v>
      </c>
      <c r="R17" s="30">
        <v>0</v>
      </c>
      <c r="S17" s="27">
        <v>0</v>
      </c>
      <c r="T17" s="30">
        <v>0</v>
      </c>
      <c r="U17" s="34">
        <v>1</v>
      </c>
      <c r="V17" s="34">
        <v>1</v>
      </c>
      <c r="X17" s="8"/>
      <c r="Y17" s="2" t="s">
        <v>852</v>
      </c>
      <c r="Z17" s="26">
        <v>0</v>
      </c>
      <c r="AA17" s="26">
        <v>0</v>
      </c>
      <c r="AB17" s="26">
        <v>0</v>
      </c>
      <c r="AC17" s="26">
        <v>0</v>
      </c>
      <c r="AD17" s="27">
        <v>0</v>
      </c>
      <c r="AE17" s="30">
        <v>0</v>
      </c>
      <c r="AF17" s="26">
        <v>0</v>
      </c>
      <c r="AG17" s="26">
        <v>0</v>
      </c>
      <c r="AH17" s="32">
        <v>1</v>
      </c>
      <c r="AJ17" s="8"/>
      <c r="AK17" s="2" t="s">
        <v>8</v>
      </c>
      <c r="AL17" s="26">
        <v>0</v>
      </c>
      <c r="AM17" s="26">
        <v>0</v>
      </c>
      <c r="AN17" s="26">
        <v>0</v>
      </c>
      <c r="AO17" s="27">
        <v>0</v>
      </c>
      <c r="AP17" s="30">
        <v>0</v>
      </c>
      <c r="AQ17" s="26">
        <v>0</v>
      </c>
      <c r="AR17" s="26">
        <v>0</v>
      </c>
      <c r="AS17" s="32">
        <v>1</v>
      </c>
      <c r="AT17" s="34">
        <v>1</v>
      </c>
      <c r="AV17" s="8"/>
      <c r="AW17" s="9" t="s">
        <v>290</v>
      </c>
      <c r="AX17" s="53" t="s">
        <v>74</v>
      </c>
      <c r="AY17" s="63">
        <f>Notes!$L$4</f>
        <v>2024</v>
      </c>
      <c r="AZ17" s="63">
        <f>Notes!$L$5</f>
        <v>2040</v>
      </c>
      <c r="BA17" s="26">
        <v>0</v>
      </c>
      <c r="BB17" s="34">
        <v>1</v>
      </c>
    </row>
    <row r="18" spans="2:54" x14ac:dyDescent="0.3">
      <c r="B18" s="8"/>
      <c r="C18" s="2" t="s">
        <v>766</v>
      </c>
      <c r="D18" s="26">
        <v>0</v>
      </c>
      <c r="E18" s="26">
        <v>0</v>
      </c>
      <c r="F18" s="27">
        <v>0</v>
      </c>
      <c r="G18" s="26">
        <v>0</v>
      </c>
      <c r="H18" s="26">
        <v>0</v>
      </c>
      <c r="I18" s="27">
        <v>0</v>
      </c>
      <c r="J18" s="26">
        <v>0</v>
      </c>
      <c r="K18" s="26">
        <v>0</v>
      </c>
      <c r="L18" s="67">
        <v>1</v>
      </c>
      <c r="N18" s="8"/>
      <c r="O18" s="2" t="s">
        <v>809</v>
      </c>
      <c r="P18" s="26">
        <v>0</v>
      </c>
      <c r="Q18" s="27">
        <v>0</v>
      </c>
      <c r="R18" s="30">
        <v>0</v>
      </c>
      <c r="S18" s="27">
        <v>0</v>
      </c>
      <c r="T18" s="30">
        <v>0</v>
      </c>
      <c r="U18" s="34">
        <v>1</v>
      </c>
      <c r="V18" s="34">
        <v>1</v>
      </c>
      <c r="X18" s="8"/>
      <c r="Y18" s="2" t="s">
        <v>853</v>
      </c>
      <c r="Z18" s="26">
        <v>0</v>
      </c>
      <c r="AA18" s="26">
        <v>0</v>
      </c>
      <c r="AB18" s="26">
        <v>0</v>
      </c>
      <c r="AC18" s="26">
        <v>0</v>
      </c>
      <c r="AD18" s="27">
        <v>0</v>
      </c>
      <c r="AE18" s="30">
        <v>0</v>
      </c>
      <c r="AF18" s="26">
        <v>0</v>
      </c>
      <c r="AG18" s="26">
        <v>0</v>
      </c>
      <c r="AH18" s="32">
        <v>1</v>
      </c>
      <c r="AJ18" s="8"/>
      <c r="AK18" s="2" t="s">
        <v>985</v>
      </c>
      <c r="AL18" s="26">
        <v>0</v>
      </c>
      <c r="AM18" s="26">
        <v>0</v>
      </c>
      <c r="AN18" s="26">
        <v>0</v>
      </c>
      <c r="AO18" s="27">
        <v>0</v>
      </c>
      <c r="AP18" s="30">
        <v>0</v>
      </c>
      <c r="AQ18" s="26">
        <v>0</v>
      </c>
      <c r="AR18" s="26">
        <v>0</v>
      </c>
      <c r="AS18" s="32">
        <v>1</v>
      </c>
      <c r="AT18" s="34">
        <v>1</v>
      </c>
      <c r="AV18" s="8"/>
      <c r="AW18" s="9" t="s">
        <v>291</v>
      </c>
      <c r="AX18" s="53" t="s">
        <v>75</v>
      </c>
      <c r="AY18" s="63">
        <f>Notes!$L$4</f>
        <v>2024</v>
      </c>
      <c r="AZ18" s="63">
        <f>Notes!$L$5</f>
        <v>2040</v>
      </c>
      <c r="BA18" s="26">
        <v>0</v>
      </c>
      <c r="BB18" s="34">
        <v>1</v>
      </c>
    </row>
    <row r="19" spans="2:54" x14ac:dyDescent="0.3">
      <c r="B19" s="8"/>
      <c r="C19" s="2" t="s">
        <v>976</v>
      </c>
      <c r="D19" s="26">
        <v>0</v>
      </c>
      <c r="E19" s="26">
        <v>0</v>
      </c>
      <c r="F19" s="27">
        <v>0</v>
      </c>
      <c r="G19" s="26">
        <v>0</v>
      </c>
      <c r="H19" s="26">
        <v>0</v>
      </c>
      <c r="I19" s="27">
        <v>0</v>
      </c>
      <c r="J19" s="26">
        <v>0</v>
      </c>
      <c r="K19" s="26">
        <v>0</v>
      </c>
      <c r="L19" s="67">
        <v>1</v>
      </c>
      <c r="N19" s="8"/>
      <c r="O19" s="2" t="s">
        <v>946</v>
      </c>
      <c r="P19" s="26">
        <v>0</v>
      </c>
      <c r="Q19" s="27">
        <v>0</v>
      </c>
      <c r="R19" s="30">
        <v>0</v>
      </c>
      <c r="S19" s="27">
        <v>0</v>
      </c>
      <c r="T19" s="30">
        <v>0</v>
      </c>
      <c r="U19" s="34">
        <v>1</v>
      </c>
      <c r="V19" s="34">
        <v>1</v>
      </c>
      <c r="X19" s="8"/>
      <c r="Y19" s="2" t="s">
        <v>854</v>
      </c>
      <c r="Z19" s="26">
        <v>0</v>
      </c>
      <c r="AA19" s="26">
        <v>0</v>
      </c>
      <c r="AB19" s="26">
        <v>0</v>
      </c>
      <c r="AC19" s="26">
        <v>0</v>
      </c>
      <c r="AD19" s="27">
        <v>0</v>
      </c>
      <c r="AE19" s="30">
        <v>0</v>
      </c>
      <c r="AF19" s="26">
        <v>0</v>
      </c>
      <c r="AG19" s="26">
        <v>0</v>
      </c>
      <c r="AH19" s="32">
        <v>1</v>
      </c>
      <c r="AJ19" s="8"/>
      <c r="AK19" s="2" t="s">
        <v>986</v>
      </c>
      <c r="AL19" s="26">
        <v>0</v>
      </c>
      <c r="AM19" s="26">
        <v>0</v>
      </c>
      <c r="AN19" s="26">
        <v>0</v>
      </c>
      <c r="AO19" s="27">
        <v>0</v>
      </c>
      <c r="AP19" s="30">
        <v>0</v>
      </c>
      <c r="AQ19" s="26">
        <v>0</v>
      </c>
      <c r="AR19" s="26">
        <v>0</v>
      </c>
      <c r="AS19" s="32">
        <v>1</v>
      </c>
      <c r="AT19" s="34">
        <v>1</v>
      </c>
      <c r="AV19" s="8"/>
      <c r="AW19" s="9" t="s">
        <v>292</v>
      </c>
      <c r="AX19" s="53" t="s">
        <v>76</v>
      </c>
      <c r="AY19" s="63">
        <f>Notes!$L$4</f>
        <v>2024</v>
      </c>
      <c r="AZ19" s="63">
        <f>Notes!$L$5</f>
        <v>2040</v>
      </c>
      <c r="BA19" s="26">
        <v>0</v>
      </c>
      <c r="BB19" s="34">
        <v>1</v>
      </c>
    </row>
    <row r="20" spans="2:54" x14ac:dyDescent="0.3">
      <c r="B20" s="8"/>
      <c r="C20" s="2" t="s">
        <v>977</v>
      </c>
      <c r="D20" s="26">
        <v>0</v>
      </c>
      <c r="E20" s="26">
        <v>0</v>
      </c>
      <c r="F20" s="27">
        <v>0</v>
      </c>
      <c r="G20" s="26">
        <v>0</v>
      </c>
      <c r="H20" s="26">
        <v>0</v>
      </c>
      <c r="I20" s="27">
        <v>0</v>
      </c>
      <c r="J20" s="26">
        <v>0</v>
      </c>
      <c r="K20" s="26">
        <v>0</v>
      </c>
      <c r="L20" s="67">
        <v>1</v>
      </c>
      <c r="N20" s="8"/>
      <c r="O20" s="2" t="s">
        <v>947</v>
      </c>
      <c r="P20" s="26">
        <v>0</v>
      </c>
      <c r="Q20" s="27">
        <v>0</v>
      </c>
      <c r="R20" s="30">
        <v>0</v>
      </c>
      <c r="S20" s="27">
        <v>0</v>
      </c>
      <c r="T20" s="30">
        <v>0</v>
      </c>
      <c r="U20" s="34">
        <v>1</v>
      </c>
      <c r="V20" s="34">
        <v>1</v>
      </c>
      <c r="X20" s="8"/>
      <c r="Y20" s="2" t="s">
        <v>855</v>
      </c>
      <c r="Z20" s="26">
        <v>0</v>
      </c>
      <c r="AA20" s="26">
        <v>0</v>
      </c>
      <c r="AB20" s="26">
        <v>0</v>
      </c>
      <c r="AC20" s="26">
        <v>0</v>
      </c>
      <c r="AD20" s="27">
        <v>0</v>
      </c>
      <c r="AE20" s="30">
        <v>0</v>
      </c>
      <c r="AF20" s="26">
        <v>0</v>
      </c>
      <c r="AG20" s="26">
        <v>0</v>
      </c>
      <c r="AH20" s="32">
        <v>1</v>
      </c>
      <c r="AJ20" s="8"/>
      <c r="AK20" s="2" t="s">
        <v>987</v>
      </c>
      <c r="AL20" s="26">
        <v>0</v>
      </c>
      <c r="AM20" s="26">
        <v>0</v>
      </c>
      <c r="AN20" s="26">
        <v>0</v>
      </c>
      <c r="AO20" s="27">
        <v>0</v>
      </c>
      <c r="AP20" s="30">
        <v>0</v>
      </c>
      <c r="AQ20" s="26">
        <v>0</v>
      </c>
      <c r="AR20" s="26">
        <v>0</v>
      </c>
      <c r="AS20" s="32">
        <v>1</v>
      </c>
      <c r="AT20" s="34">
        <v>1</v>
      </c>
      <c r="AV20" s="8"/>
      <c r="AW20" s="9" t="s">
        <v>61</v>
      </c>
      <c r="AX20" s="53" t="s">
        <v>82</v>
      </c>
      <c r="AY20" s="63">
        <f>Notes!$L$4</f>
        <v>2024</v>
      </c>
      <c r="AZ20" s="63">
        <f>Notes!$L$5</f>
        <v>2040</v>
      </c>
      <c r="BA20" s="26">
        <v>0</v>
      </c>
      <c r="BB20" s="34">
        <v>1</v>
      </c>
    </row>
    <row r="21" spans="2:54" x14ac:dyDescent="0.3">
      <c r="B21" s="8"/>
      <c r="C21" s="2" t="s">
        <v>767</v>
      </c>
      <c r="D21" s="26">
        <v>0</v>
      </c>
      <c r="E21" s="26">
        <v>0</v>
      </c>
      <c r="F21" s="27">
        <v>0</v>
      </c>
      <c r="G21" s="26">
        <v>0</v>
      </c>
      <c r="H21" s="26">
        <v>0</v>
      </c>
      <c r="I21" s="27">
        <v>0</v>
      </c>
      <c r="J21" s="26">
        <v>0</v>
      </c>
      <c r="K21" s="26">
        <v>0</v>
      </c>
      <c r="L21" s="67">
        <v>1</v>
      </c>
      <c r="N21" s="8"/>
      <c r="O21" s="2" t="s">
        <v>810</v>
      </c>
      <c r="P21" s="26">
        <v>0</v>
      </c>
      <c r="Q21" s="27">
        <v>0</v>
      </c>
      <c r="R21" s="30">
        <v>0</v>
      </c>
      <c r="S21" s="27">
        <v>0</v>
      </c>
      <c r="T21" s="30">
        <v>0</v>
      </c>
      <c r="U21" s="34">
        <v>1</v>
      </c>
      <c r="V21" s="34">
        <v>1</v>
      </c>
      <c r="X21" s="8"/>
      <c r="Y21" s="2" t="s">
        <v>856</v>
      </c>
      <c r="Z21" s="26">
        <v>0</v>
      </c>
      <c r="AA21" s="26">
        <v>0</v>
      </c>
      <c r="AB21" s="26">
        <v>0</v>
      </c>
      <c r="AC21" s="26">
        <v>0</v>
      </c>
      <c r="AD21" s="27">
        <v>0</v>
      </c>
      <c r="AE21" s="30">
        <v>0</v>
      </c>
      <c r="AF21" s="26">
        <v>0</v>
      </c>
      <c r="AG21" s="26">
        <v>0</v>
      </c>
      <c r="AH21" s="32">
        <v>1</v>
      </c>
      <c r="AJ21" s="8"/>
      <c r="AK21" s="2" t="s">
        <v>988</v>
      </c>
      <c r="AL21" s="26">
        <v>0</v>
      </c>
      <c r="AM21" s="26">
        <v>0</v>
      </c>
      <c r="AN21" s="26">
        <v>0</v>
      </c>
      <c r="AO21" s="27">
        <v>0</v>
      </c>
      <c r="AP21" s="30">
        <v>0</v>
      </c>
      <c r="AQ21" s="26">
        <v>0</v>
      </c>
      <c r="AR21" s="26">
        <v>0</v>
      </c>
      <c r="AS21" s="32">
        <v>1</v>
      </c>
      <c r="AT21" s="34">
        <v>1</v>
      </c>
      <c r="AV21" s="8"/>
      <c r="AW21" s="9" t="s">
        <v>293</v>
      </c>
      <c r="AX21" s="53" t="s">
        <v>621</v>
      </c>
      <c r="AY21" s="63">
        <f>Notes!$L$4</f>
        <v>2024</v>
      </c>
      <c r="AZ21" s="63">
        <f>Notes!$L$5</f>
        <v>2040</v>
      </c>
      <c r="BA21" s="26">
        <v>0</v>
      </c>
      <c r="BB21" s="34">
        <v>1</v>
      </c>
    </row>
    <row r="22" spans="2:54" x14ac:dyDescent="0.3">
      <c r="B22" s="8"/>
      <c r="C22" s="2" t="s">
        <v>714</v>
      </c>
      <c r="D22" s="26">
        <v>0</v>
      </c>
      <c r="E22" s="26">
        <v>0</v>
      </c>
      <c r="F22" s="27">
        <v>0</v>
      </c>
      <c r="G22" s="26">
        <v>0</v>
      </c>
      <c r="H22" s="26">
        <v>0</v>
      </c>
      <c r="I22" s="27">
        <v>0</v>
      </c>
      <c r="J22" s="26">
        <v>0</v>
      </c>
      <c r="K22" s="26">
        <v>0</v>
      </c>
      <c r="L22" s="67">
        <v>1</v>
      </c>
      <c r="N22" s="8"/>
      <c r="O22" s="2" t="s">
        <v>650</v>
      </c>
      <c r="P22" s="26">
        <v>0</v>
      </c>
      <c r="Q22" s="27">
        <v>0</v>
      </c>
      <c r="R22" s="30">
        <v>0</v>
      </c>
      <c r="S22" s="27">
        <v>0</v>
      </c>
      <c r="T22" s="30">
        <v>0</v>
      </c>
      <c r="U22" s="34">
        <v>1</v>
      </c>
      <c r="V22" s="34">
        <v>1</v>
      </c>
      <c r="X22" s="8"/>
      <c r="Y22" s="2" t="s">
        <v>857</v>
      </c>
      <c r="Z22" s="26">
        <v>0</v>
      </c>
      <c r="AA22" s="26">
        <v>0</v>
      </c>
      <c r="AB22" s="26">
        <v>0</v>
      </c>
      <c r="AC22" s="26">
        <v>0</v>
      </c>
      <c r="AD22" s="27">
        <v>0</v>
      </c>
      <c r="AE22" s="30">
        <v>0</v>
      </c>
      <c r="AF22" s="26">
        <v>0</v>
      </c>
      <c r="AG22" s="26">
        <v>0</v>
      </c>
      <c r="AH22" s="32">
        <v>1</v>
      </c>
      <c r="AJ22" s="8"/>
      <c r="AK22" s="2" t="s">
        <v>989</v>
      </c>
      <c r="AL22" s="26">
        <v>0</v>
      </c>
      <c r="AM22" s="26">
        <v>0</v>
      </c>
      <c r="AN22" s="26">
        <v>0</v>
      </c>
      <c r="AO22" s="27">
        <v>0</v>
      </c>
      <c r="AP22" s="30">
        <v>0</v>
      </c>
      <c r="AQ22" s="26">
        <v>0</v>
      </c>
      <c r="AR22" s="26">
        <v>0</v>
      </c>
      <c r="AS22" s="32">
        <v>1</v>
      </c>
      <c r="AT22" s="34">
        <v>1</v>
      </c>
      <c r="AV22" s="8"/>
      <c r="AW22" s="9" t="s">
        <v>294</v>
      </c>
      <c r="AX22" s="53" t="s">
        <v>83</v>
      </c>
      <c r="AY22" s="63">
        <f>Notes!$L$4</f>
        <v>2024</v>
      </c>
      <c r="AZ22" s="63">
        <f>Notes!$L$5</f>
        <v>2040</v>
      </c>
      <c r="BA22" s="26">
        <v>0</v>
      </c>
      <c r="BB22" s="34">
        <v>1</v>
      </c>
    </row>
    <row r="23" spans="2:54" x14ac:dyDescent="0.3">
      <c r="B23" s="8"/>
      <c r="C23" s="2" t="s">
        <v>715</v>
      </c>
      <c r="D23" s="26">
        <v>0</v>
      </c>
      <c r="E23" s="26">
        <v>0</v>
      </c>
      <c r="F23" s="27">
        <v>0</v>
      </c>
      <c r="G23" s="26">
        <v>0</v>
      </c>
      <c r="H23" s="26">
        <v>0</v>
      </c>
      <c r="I23" s="27">
        <v>0</v>
      </c>
      <c r="J23" s="26">
        <v>0</v>
      </c>
      <c r="K23" s="26">
        <v>0</v>
      </c>
      <c r="L23" s="67">
        <v>1</v>
      </c>
      <c r="N23" s="8"/>
      <c r="O23" s="2" t="s">
        <v>651</v>
      </c>
      <c r="P23" s="26">
        <v>0</v>
      </c>
      <c r="Q23" s="27">
        <v>0</v>
      </c>
      <c r="R23" s="30">
        <v>0</v>
      </c>
      <c r="S23" s="27">
        <v>0</v>
      </c>
      <c r="T23" s="30">
        <v>0</v>
      </c>
      <c r="U23" s="34">
        <v>1</v>
      </c>
      <c r="V23" s="34">
        <v>1</v>
      </c>
      <c r="X23" s="8"/>
      <c r="Y23" s="2" t="s">
        <v>858</v>
      </c>
      <c r="Z23" s="26">
        <v>0</v>
      </c>
      <c r="AA23" s="26">
        <v>0</v>
      </c>
      <c r="AB23" s="26">
        <v>0</v>
      </c>
      <c r="AC23" s="26">
        <v>0</v>
      </c>
      <c r="AD23" s="27">
        <v>0</v>
      </c>
      <c r="AE23" s="30">
        <v>0</v>
      </c>
      <c r="AF23" s="26">
        <v>0</v>
      </c>
      <c r="AG23" s="26">
        <v>0</v>
      </c>
      <c r="AH23" s="32">
        <v>1</v>
      </c>
      <c r="AJ23" s="8"/>
      <c r="AK23" s="2" t="s">
        <v>990</v>
      </c>
      <c r="AL23" s="26">
        <v>0</v>
      </c>
      <c r="AM23" s="26">
        <v>0</v>
      </c>
      <c r="AN23" s="26">
        <v>0</v>
      </c>
      <c r="AO23" s="27">
        <v>0</v>
      </c>
      <c r="AP23" s="30">
        <v>0</v>
      </c>
      <c r="AQ23" s="26">
        <v>0</v>
      </c>
      <c r="AR23" s="26">
        <v>0</v>
      </c>
      <c r="AS23" s="32">
        <v>1</v>
      </c>
      <c r="AT23" s="34">
        <v>1</v>
      </c>
      <c r="AV23" s="8"/>
      <c r="AW23" s="9" t="s">
        <v>295</v>
      </c>
      <c r="AX23" s="53" t="s">
        <v>622</v>
      </c>
      <c r="AY23" s="63">
        <f>Notes!$L$4</f>
        <v>2024</v>
      </c>
      <c r="AZ23" s="63">
        <f>Notes!$L$5</f>
        <v>2040</v>
      </c>
      <c r="BA23" s="26">
        <v>0</v>
      </c>
      <c r="BB23" s="34">
        <v>1</v>
      </c>
    </row>
    <row r="24" spans="2:54" x14ac:dyDescent="0.3">
      <c r="B24" s="8"/>
      <c r="C24" s="2" t="s">
        <v>768</v>
      </c>
      <c r="D24" s="26">
        <v>0</v>
      </c>
      <c r="E24" s="26">
        <v>0</v>
      </c>
      <c r="F24" s="27">
        <v>0</v>
      </c>
      <c r="G24" s="26">
        <v>0</v>
      </c>
      <c r="H24" s="26">
        <v>0</v>
      </c>
      <c r="I24" s="27">
        <v>0</v>
      </c>
      <c r="J24" s="26">
        <v>0</v>
      </c>
      <c r="K24" s="26">
        <v>0</v>
      </c>
      <c r="L24" s="67">
        <v>1</v>
      </c>
      <c r="N24" s="8"/>
      <c r="O24" s="2" t="s">
        <v>811</v>
      </c>
      <c r="P24" s="26">
        <v>0</v>
      </c>
      <c r="Q24" s="27">
        <v>0</v>
      </c>
      <c r="R24" s="30">
        <v>0</v>
      </c>
      <c r="S24" s="27">
        <v>0</v>
      </c>
      <c r="T24" s="30">
        <v>0</v>
      </c>
      <c r="U24" s="34">
        <v>1</v>
      </c>
      <c r="V24" s="34">
        <v>1</v>
      </c>
      <c r="X24" s="8"/>
      <c r="Y24" s="2" t="s">
        <v>859</v>
      </c>
      <c r="Z24" s="26">
        <v>0</v>
      </c>
      <c r="AA24" s="26">
        <v>0</v>
      </c>
      <c r="AB24" s="26">
        <v>0</v>
      </c>
      <c r="AC24" s="26">
        <v>0</v>
      </c>
      <c r="AD24" s="27">
        <v>0</v>
      </c>
      <c r="AE24" s="30">
        <v>0</v>
      </c>
      <c r="AF24" s="26">
        <v>0</v>
      </c>
      <c r="AG24" s="26">
        <v>0</v>
      </c>
      <c r="AH24" s="32">
        <v>1</v>
      </c>
      <c r="AJ24" s="8"/>
      <c r="AK24" s="2" t="s">
        <v>991</v>
      </c>
      <c r="AL24" s="26">
        <v>0</v>
      </c>
      <c r="AM24" s="26">
        <v>0</v>
      </c>
      <c r="AN24" s="26">
        <v>0</v>
      </c>
      <c r="AO24" s="27">
        <v>0</v>
      </c>
      <c r="AP24" s="30">
        <v>0</v>
      </c>
      <c r="AQ24" s="26">
        <v>0</v>
      </c>
      <c r="AR24" s="26">
        <v>0</v>
      </c>
      <c r="AS24" s="32">
        <v>1</v>
      </c>
      <c r="AT24" s="34">
        <v>1</v>
      </c>
      <c r="AV24" s="8"/>
      <c r="AW24" s="9" t="s">
        <v>647</v>
      </c>
      <c r="AX24" s="53" t="s">
        <v>648</v>
      </c>
      <c r="AY24" s="63">
        <f>Notes!$L$4</f>
        <v>2024</v>
      </c>
      <c r="AZ24" s="63">
        <f>Notes!$L$5</f>
        <v>2040</v>
      </c>
      <c r="BA24" s="26">
        <v>0</v>
      </c>
      <c r="BB24" s="34">
        <v>1</v>
      </c>
    </row>
    <row r="25" spans="2:54" x14ac:dyDescent="0.3">
      <c r="B25" s="8"/>
      <c r="C25" s="2" t="s">
        <v>716</v>
      </c>
      <c r="D25" s="26">
        <v>0</v>
      </c>
      <c r="E25" s="26">
        <v>0</v>
      </c>
      <c r="F25" s="27">
        <v>0</v>
      </c>
      <c r="G25" s="26">
        <v>0</v>
      </c>
      <c r="H25" s="26">
        <v>0</v>
      </c>
      <c r="I25" s="27">
        <v>0</v>
      </c>
      <c r="J25" s="26">
        <v>0</v>
      </c>
      <c r="K25" s="26">
        <v>0</v>
      </c>
      <c r="L25" s="67">
        <v>1</v>
      </c>
      <c r="N25" s="8"/>
      <c r="O25" s="2" t="s">
        <v>652</v>
      </c>
      <c r="P25" s="26">
        <v>0</v>
      </c>
      <c r="Q25" s="27">
        <v>0</v>
      </c>
      <c r="R25" s="30">
        <v>0</v>
      </c>
      <c r="S25" s="27">
        <v>0</v>
      </c>
      <c r="T25" s="30">
        <v>0</v>
      </c>
      <c r="U25" s="34">
        <v>1</v>
      </c>
      <c r="V25" s="34">
        <v>1</v>
      </c>
      <c r="X25" s="8"/>
      <c r="Y25" s="2" t="s">
        <v>10</v>
      </c>
      <c r="Z25" s="26">
        <v>0</v>
      </c>
      <c r="AA25" s="26">
        <v>0</v>
      </c>
      <c r="AB25" s="26">
        <v>0</v>
      </c>
      <c r="AC25" s="26">
        <v>0</v>
      </c>
      <c r="AD25" s="27">
        <v>0</v>
      </c>
      <c r="AE25" s="30">
        <v>0</v>
      </c>
      <c r="AF25" s="26">
        <v>0</v>
      </c>
      <c r="AG25" s="26">
        <v>0</v>
      </c>
      <c r="AH25" s="32">
        <v>1</v>
      </c>
      <c r="AJ25" s="8"/>
      <c r="AK25" s="2" t="s">
        <v>992</v>
      </c>
      <c r="AL25" s="26">
        <v>0</v>
      </c>
      <c r="AM25" s="26">
        <v>0</v>
      </c>
      <c r="AN25" s="26">
        <v>0</v>
      </c>
      <c r="AO25" s="27">
        <v>0</v>
      </c>
      <c r="AP25" s="30">
        <v>0</v>
      </c>
      <c r="AQ25" s="26">
        <v>0</v>
      </c>
      <c r="AR25" s="26">
        <v>0</v>
      </c>
      <c r="AS25" s="32">
        <v>1</v>
      </c>
      <c r="AT25" s="34">
        <v>1</v>
      </c>
      <c r="AV25" s="8"/>
    </row>
    <row r="26" spans="2:54" x14ac:dyDescent="0.3">
      <c r="B26" s="8"/>
      <c r="C26" s="2" t="s">
        <v>769</v>
      </c>
      <c r="D26" s="26">
        <v>0</v>
      </c>
      <c r="E26" s="26">
        <v>0</v>
      </c>
      <c r="F26" s="27">
        <v>0</v>
      </c>
      <c r="G26" s="26">
        <v>0</v>
      </c>
      <c r="H26" s="26">
        <v>0</v>
      </c>
      <c r="I26" s="27">
        <v>0</v>
      </c>
      <c r="J26" s="26">
        <v>0</v>
      </c>
      <c r="K26" s="26">
        <v>0</v>
      </c>
      <c r="L26" s="67">
        <v>1</v>
      </c>
      <c r="N26" s="8"/>
      <c r="O26" s="2" t="s">
        <v>812</v>
      </c>
      <c r="P26" s="26">
        <v>0</v>
      </c>
      <c r="Q26" s="27">
        <v>0</v>
      </c>
      <c r="R26" s="30">
        <v>0</v>
      </c>
      <c r="S26" s="27">
        <v>0</v>
      </c>
      <c r="T26" s="30">
        <v>0</v>
      </c>
      <c r="U26" s="34">
        <v>1</v>
      </c>
      <c r="V26" s="34">
        <v>1</v>
      </c>
      <c r="X26" s="8"/>
      <c r="Y26" s="2" t="s">
        <v>860</v>
      </c>
      <c r="Z26" s="26">
        <v>0</v>
      </c>
      <c r="AA26" s="26">
        <v>0</v>
      </c>
      <c r="AB26" s="26">
        <v>0</v>
      </c>
      <c r="AC26" s="26">
        <v>0</v>
      </c>
      <c r="AD26" s="27">
        <v>0</v>
      </c>
      <c r="AE26" s="30">
        <v>0</v>
      </c>
      <c r="AF26" s="26">
        <v>0</v>
      </c>
      <c r="AG26" s="26">
        <v>0</v>
      </c>
      <c r="AH26" s="32">
        <v>1</v>
      </c>
      <c r="AJ26" s="8"/>
      <c r="AK26" s="2" t="s">
        <v>993</v>
      </c>
      <c r="AL26" s="26">
        <v>0</v>
      </c>
      <c r="AM26" s="26">
        <v>0</v>
      </c>
      <c r="AN26" s="26">
        <v>0</v>
      </c>
      <c r="AO26" s="27">
        <v>0</v>
      </c>
      <c r="AP26" s="30">
        <v>0</v>
      </c>
      <c r="AQ26" s="26">
        <v>0</v>
      </c>
      <c r="AR26" s="26">
        <v>0</v>
      </c>
      <c r="AS26" s="32">
        <v>1</v>
      </c>
      <c r="AT26" s="34">
        <v>1</v>
      </c>
    </row>
    <row r="27" spans="2:54" x14ac:dyDescent="0.3">
      <c r="B27" s="8"/>
      <c r="C27" s="2" t="s">
        <v>770</v>
      </c>
      <c r="D27" s="26">
        <v>0</v>
      </c>
      <c r="E27" s="26">
        <v>0</v>
      </c>
      <c r="F27" s="27">
        <v>0</v>
      </c>
      <c r="G27" s="26">
        <v>0</v>
      </c>
      <c r="H27" s="26">
        <v>0</v>
      </c>
      <c r="I27" s="27">
        <v>0</v>
      </c>
      <c r="J27" s="26">
        <v>0</v>
      </c>
      <c r="K27" s="26">
        <v>0</v>
      </c>
      <c r="L27" s="67">
        <v>1</v>
      </c>
      <c r="N27" s="8"/>
      <c r="O27" s="2" t="s">
        <v>813</v>
      </c>
      <c r="P27" s="26">
        <v>0</v>
      </c>
      <c r="Q27" s="27">
        <v>0</v>
      </c>
      <c r="R27" s="30">
        <v>0</v>
      </c>
      <c r="S27" s="27">
        <v>0</v>
      </c>
      <c r="T27" s="30">
        <v>0</v>
      </c>
      <c r="U27" s="34">
        <v>1</v>
      </c>
      <c r="V27" s="34">
        <v>1</v>
      </c>
      <c r="X27" s="8"/>
      <c r="Y27" s="2" t="s">
        <v>861</v>
      </c>
      <c r="Z27" s="26">
        <v>0</v>
      </c>
      <c r="AA27" s="26">
        <v>0</v>
      </c>
      <c r="AB27" s="26">
        <v>0</v>
      </c>
      <c r="AC27" s="26">
        <v>0</v>
      </c>
      <c r="AD27" s="27">
        <v>0</v>
      </c>
      <c r="AE27" s="30">
        <v>0</v>
      </c>
      <c r="AF27" s="26">
        <v>0</v>
      </c>
      <c r="AG27" s="26">
        <v>0</v>
      </c>
      <c r="AH27" s="32">
        <v>1</v>
      </c>
      <c r="AJ27" s="8"/>
      <c r="AK27" s="2" t="s">
        <v>994</v>
      </c>
      <c r="AL27" s="26">
        <v>0</v>
      </c>
      <c r="AM27" s="26">
        <v>0</v>
      </c>
      <c r="AN27" s="26">
        <v>0</v>
      </c>
      <c r="AO27" s="27">
        <v>0</v>
      </c>
      <c r="AP27" s="30">
        <v>0</v>
      </c>
      <c r="AQ27" s="26">
        <v>0</v>
      </c>
      <c r="AR27" s="26">
        <v>0</v>
      </c>
      <c r="AS27" s="32">
        <v>1</v>
      </c>
      <c r="AT27" s="34">
        <v>1</v>
      </c>
    </row>
    <row r="28" spans="2:54" x14ac:dyDescent="0.3">
      <c r="B28" s="8"/>
      <c r="C28" s="2" t="s">
        <v>771</v>
      </c>
      <c r="D28" s="26">
        <v>0</v>
      </c>
      <c r="E28" s="26">
        <v>0</v>
      </c>
      <c r="F28" s="27">
        <v>0</v>
      </c>
      <c r="G28" s="26">
        <v>0</v>
      </c>
      <c r="H28" s="26">
        <v>0</v>
      </c>
      <c r="I28" s="27">
        <v>0</v>
      </c>
      <c r="J28" s="26">
        <v>0</v>
      </c>
      <c r="K28" s="26">
        <v>0</v>
      </c>
      <c r="L28" s="67">
        <v>1</v>
      </c>
      <c r="N28" s="8"/>
      <c r="O28" s="2" t="s">
        <v>814</v>
      </c>
      <c r="P28" s="26">
        <v>0</v>
      </c>
      <c r="Q28" s="27">
        <v>0</v>
      </c>
      <c r="R28" s="30">
        <v>0</v>
      </c>
      <c r="S28" s="27">
        <v>0</v>
      </c>
      <c r="T28" s="30">
        <v>0</v>
      </c>
      <c r="U28" s="34">
        <v>1</v>
      </c>
      <c r="V28" s="34">
        <v>1</v>
      </c>
      <c r="X28" s="8"/>
      <c r="Y28" s="2" t="s">
        <v>862</v>
      </c>
      <c r="Z28" s="26">
        <v>0</v>
      </c>
      <c r="AA28" s="26">
        <v>0</v>
      </c>
      <c r="AB28" s="26">
        <v>0</v>
      </c>
      <c r="AC28" s="26">
        <v>0</v>
      </c>
      <c r="AD28" s="27">
        <v>0</v>
      </c>
      <c r="AE28" s="30">
        <v>0</v>
      </c>
      <c r="AF28" s="26">
        <v>0</v>
      </c>
      <c r="AG28" s="26">
        <v>0</v>
      </c>
      <c r="AH28" s="32">
        <v>1</v>
      </c>
      <c r="AJ28" s="8"/>
      <c r="AK28" s="2" t="s">
        <v>995</v>
      </c>
      <c r="AL28" s="26">
        <v>0</v>
      </c>
      <c r="AM28" s="26">
        <v>0</v>
      </c>
      <c r="AN28" s="26">
        <v>0</v>
      </c>
      <c r="AO28" s="27">
        <v>0</v>
      </c>
      <c r="AP28" s="30">
        <v>0</v>
      </c>
      <c r="AQ28" s="26">
        <v>0</v>
      </c>
      <c r="AR28" s="26">
        <v>0</v>
      </c>
      <c r="AS28" s="32">
        <v>1</v>
      </c>
      <c r="AT28" s="34">
        <v>1</v>
      </c>
    </row>
    <row r="29" spans="2:54" x14ac:dyDescent="0.3">
      <c r="B29" s="8"/>
      <c r="C29" s="2" t="s">
        <v>717</v>
      </c>
      <c r="D29" s="26">
        <v>0</v>
      </c>
      <c r="E29" s="26">
        <v>0</v>
      </c>
      <c r="F29" s="27">
        <v>0</v>
      </c>
      <c r="G29" s="26">
        <v>0</v>
      </c>
      <c r="H29" s="26">
        <v>0</v>
      </c>
      <c r="I29" s="27">
        <v>0</v>
      </c>
      <c r="J29" s="26">
        <v>0</v>
      </c>
      <c r="K29" s="26">
        <v>0</v>
      </c>
      <c r="L29" s="67">
        <v>1</v>
      </c>
      <c r="N29" s="8"/>
      <c r="O29" s="2" t="s">
        <v>653</v>
      </c>
      <c r="P29" s="26">
        <v>0</v>
      </c>
      <c r="Q29" s="27">
        <v>0</v>
      </c>
      <c r="R29" s="30">
        <v>0</v>
      </c>
      <c r="S29" s="27">
        <v>0</v>
      </c>
      <c r="T29" s="30">
        <v>0</v>
      </c>
      <c r="U29" s="34">
        <v>1</v>
      </c>
      <c r="V29" s="34">
        <v>1</v>
      </c>
      <c r="X29" s="8"/>
      <c r="Y29" s="2" t="s">
        <v>863</v>
      </c>
      <c r="Z29" s="26">
        <v>0</v>
      </c>
      <c r="AA29" s="26">
        <v>0</v>
      </c>
      <c r="AB29" s="26">
        <v>0</v>
      </c>
      <c r="AC29" s="26">
        <v>0</v>
      </c>
      <c r="AD29" s="27">
        <v>0</v>
      </c>
      <c r="AE29" s="30">
        <v>0</v>
      </c>
      <c r="AF29" s="26">
        <v>0</v>
      </c>
      <c r="AG29" s="26">
        <v>0</v>
      </c>
      <c r="AH29" s="32">
        <v>1</v>
      </c>
      <c r="AJ29" s="8"/>
      <c r="AK29" s="2" t="s">
        <v>996</v>
      </c>
      <c r="AL29" s="26">
        <v>0</v>
      </c>
      <c r="AM29" s="26">
        <v>0</v>
      </c>
      <c r="AN29" s="26">
        <v>0</v>
      </c>
      <c r="AO29" s="27">
        <v>0</v>
      </c>
      <c r="AP29" s="30">
        <v>0</v>
      </c>
      <c r="AQ29" s="26">
        <v>0</v>
      </c>
      <c r="AR29" s="26">
        <v>0</v>
      </c>
      <c r="AS29" s="32">
        <v>1</v>
      </c>
      <c r="AT29" s="34">
        <v>1</v>
      </c>
    </row>
    <row r="30" spans="2:54" x14ac:dyDescent="0.3">
      <c r="B30" s="8"/>
      <c r="C30" s="2" t="s">
        <v>978</v>
      </c>
      <c r="D30" s="26">
        <v>0</v>
      </c>
      <c r="E30" s="26">
        <v>0</v>
      </c>
      <c r="F30" s="27">
        <v>0</v>
      </c>
      <c r="G30" s="26">
        <v>0</v>
      </c>
      <c r="H30" s="26">
        <v>0</v>
      </c>
      <c r="I30" s="27">
        <v>0</v>
      </c>
      <c r="J30" s="26">
        <v>0</v>
      </c>
      <c r="K30" s="26">
        <v>0</v>
      </c>
      <c r="L30" s="67">
        <v>1</v>
      </c>
      <c r="N30" s="8"/>
      <c r="O30" s="2" t="s">
        <v>948</v>
      </c>
      <c r="P30" s="26">
        <v>0</v>
      </c>
      <c r="Q30" s="27">
        <v>0</v>
      </c>
      <c r="R30" s="30">
        <v>0</v>
      </c>
      <c r="S30" s="27">
        <v>0</v>
      </c>
      <c r="T30" s="30">
        <v>0</v>
      </c>
      <c r="U30" s="34">
        <v>1</v>
      </c>
      <c r="V30" s="34">
        <v>1</v>
      </c>
      <c r="X30" s="8"/>
      <c r="Y30" s="2"/>
      <c r="Z30" s="26"/>
      <c r="AA30" s="26"/>
      <c r="AB30" s="26"/>
      <c r="AC30" s="26"/>
      <c r="AD30" s="27"/>
      <c r="AE30" s="30"/>
      <c r="AF30" s="26"/>
      <c r="AG30" s="26"/>
      <c r="AH30" s="32"/>
      <c r="AJ30" s="8"/>
      <c r="AK30" s="2" t="s">
        <v>997</v>
      </c>
      <c r="AL30" s="26">
        <v>0</v>
      </c>
      <c r="AM30" s="26">
        <v>0</v>
      </c>
      <c r="AN30" s="26">
        <v>0</v>
      </c>
      <c r="AO30" s="27">
        <v>0</v>
      </c>
      <c r="AP30" s="30">
        <v>0</v>
      </c>
      <c r="AQ30" s="26">
        <v>0</v>
      </c>
      <c r="AR30" s="26">
        <v>0</v>
      </c>
      <c r="AS30" s="32">
        <v>1</v>
      </c>
      <c r="AT30" s="34">
        <v>1</v>
      </c>
    </row>
    <row r="31" spans="2:54" x14ac:dyDescent="0.3">
      <c r="B31" s="8"/>
      <c r="C31" s="2" t="s">
        <v>718</v>
      </c>
      <c r="D31" s="26">
        <v>0</v>
      </c>
      <c r="E31" s="26">
        <v>0</v>
      </c>
      <c r="F31" s="27">
        <v>0</v>
      </c>
      <c r="G31" s="26">
        <v>0</v>
      </c>
      <c r="H31" s="26">
        <v>0</v>
      </c>
      <c r="I31" s="27">
        <v>0</v>
      </c>
      <c r="J31" s="26">
        <v>0</v>
      </c>
      <c r="K31" s="26">
        <v>0</v>
      </c>
      <c r="L31" s="67">
        <v>1</v>
      </c>
      <c r="N31" s="8"/>
      <c r="O31" s="2" t="s">
        <v>654</v>
      </c>
      <c r="P31" s="26">
        <v>0</v>
      </c>
      <c r="Q31" s="27">
        <v>0</v>
      </c>
      <c r="R31" s="30">
        <v>0</v>
      </c>
      <c r="S31" s="27">
        <v>0</v>
      </c>
      <c r="T31" s="30">
        <v>0</v>
      </c>
      <c r="U31" s="34">
        <v>1</v>
      </c>
      <c r="V31" s="34">
        <v>1</v>
      </c>
      <c r="X31" s="8"/>
      <c r="Y31" s="2"/>
      <c r="Z31" s="26"/>
      <c r="AA31" s="26"/>
      <c r="AB31" s="26"/>
      <c r="AC31" s="26"/>
      <c r="AD31" s="27"/>
      <c r="AE31" s="30"/>
      <c r="AF31" s="26"/>
      <c r="AG31" s="26"/>
      <c r="AH31" s="32"/>
      <c r="AJ31" s="8"/>
      <c r="AK31" s="2" t="s">
        <v>998</v>
      </c>
      <c r="AL31" s="26">
        <v>0</v>
      </c>
      <c r="AM31" s="26">
        <v>0</v>
      </c>
      <c r="AN31" s="26">
        <v>0</v>
      </c>
      <c r="AO31" s="27">
        <v>0</v>
      </c>
      <c r="AP31" s="30">
        <v>0</v>
      </c>
      <c r="AQ31" s="26">
        <v>0</v>
      </c>
      <c r="AR31" s="26">
        <v>0</v>
      </c>
      <c r="AS31" s="32">
        <v>1</v>
      </c>
      <c r="AT31" s="34">
        <v>1</v>
      </c>
    </row>
    <row r="32" spans="2:54" x14ac:dyDescent="0.3">
      <c r="B32" s="8"/>
      <c r="C32" s="2" t="s">
        <v>719</v>
      </c>
      <c r="D32" s="26">
        <v>0</v>
      </c>
      <c r="E32" s="26">
        <v>0</v>
      </c>
      <c r="F32" s="27">
        <v>0</v>
      </c>
      <c r="G32" s="26">
        <v>0</v>
      </c>
      <c r="H32" s="26">
        <v>0</v>
      </c>
      <c r="I32" s="27">
        <v>0</v>
      </c>
      <c r="J32" s="26">
        <v>0</v>
      </c>
      <c r="K32" s="26">
        <v>0</v>
      </c>
      <c r="L32" s="67">
        <v>1</v>
      </c>
      <c r="N32" s="8"/>
      <c r="O32" s="2" t="s">
        <v>655</v>
      </c>
      <c r="P32" s="26">
        <v>0</v>
      </c>
      <c r="Q32" s="27">
        <v>0</v>
      </c>
      <c r="R32" s="30">
        <v>0</v>
      </c>
      <c r="S32" s="27">
        <v>0</v>
      </c>
      <c r="T32" s="30">
        <v>0</v>
      </c>
      <c r="U32" s="34">
        <v>1</v>
      </c>
      <c r="V32" s="34">
        <v>1</v>
      </c>
      <c r="X32" s="8"/>
      <c r="Y32" s="2"/>
      <c r="Z32" s="26"/>
      <c r="AA32" s="26"/>
      <c r="AB32" s="26"/>
      <c r="AC32" s="26"/>
      <c r="AD32" s="27"/>
      <c r="AE32" s="30"/>
      <c r="AF32" s="26"/>
      <c r="AG32" s="26"/>
      <c r="AH32" s="32"/>
      <c r="AJ32" s="8"/>
      <c r="AK32" s="2" t="s">
        <v>999</v>
      </c>
      <c r="AL32" s="26">
        <v>0</v>
      </c>
      <c r="AM32" s="26">
        <v>0</v>
      </c>
      <c r="AN32" s="26">
        <v>0</v>
      </c>
      <c r="AO32" s="27">
        <v>0</v>
      </c>
      <c r="AP32" s="30">
        <v>0</v>
      </c>
      <c r="AQ32" s="26">
        <v>0</v>
      </c>
      <c r="AR32" s="26">
        <v>0</v>
      </c>
      <c r="AS32" s="32">
        <v>1</v>
      </c>
      <c r="AT32" s="34">
        <v>1</v>
      </c>
    </row>
    <row r="33" spans="2:46" x14ac:dyDescent="0.3">
      <c r="B33" s="8"/>
      <c r="C33" s="2" t="s">
        <v>720</v>
      </c>
      <c r="D33" s="26">
        <v>0</v>
      </c>
      <c r="E33" s="26">
        <v>0</v>
      </c>
      <c r="F33" s="27">
        <v>0</v>
      </c>
      <c r="G33" s="26">
        <v>0</v>
      </c>
      <c r="H33" s="26">
        <v>0</v>
      </c>
      <c r="I33" s="27">
        <v>0</v>
      </c>
      <c r="J33" s="26">
        <v>0</v>
      </c>
      <c r="K33" s="26">
        <v>0</v>
      </c>
      <c r="L33" s="67">
        <v>1</v>
      </c>
      <c r="N33" s="8"/>
      <c r="O33" s="2" t="s">
        <v>656</v>
      </c>
      <c r="P33" s="26">
        <v>0</v>
      </c>
      <c r="Q33" s="27">
        <v>0</v>
      </c>
      <c r="R33" s="30">
        <v>0</v>
      </c>
      <c r="S33" s="27">
        <v>0</v>
      </c>
      <c r="T33" s="30">
        <v>0</v>
      </c>
      <c r="U33" s="34">
        <v>1</v>
      </c>
      <c r="V33" s="34">
        <v>1</v>
      </c>
      <c r="X33" s="8"/>
      <c r="Y33" s="2"/>
      <c r="Z33" s="26"/>
      <c r="AA33" s="26"/>
      <c r="AB33" s="26"/>
      <c r="AC33" s="26"/>
      <c r="AD33" s="27"/>
      <c r="AE33" s="30"/>
      <c r="AF33" s="26"/>
      <c r="AG33" s="26"/>
      <c r="AH33" s="32"/>
      <c r="AJ33" s="8"/>
      <c r="AK33" s="2" t="s">
        <v>1000</v>
      </c>
      <c r="AL33" s="26">
        <v>0</v>
      </c>
      <c r="AM33" s="26">
        <v>0</v>
      </c>
      <c r="AN33" s="26">
        <v>0</v>
      </c>
      <c r="AO33" s="27">
        <v>0</v>
      </c>
      <c r="AP33" s="30">
        <v>0</v>
      </c>
      <c r="AQ33" s="26">
        <v>0</v>
      </c>
      <c r="AR33" s="26">
        <v>0</v>
      </c>
      <c r="AS33" s="32">
        <v>1</v>
      </c>
      <c r="AT33" s="34">
        <v>1</v>
      </c>
    </row>
    <row r="34" spans="2:46" x14ac:dyDescent="0.3">
      <c r="B34" s="8"/>
      <c r="C34" s="2" t="s">
        <v>721</v>
      </c>
      <c r="D34" s="26">
        <v>0</v>
      </c>
      <c r="E34" s="26">
        <v>0</v>
      </c>
      <c r="F34" s="27">
        <v>0</v>
      </c>
      <c r="G34" s="26">
        <v>0</v>
      </c>
      <c r="H34" s="26">
        <v>0</v>
      </c>
      <c r="I34" s="27">
        <v>0</v>
      </c>
      <c r="J34" s="26">
        <v>0</v>
      </c>
      <c r="K34" s="26">
        <v>0</v>
      </c>
      <c r="L34" s="67">
        <v>1</v>
      </c>
      <c r="N34" s="8"/>
      <c r="O34" s="2" t="s">
        <v>657</v>
      </c>
      <c r="P34" s="26">
        <v>0</v>
      </c>
      <c r="Q34" s="27">
        <v>0</v>
      </c>
      <c r="R34" s="30">
        <v>0</v>
      </c>
      <c r="S34" s="27">
        <v>0</v>
      </c>
      <c r="T34" s="30">
        <v>0</v>
      </c>
      <c r="U34" s="34">
        <v>1</v>
      </c>
      <c r="V34" s="34">
        <v>1</v>
      </c>
      <c r="X34" s="8"/>
      <c r="Y34" s="2"/>
      <c r="Z34" s="26"/>
      <c r="AA34" s="26"/>
      <c r="AB34" s="26"/>
      <c r="AC34" s="26"/>
      <c r="AD34" s="27"/>
      <c r="AE34" s="30"/>
      <c r="AF34" s="26"/>
      <c r="AG34" s="26"/>
      <c r="AH34" s="32"/>
      <c r="AJ34" s="8"/>
      <c r="AK34" s="2" t="s">
        <v>1001</v>
      </c>
      <c r="AL34" s="26">
        <v>0</v>
      </c>
      <c r="AM34" s="26">
        <v>0</v>
      </c>
      <c r="AN34" s="26">
        <v>0</v>
      </c>
      <c r="AO34" s="27">
        <v>0</v>
      </c>
      <c r="AP34" s="30">
        <v>0</v>
      </c>
      <c r="AQ34" s="26">
        <v>0</v>
      </c>
      <c r="AR34" s="26">
        <v>0</v>
      </c>
      <c r="AS34" s="32">
        <v>1</v>
      </c>
      <c r="AT34" s="34">
        <v>1</v>
      </c>
    </row>
    <row r="35" spans="2:46" x14ac:dyDescent="0.3">
      <c r="B35" s="8"/>
      <c r="C35" s="2" t="s">
        <v>979</v>
      </c>
      <c r="D35" s="26">
        <v>0</v>
      </c>
      <c r="E35" s="26">
        <v>0</v>
      </c>
      <c r="F35" s="27">
        <v>0</v>
      </c>
      <c r="G35" s="26">
        <v>0</v>
      </c>
      <c r="H35" s="26">
        <v>0</v>
      </c>
      <c r="I35" s="27">
        <v>0</v>
      </c>
      <c r="J35" s="26">
        <v>0</v>
      </c>
      <c r="K35" s="26">
        <v>0</v>
      </c>
      <c r="L35" s="67">
        <v>1</v>
      </c>
      <c r="N35" s="8"/>
      <c r="O35" s="2" t="s">
        <v>949</v>
      </c>
      <c r="P35" s="26">
        <v>0</v>
      </c>
      <c r="Q35" s="27">
        <v>0</v>
      </c>
      <c r="R35" s="30">
        <v>0</v>
      </c>
      <c r="S35" s="27">
        <v>0</v>
      </c>
      <c r="T35" s="30">
        <v>0</v>
      </c>
      <c r="U35" s="34">
        <v>1</v>
      </c>
      <c r="V35" s="34">
        <v>1</v>
      </c>
      <c r="X35" s="8"/>
      <c r="Y35" s="2"/>
      <c r="Z35" s="26"/>
      <c r="AA35" s="26"/>
      <c r="AB35" s="26"/>
      <c r="AC35" s="26"/>
      <c r="AD35" s="27"/>
      <c r="AE35" s="30"/>
      <c r="AF35" s="26"/>
      <c r="AG35" s="26"/>
      <c r="AH35" s="32"/>
      <c r="AJ35" s="8"/>
      <c r="AK35" s="2" t="s">
        <v>1002</v>
      </c>
      <c r="AL35" s="26">
        <v>0</v>
      </c>
      <c r="AM35" s="26">
        <v>0</v>
      </c>
      <c r="AN35" s="26">
        <v>0</v>
      </c>
      <c r="AO35" s="27">
        <v>0</v>
      </c>
      <c r="AP35" s="30">
        <v>0</v>
      </c>
      <c r="AQ35" s="26">
        <v>0</v>
      </c>
      <c r="AR35" s="26">
        <v>0</v>
      </c>
      <c r="AS35" s="32">
        <v>1</v>
      </c>
      <c r="AT35" s="34">
        <v>1</v>
      </c>
    </row>
    <row r="36" spans="2:46" x14ac:dyDescent="0.3">
      <c r="B36" s="8"/>
      <c r="C36" s="2" t="s">
        <v>772</v>
      </c>
      <c r="D36" s="26">
        <v>0</v>
      </c>
      <c r="E36" s="26">
        <v>0</v>
      </c>
      <c r="F36" s="27">
        <v>0</v>
      </c>
      <c r="G36" s="26">
        <v>0</v>
      </c>
      <c r="H36" s="26">
        <v>0</v>
      </c>
      <c r="I36" s="27">
        <v>0</v>
      </c>
      <c r="J36" s="26">
        <v>0</v>
      </c>
      <c r="K36" s="26">
        <v>0</v>
      </c>
      <c r="L36" s="67">
        <v>1</v>
      </c>
      <c r="N36" s="8"/>
      <c r="O36" s="2" t="s">
        <v>815</v>
      </c>
      <c r="P36" s="26">
        <v>0</v>
      </c>
      <c r="Q36" s="27">
        <v>0</v>
      </c>
      <c r="R36" s="30">
        <v>0</v>
      </c>
      <c r="S36" s="27">
        <v>0</v>
      </c>
      <c r="T36" s="30">
        <v>0</v>
      </c>
      <c r="U36" s="34">
        <v>1</v>
      </c>
      <c r="V36" s="34">
        <v>1</v>
      </c>
      <c r="X36" s="8"/>
      <c r="Y36" s="2"/>
      <c r="Z36" s="26"/>
      <c r="AA36" s="26"/>
      <c r="AB36" s="26"/>
      <c r="AC36" s="26"/>
      <c r="AD36" s="27"/>
      <c r="AE36" s="30"/>
      <c r="AF36" s="26"/>
      <c r="AG36" s="26"/>
      <c r="AH36" s="32"/>
      <c r="AJ36" s="8"/>
      <c r="AK36" s="2" t="s">
        <v>1003</v>
      </c>
      <c r="AL36" s="26">
        <v>0</v>
      </c>
      <c r="AM36" s="26">
        <v>0</v>
      </c>
      <c r="AN36" s="26">
        <v>0</v>
      </c>
      <c r="AO36" s="27">
        <v>0</v>
      </c>
      <c r="AP36" s="30">
        <v>0</v>
      </c>
      <c r="AQ36" s="26">
        <v>0</v>
      </c>
      <c r="AR36" s="26">
        <v>0</v>
      </c>
      <c r="AS36" s="32">
        <v>1</v>
      </c>
      <c r="AT36" s="34">
        <v>1</v>
      </c>
    </row>
    <row r="37" spans="2:46" x14ac:dyDescent="0.3">
      <c r="B37" s="8"/>
      <c r="C37" s="2" t="s">
        <v>773</v>
      </c>
      <c r="D37" s="26">
        <v>0</v>
      </c>
      <c r="E37" s="26">
        <v>0</v>
      </c>
      <c r="F37" s="27">
        <v>0</v>
      </c>
      <c r="G37" s="26">
        <v>0</v>
      </c>
      <c r="H37" s="26">
        <v>0</v>
      </c>
      <c r="I37" s="27">
        <v>0</v>
      </c>
      <c r="J37" s="26">
        <v>0</v>
      </c>
      <c r="K37" s="26">
        <v>0</v>
      </c>
      <c r="L37" s="67">
        <v>1</v>
      </c>
      <c r="N37" s="8"/>
      <c r="O37" s="2" t="s">
        <v>816</v>
      </c>
      <c r="P37" s="26">
        <v>0</v>
      </c>
      <c r="Q37" s="27">
        <v>0</v>
      </c>
      <c r="R37" s="30">
        <v>0</v>
      </c>
      <c r="S37" s="27">
        <v>0</v>
      </c>
      <c r="T37" s="30">
        <v>0</v>
      </c>
      <c r="U37" s="34">
        <v>1</v>
      </c>
      <c r="V37" s="34">
        <v>1</v>
      </c>
      <c r="X37" s="8"/>
      <c r="Y37" s="2"/>
      <c r="Z37" s="26"/>
      <c r="AA37" s="26"/>
      <c r="AB37" s="26"/>
      <c r="AC37" s="26"/>
      <c r="AD37" s="27"/>
      <c r="AE37" s="30"/>
      <c r="AF37" s="26"/>
      <c r="AG37" s="26"/>
      <c r="AH37" s="32"/>
      <c r="AJ37" s="8"/>
      <c r="AK37" s="2" t="s">
        <v>1004</v>
      </c>
      <c r="AL37" s="26">
        <v>0</v>
      </c>
      <c r="AM37" s="26">
        <v>0</v>
      </c>
      <c r="AN37" s="26">
        <v>0</v>
      </c>
      <c r="AO37" s="27">
        <v>0</v>
      </c>
      <c r="AP37" s="30">
        <v>0</v>
      </c>
      <c r="AQ37" s="26">
        <v>0</v>
      </c>
      <c r="AR37" s="26">
        <v>0</v>
      </c>
      <c r="AS37" s="32">
        <v>1</v>
      </c>
      <c r="AT37" s="34">
        <v>1</v>
      </c>
    </row>
    <row r="38" spans="2:46" x14ac:dyDescent="0.3">
      <c r="B38" s="8"/>
      <c r="C38" s="2" t="s">
        <v>722</v>
      </c>
      <c r="D38" s="26">
        <v>0</v>
      </c>
      <c r="E38" s="26">
        <v>0</v>
      </c>
      <c r="F38" s="27">
        <v>0</v>
      </c>
      <c r="G38" s="26">
        <v>0</v>
      </c>
      <c r="H38" s="26">
        <v>0</v>
      </c>
      <c r="I38" s="27">
        <v>0</v>
      </c>
      <c r="J38" s="26">
        <v>0</v>
      </c>
      <c r="K38" s="26">
        <v>0</v>
      </c>
      <c r="L38" s="67">
        <v>1</v>
      </c>
      <c r="N38" s="8"/>
      <c r="O38" s="2" t="s">
        <v>658</v>
      </c>
      <c r="P38" s="26">
        <v>0</v>
      </c>
      <c r="Q38" s="27">
        <v>0</v>
      </c>
      <c r="R38" s="30">
        <v>0</v>
      </c>
      <c r="S38" s="27">
        <v>0</v>
      </c>
      <c r="T38" s="30">
        <v>0</v>
      </c>
      <c r="U38" s="34">
        <v>1</v>
      </c>
      <c r="V38" s="34">
        <v>1</v>
      </c>
      <c r="X38" s="8"/>
      <c r="Y38" s="2"/>
      <c r="Z38" s="26"/>
      <c r="AA38" s="26"/>
      <c r="AB38" s="26"/>
      <c r="AC38" s="26"/>
      <c r="AD38" s="27"/>
      <c r="AE38" s="30"/>
      <c r="AF38" s="26"/>
      <c r="AG38" s="26"/>
      <c r="AH38" s="32"/>
      <c r="AJ38" s="8"/>
      <c r="AK38" s="2"/>
      <c r="AL38" s="26"/>
      <c r="AM38" s="26"/>
      <c r="AN38" s="26"/>
      <c r="AO38" s="27"/>
      <c r="AP38" s="30"/>
      <c r="AQ38" s="26"/>
      <c r="AR38" s="26"/>
      <c r="AS38" s="32"/>
      <c r="AT38" s="34"/>
    </row>
    <row r="39" spans="2:46" x14ac:dyDescent="0.3">
      <c r="B39" s="8"/>
      <c r="C39" s="2" t="s">
        <v>774</v>
      </c>
      <c r="D39" s="26">
        <v>0</v>
      </c>
      <c r="E39" s="26">
        <v>0</v>
      </c>
      <c r="F39" s="27">
        <v>0</v>
      </c>
      <c r="G39" s="26">
        <v>0</v>
      </c>
      <c r="H39" s="26">
        <v>0</v>
      </c>
      <c r="I39" s="27">
        <v>0</v>
      </c>
      <c r="J39" s="26">
        <v>0</v>
      </c>
      <c r="K39" s="26">
        <v>0</v>
      </c>
      <c r="L39" s="67">
        <v>1</v>
      </c>
      <c r="N39" s="8"/>
      <c r="O39" s="2" t="s">
        <v>817</v>
      </c>
      <c r="P39" s="26">
        <v>0</v>
      </c>
      <c r="Q39" s="27">
        <v>0</v>
      </c>
      <c r="R39" s="30">
        <v>0</v>
      </c>
      <c r="S39" s="27">
        <v>0</v>
      </c>
      <c r="T39" s="30">
        <v>0</v>
      </c>
      <c r="U39" s="34">
        <v>1</v>
      </c>
      <c r="V39" s="34">
        <v>1</v>
      </c>
      <c r="X39" s="8"/>
      <c r="Y39" s="2"/>
      <c r="Z39" s="26"/>
      <c r="AA39" s="26"/>
      <c r="AB39" s="26"/>
      <c r="AC39" s="26"/>
      <c r="AD39" s="27"/>
      <c r="AE39" s="30"/>
      <c r="AF39" s="26"/>
      <c r="AG39" s="26"/>
      <c r="AH39" s="32"/>
      <c r="AJ39" s="8"/>
      <c r="AK39" s="2"/>
      <c r="AL39" s="26"/>
      <c r="AM39" s="26"/>
      <c r="AN39" s="26"/>
      <c r="AO39" s="27"/>
      <c r="AP39" s="30"/>
      <c r="AQ39" s="26"/>
      <c r="AR39" s="26"/>
      <c r="AS39" s="32"/>
      <c r="AT39" s="34"/>
    </row>
    <row r="40" spans="2:46" x14ac:dyDescent="0.3">
      <c r="B40" s="8"/>
      <c r="C40" s="2" t="s">
        <v>723</v>
      </c>
      <c r="D40" s="26">
        <v>0</v>
      </c>
      <c r="E40" s="26">
        <v>0</v>
      </c>
      <c r="F40" s="27">
        <v>0</v>
      </c>
      <c r="G40" s="26">
        <v>0</v>
      </c>
      <c r="H40" s="26">
        <v>0</v>
      </c>
      <c r="I40" s="27">
        <v>0</v>
      </c>
      <c r="J40" s="26">
        <v>0</v>
      </c>
      <c r="K40" s="26">
        <v>0</v>
      </c>
      <c r="L40" s="67">
        <v>1</v>
      </c>
      <c r="N40" s="8"/>
      <c r="O40" s="2" t="s">
        <v>659</v>
      </c>
      <c r="P40" s="26">
        <v>0</v>
      </c>
      <c r="Q40" s="27">
        <v>0</v>
      </c>
      <c r="R40" s="30">
        <v>0</v>
      </c>
      <c r="S40" s="27">
        <v>0</v>
      </c>
      <c r="T40" s="30">
        <v>0</v>
      </c>
      <c r="U40" s="34">
        <v>1</v>
      </c>
      <c r="V40" s="34">
        <v>1</v>
      </c>
      <c r="X40" s="8"/>
      <c r="Y40" s="2"/>
      <c r="Z40" s="26"/>
      <c r="AA40" s="26"/>
      <c r="AB40" s="26"/>
      <c r="AC40" s="26"/>
      <c r="AD40" s="27"/>
      <c r="AE40" s="30"/>
      <c r="AF40" s="26"/>
      <c r="AG40" s="26"/>
      <c r="AH40" s="32"/>
      <c r="AJ40" s="8"/>
      <c r="AK40" s="2"/>
      <c r="AL40" s="26"/>
      <c r="AM40" s="26"/>
      <c r="AN40" s="26"/>
      <c r="AO40" s="27"/>
      <c r="AP40" s="30"/>
      <c r="AQ40" s="26"/>
      <c r="AR40" s="26"/>
      <c r="AS40" s="32"/>
      <c r="AT40" s="34"/>
    </row>
    <row r="41" spans="2:46" x14ac:dyDescent="0.3">
      <c r="B41" s="8"/>
      <c r="C41" s="2" t="s">
        <v>775</v>
      </c>
      <c r="D41" s="26">
        <v>0</v>
      </c>
      <c r="E41" s="26">
        <v>0</v>
      </c>
      <c r="F41" s="27">
        <v>0</v>
      </c>
      <c r="G41" s="26">
        <v>0</v>
      </c>
      <c r="H41" s="26">
        <v>0</v>
      </c>
      <c r="I41" s="27">
        <v>0</v>
      </c>
      <c r="J41" s="26">
        <v>0</v>
      </c>
      <c r="K41" s="26">
        <v>0</v>
      </c>
      <c r="L41" s="67">
        <v>1</v>
      </c>
      <c r="N41" s="8"/>
      <c r="O41" s="2" t="s">
        <v>818</v>
      </c>
      <c r="P41" s="26">
        <v>0</v>
      </c>
      <c r="Q41" s="27">
        <v>0</v>
      </c>
      <c r="R41" s="30">
        <v>0</v>
      </c>
      <c r="S41" s="27">
        <v>0</v>
      </c>
      <c r="T41" s="30">
        <v>0</v>
      </c>
      <c r="U41" s="34">
        <v>1</v>
      </c>
      <c r="V41" s="34">
        <v>1</v>
      </c>
      <c r="X41" s="8"/>
      <c r="Y41" s="2"/>
      <c r="Z41" s="26"/>
      <c r="AA41" s="26"/>
      <c r="AB41" s="26"/>
      <c r="AC41" s="26"/>
      <c r="AD41" s="27"/>
      <c r="AE41" s="30"/>
      <c r="AF41" s="26"/>
      <c r="AG41" s="26"/>
      <c r="AH41" s="32"/>
      <c r="AJ41" s="8"/>
      <c r="AK41" s="2"/>
      <c r="AL41" s="26"/>
      <c r="AM41" s="26"/>
      <c r="AN41" s="26"/>
      <c r="AO41" s="27"/>
      <c r="AP41" s="30"/>
      <c r="AQ41" s="26"/>
      <c r="AR41" s="26"/>
      <c r="AS41" s="32"/>
      <c r="AT41" s="34"/>
    </row>
    <row r="42" spans="2:46" x14ac:dyDescent="0.3">
      <c r="B42" s="8"/>
      <c r="C42" s="2" t="s">
        <v>776</v>
      </c>
      <c r="D42" s="26">
        <v>0</v>
      </c>
      <c r="E42" s="26">
        <v>0</v>
      </c>
      <c r="F42" s="27">
        <v>0</v>
      </c>
      <c r="G42" s="26">
        <v>0</v>
      </c>
      <c r="H42" s="26">
        <v>0</v>
      </c>
      <c r="I42" s="27">
        <v>0</v>
      </c>
      <c r="J42" s="26">
        <v>0</v>
      </c>
      <c r="K42" s="26">
        <v>0</v>
      </c>
      <c r="L42" s="67">
        <v>1</v>
      </c>
      <c r="N42" s="8"/>
      <c r="O42" s="2" t="s">
        <v>819</v>
      </c>
      <c r="P42" s="26">
        <v>0</v>
      </c>
      <c r="Q42" s="27">
        <v>0</v>
      </c>
      <c r="R42" s="30">
        <v>0</v>
      </c>
      <c r="S42" s="27">
        <v>0</v>
      </c>
      <c r="T42" s="30">
        <v>0</v>
      </c>
      <c r="U42" s="34">
        <v>1</v>
      </c>
      <c r="V42" s="34">
        <v>1</v>
      </c>
      <c r="X42" s="8"/>
      <c r="Y42" s="2"/>
      <c r="Z42" s="26"/>
      <c r="AA42" s="26"/>
      <c r="AB42" s="26"/>
      <c r="AC42" s="26"/>
      <c r="AD42" s="27"/>
      <c r="AE42" s="30"/>
      <c r="AF42" s="26"/>
      <c r="AG42" s="26"/>
      <c r="AH42" s="32"/>
      <c r="AJ42" s="8"/>
      <c r="AK42" s="2"/>
      <c r="AL42" s="26"/>
      <c r="AM42" s="26"/>
      <c r="AN42" s="26"/>
      <c r="AO42" s="27"/>
      <c r="AP42" s="30"/>
      <c r="AQ42" s="26"/>
      <c r="AR42" s="26"/>
      <c r="AS42" s="32"/>
      <c r="AT42" s="34"/>
    </row>
    <row r="43" spans="2:46" x14ac:dyDescent="0.3">
      <c r="B43" s="8"/>
      <c r="C43" s="2" t="s">
        <v>777</v>
      </c>
      <c r="D43" s="26">
        <v>0</v>
      </c>
      <c r="E43" s="26">
        <v>0</v>
      </c>
      <c r="F43" s="27">
        <v>0</v>
      </c>
      <c r="G43" s="26">
        <v>0</v>
      </c>
      <c r="H43" s="26">
        <v>0</v>
      </c>
      <c r="I43" s="27">
        <v>0</v>
      </c>
      <c r="J43" s="26">
        <v>0</v>
      </c>
      <c r="K43" s="26">
        <v>0</v>
      </c>
      <c r="L43" s="67">
        <v>1</v>
      </c>
      <c r="N43" s="8"/>
      <c r="O43" s="2" t="s">
        <v>820</v>
      </c>
      <c r="P43" s="26">
        <v>0</v>
      </c>
      <c r="Q43" s="27">
        <v>0</v>
      </c>
      <c r="R43" s="30">
        <v>0</v>
      </c>
      <c r="S43" s="27">
        <v>0</v>
      </c>
      <c r="T43" s="30">
        <v>0</v>
      </c>
      <c r="U43" s="34">
        <v>1</v>
      </c>
      <c r="V43" s="34">
        <v>1</v>
      </c>
      <c r="X43" s="8"/>
      <c r="Y43" s="2"/>
      <c r="Z43" s="26"/>
      <c r="AA43" s="26"/>
      <c r="AB43" s="26"/>
      <c r="AC43" s="26"/>
      <c r="AD43" s="27"/>
      <c r="AE43" s="30"/>
      <c r="AF43" s="26"/>
      <c r="AG43" s="26"/>
      <c r="AH43" s="32"/>
      <c r="AJ43" s="8"/>
      <c r="AK43" s="2"/>
      <c r="AL43" s="26"/>
      <c r="AM43" s="26"/>
      <c r="AN43" s="26"/>
      <c r="AO43" s="27"/>
      <c r="AP43" s="30"/>
      <c r="AQ43" s="26"/>
      <c r="AR43" s="26"/>
      <c r="AS43" s="32"/>
      <c r="AT43" s="34"/>
    </row>
    <row r="44" spans="2:46" x14ac:dyDescent="0.3">
      <c r="B44" s="8"/>
      <c r="C44" s="2" t="s">
        <v>724</v>
      </c>
      <c r="D44" s="26">
        <v>0</v>
      </c>
      <c r="E44" s="26">
        <v>0</v>
      </c>
      <c r="F44" s="27">
        <v>0</v>
      </c>
      <c r="G44" s="26">
        <v>0</v>
      </c>
      <c r="H44" s="26">
        <v>0</v>
      </c>
      <c r="I44" s="27">
        <v>0</v>
      </c>
      <c r="J44" s="26">
        <v>0</v>
      </c>
      <c r="K44" s="26">
        <v>0</v>
      </c>
      <c r="L44" s="67">
        <v>1</v>
      </c>
      <c r="N44" s="8"/>
      <c r="O44" s="2" t="s">
        <v>660</v>
      </c>
      <c r="P44" s="26">
        <v>0</v>
      </c>
      <c r="Q44" s="27">
        <v>0</v>
      </c>
      <c r="R44" s="30">
        <v>0</v>
      </c>
      <c r="S44" s="27">
        <v>0</v>
      </c>
      <c r="T44" s="30">
        <v>0</v>
      </c>
      <c r="U44" s="34">
        <v>1</v>
      </c>
      <c r="V44" s="34">
        <v>1</v>
      </c>
      <c r="X44" s="8"/>
      <c r="Y44" s="2"/>
      <c r="Z44" s="26"/>
      <c r="AA44" s="26"/>
      <c r="AB44" s="26"/>
      <c r="AC44" s="26"/>
      <c r="AD44" s="27"/>
      <c r="AE44" s="30"/>
      <c r="AF44" s="26"/>
      <c r="AG44" s="26"/>
      <c r="AH44" s="32"/>
      <c r="AJ44" s="8"/>
      <c r="AK44" s="2"/>
      <c r="AL44" s="26"/>
      <c r="AM44" s="26"/>
      <c r="AN44" s="26"/>
      <c r="AO44" s="27"/>
      <c r="AP44" s="30"/>
      <c r="AQ44" s="26"/>
      <c r="AR44" s="26"/>
      <c r="AS44" s="32"/>
      <c r="AT44" s="34"/>
    </row>
    <row r="45" spans="2:46" x14ac:dyDescent="0.3">
      <c r="B45" s="8"/>
      <c r="C45" s="2" t="s">
        <v>725</v>
      </c>
      <c r="D45" s="26">
        <v>0</v>
      </c>
      <c r="E45" s="26">
        <v>0</v>
      </c>
      <c r="F45" s="27">
        <v>0</v>
      </c>
      <c r="G45" s="26">
        <v>0</v>
      </c>
      <c r="H45" s="26">
        <v>0</v>
      </c>
      <c r="I45" s="27">
        <v>0</v>
      </c>
      <c r="J45" s="26">
        <v>0</v>
      </c>
      <c r="K45" s="26">
        <v>0</v>
      </c>
      <c r="L45" s="67">
        <v>1</v>
      </c>
      <c r="N45" s="8"/>
      <c r="O45" s="2" t="s">
        <v>661</v>
      </c>
      <c r="P45" s="26">
        <v>0</v>
      </c>
      <c r="Q45" s="27">
        <v>0</v>
      </c>
      <c r="R45" s="30">
        <v>0</v>
      </c>
      <c r="S45" s="27">
        <v>0</v>
      </c>
      <c r="T45" s="30">
        <v>0</v>
      </c>
      <c r="U45" s="34">
        <v>1</v>
      </c>
      <c r="V45" s="34">
        <v>1</v>
      </c>
      <c r="X45" s="8"/>
      <c r="Y45" s="2"/>
      <c r="Z45" s="26"/>
      <c r="AA45" s="26"/>
      <c r="AB45" s="26"/>
      <c r="AC45" s="26"/>
      <c r="AD45" s="27"/>
      <c r="AE45" s="30"/>
      <c r="AF45" s="26"/>
      <c r="AG45" s="26"/>
      <c r="AH45" s="32"/>
      <c r="AJ45" s="8"/>
      <c r="AK45" s="2"/>
      <c r="AL45" s="26"/>
      <c r="AM45" s="26"/>
      <c r="AN45" s="26"/>
      <c r="AO45" s="27"/>
      <c r="AP45" s="30"/>
      <c r="AQ45" s="26"/>
      <c r="AR45" s="26"/>
      <c r="AS45" s="32"/>
      <c r="AT45" s="34"/>
    </row>
    <row r="46" spans="2:46" x14ac:dyDescent="0.3">
      <c r="B46" s="8"/>
      <c r="C46" s="2" t="s">
        <v>778</v>
      </c>
      <c r="D46" s="26">
        <v>0</v>
      </c>
      <c r="E46" s="26">
        <v>0</v>
      </c>
      <c r="F46" s="27">
        <v>0</v>
      </c>
      <c r="G46" s="26">
        <v>0</v>
      </c>
      <c r="H46" s="26">
        <v>0</v>
      </c>
      <c r="I46" s="27">
        <v>0</v>
      </c>
      <c r="J46" s="26">
        <v>0</v>
      </c>
      <c r="K46" s="26">
        <v>0</v>
      </c>
      <c r="L46" s="67">
        <v>1</v>
      </c>
      <c r="N46" s="8"/>
      <c r="O46" s="2" t="s">
        <v>821</v>
      </c>
      <c r="P46" s="26">
        <v>0</v>
      </c>
      <c r="Q46" s="27">
        <v>0</v>
      </c>
      <c r="R46" s="30">
        <v>0</v>
      </c>
      <c r="S46" s="27">
        <v>0</v>
      </c>
      <c r="T46" s="30">
        <v>0</v>
      </c>
      <c r="U46" s="34">
        <v>1</v>
      </c>
      <c r="V46" s="34">
        <v>1</v>
      </c>
      <c r="X46" s="8"/>
      <c r="Y46" s="2"/>
      <c r="Z46" s="26"/>
      <c r="AA46" s="26"/>
      <c r="AB46" s="26"/>
      <c r="AC46" s="26"/>
      <c r="AD46" s="27"/>
      <c r="AE46" s="30"/>
      <c r="AF46" s="26"/>
      <c r="AG46" s="26"/>
      <c r="AH46" s="32"/>
      <c r="AJ46" s="8"/>
      <c r="AK46" s="2"/>
      <c r="AL46" s="26"/>
      <c r="AM46" s="26"/>
      <c r="AN46" s="26"/>
      <c r="AO46" s="27"/>
      <c r="AP46" s="30"/>
      <c r="AQ46" s="26"/>
      <c r="AR46" s="26"/>
      <c r="AS46" s="32"/>
      <c r="AT46" s="34"/>
    </row>
    <row r="47" spans="2:46" x14ac:dyDescent="0.3">
      <c r="B47" s="8"/>
      <c r="C47" s="2" t="s">
        <v>726</v>
      </c>
      <c r="D47" s="26">
        <v>0</v>
      </c>
      <c r="E47" s="26">
        <v>0</v>
      </c>
      <c r="F47" s="27">
        <v>0</v>
      </c>
      <c r="G47" s="26">
        <v>0</v>
      </c>
      <c r="H47" s="26">
        <v>0</v>
      </c>
      <c r="I47" s="27">
        <v>0</v>
      </c>
      <c r="J47" s="26">
        <v>0</v>
      </c>
      <c r="K47" s="26">
        <v>0</v>
      </c>
      <c r="L47" s="67">
        <v>1</v>
      </c>
      <c r="N47" s="8"/>
      <c r="O47" s="2" t="s">
        <v>662</v>
      </c>
      <c r="P47" s="26">
        <v>0</v>
      </c>
      <c r="Q47" s="27">
        <v>0</v>
      </c>
      <c r="R47" s="30">
        <v>0</v>
      </c>
      <c r="S47" s="27">
        <v>0</v>
      </c>
      <c r="T47" s="30">
        <v>0</v>
      </c>
      <c r="U47" s="34">
        <v>1</v>
      </c>
      <c r="V47" s="34">
        <v>1</v>
      </c>
      <c r="X47" s="8"/>
      <c r="Y47" s="2"/>
      <c r="Z47" s="26"/>
      <c r="AA47" s="26"/>
      <c r="AB47" s="26"/>
      <c r="AC47" s="26"/>
      <c r="AD47" s="27"/>
      <c r="AE47" s="30"/>
      <c r="AF47" s="26"/>
      <c r="AG47" s="26"/>
      <c r="AH47" s="32"/>
      <c r="AJ47" s="8"/>
      <c r="AK47" s="2"/>
      <c r="AL47" s="26"/>
      <c r="AM47" s="26"/>
      <c r="AN47" s="26"/>
      <c r="AO47" s="27"/>
      <c r="AP47" s="30"/>
      <c r="AQ47" s="26"/>
      <c r="AR47" s="26"/>
      <c r="AS47" s="32"/>
      <c r="AT47" s="34"/>
    </row>
    <row r="48" spans="2:46" x14ac:dyDescent="0.3">
      <c r="B48" s="8"/>
      <c r="C48" s="2" t="s">
        <v>779</v>
      </c>
      <c r="D48" s="26">
        <v>0</v>
      </c>
      <c r="E48" s="26">
        <v>0</v>
      </c>
      <c r="F48" s="27">
        <v>0</v>
      </c>
      <c r="G48" s="26">
        <v>0</v>
      </c>
      <c r="H48" s="26">
        <v>0</v>
      </c>
      <c r="I48" s="27">
        <v>0</v>
      </c>
      <c r="J48" s="26">
        <v>0</v>
      </c>
      <c r="K48" s="26">
        <v>0</v>
      </c>
      <c r="L48" s="67">
        <v>1</v>
      </c>
      <c r="N48" s="8"/>
      <c r="O48" s="2" t="s">
        <v>822</v>
      </c>
      <c r="P48" s="26">
        <v>0</v>
      </c>
      <c r="Q48" s="27">
        <v>0</v>
      </c>
      <c r="R48" s="30">
        <v>0</v>
      </c>
      <c r="S48" s="27">
        <v>0</v>
      </c>
      <c r="T48" s="30">
        <v>0</v>
      </c>
      <c r="U48" s="34">
        <v>1</v>
      </c>
      <c r="V48" s="34">
        <v>1</v>
      </c>
      <c r="X48" s="8"/>
      <c r="Y48" s="2"/>
      <c r="Z48" s="26"/>
      <c r="AA48" s="26"/>
      <c r="AB48" s="26"/>
      <c r="AC48" s="26"/>
      <c r="AD48" s="27"/>
      <c r="AE48" s="30"/>
      <c r="AF48" s="26"/>
      <c r="AG48" s="26"/>
      <c r="AH48" s="32"/>
      <c r="AJ48" s="8"/>
      <c r="AK48" s="2"/>
      <c r="AL48" s="26"/>
      <c r="AM48" s="26"/>
      <c r="AN48" s="26"/>
      <c r="AO48" s="27"/>
      <c r="AP48" s="30"/>
      <c r="AQ48" s="26"/>
      <c r="AR48" s="26"/>
      <c r="AS48" s="32"/>
      <c r="AT48" s="34"/>
    </row>
    <row r="49" spans="2:46" x14ac:dyDescent="0.3">
      <c r="B49" s="8"/>
      <c r="C49" s="2" t="s">
        <v>780</v>
      </c>
      <c r="D49" s="26">
        <v>0</v>
      </c>
      <c r="E49" s="26">
        <v>0</v>
      </c>
      <c r="F49" s="27">
        <v>0</v>
      </c>
      <c r="G49" s="26">
        <v>0</v>
      </c>
      <c r="H49" s="26">
        <v>0</v>
      </c>
      <c r="I49" s="27">
        <v>0</v>
      </c>
      <c r="J49" s="26">
        <v>0</v>
      </c>
      <c r="K49" s="26">
        <v>0</v>
      </c>
      <c r="L49" s="67">
        <v>1</v>
      </c>
      <c r="N49" s="8"/>
      <c r="O49" s="2" t="s">
        <v>823</v>
      </c>
      <c r="P49" s="26">
        <v>0</v>
      </c>
      <c r="Q49" s="27">
        <v>0</v>
      </c>
      <c r="R49" s="30">
        <v>0</v>
      </c>
      <c r="S49" s="27">
        <v>0</v>
      </c>
      <c r="T49" s="30">
        <v>0</v>
      </c>
      <c r="U49" s="34">
        <v>1</v>
      </c>
      <c r="V49" s="34">
        <v>1</v>
      </c>
      <c r="X49" s="8"/>
      <c r="Y49" s="2"/>
      <c r="Z49" s="26"/>
      <c r="AA49" s="26"/>
      <c r="AB49" s="26"/>
      <c r="AC49" s="26"/>
      <c r="AD49" s="27"/>
      <c r="AE49" s="30"/>
      <c r="AF49" s="26"/>
      <c r="AG49" s="26"/>
      <c r="AH49" s="32"/>
      <c r="AJ49" s="8"/>
      <c r="AK49" s="2"/>
      <c r="AL49" s="26"/>
      <c r="AM49" s="26"/>
      <c r="AN49" s="26"/>
      <c r="AO49" s="27"/>
      <c r="AP49" s="30"/>
      <c r="AQ49" s="26"/>
      <c r="AR49" s="26"/>
      <c r="AS49" s="32"/>
      <c r="AT49" s="34"/>
    </row>
    <row r="50" spans="2:46" x14ac:dyDescent="0.3">
      <c r="B50" s="8"/>
      <c r="C50" s="2" t="s">
        <v>727</v>
      </c>
      <c r="D50" s="26">
        <v>0</v>
      </c>
      <c r="E50" s="26">
        <v>0</v>
      </c>
      <c r="F50" s="27">
        <v>0</v>
      </c>
      <c r="G50" s="26">
        <v>0</v>
      </c>
      <c r="H50" s="26">
        <v>0</v>
      </c>
      <c r="I50" s="27">
        <v>0</v>
      </c>
      <c r="J50" s="26">
        <v>0</v>
      </c>
      <c r="K50" s="26">
        <v>0</v>
      </c>
      <c r="L50" s="67">
        <v>1</v>
      </c>
      <c r="N50" s="8"/>
      <c r="O50" s="2" t="s">
        <v>663</v>
      </c>
      <c r="P50" s="26">
        <v>0</v>
      </c>
      <c r="Q50" s="27">
        <v>0</v>
      </c>
      <c r="R50" s="30">
        <v>0</v>
      </c>
      <c r="S50" s="27">
        <v>0</v>
      </c>
      <c r="T50" s="30">
        <v>0</v>
      </c>
      <c r="U50" s="34">
        <v>1</v>
      </c>
      <c r="V50" s="34">
        <v>1</v>
      </c>
      <c r="X50" s="8"/>
      <c r="Y50" s="2"/>
      <c r="Z50" s="26"/>
      <c r="AA50" s="26"/>
      <c r="AB50" s="26"/>
      <c r="AC50" s="26"/>
      <c r="AD50" s="27"/>
      <c r="AE50" s="30"/>
      <c r="AF50" s="26"/>
      <c r="AG50" s="26"/>
      <c r="AH50" s="32"/>
      <c r="AJ50" s="8"/>
      <c r="AK50" s="2"/>
      <c r="AL50" s="26"/>
      <c r="AM50" s="26"/>
      <c r="AN50" s="26"/>
      <c r="AO50" s="27"/>
      <c r="AP50" s="30"/>
      <c r="AQ50" s="26"/>
      <c r="AR50" s="26"/>
      <c r="AS50" s="32"/>
      <c r="AT50" s="34"/>
    </row>
    <row r="51" spans="2:46" x14ac:dyDescent="0.3">
      <c r="B51" s="8"/>
      <c r="C51" s="2" t="s">
        <v>728</v>
      </c>
      <c r="D51" s="26">
        <v>0</v>
      </c>
      <c r="E51" s="26">
        <v>0</v>
      </c>
      <c r="F51" s="27">
        <v>0</v>
      </c>
      <c r="G51" s="26">
        <v>0</v>
      </c>
      <c r="H51" s="26">
        <v>0</v>
      </c>
      <c r="I51" s="27">
        <v>0</v>
      </c>
      <c r="J51" s="26">
        <v>0</v>
      </c>
      <c r="K51" s="26">
        <v>0</v>
      </c>
      <c r="L51" s="67">
        <v>1</v>
      </c>
      <c r="N51" s="8"/>
      <c r="O51" s="2" t="s">
        <v>664</v>
      </c>
      <c r="P51" s="26">
        <v>0</v>
      </c>
      <c r="Q51" s="27">
        <v>0</v>
      </c>
      <c r="R51" s="30">
        <v>0</v>
      </c>
      <c r="S51" s="27">
        <v>0</v>
      </c>
      <c r="T51" s="30">
        <v>0</v>
      </c>
      <c r="U51" s="34">
        <v>1</v>
      </c>
      <c r="V51" s="34">
        <v>1</v>
      </c>
      <c r="X51" s="8"/>
      <c r="Y51" s="2"/>
      <c r="Z51" s="26"/>
      <c r="AA51" s="26"/>
      <c r="AB51" s="26"/>
      <c r="AC51" s="26"/>
      <c r="AD51" s="27"/>
      <c r="AE51" s="30"/>
      <c r="AF51" s="26"/>
      <c r="AG51" s="26"/>
      <c r="AH51" s="32"/>
      <c r="AJ51" s="8"/>
      <c r="AK51" s="2"/>
      <c r="AL51" s="26"/>
      <c r="AM51" s="26"/>
      <c r="AN51" s="26"/>
      <c r="AO51" s="27"/>
      <c r="AP51" s="30"/>
      <c r="AQ51" s="26"/>
      <c r="AR51" s="26"/>
      <c r="AS51" s="32"/>
      <c r="AT51" s="34"/>
    </row>
    <row r="52" spans="2:46" x14ac:dyDescent="0.3">
      <c r="B52" s="8"/>
      <c r="C52" s="2" t="s">
        <v>781</v>
      </c>
      <c r="D52" s="26">
        <v>0</v>
      </c>
      <c r="E52" s="26">
        <v>0</v>
      </c>
      <c r="F52" s="27">
        <v>0</v>
      </c>
      <c r="G52" s="26">
        <v>0</v>
      </c>
      <c r="H52" s="26">
        <v>0</v>
      </c>
      <c r="I52" s="27">
        <v>0</v>
      </c>
      <c r="J52" s="26">
        <v>0</v>
      </c>
      <c r="K52" s="26">
        <v>0</v>
      </c>
      <c r="L52" s="67">
        <v>1</v>
      </c>
      <c r="N52" s="8"/>
      <c r="O52" s="2" t="s">
        <v>824</v>
      </c>
      <c r="P52" s="26">
        <v>0</v>
      </c>
      <c r="Q52" s="27">
        <v>0</v>
      </c>
      <c r="R52" s="30">
        <v>0</v>
      </c>
      <c r="S52" s="27">
        <v>0</v>
      </c>
      <c r="T52" s="30">
        <v>0</v>
      </c>
      <c r="U52" s="34">
        <v>1</v>
      </c>
      <c r="V52" s="34">
        <v>1</v>
      </c>
      <c r="X52" s="8"/>
      <c r="Y52" s="2"/>
      <c r="Z52" s="26"/>
      <c r="AA52" s="26"/>
      <c r="AB52" s="26"/>
      <c r="AC52" s="26"/>
      <c r="AD52" s="27"/>
      <c r="AE52" s="30"/>
      <c r="AF52" s="26"/>
      <c r="AG52" s="26"/>
      <c r="AH52" s="32"/>
      <c r="AJ52" s="8"/>
      <c r="AK52" s="2"/>
      <c r="AL52" s="26"/>
      <c r="AM52" s="26"/>
      <c r="AN52" s="26"/>
      <c r="AO52" s="27"/>
      <c r="AP52" s="30"/>
      <c r="AQ52" s="26"/>
      <c r="AR52" s="26"/>
      <c r="AS52" s="32"/>
      <c r="AT52" s="34"/>
    </row>
    <row r="53" spans="2:46" x14ac:dyDescent="0.3">
      <c r="B53" s="8"/>
      <c r="C53" s="2" t="s">
        <v>729</v>
      </c>
      <c r="D53" s="26">
        <v>0</v>
      </c>
      <c r="E53" s="26">
        <v>0</v>
      </c>
      <c r="F53" s="27">
        <v>0</v>
      </c>
      <c r="G53" s="26">
        <v>0</v>
      </c>
      <c r="H53" s="26">
        <v>0</v>
      </c>
      <c r="I53" s="27">
        <v>0</v>
      </c>
      <c r="J53" s="26">
        <v>0</v>
      </c>
      <c r="K53" s="26">
        <v>0</v>
      </c>
      <c r="L53" s="67">
        <v>1</v>
      </c>
      <c r="N53" s="8"/>
      <c r="O53" s="2" t="s">
        <v>665</v>
      </c>
      <c r="P53" s="26">
        <v>0</v>
      </c>
      <c r="Q53" s="27">
        <v>0</v>
      </c>
      <c r="R53" s="30">
        <v>0</v>
      </c>
      <c r="S53" s="27">
        <v>0</v>
      </c>
      <c r="T53" s="30">
        <v>0</v>
      </c>
      <c r="U53" s="34">
        <v>1</v>
      </c>
      <c r="V53" s="34">
        <v>1</v>
      </c>
      <c r="X53" s="8"/>
      <c r="Y53" s="2"/>
      <c r="Z53" s="26"/>
      <c r="AA53" s="26"/>
      <c r="AB53" s="26"/>
      <c r="AC53" s="26"/>
      <c r="AD53" s="27"/>
      <c r="AE53" s="30"/>
      <c r="AF53" s="26"/>
      <c r="AG53" s="26"/>
      <c r="AH53" s="32"/>
      <c r="AJ53" s="8"/>
      <c r="AK53" s="2"/>
      <c r="AL53" s="26"/>
      <c r="AM53" s="26"/>
      <c r="AN53" s="26"/>
      <c r="AO53" s="27"/>
      <c r="AP53" s="30"/>
      <c r="AQ53" s="26"/>
      <c r="AR53" s="26"/>
      <c r="AS53" s="32"/>
      <c r="AT53" s="34"/>
    </row>
    <row r="54" spans="2:46" x14ac:dyDescent="0.3">
      <c r="B54" s="8"/>
      <c r="C54" s="2" t="s">
        <v>782</v>
      </c>
      <c r="D54" s="26">
        <v>0</v>
      </c>
      <c r="E54" s="26">
        <v>0</v>
      </c>
      <c r="F54" s="27">
        <v>0</v>
      </c>
      <c r="G54" s="26">
        <v>0</v>
      </c>
      <c r="H54" s="26">
        <v>0</v>
      </c>
      <c r="I54" s="27">
        <v>0</v>
      </c>
      <c r="J54" s="26">
        <v>0</v>
      </c>
      <c r="K54" s="26">
        <v>0</v>
      </c>
      <c r="L54" s="67">
        <v>1</v>
      </c>
      <c r="N54" s="8"/>
      <c r="O54" s="2" t="s">
        <v>825</v>
      </c>
      <c r="P54" s="26">
        <v>0</v>
      </c>
      <c r="Q54" s="27">
        <v>0</v>
      </c>
      <c r="R54" s="30">
        <v>0</v>
      </c>
      <c r="S54" s="27">
        <v>0</v>
      </c>
      <c r="T54" s="30">
        <v>0</v>
      </c>
      <c r="U54" s="34">
        <v>1</v>
      </c>
      <c r="V54" s="34">
        <v>1</v>
      </c>
      <c r="X54" s="8"/>
      <c r="Y54" s="2"/>
      <c r="Z54" s="26"/>
      <c r="AA54" s="26"/>
      <c r="AB54" s="26"/>
      <c r="AC54" s="26"/>
      <c r="AD54" s="27"/>
      <c r="AE54" s="30"/>
      <c r="AF54" s="26"/>
      <c r="AG54" s="26"/>
      <c r="AH54" s="32"/>
      <c r="AJ54" s="8"/>
      <c r="AK54" s="2"/>
      <c r="AL54" s="26"/>
      <c r="AM54" s="26"/>
      <c r="AN54" s="26"/>
      <c r="AO54" s="27"/>
      <c r="AP54" s="30"/>
      <c r="AQ54" s="26"/>
      <c r="AR54" s="26"/>
      <c r="AS54" s="32"/>
      <c r="AT54" s="34"/>
    </row>
    <row r="55" spans="2:46" x14ac:dyDescent="0.3">
      <c r="B55" s="8"/>
      <c r="C55" s="2" t="s">
        <v>783</v>
      </c>
      <c r="D55" s="26">
        <v>0</v>
      </c>
      <c r="E55" s="26">
        <v>0</v>
      </c>
      <c r="F55" s="27">
        <v>0</v>
      </c>
      <c r="G55" s="26">
        <v>0</v>
      </c>
      <c r="H55" s="26">
        <v>0</v>
      </c>
      <c r="I55" s="27">
        <v>0</v>
      </c>
      <c r="J55" s="26">
        <v>0</v>
      </c>
      <c r="K55" s="26">
        <v>0</v>
      </c>
      <c r="L55" s="67">
        <v>1</v>
      </c>
      <c r="N55" s="8"/>
      <c r="O55" s="2" t="s">
        <v>826</v>
      </c>
      <c r="P55" s="26">
        <v>0</v>
      </c>
      <c r="Q55" s="27">
        <v>0</v>
      </c>
      <c r="R55" s="30">
        <v>0</v>
      </c>
      <c r="S55" s="27">
        <v>0</v>
      </c>
      <c r="T55" s="30">
        <v>0</v>
      </c>
      <c r="U55" s="34">
        <v>1</v>
      </c>
      <c r="V55" s="34">
        <v>1</v>
      </c>
      <c r="X55" s="8"/>
      <c r="Y55" s="2"/>
      <c r="Z55" s="26"/>
      <c r="AA55" s="26"/>
      <c r="AB55" s="26"/>
      <c r="AC55" s="26"/>
      <c r="AD55" s="27"/>
      <c r="AE55" s="30"/>
      <c r="AF55" s="26"/>
      <c r="AG55" s="26"/>
      <c r="AH55" s="32"/>
      <c r="AJ55" s="8"/>
      <c r="AK55" s="2"/>
      <c r="AL55" s="26"/>
      <c r="AM55" s="26"/>
      <c r="AN55" s="26"/>
      <c r="AO55" s="27"/>
      <c r="AP55" s="30"/>
      <c r="AQ55" s="26"/>
      <c r="AR55" s="26"/>
      <c r="AS55" s="32"/>
      <c r="AT55" s="34"/>
    </row>
    <row r="56" spans="2:46" x14ac:dyDescent="0.3">
      <c r="B56" s="8"/>
      <c r="C56" s="2" t="s">
        <v>784</v>
      </c>
      <c r="D56" s="26">
        <v>0</v>
      </c>
      <c r="E56" s="26">
        <v>0</v>
      </c>
      <c r="F56" s="27">
        <v>0</v>
      </c>
      <c r="G56" s="26">
        <v>0</v>
      </c>
      <c r="H56" s="26">
        <v>0</v>
      </c>
      <c r="I56" s="27">
        <v>0</v>
      </c>
      <c r="J56" s="26">
        <v>0</v>
      </c>
      <c r="K56" s="26">
        <v>0</v>
      </c>
      <c r="L56" s="67">
        <v>1</v>
      </c>
      <c r="N56" s="8"/>
      <c r="O56" s="2" t="s">
        <v>827</v>
      </c>
      <c r="P56" s="26">
        <v>0</v>
      </c>
      <c r="Q56" s="27">
        <v>0</v>
      </c>
      <c r="R56" s="30">
        <v>0</v>
      </c>
      <c r="S56" s="27">
        <v>0</v>
      </c>
      <c r="T56" s="30">
        <v>0</v>
      </c>
      <c r="U56" s="34">
        <v>1</v>
      </c>
      <c r="V56" s="34">
        <v>1</v>
      </c>
      <c r="X56" s="8"/>
      <c r="Y56" s="2"/>
      <c r="Z56" s="26"/>
      <c r="AA56" s="26"/>
      <c r="AB56" s="26"/>
      <c r="AC56" s="26"/>
      <c r="AD56" s="27"/>
      <c r="AE56" s="30"/>
      <c r="AF56" s="26"/>
      <c r="AG56" s="26"/>
      <c r="AH56" s="32"/>
      <c r="AJ56" s="8"/>
      <c r="AK56" s="2"/>
      <c r="AL56" s="26"/>
      <c r="AM56" s="26"/>
      <c r="AN56" s="26"/>
      <c r="AO56" s="27"/>
      <c r="AP56" s="30"/>
      <c r="AQ56" s="26"/>
      <c r="AR56" s="26"/>
      <c r="AS56" s="32"/>
      <c r="AT56" s="34"/>
    </row>
    <row r="57" spans="2:46" x14ac:dyDescent="0.3">
      <c r="B57" s="8"/>
      <c r="C57" s="2" t="s">
        <v>785</v>
      </c>
      <c r="D57" s="26">
        <v>0</v>
      </c>
      <c r="E57" s="26">
        <v>0</v>
      </c>
      <c r="F57" s="27">
        <v>0</v>
      </c>
      <c r="G57" s="26">
        <v>0</v>
      </c>
      <c r="H57" s="26">
        <v>0</v>
      </c>
      <c r="I57" s="27">
        <v>0</v>
      </c>
      <c r="J57" s="26">
        <v>0</v>
      </c>
      <c r="K57" s="26">
        <v>0</v>
      </c>
      <c r="L57" s="67">
        <v>1</v>
      </c>
      <c r="N57" s="8"/>
      <c r="O57" s="2" t="s">
        <v>828</v>
      </c>
      <c r="P57" s="26">
        <v>0</v>
      </c>
      <c r="Q57" s="27">
        <v>0</v>
      </c>
      <c r="R57" s="30">
        <v>0</v>
      </c>
      <c r="S57" s="27">
        <v>0</v>
      </c>
      <c r="T57" s="30">
        <v>0</v>
      </c>
      <c r="U57" s="34">
        <v>1</v>
      </c>
      <c r="V57" s="34">
        <v>1</v>
      </c>
      <c r="X57" s="8"/>
      <c r="Y57" s="2"/>
      <c r="Z57" s="26"/>
      <c r="AA57" s="26"/>
      <c r="AB57" s="26"/>
      <c r="AC57" s="26"/>
      <c r="AD57" s="27"/>
      <c r="AE57" s="30"/>
      <c r="AF57" s="26"/>
      <c r="AG57" s="26"/>
      <c r="AH57" s="32"/>
      <c r="AJ57" s="8"/>
      <c r="AK57" s="2"/>
      <c r="AL57" s="26"/>
      <c r="AM57" s="26"/>
      <c r="AN57" s="26"/>
      <c r="AO57" s="27"/>
      <c r="AP57" s="30"/>
      <c r="AQ57" s="26"/>
      <c r="AR57" s="26"/>
      <c r="AS57" s="32"/>
      <c r="AT57" s="34"/>
    </row>
    <row r="58" spans="2:46" x14ac:dyDescent="0.3">
      <c r="B58" s="8"/>
      <c r="C58" s="2" t="s">
        <v>786</v>
      </c>
      <c r="D58" s="26">
        <v>0</v>
      </c>
      <c r="E58" s="26">
        <v>0</v>
      </c>
      <c r="F58" s="27">
        <v>0</v>
      </c>
      <c r="G58" s="26">
        <v>0</v>
      </c>
      <c r="H58" s="26">
        <v>0</v>
      </c>
      <c r="I58" s="27">
        <v>0</v>
      </c>
      <c r="J58" s="26">
        <v>0</v>
      </c>
      <c r="K58" s="26">
        <v>0</v>
      </c>
      <c r="L58" s="67">
        <v>1</v>
      </c>
      <c r="N58" s="8"/>
      <c r="O58" s="2" t="s">
        <v>829</v>
      </c>
      <c r="P58" s="26">
        <v>0</v>
      </c>
      <c r="Q58" s="27">
        <v>0</v>
      </c>
      <c r="R58" s="30">
        <v>0</v>
      </c>
      <c r="S58" s="27">
        <v>0</v>
      </c>
      <c r="T58" s="30">
        <v>0</v>
      </c>
      <c r="U58" s="34">
        <v>1</v>
      </c>
      <c r="V58" s="34">
        <v>1</v>
      </c>
      <c r="X58" s="8"/>
      <c r="Y58" s="2"/>
      <c r="Z58" s="26"/>
      <c r="AA58" s="26"/>
      <c r="AB58" s="26"/>
      <c r="AC58" s="26"/>
      <c r="AD58" s="27"/>
      <c r="AE58" s="30"/>
      <c r="AF58" s="26"/>
      <c r="AG58" s="26"/>
      <c r="AH58" s="32"/>
      <c r="AJ58" s="8"/>
      <c r="AK58" s="2"/>
      <c r="AL58" s="26"/>
      <c r="AM58" s="26"/>
      <c r="AN58" s="26"/>
      <c r="AO58" s="27"/>
      <c r="AP58" s="30"/>
      <c r="AQ58" s="26"/>
      <c r="AR58" s="26"/>
      <c r="AS58" s="32"/>
      <c r="AT58" s="34"/>
    </row>
    <row r="59" spans="2:46" x14ac:dyDescent="0.3">
      <c r="B59" s="8"/>
      <c r="C59" s="2" t="s">
        <v>787</v>
      </c>
      <c r="D59" s="26">
        <v>0</v>
      </c>
      <c r="E59" s="26">
        <v>0</v>
      </c>
      <c r="F59" s="27">
        <v>0</v>
      </c>
      <c r="G59" s="26">
        <v>0</v>
      </c>
      <c r="H59" s="26">
        <v>0</v>
      </c>
      <c r="I59" s="27">
        <v>0</v>
      </c>
      <c r="J59" s="26">
        <v>0</v>
      </c>
      <c r="K59" s="26">
        <v>0</v>
      </c>
      <c r="L59" s="67">
        <v>1</v>
      </c>
      <c r="N59" s="8"/>
      <c r="O59" s="2" t="s">
        <v>830</v>
      </c>
      <c r="P59" s="26">
        <v>0</v>
      </c>
      <c r="Q59" s="27">
        <v>0</v>
      </c>
      <c r="R59" s="30">
        <v>0</v>
      </c>
      <c r="S59" s="27">
        <v>0</v>
      </c>
      <c r="T59" s="30">
        <v>0</v>
      </c>
      <c r="U59" s="34">
        <v>1</v>
      </c>
      <c r="V59" s="34">
        <v>1</v>
      </c>
      <c r="X59" s="8"/>
      <c r="Y59" s="2"/>
      <c r="Z59" s="26"/>
      <c r="AA59" s="26"/>
      <c r="AB59" s="26"/>
      <c r="AC59" s="26"/>
      <c r="AD59" s="27"/>
      <c r="AE59" s="30"/>
      <c r="AF59" s="26"/>
      <c r="AG59" s="26"/>
      <c r="AH59" s="32"/>
      <c r="AJ59" s="8"/>
      <c r="AK59" s="2"/>
      <c r="AL59" s="26"/>
      <c r="AM59" s="26"/>
      <c r="AN59" s="26"/>
      <c r="AO59" s="27"/>
      <c r="AP59" s="30"/>
      <c r="AQ59" s="26"/>
      <c r="AR59" s="26"/>
      <c r="AS59" s="32"/>
      <c r="AT59" s="34"/>
    </row>
    <row r="60" spans="2:46" x14ac:dyDescent="0.3">
      <c r="B60" s="8"/>
      <c r="C60" s="2" t="s">
        <v>788</v>
      </c>
      <c r="D60" s="26">
        <v>0</v>
      </c>
      <c r="E60" s="26">
        <v>0</v>
      </c>
      <c r="F60" s="27">
        <v>0</v>
      </c>
      <c r="G60" s="26">
        <v>0</v>
      </c>
      <c r="H60" s="26">
        <v>0</v>
      </c>
      <c r="I60" s="27">
        <v>0</v>
      </c>
      <c r="J60" s="26">
        <v>0</v>
      </c>
      <c r="K60" s="26">
        <v>0</v>
      </c>
      <c r="L60" s="67">
        <v>1</v>
      </c>
      <c r="N60" s="8"/>
      <c r="O60" s="2" t="s">
        <v>831</v>
      </c>
      <c r="P60" s="26">
        <v>0</v>
      </c>
      <c r="Q60" s="27">
        <v>0</v>
      </c>
      <c r="R60" s="30">
        <v>0</v>
      </c>
      <c r="S60" s="27">
        <v>0</v>
      </c>
      <c r="T60" s="30">
        <v>0</v>
      </c>
      <c r="U60" s="34">
        <v>1</v>
      </c>
      <c r="V60" s="34">
        <v>1</v>
      </c>
      <c r="X60" s="8"/>
      <c r="Y60" s="2"/>
      <c r="Z60" s="26"/>
      <c r="AA60" s="26"/>
      <c r="AB60" s="26"/>
      <c r="AC60" s="26"/>
      <c r="AD60" s="27"/>
      <c r="AE60" s="30"/>
      <c r="AF60" s="26"/>
      <c r="AG60" s="26"/>
      <c r="AH60" s="32"/>
      <c r="AJ60" s="8"/>
      <c r="AK60" s="2"/>
      <c r="AL60" s="26"/>
      <c r="AM60" s="26"/>
      <c r="AN60" s="26"/>
      <c r="AO60" s="27"/>
      <c r="AP60" s="30"/>
      <c r="AQ60" s="26"/>
      <c r="AR60" s="26"/>
      <c r="AS60" s="32"/>
      <c r="AT60" s="34"/>
    </row>
    <row r="61" spans="2:46" x14ac:dyDescent="0.3">
      <c r="B61" s="8"/>
      <c r="C61" s="2" t="s">
        <v>789</v>
      </c>
      <c r="D61" s="26">
        <v>0</v>
      </c>
      <c r="E61" s="26">
        <v>0</v>
      </c>
      <c r="F61" s="27">
        <v>0</v>
      </c>
      <c r="G61" s="26">
        <v>0</v>
      </c>
      <c r="H61" s="26">
        <v>0</v>
      </c>
      <c r="I61" s="27">
        <v>0</v>
      </c>
      <c r="J61" s="26">
        <v>0</v>
      </c>
      <c r="K61" s="26">
        <v>0</v>
      </c>
      <c r="L61" s="67">
        <v>1</v>
      </c>
      <c r="N61" s="8"/>
      <c r="O61" s="2" t="s">
        <v>832</v>
      </c>
      <c r="P61" s="26">
        <v>0</v>
      </c>
      <c r="Q61" s="27">
        <v>0</v>
      </c>
      <c r="R61" s="30">
        <v>0</v>
      </c>
      <c r="S61" s="27">
        <v>0</v>
      </c>
      <c r="T61" s="30">
        <v>0</v>
      </c>
      <c r="U61" s="34">
        <v>1</v>
      </c>
      <c r="V61" s="34">
        <v>1</v>
      </c>
      <c r="X61" s="8"/>
      <c r="Y61" s="2"/>
      <c r="Z61" s="26"/>
      <c r="AA61" s="26"/>
      <c r="AB61" s="26"/>
      <c r="AC61" s="26"/>
      <c r="AD61" s="27"/>
      <c r="AE61" s="30"/>
      <c r="AF61" s="26"/>
      <c r="AG61" s="26"/>
      <c r="AH61" s="32"/>
      <c r="AJ61" s="8"/>
      <c r="AK61" s="2"/>
      <c r="AL61" s="26"/>
      <c r="AM61" s="26"/>
      <c r="AN61" s="26"/>
      <c r="AO61" s="27"/>
      <c r="AP61" s="30"/>
      <c r="AQ61" s="26"/>
      <c r="AR61" s="26"/>
      <c r="AS61" s="32"/>
      <c r="AT61" s="34"/>
    </row>
    <row r="62" spans="2:46" x14ac:dyDescent="0.3">
      <c r="B62" s="8"/>
      <c r="C62" s="2" t="s">
        <v>790</v>
      </c>
      <c r="D62" s="26">
        <v>0</v>
      </c>
      <c r="E62" s="26">
        <v>0</v>
      </c>
      <c r="F62" s="27">
        <v>0</v>
      </c>
      <c r="G62" s="26">
        <v>0</v>
      </c>
      <c r="H62" s="26">
        <v>0</v>
      </c>
      <c r="I62" s="27">
        <v>0</v>
      </c>
      <c r="J62" s="26">
        <v>0</v>
      </c>
      <c r="K62" s="26">
        <v>0</v>
      </c>
      <c r="L62" s="67">
        <v>1</v>
      </c>
      <c r="N62" s="8"/>
      <c r="O62" s="2" t="s">
        <v>833</v>
      </c>
      <c r="P62" s="26">
        <v>0</v>
      </c>
      <c r="Q62" s="27">
        <v>0</v>
      </c>
      <c r="R62" s="30">
        <v>0</v>
      </c>
      <c r="S62" s="27">
        <v>0</v>
      </c>
      <c r="T62" s="30">
        <v>0</v>
      </c>
      <c r="U62" s="34">
        <v>1</v>
      </c>
      <c r="V62" s="34">
        <v>1</v>
      </c>
      <c r="X62" s="8"/>
      <c r="Y62" s="2"/>
      <c r="Z62" s="26"/>
      <c r="AA62" s="26"/>
      <c r="AB62" s="26"/>
      <c r="AC62" s="26"/>
      <c r="AD62" s="27"/>
      <c r="AE62" s="30"/>
      <c r="AF62" s="26"/>
      <c r="AG62" s="26"/>
      <c r="AH62" s="32"/>
      <c r="AJ62" s="8"/>
      <c r="AK62" s="2"/>
      <c r="AL62" s="26"/>
      <c r="AM62" s="26"/>
      <c r="AN62" s="26"/>
      <c r="AO62" s="27"/>
      <c r="AP62" s="30"/>
      <c r="AQ62" s="26"/>
      <c r="AR62" s="26"/>
      <c r="AS62" s="32"/>
      <c r="AT62" s="34"/>
    </row>
    <row r="63" spans="2:46" x14ac:dyDescent="0.3">
      <c r="B63" s="8"/>
      <c r="C63" s="2" t="s">
        <v>791</v>
      </c>
      <c r="D63" s="26">
        <v>0</v>
      </c>
      <c r="E63" s="26">
        <v>0</v>
      </c>
      <c r="F63" s="27">
        <v>0</v>
      </c>
      <c r="G63" s="26">
        <v>0</v>
      </c>
      <c r="H63" s="26">
        <v>0</v>
      </c>
      <c r="I63" s="27">
        <v>0</v>
      </c>
      <c r="J63" s="26">
        <v>0</v>
      </c>
      <c r="K63" s="26">
        <v>0</v>
      </c>
      <c r="L63" s="67">
        <v>1</v>
      </c>
      <c r="N63" s="8"/>
      <c r="O63" s="2" t="s">
        <v>834</v>
      </c>
      <c r="P63" s="26">
        <v>0</v>
      </c>
      <c r="Q63" s="27">
        <v>0</v>
      </c>
      <c r="R63" s="30">
        <v>0</v>
      </c>
      <c r="S63" s="27">
        <v>0</v>
      </c>
      <c r="T63" s="30">
        <v>0</v>
      </c>
      <c r="U63" s="34">
        <v>1</v>
      </c>
      <c r="V63" s="34">
        <v>1</v>
      </c>
      <c r="X63" s="8"/>
      <c r="Y63" s="2"/>
      <c r="Z63" s="26"/>
      <c r="AA63" s="26"/>
      <c r="AB63" s="26"/>
      <c r="AC63" s="26"/>
      <c r="AD63" s="27"/>
      <c r="AE63" s="30"/>
      <c r="AF63" s="26"/>
      <c r="AG63" s="26"/>
      <c r="AH63" s="32"/>
      <c r="AJ63" s="8"/>
      <c r="AK63" s="2"/>
      <c r="AL63" s="26"/>
      <c r="AM63" s="26"/>
      <c r="AN63" s="26"/>
      <c r="AO63" s="27"/>
      <c r="AP63" s="30"/>
      <c r="AQ63" s="26"/>
      <c r="AR63" s="26"/>
      <c r="AS63" s="32"/>
      <c r="AT63" s="34"/>
    </row>
    <row r="64" spans="2:46" x14ac:dyDescent="0.3">
      <c r="B64" s="8"/>
      <c r="C64" s="2" t="s">
        <v>792</v>
      </c>
      <c r="D64" s="26">
        <v>0</v>
      </c>
      <c r="E64" s="26">
        <v>0</v>
      </c>
      <c r="F64" s="27">
        <v>0</v>
      </c>
      <c r="G64" s="26">
        <v>0</v>
      </c>
      <c r="H64" s="26">
        <v>0</v>
      </c>
      <c r="I64" s="27">
        <v>0</v>
      </c>
      <c r="J64" s="26">
        <v>0</v>
      </c>
      <c r="K64" s="26">
        <v>0</v>
      </c>
      <c r="L64" s="67">
        <v>1</v>
      </c>
      <c r="N64" s="8"/>
      <c r="O64" s="2" t="s">
        <v>835</v>
      </c>
      <c r="P64" s="26">
        <v>0</v>
      </c>
      <c r="Q64" s="27">
        <v>0</v>
      </c>
      <c r="R64" s="30">
        <v>0</v>
      </c>
      <c r="S64" s="27">
        <v>0</v>
      </c>
      <c r="T64" s="30">
        <v>0</v>
      </c>
      <c r="U64" s="34">
        <v>1</v>
      </c>
      <c r="V64" s="34">
        <v>1</v>
      </c>
      <c r="X64" s="8"/>
      <c r="Y64" s="2"/>
      <c r="Z64" s="26"/>
      <c r="AA64" s="26"/>
      <c r="AB64" s="26"/>
      <c r="AC64" s="26"/>
      <c r="AD64" s="27"/>
      <c r="AE64" s="30"/>
      <c r="AF64" s="26"/>
      <c r="AG64" s="26"/>
      <c r="AH64" s="32"/>
      <c r="AJ64" s="8"/>
      <c r="AK64" s="2"/>
      <c r="AL64" s="26"/>
      <c r="AM64" s="26"/>
      <c r="AN64" s="26"/>
      <c r="AO64" s="27"/>
      <c r="AP64" s="30"/>
      <c r="AQ64" s="26"/>
      <c r="AR64" s="26"/>
      <c r="AS64" s="32"/>
      <c r="AT64" s="34"/>
    </row>
    <row r="65" spans="2:46" x14ac:dyDescent="0.3">
      <c r="B65" s="8"/>
      <c r="C65" s="2" t="s">
        <v>793</v>
      </c>
      <c r="D65" s="26">
        <v>0</v>
      </c>
      <c r="E65" s="26">
        <v>0</v>
      </c>
      <c r="F65" s="27">
        <v>0</v>
      </c>
      <c r="G65" s="26">
        <v>0</v>
      </c>
      <c r="H65" s="26">
        <v>0</v>
      </c>
      <c r="I65" s="27">
        <v>0</v>
      </c>
      <c r="J65" s="26">
        <v>0</v>
      </c>
      <c r="K65" s="26">
        <v>0</v>
      </c>
      <c r="L65" s="67">
        <v>1</v>
      </c>
      <c r="N65" s="8"/>
      <c r="O65" s="2" t="s">
        <v>836</v>
      </c>
      <c r="P65" s="26">
        <v>0</v>
      </c>
      <c r="Q65" s="27">
        <v>0</v>
      </c>
      <c r="R65" s="30">
        <v>0</v>
      </c>
      <c r="S65" s="27">
        <v>0</v>
      </c>
      <c r="T65" s="30">
        <v>0</v>
      </c>
      <c r="U65" s="34">
        <v>1</v>
      </c>
      <c r="V65" s="34">
        <v>1</v>
      </c>
      <c r="X65" s="8"/>
      <c r="Y65" s="2"/>
      <c r="Z65" s="26"/>
      <c r="AA65" s="26"/>
      <c r="AB65" s="26"/>
      <c r="AC65" s="26"/>
      <c r="AD65" s="27"/>
      <c r="AE65" s="30"/>
      <c r="AF65" s="26"/>
      <c r="AG65" s="26"/>
      <c r="AH65" s="32"/>
      <c r="AJ65" s="8"/>
      <c r="AK65" s="2"/>
      <c r="AL65" s="26"/>
      <c r="AM65" s="26"/>
      <c r="AN65" s="26"/>
      <c r="AO65" s="27"/>
      <c r="AP65" s="30"/>
      <c r="AQ65" s="26"/>
      <c r="AR65" s="26"/>
      <c r="AS65" s="32"/>
      <c r="AT65" s="34"/>
    </row>
    <row r="66" spans="2:46" x14ac:dyDescent="0.3">
      <c r="B66" s="8"/>
      <c r="C66" s="2" t="s">
        <v>980</v>
      </c>
      <c r="D66" s="26">
        <v>0</v>
      </c>
      <c r="E66" s="26">
        <v>0</v>
      </c>
      <c r="F66" s="27">
        <v>0</v>
      </c>
      <c r="G66" s="26">
        <v>0</v>
      </c>
      <c r="H66" s="26">
        <v>0</v>
      </c>
      <c r="I66" s="27">
        <v>0</v>
      </c>
      <c r="J66" s="26">
        <v>0</v>
      </c>
      <c r="K66" s="26">
        <v>0</v>
      </c>
      <c r="L66" s="67">
        <v>1</v>
      </c>
      <c r="N66" s="8"/>
      <c r="O66" s="2" t="s">
        <v>950</v>
      </c>
      <c r="P66" s="26">
        <v>0</v>
      </c>
      <c r="Q66" s="27">
        <v>0</v>
      </c>
      <c r="R66" s="30">
        <v>0</v>
      </c>
      <c r="S66" s="27">
        <v>0</v>
      </c>
      <c r="T66" s="30">
        <v>0</v>
      </c>
      <c r="U66" s="34">
        <v>1</v>
      </c>
      <c r="V66" s="34">
        <v>1</v>
      </c>
      <c r="X66" s="8"/>
      <c r="Y66" s="2"/>
      <c r="Z66" s="26"/>
      <c r="AA66" s="26"/>
      <c r="AB66" s="26"/>
      <c r="AC66" s="26"/>
      <c r="AD66" s="27"/>
      <c r="AE66" s="30"/>
      <c r="AF66" s="26"/>
      <c r="AG66" s="26"/>
      <c r="AH66" s="32"/>
      <c r="AJ66" s="8"/>
      <c r="AK66" s="2"/>
      <c r="AL66" s="26"/>
      <c r="AM66" s="26"/>
      <c r="AN66" s="26"/>
      <c r="AO66" s="27"/>
      <c r="AP66" s="30"/>
      <c r="AQ66" s="26"/>
      <c r="AR66" s="26"/>
      <c r="AS66" s="32"/>
      <c r="AT66" s="34"/>
    </row>
    <row r="67" spans="2:46" x14ac:dyDescent="0.3">
      <c r="B67" s="8"/>
      <c r="C67" s="2" t="s">
        <v>981</v>
      </c>
      <c r="D67" s="26">
        <v>0</v>
      </c>
      <c r="E67" s="26">
        <v>0</v>
      </c>
      <c r="F67" s="27">
        <v>0</v>
      </c>
      <c r="G67" s="26">
        <v>0</v>
      </c>
      <c r="H67" s="26">
        <v>0</v>
      </c>
      <c r="I67" s="27">
        <v>0</v>
      </c>
      <c r="J67" s="26">
        <v>0</v>
      </c>
      <c r="K67" s="26">
        <v>0</v>
      </c>
      <c r="L67" s="67">
        <v>1</v>
      </c>
      <c r="N67" s="8"/>
      <c r="O67" s="2" t="s">
        <v>951</v>
      </c>
      <c r="P67" s="26">
        <v>0</v>
      </c>
      <c r="Q67" s="27">
        <v>0</v>
      </c>
      <c r="R67" s="30">
        <v>0</v>
      </c>
      <c r="S67" s="27">
        <v>0</v>
      </c>
      <c r="T67" s="30">
        <v>0</v>
      </c>
      <c r="U67" s="34">
        <v>1</v>
      </c>
      <c r="V67" s="34">
        <v>1</v>
      </c>
      <c r="X67" s="8"/>
      <c r="Y67" s="2"/>
      <c r="Z67" s="26"/>
      <c r="AA67" s="26"/>
      <c r="AB67" s="26"/>
      <c r="AC67" s="26"/>
      <c r="AD67" s="27"/>
      <c r="AE67" s="30"/>
      <c r="AF67" s="26"/>
      <c r="AG67" s="26"/>
      <c r="AH67" s="32"/>
      <c r="AJ67" s="8"/>
      <c r="AK67" s="2"/>
      <c r="AL67" s="26"/>
      <c r="AM67" s="26"/>
      <c r="AN67" s="26"/>
      <c r="AO67" s="27"/>
      <c r="AP67" s="30"/>
      <c r="AQ67" s="26"/>
      <c r="AR67" s="26"/>
      <c r="AS67" s="32"/>
      <c r="AT67" s="34"/>
    </row>
    <row r="68" spans="2:46" x14ac:dyDescent="0.3">
      <c r="B68" s="8"/>
      <c r="C68" s="2" t="s">
        <v>794</v>
      </c>
      <c r="D68" s="26">
        <v>0</v>
      </c>
      <c r="E68" s="26">
        <v>0</v>
      </c>
      <c r="F68" s="27">
        <v>0</v>
      </c>
      <c r="G68" s="26">
        <v>0</v>
      </c>
      <c r="H68" s="26">
        <v>0</v>
      </c>
      <c r="I68" s="27">
        <v>0</v>
      </c>
      <c r="J68" s="26">
        <v>0</v>
      </c>
      <c r="K68" s="26">
        <v>0</v>
      </c>
      <c r="L68" s="67">
        <v>1</v>
      </c>
      <c r="N68" s="8"/>
      <c r="O68" s="2" t="s">
        <v>837</v>
      </c>
      <c r="P68" s="26">
        <v>0</v>
      </c>
      <c r="Q68" s="27">
        <v>0</v>
      </c>
      <c r="R68" s="30">
        <v>0</v>
      </c>
      <c r="S68" s="27">
        <v>0</v>
      </c>
      <c r="T68" s="30">
        <v>0</v>
      </c>
      <c r="U68" s="34">
        <v>1</v>
      </c>
      <c r="V68" s="34">
        <v>1</v>
      </c>
      <c r="X68" s="8"/>
      <c r="Y68" s="2"/>
      <c r="Z68" s="26"/>
      <c r="AA68" s="26"/>
      <c r="AB68" s="26"/>
      <c r="AC68" s="26"/>
      <c r="AD68" s="27"/>
      <c r="AE68" s="30"/>
      <c r="AF68" s="26"/>
      <c r="AG68" s="26"/>
      <c r="AH68" s="32"/>
      <c r="AJ68" s="8"/>
      <c r="AK68" s="2"/>
      <c r="AL68" s="26"/>
      <c r="AM68" s="26"/>
      <c r="AN68" s="26"/>
      <c r="AO68" s="27"/>
      <c r="AP68" s="30"/>
      <c r="AQ68" s="26"/>
      <c r="AR68" s="26"/>
      <c r="AS68" s="32"/>
      <c r="AT68" s="34"/>
    </row>
    <row r="69" spans="2:46" x14ac:dyDescent="0.3">
      <c r="B69" s="8"/>
      <c r="C69" s="2" t="s">
        <v>795</v>
      </c>
      <c r="D69" s="26">
        <v>0</v>
      </c>
      <c r="E69" s="26">
        <v>0</v>
      </c>
      <c r="F69" s="27">
        <v>0</v>
      </c>
      <c r="G69" s="26">
        <v>0</v>
      </c>
      <c r="H69" s="26">
        <v>0</v>
      </c>
      <c r="I69" s="27">
        <v>0</v>
      </c>
      <c r="J69" s="26">
        <v>0</v>
      </c>
      <c r="K69" s="26">
        <v>0</v>
      </c>
      <c r="L69" s="67">
        <v>1</v>
      </c>
      <c r="N69" s="8"/>
      <c r="O69" s="2" t="s">
        <v>838</v>
      </c>
      <c r="P69" s="26">
        <v>0</v>
      </c>
      <c r="Q69" s="27">
        <v>0</v>
      </c>
      <c r="R69" s="30">
        <v>0</v>
      </c>
      <c r="S69" s="27">
        <v>0</v>
      </c>
      <c r="T69" s="30">
        <v>0</v>
      </c>
      <c r="U69" s="34">
        <v>1</v>
      </c>
      <c r="V69" s="34">
        <v>1</v>
      </c>
      <c r="X69" s="8"/>
      <c r="Y69" s="2"/>
      <c r="Z69" s="26"/>
      <c r="AA69" s="26"/>
      <c r="AB69" s="26"/>
      <c r="AC69" s="26"/>
      <c r="AD69" s="27"/>
      <c r="AE69" s="30"/>
      <c r="AF69" s="26"/>
      <c r="AG69" s="26"/>
      <c r="AH69" s="32"/>
      <c r="AJ69" s="8"/>
      <c r="AK69" s="2"/>
      <c r="AL69" s="26"/>
      <c r="AM69" s="26"/>
      <c r="AN69" s="26"/>
      <c r="AO69" s="27"/>
      <c r="AP69" s="30"/>
      <c r="AQ69" s="26"/>
      <c r="AR69" s="26"/>
      <c r="AS69" s="32"/>
      <c r="AT69" s="34"/>
    </row>
    <row r="70" spans="2:46" x14ac:dyDescent="0.3">
      <c r="B70" s="8"/>
      <c r="C70" s="2" t="s">
        <v>796</v>
      </c>
      <c r="D70" s="26">
        <v>0</v>
      </c>
      <c r="E70" s="26">
        <v>0</v>
      </c>
      <c r="F70" s="27">
        <v>0</v>
      </c>
      <c r="G70" s="26">
        <v>0</v>
      </c>
      <c r="H70" s="26">
        <v>0</v>
      </c>
      <c r="I70" s="27">
        <v>0</v>
      </c>
      <c r="J70" s="26">
        <v>0</v>
      </c>
      <c r="K70" s="26">
        <v>0</v>
      </c>
      <c r="L70" s="67">
        <v>1</v>
      </c>
      <c r="N70" s="8"/>
      <c r="O70" s="2" t="s">
        <v>839</v>
      </c>
      <c r="P70" s="26">
        <v>0</v>
      </c>
      <c r="Q70" s="27">
        <v>0</v>
      </c>
      <c r="R70" s="30">
        <v>0</v>
      </c>
      <c r="S70" s="27">
        <v>0</v>
      </c>
      <c r="T70" s="30">
        <v>0</v>
      </c>
      <c r="U70" s="34">
        <v>1</v>
      </c>
      <c r="V70" s="34">
        <v>1</v>
      </c>
      <c r="X70" s="8"/>
      <c r="Y70" s="2"/>
      <c r="Z70" s="26"/>
      <c r="AA70" s="26"/>
      <c r="AB70" s="26"/>
      <c r="AC70" s="26"/>
      <c r="AD70" s="27"/>
      <c r="AE70" s="30"/>
      <c r="AF70" s="26"/>
      <c r="AG70" s="26"/>
      <c r="AH70" s="32"/>
      <c r="AJ70" s="8"/>
      <c r="AK70" s="2"/>
      <c r="AL70" s="26"/>
      <c r="AM70" s="26"/>
      <c r="AN70" s="26"/>
      <c r="AO70" s="27"/>
      <c r="AP70" s="30"/>
      <c r="AQ70" s="26"/>
      <c r="AR70" s="26"/>
      <c r="AS70" s="32"/>
      <c r="AT70" s="34"/>
    </row>
    <row r="71" spans="2:46" x14ac:dyDescent="0.3">
      <c r="B71" s="8"/>
      <c r="C71" s="2" t="s">
        <v>797</v>
      </c>
      <c r="D71" s="26">
        <v>0</v>
      </c>
      <c r="E71" s="26">
        <v>0</v>
      </c>
      <c r="F71" s="27">
        <v>0</v>
      </c>
      <c r="G71" s="26">
        <v>0</v>
      </c>
      <c r="H71" s="26">
        <v>0</v>
      </c>
      <c r="I71" s="27">
        <v>0</v>
      </c>
      <c r="J71" s="26">
        <v>0</v>
      </c>
      <c r="K71" s="26">
        <v>0</v>
      </c>
      <c r="L71" s="67">
        <v>1</v>
      </c>
      <c r="N71" s="8"/>
      <c r="O71" s="2" t="s">
        <v>840</v>
      </c>
      <c r="P71" s="26">
        <v>0</v>
      </c>
      <c r="Q71" s="27">
        <v>0</v>
      </c>
      <c r="R71" s="30">
        <v>0</v>
      </c>
      <c r="S71" s="27">
        <v>0</v>
      </c>
      <c r="T71" s="30">
        <v>0</v>
      </c>
      <c r="U71" s="34">
        <v>1</v>
      </c>
      <c r="V71" s="34">
        <v>1</v>
      </c>
      <c r="X71" s="8"/>
      <c r="Y71" s="2"/>
      <c r="Z71" s="26"/>
      <c r="AA71" s="26"/>
      <c r="AB71" s="26"/>
      <c r="AC71" s="26"/>
      <c r="AD71" s="27"/>
      <c r="AE71" s="30"/>
      <c r="AF71" s="26"/>
      <c r="AG71" s="26"/>
      <c r="AH71" s="32"/>
      <c r="AJ71" s="8"/>
      <c r="AK71" s="2"/>
      <c r="AL71" s="26"/>
      <c r="AM71" s="26"/>
      <c r="AN71" s="26"/>
      <c r="AO71" s="27"/>
      <c r="AP71" s="30"/>
      <c r="AQ71" s="26"/>
      <c r="AR71" s="26"/>
      <c r="AS71" s="32"/>
      <c r="AT71" s="34"/>
    </row>
    <row r="72" spans="2:46" x14ac:dyDescent="0.3">
      <c r="B72" s="8"/>
      <c r="C72" s="2" t="s">
        <v>798</v>
      </c>
      <c r="D72" s="26">
        <v>0</v>
      </c>
      <c r="E72" s="26">
        <v>0</v>
      </c>
      <c r="F72" s="27">
        <v>0</v>
      </c>
      <c r="G72" s="26">
        <v>0</v>
      </c>
      <c r="H72" s="26">
        <v>0</v>
      </c>
      <c r="I72" s="27">
        <v>0</v>
      </c>
      <c r="J72" s="26">
        <v>0</v>
      </c>
      <c r="K72" s="26">
        <v>0</v>
      </c>
      <c r="L72" s="67">
        <v>1</v>
      </c>
      <c r="N72" s="8"/>
      <c r="O72" s="2" t="s">
        <v>841</v>
      </c>
      <c r="P72" s="26">
        <v>0</v>
      </c>
      <c r="Q72" s="27">
        <v>0</v>
      </c>
      <c r="R72" s="30">
        <v>0</v>
      </c>
      <c r="S72" s="27">
        <v>0</v>
      </c>
      <c r="T72" s="30">
        <v>0</v>
      </c>
      <c r="U72" s="34">
        <v>1</v>
      </c>
      <c r="V72" s="34">
        <v>1</v>
      </c>
      <c r="X72" s="8"/>
      <c r="Y72" s="2"/>
      <c r="Z72" s="26"/>
      <c r="AA72" s="26"/>
      <c r="AB72" s="26"/>
      <c r="AC72" s="26"/>
      <c r="AD72" s="27"/>
      <c r="AE72" s="30"/>
      <c r="AF72" s="26"/>
      <c r="AG72" s="26"/>
      <c r="AH72" s="32"/>
      <c r="AJ72" s="8"/>
      <c r="AK72" s="2"/>
      <c r="AL72" s="26"/>
      <c r="AM72" s="26"/>
      <c r="AN72" s="26"/>
      <c r="AO72" s="27"/>
      <c r="AP72" s="30"/>
      <c r="AQ72" s="26"/>
      <c r="AR72" s="26"/>
      <c r="AS72" s="32"/>
      <c r="AT72" s="34"/>
    </row>
    <row r="73" spans="2:46" x14ac:dyDescent="0.3">
      <c r="B73" s="8"/>
      <c r="C73" s="2" t="s">
        <v>730</v>
      </c>
      <c r="D73" s="26">
        <v>0</v>
      </c>
      <c r="E73" s="26">
        <v>0</v>
      </c>
      <c r="F73" s="27">
        <v>0</v>
      </c>
      <c r="G73" s="26">
        <v>0</v>
      </c>
      <c r="H73" s="26">
        <v>0</v>
      </c>
      <c r="I73" s="27">
        <v>0</v>
      </c>
      <c r="J73" s="26">
        <v>0</v>
      </c>
      <c r="K73" s="26">
        <v>0</v>
      </c>
      <c r="L73" s="67">
        <v>1</v>
      </c>
      <c r="N73" s="8"/>
      <c r="O73" s="2" t="s">
        <v>666</v>
      </c>
      <c r="P73" s="26">
        <v>0</v>
      </c>
      <c r="Q73" s="27">
        <v>0</v>
      </c>
      <c r="R73" s="30">
        <v>0</v>
      </c>
      <c r="S73" s="27">
        <v>0</v>
      </c>
      <c r="T73" s="30">
        <v>0</v>
      </c>
      <c r="U73" s="34">
        <v>1</v>
      </c>
      <c r="V73" s="34">
        <v>1</v>
      </c>
      <c r="X73" s="8"/>
      <c r="Y73" s="2"/>
      <c r="Z73" s="26"/>
      <c r="AA73" s="26"/>
      <c r="AB73" s="26"/>
      <c r="AC73" s="26"/>
      <c r="AD73" s="27"/>
      <c r="AE73" s="30"/>
      <c r="AF73" s="26"/>
      <c r="AG73" s="26"/>
      <c r="AH73" s="32"/>
      <c r="AJ73" s="8"/>
      <c r="AK73" s="2"/>
      <c r="AL73" s="26"/>
      <c r="AM73" s="26"/>
      <c r="AN73" s="26"/>
      <c r="AO73" s="27"/>
      <c r="AP73" s="30"/>
      <c r="AQ73" s="26"/>
      <c r="AR73" s="26"/>
      <c r="AS73" s="32"/>
      <c r="AT73" s="34"/>
    </row>
    <row r="74" spans="2:46" x14ac:dyDescent="0.3">
      <c r="B74" s="8"/>
      <c r="C74" s="2" t="s">
        <v>799</v>
      </c>
      <c r="D74" s="26">
        <v>0</v>
      </c>
      <c r="E74" s="26">
        <v>0</v>
      </c>
      <c r="F74" s="27">
        <v>0</v>
      </c>
      <c r="G74" s="26">
        <v>0</v>
      </c>
      <c r="H74" s="26">
        <v>0</v>
      </c>
      <c r="I74" s="27">
        <v>0</v>
      </c>
      <c r="J74" s="26">
        <v>0</v>
      </c>
      <c r="K74" s="26">
        <v>0</v>
      </c>
      <c r="L74" s="67">
        <v>1</v>
      </c>
      <c r="N74" s="8"/>
      <c r="O74" s="2" t="s">
        <v>842</v>
      </c>
      <c r="P74" s="26">
        <v>0</v>
      </c>
      <c r="Q74" s="27">
        <v>0</v>
      </c>
      <c r="R74" s="30">
        <v>0</v>
      </c>
      <c r="S74" s="27">
        <v>0</v>
      </c>
      <c r="T74" s="30">
        <v>0</v>
      </c>
      <c r="U74" s="34">
        <v>1</v>
      </c>
      <c r="V74" s="34">
        <v>1</v>
      </c>
      <c r="X74" s="8"/>
      <c r="Y74" s="2"/>
      <c r="Z74" s="26"/>
      <c r="AA74" s="26"/>
      <c r="AB74" s="26"/>
      <c r="AC74" s="26"/>
      <c r="AD74" s="27"/>
      <c r="AE74" s="30"/>
      <c r="AF74" s="26"/>
      <c r="AG74" s="26"/>
      <c r="AH74" s="32"/>
      <c r="AJ74" s="8"/>
      <c r="AK74" s="2"/>
      <c r="AL74" s="26"/>
      <c r="AM74" s="26"/>
      <c r="AN74" s="26"/>
      <c r="AO74" s="27"/>
      <c r="AP74" s="30"/>
      <c r="AQ74" s="26"/>
      <c r="AR74" s="26"/>
      <c r="AS74" s="32"/>
      <c r="AT74" s="34"/>
    </row>
    <row r="75" spans="2:46" x14ac:dyDescent="0.3">
      <c r="B75" s="8"/>
      <c r="C75" s="2" t="s">
        <v>731</v>
      </c>
      <c r="D75" s="26">
        <v>0</v>
      </c>
      <c r="E75" s="26">
        <v>0</v>
      </c>
      <c r="F75" s="27">
        <v>0</v>
      </c>
      <c r="G75" s="26">
        <v>0</v>
      </c>
      <c r="H75" s="26">
        <v>0</v>
      </c>
      <c r="I75" s="27">
        <v>0</v>
      </c>
      <c r="J75" s="26">
        <v>0</v>
      </c>
      <c r="K75" s="26">
        <v>0</v>
      </c>
      <c r="L75" s="67">
        <v>1</v>
      </c>
      <c r="N75" s="8"/>
      <c r="O75" s="2" t="s">
        <v>667</v>
      </c>
      <c r="P75" s="26">
        <v>0</v>
      </c>
      <c r="Q75" s="27">
        <v>0</v>
      </c>
      <c r="R75" s="30">
        <v>0</v>
      </c>
      <c r="S75" s="27">
        <v>0</v>
      </c>
      <c r="T75" s="30">
        <v>0</v>
      </c>
      <c r="U75" s="34">
        <v>1</v>
      </c>
      <c r="V75" s="34">
        <v>1</v>
      </c>
      <c r="X75" s="8"/>
      <c r="Y75" s="2"/>
      <c r="Z75" s="26"/>
      <c r="AA75" s="26"/>
      <c r="AB75" s="26"/>
      <c r="AC75" s="26"/>
      <c r="AD75" s="27"/>
      <c r="AE75" s="30"/>
      <c r="AF75" s="26"/>
      <c r="AG75" s="26"/>
      <c r="AH75" s="32"/>
      <c r="AJ75" s="8"/>
      <c r="AK75" s="2"/>
      <c r="AL75" s="26"/>
      <c r="AM75" s="26"/>
      <c r="AN75" s="26"/>
      <c r="AO75" s="27"/>
      <c r="AP75" s="30"/>
      <c r="AQ75" s="26"/>
      <c r="AR75" s="26"/>
      <c r="AS75" s="32"/>
      <c r="AT75" s="34"/>
    </row>
    <row r="76" spans="2:46" x14ac:dyDescent="0.3">
      <c r="B76" s="8"/>
      <c r="C76" s="2" t="s">
        <v>800</v>
      </c>
      <c r="D76" s="26">
        <v>0</v>
      </c>
      <c r="E76" s="26">
        <v>0</v>
      </c>
      <c r="F76" s="27">
        <v>0</v>
      </c>
      <c r="G76" s="26">
        <v>0</v>
      </c>
      <c r="H76" s="26">
        <v>0</v>
      </c>
      <c r="I76" s="27">
        <v>0</v>
      </c>
      <c r="J76" s="26">
        <v>0</v>
      </c>
      <c r="K76" s="26">
        <v>0</v>
      </c>
      <c r="L76" s="67">
        <v>1</v>
      </c>
      <c r="N76" s="8"/>
      <c r="O76" s="2" t="s">
        <v>843</v>
      </c>
      <c r="P76" s="26">
        <v>0</v>
      </c>
      <c r="Q76" s="27">
        <v>0</v>
      </c>
      <c r="R76" s="30">
        <v>0</v>
      </c>
      <c r="S76" s="27">
        <v>0</v>
      </c>
      <c r="T76" s="30">
        <v>0</v>
      </c>
      <c r="U76" s="34">
        <v>1</v>
      </c>
      <c r="V76" s="34">
        <v>1</v>
      </c>
      <c r="X76" s="8"/>
      <c r="Y76" s="2"/>
      <c r="Z76" s="26"/>
      <c r="AA76" s="26"/>
      <c r="AB76" s="26"/>
      <c r="AC76" s="26"/>
      <c r="AD76" s="27"/>
      <c r="AE76" s="30"/>
      <c r="AF76" s="26"/>
      <c r="AG76" s="26"/>
      <c r="AH76" s="32"/>
      <c r="AJ76" s="8"/>
      <c r="AK76" s="2"/>
      <c r="AL76" s="26"/>
      <c r="AM76" s="26"/>
      <c r="AN76" s="26"/>
      <c r="AO76" s="27"/>
      <c r="AP76" s="30"/>
      <c r="AQ76" s="26"/>
      <c r="AR76" s="26"/>
      <c r="AS76" s="32"/>
      <c r="AT76" s="34"/>
    </row>
    <row r="77" spans="2:46" x14ac:dyDescent="0.3">
      <c r="B77" s="8"/>
      <c r="C77" s="2" t="s">
        <v>982</v>
      </c>
      <c r="D77" s="26">
        <v>0</v>
      </c>
      <c r="E77" s="26">
        <v>0</v>
      </c>
      <c r="F77" s="27">
        <v>0</v>
      </c>
      <c r="G77" s="26">
        <v>0</v>
      </c>
      <c r="H77" s="26">
        <v>0</v>
      </c>
      <c r="I77" s="27">
        <v>0</v>
      </c>
      <c r="J77" s="26">
        <v>0</v>
      </c>
      <c r="K77" s="26">
        <v>0</v>
      </c>
      <c r="L77" s="67">
        <v>1</v>
      </c>
      <c r="N77" s="8"/>
      <c r="O77" s="2" t="s">
        <v>952</v>
      </c>
      <c r="P77" s="26">
        <v>0</v>
      </c>
      <c r="Q77" s="27">
        <v>0</v>
      </c>
      <c r="R77" s="30">
        <v>0</v>
      </c>
      <c r="S77" s="27">
        <v>0</v>
      </c>
      <c r="T77" s="30">
        <v>0</v>
      </c>
      <c r="U77" s="34">
        <v>1</v>
      </c>
      <c r="V77" s="34">
        <v>1</v>
      </c>
      <c r="X77" s="8"/>
      <c r="Y77" s="2"/>
      <c r="Z77" s="26"/>
      <c r="AA77" s="26"/>
      <c r="AB77" s="26"/>
      <c r="AC77" s="26"/>
      <c r="AD77" s="27"/>
      <c r="AE77" s="30"/>
      <c r="AF77" s="26"/>
      <c r="AG77" s="26"/>
      <c r="AH77" s="32"/>
      <c r="AJ77" s="8"/>
      <c r="AK77" s="2"/>
      <c r="AL77" s="26"/>
      <c r="AM77" s="26"/>
      <c r="AN77" s="26"/>
      <c r="AO77" s="27"/>
      <c r="AP77" s="30"/>
      <c r="AQ77" s="26"/>
      <c r="AR77" s="26"/>
      <c r="AS77" s="32"/>
      <c r="AT77" s="34"/>
    </row>
    <row r="78" spans="2:46" x14ac:dyDescent="0.3">
      <c r="B78" s="8"/>
      <c r="C78" s="2" t="s">
        <v>983</v>
      </c>
      <c r="D78" s="26">
        <v>0</v>
      </c>
      <c r="E78" s="26">
        <v>0</v>
      </c>
      <c r="F78" s="27">
        <v>0</v>
      </c>
      <c r="G78" s="26">
        <v>0</v>
      </c>
      <c r="H78" s="26">
        <v>0</v>
      </c>
      <c r="I78" s="27">
        <v>0</v>
      </c>
      <c r="J78" s="26">
        <v>0</v>
      </c>
      <c r="K78" s="26">
        <v>0</v>
      </c>
      <c r="L78" s="67">
        <v>1</v>
      </c>
      <c r="N78" s="8"/>
      <c r="O78" s="2" t="s">
        <v>953</v>
      </c>
      <c r="P78" s="26">
        <v>0</v>
      </c>
      <c r="Q78" s="27">
        <v>0</v>
      </c>
      <c r="R78" s="30">
        <v>0</v>
      </c>
      <c r="S78" s="27">
        <v>0</v>
      </c>
      <c r="T78" s="30">
        <v>0</v>
      </c>
      <c r="U78" s="34">
        <v>1</v>
      </c>
      <c r="V78" s="34">
        <v>1</v>
      </c>
      <c r="X78" s="8"/>
      <c r="Y78" s="2"/>
      <c r="Z78" s="26"/>
      <c r="AA78" s="26"/>
      <c r="AB78" s="26"/>
      <c r="AC78" s="26"/>
      <c r="AD78" s="27"/>
      <c r="AE78" s="30"/>
      <c r="AF78" s="26"/>
      <c r="AG78" s="26"/>
      <c r="AH78" s="32"/>
      <c r="AJ78" s="8"/>
      <c r="AK78" s="2"/>
      <c r="AL78" s="26"/>
      <c r="AM78" s="26"/>
      <c r="AN78" s="26"/>
      <c r="AO78" s="27"/>
      <c r="AP78" s="30"/>
      <c r="AQ78" s="26"/>
      <c r="AR78" s="26"/>
      <c r="AS78" s="32"/>
      <c r="AT78" s="34"/>
    </row>
    <row r="79" spans="2:46" x14ac:dyDescent="0.3">
      <c r="B79" s="8"/>
      <c r="C79" s="2" t="s">
        <v>984</v>
      </c>
      <c r="D79" s="26">
        <v>0</v>
      </c>
      <c r="E79" s="26">
        <v>0</v>
      </c>
      <c r="F79" s="27">
        <v>0</v>
      </c>
      <c r="G79" s="26">
        <v>0</v>
      </c>
      <c r="H79" s="26">
        <v>0</v>
      </c>
      <c r="I79" s="27">
        <v>0</v>
      </c>
      <c r="J79" s="26">
        <v>0</v>
      </c>
      <c r="K79" s="26">
        <v>0</v>
      </c>
      <c r="L79" s="67">
        <v>1</v>
      </c>
      <c r="N79" s="8"/>
      <c r="O79" s="2" t="s">
        <v>954</v>
      </c>
      <c r="P79" s="26">
        <v>0</v>
      </c>
      <c r="Q79" s="27">
        <v>0</v>
      </c>
      <c r="R79" s="30">
        <v>0</v>
      </c>
      <c r="S79" s="27">
        <v>0</v>
      </c>
      <c r="T79" s="30">
        <v>0</v>
      </c>
      <c r="U79" s="34">
        <v>1</v>
      </c>
      <c r="V79" s="34">
        <v>1</v>
      </c>
      <c r="X79" s="8"/>
      <c r="Y79" s="2"/>
      <c r="Z79" s="26"/>
      <c r="AA79" s="26"/>
      <c r="AB79" s="26"/>
      <c r="AC79" s="26"/>
      <c r="AD79" s="27"/>
      <c r="AE79" s="30"/>
      <c r="AF79" s="26"/>
      <c r="AG79" s="26"/>
      <c r="AH79" s="32"/>
      <c r="AJ79" s="8"/>
      <c r="AK79" s="2"/>
      <c r="AL79" s="26"/>
      <c r="AM79" s="26"/>
      <c r="AN79" s="26"/>
      <c r="AO79" s="27"/>
      <c r="AP79" s="30"/>
      <c r="AQ79" s="26"/>
      <c r="AR79" s="26"/>
      <c r="AS79" s="32"/>
      <c r="AT79" s="34"/>
    </row>
    <row r="80" spans="2:46" x14ac:dyDescent="0.3">
      <c r="B80" s="8"/>
      <c r="C80" s="2" t="s">
        <v>732</v>
      </c>
      <c r="D80" s="26">
        <v>0</v>
      </c>
      <c r="E80" s="26">
        <v>0</v>
      </c>
      <c r="F80" s="27">
        <v>0</v>
      </c>
      <c r="G80" s="26">
        <v>0</v>
      </c>
      <c r="H80" s="26">
        <v>0</v>
      </c>
      <c r="I80" s="27">
        <v>0</v>
      </c>
      <c r="J80" s="26">
        <v>0</v>
      </c>
      <c r="K80" s="26">
        <v>0</v>
      </c>
      <c r="L80" s="67">
        <v>1</v>
      </c>
      <c r="N80" s="8"/>
      <c r="O80" s="2" t="s">
        <v>668</v>
      </c>
      <c r="P80" s="26">
        <v>0</v>
      </c>
      <c r="Q80" s="27">
        <v>0</v>
      </c>
      <c r="R80" s="30">
        <v>0</v>
      </c>
      <c r="S80" s="27">
        <v>0</v>
      </c>
      <c r="T80" s="30">
        <v>0</v>
      </c>
      <c r="U80" s="34">
        <v>1</v>
      </c>
      <c r="V80" s="34">
        <v>1</v>
      </c>
      <c r="X80" s="8"/>
      <c r="Y80" s="2"/>
      <c r="Z80" s="26"/>
      <c r="AA80" s="26"/>
      <c r="AB80" s="26"/>
      <c r="AC80" s="26"/>
      <c r="AD80" s="27"/>
      <c r="AE80" s="30"/>
      <c r="AF80" s="26"/>
      <c r="AG80" s="26"/>
      <c r="AH80" s="32"/>
      <c r="AJ80" s="8"/>
      <c r="AK80" s="2"/>
      <c r="AL80" s="26"/>
      <c r="AM80" s="26"/>
      <c r="AN80" s="26"/>
      <c r="AO80" s="27"/>
      <c r="AP80" s="30"/>
      <c r="AQ80" s="26"/>
      <c r="AR80" s="26"/>
      <c r="AS80" s="32"/>
      <c r="AT80" s="34"/>
    </row>
    <row r="81" spans="2:46" x14ac:dyDescent="0.3">
      <c r="B81" s="8"/>
      <c r="C81" s="2" t="s">
        <v>801</v>
      </c>
      <c r="D81" s="26">
        <v>0</v>
      </c>
      <c r="E81" s="26">
        <v>0</v>
      </c>
      <c r="F81" s="27">
        <v>0</v>
      </c>
      <c r="G81" s="26">
        <v>0</v>
      </c>
      <c r="H81" s="26">
        <v>0</v>
      </c>
      <c r="I81" s="27">
        <v>0</v>
      </c>
      <c r="J81" s="26">
        <v>0</v>
      </c>
      <c r="K81" s="26">
        <v>0</v>
      </c>
      <c r="L81" s="67">
        <v>1</v>
      </c>
      <c r="N81" s="8"/>
      <c r="O81" s="2" t="s">
        <v>844</v>
      </c>
      <c r="P81" s="26">
        <v>0</v>
      </c>
      <c r="Q81" s="27">
        <v>0</v>
      </c>
      <c r="R81" s="30">
        <v>0</v>
      </c>
      <c r="S81" s="27">
        <v>0</v>
      </c>
      <c r="T81" s="30">
        <v>0</v>
      </c>
      <c r="U81" s="34">
        <v>1</v>
      </c>
      <c r="V81" s="34">
        <v>1</v>
      </c>
      <c r="X81" s="8"/>
      <c r="Y81" s="2"/>
      <c r="Z81" s="26"/>
      <c r="AA81" s="26"/>
      <c r="AB81" s="26"/>
      <c r="AC81" s="26"/>
      <c r="AD81" s="27"/>
      <c r="AE81" s="30"/>
      <c r="AF81" s="26"/>
      <c r="AG81" s="26"/>
      <c r="AH81" s="32"/>
      <c r="AJ81" s="8"/>
      <c r="AK81" s="2"/>
      <c r="AL81" s="26"/>
      <c r="AM81" s="26"/>
      <c r="AN81" s="26"/>
      <c r="AO81" s="27"/>
      <c r="AP81" s="30"/>
      <c r="AQ81" s="26"/>
      <c r="AR81" s="26"/>
      <c r="AS81" s="32"/>
      <c r="AT81" s="34"/>
    </row>
    <row r="82" spans="2:46" x14ac:dyDescent="0.3">
      <c r="B82" s="8"/>
      <c r="C82" s="2" t="s">
        <v>802</v>
      </c>
      <c r="D82" s="26">
        <v>0</v>
      </c>
      <c r="E82" s="26">
        <v>0</v>
      </c>
      <c r="F82" s="27">
        <v>0</v>
      </c>
      <c r="G82" s="26">
        <v>0</v>
      </c>
      <c r="H82" s="26">
        <v>0</v>
      </c>
      <c r="I82" s="27">
        <v>0</v>
      </c>
      <c r="J82" s="26">
        <v>0</v>
      </c>
      <c r="K82" s="26">
        <v>0</v>
      </c>
      <c r="L82" s="67">
        <v>1</v>
      </c>
      <c r="N82" s="8"/>
      <c r="O82" s="2" t="s">
        <v>845</v>
      </c>
      <c r="P82" s="26">
        <v>0</v>
      </c>
      <c r="Q82" s="27">
        <v>0</v>
      </c>
      <c r="R82" s="30">
        <v>0</v>
      </c>
      <c r="S82" s="27">
        <v>0</v>
      </c>
      <c r="T82" s="30">
        <v>0</v>
      </c>
      <c r="U82" s="34">
        <v>1</v>
      </c>
      <c r="V82" s="34">
        <v>1</v>
      </c>
      <c r="X82" s="8"/>
      <c r="Y82" s="2"/>
      <c r="Z82" s="26"/>
      <c r="AA82" s="26"/>
      <c r="AB82" s="26"/>
      <c r="AC82" s="26"/>
      <c r="AD82" s="27"/>
      <c r="AE82" s="30"/>
      <c r="AF82" s="26"/>
      <c r="AG82" s="26"/>
      <c r="AH82" s="32"/>
      <c r="AJ82" s="8"/>
      <c r="AK82" s="2"/>
      <c r="AL82" s="26"/>
      <c r="AM82" s="26"/>
      <c r="AN82" s="26"/>
      <c r="AO82" s="27"/>
      <c r="AP82" s="30"/>
      <c r="AQ82" s="26"/>
      <c r="AR82" s="26"/>
      <c r="AS82" s="32"/>
      <c r="AT82" s="34"/>
    </row>
    <row r="83" spans="2:46" x14ac:dyDescent="0.3">
      <c r="B83" s="8"/>
      <c r="C83" s="2" t="s">
        <v>733</v>
      </c>
      <c r="D83" s="26">
        <v>0</v>
      </c>
      <c r="E83" s="26">
        <v>0</v>
      </c>
      <c r="F83" s="27">
        <v>0</v>
      </c>
      <c r="G83" s="26">
        <v>0</v>
      </c>
      <c r="H83" s="26">
        <v>0</v>
      </c>
      <c r="I83" s="27">
        <v>0</v>
      </c>
      <c r="J83" s="26">
        <v>0</v>
      </c>
      <c r="K83" s="26">
        <v>0</v>
      </c>
      <c r="L83" s="67">
        <v>1</v>
      </c>
      <c r="N83" s="8"/>
      <c r="O83" s="2" t="s">
        <v>669</v>
      </c>
      <c r="P83" s="26">
        <v>0</v>
      </c>
      <c r="Q83" s="27">
        <v>0</v>
      </c>
      <c r="R83" s="30">
        <v>0</v>
      </c>
      <c r="S83" s="27">
        <v>0</v>
      </c>
      <c r="T83" s="30">
        <v>0</v>
      </c>
      <c r="U83" s="34">
        <v>1</v>
      </c>
      <c r="V83" s="34">
        <v>1</v>
      </c>
      <c r="X83" s="8"/>
      <c r="Y83" s="2"/>
      <c r="Z83" s="26"/>
      <c r="AA83" s="26"/>
      <c r="AB83" s="26"/>
      <c r="AC83" s="26"/>
      <c r="AD83" s="27"/>
      <c r="AE83" s="30"/>
      <c r="AF83" s="26"/>
      <c r="AG83" s="26"/>
      <c r="AH83" s="32"/>
      <c r="AJ83" s="8"/>
      <c r="AK83" s="2"/>
      <c r="AL83" s="26"/>
      <c r="AM83" s="26"/>
      <c r="AN83" s="26"/>
      <c r="AO83" s="27"/>
      <c r="AP83" s="30"/>
      <c r="AQ83" s="26"/>
      <c r="AR83" s="26"/>
      <c r="AS83" s="32"/>
      <c r="AT83" s="34"/>
    </row>
    <row r="84" spans="2:46" x14ac:dyDescent="0.3">
      <c r="B84" s="8"/>
      <c r="C84" s="2" t="s">
        <v>803</v>
      </c>
      <c r="D84" s="26">
        <v>0</v>
      </c>
      <c r="E84" s="26">
        <v>0</v>
      </c>
      <c r="F84" s="27">
        <v>0</v>
      </c>
      <c r="G84" s="26">
        <v>0</v>
      </c>
      <c r="H84" s="26">
        <v>0</v>
      </c>
      <c r="I84" s="27">
        <v>0</v>
      </c>
      <c r="J84" s="26">
        <v>0</v>
      </c>
      <c r="K84" s="26">
        <v>0</v>
      </c>
      <c r="L84" s="67">
        <v>1</v>
      </c>
      <c r="N84" s="8"/>
      <c r="O84" s="2" t="s">
        <v>846</v>
      </c>
      <c r="P84" s="26">
        <v>0</v>
      </c>
      <c r="Q84" s="27">
        <v>0</v>
      </c>
      <c r="R84" s="30">
        <v>0</v>
      </c>
      <c r="S84" s="27">
        <v>0</v>
      </c>
      <c r="T84" s="30">
        <v>0</v>
      </c>
      <c r="U84" s="34">
        <v>1</v>
      </c>
      <c r="V84" s="34">
        <v>1</v>
      </c>
      <c r="X84" s="8"/>
      <c r="Y84" s="2"/>
      <c r="Z84" s="26"/>
      <c r="AA84" s="26"/>
      <c r="AB84" s="26"/>
      <c r="AC84" s="26"/>
      <c r="AD84" s="27"/>
      <c r="AE84" s="30"/>
      <c r="AF84" s="26"/>
      <c r="AG84" s="26"/>
      <c r="AH84" s="32"/>
      <c r="AJ84" s="8"/>
      <c r="AK84" s="2"/>
      <c r="AL84" s="26"/>
      <c r="AM84" s="26"/>
      <c r="AN84" s="26"/>
      <c r="AO84" s="27"/>
      <c r="AP84" s="30"/>
      <c r="AQ84" s="26"/>
      <c r="AR84" s="26"/>
      <c r="AS84" s="32"/>
      <c r="AT84" s="34"/>
    </row>
    <row r="85" spans="2:46" x14ac:dyDescent="0.3">
      <c r="B85" s="8"/>
      <c r="C85" s="2" t="s">
        <v>804</v>
      </c>
      <c r="D85" s="26">
        <v>0</v>
      </c>
      <c r="E85" s="26">
        <v>0</v>
      </c>
      <c r="F85" s="27">
        <v>0</v>
      </c>
      <c r="G85" s="26">
        <v>0</v>
      </c>
      <c r="H85" s="26">
        <v>0</v>
      </c>
      <c r="I85" s="27">
        <v>0</v>
      </c>
      <c r="J85" s="26">
        <v>0</v>
      </c>
      <c r="K85" s="26">
        <v>0</v>
      </c>
      <c r="L85" s="67">
        <v>1</v>
      </c>
      <c r="N85" s="8"/>
      <c r="O85" s="2" t="s">
        <v>847</v>
      </c>
      <c r="P85" s="26">
        <v>0</v>
      </c>
      <c r="Q85" s="27">
        <v>0</v>
      </c>
      <c r="R85" s="30">
        <v>0</v>
      </c>
      <c r="S85" s="27">
        <v>0</v>
      </c>
      <c r="T85" s="30">
        <v>0</v>
      </c>
      <c r="U85" s="34">
        <v>1</v>
      </c>
      <c r="V85" s="34">
        <v>1</v>
      </c>
      <c r="X85" s="8"/>
      <c r="Y85" s="2"/>
      <c r="Z85" s="26"/>
      <c r="AA85" s="26"/>
      <c r="AB85" s="26"/>
      <c r="AC85" s="26"/>
      <c r="AD85" s="27"/>
      <c r="AE85" s="30"/>
      <c r="AF85" s="26"/>
      <c r="AG85" s="26"/>
      <c r="AH85" s="32"/>
      <c r="AJ85" s="8"/>
      <c r="AK85" s="2"/>
      <c r="AL85" s="26"/>
      <c r="AM85" s="26"/>
      <c r="AN85" s="26"/>
      <c r="AO85" s="27"/>
      <c r="AP85" s="30"/>
      <c r="AQ85" s="26"/>
      <c r="AR85" s="26"/>
      <c r="AS85" s="32"/>
      <c r="AT85" s="34"/>
    </row>
    <row r="86" spans="2:46" x14ac:dyDescent="0.3">
      <c r="B86" s="8"/>
      <c r="C86" s="2" t="s">
        <v>805</v>
      </c>
      <c r="D86" s="26">
        <v>0</v>
      </c>
      <c r="E86" s="26">
        <v>0</v>
      </c>
      <c r="F86" s="27">
        <v>0</v>
      </c>
      <c r="G86" s="26">
        <v>0</v>
      </c>
      <c r="H86" s="26">
        <v>0</v>
      </c>
      <c r="I86" s="27">
        <v>0</v>
      </c>
      <c r="J86" s="26">
        <v>0</v>
      </c>
      <c r="K86" s="26">
        <v>0</v>
      </c>
      <c r="L86" s="67">
        <v>1</v>
      </c>
      <c r="N86" s="8"/>
      <c r="O86" s="2" t="s">
        <v>848</v>
      </c>
      <c r="P86" s="26">
        <v>0</v>
      </c>
      <c r="Q86" s="27">
        <v>0</v>
      </c>
      <c r="R86" s="30">
        <v>0</v>
      </c>
      <c r="S86" s="27">
        <v>0</v>
      </c>
      <c r="T86" s="30">
        <v>0</v>
      </c>
      <c r="U86" s="34">
        <v>1</v>
      </c>
      <c r="V86" s="34">
        <v>1</v>
      </c>
      <c r="X86" s="8"/>
      <c r="Y86" s="2"/>
      <c r="Z86" s="26"/>
      <c r="AA86" s="26"/>
      <c r="AB86" s="26"/>
      <c r="AC86" s="26"/>
      <c r="AD86" s="27"/>
      <c r="AE86" s="30"/>
      <c r="AF86" s="26"/>
      <c r="AG86" s="26"/>
      <c r="AH86" s="32"/>
      <c r="AJ86" s="8"/>
      <c r="AK86" s="2"/>
      <c r="AL86" s="26"/>
      <c r="AM86" s="26"/>
      <c r="AN86" s="26"/>
      <c r="AO86" s="27"/>
      <c r="AP86" s="30"/>
      <c r="AQ86" s="26"/>
      <c r="AR86" s="26"/>
      <c r="AS86" s="32"/>
      <c r="AT86" s="34"/>
    </row>
    <row r="87" spans="2:46" x14ac:dyDescent="0.3">
      <c r="B87" s="8"/>
      <c r="C87" s="2" t="s">
        <v>734</v>
      </c>
      <c r="D87" s="26">
        <v>0</v>
      </c>
      <c r="E87" s="26">
        <v>0</v>
      </c>
      <c r="F87" s="27">
        <v>0</v>
      </c>
      <c r="G87" s="26">
        <v>0</v>
      </c>
      <c r="H87" s="26">
        <v>0</v>
      </c>
      <c r="I87" s="27">
        <v>0</v>
      </c>
      <c r="J87" s="26">
        <v>0</v>
      </c>
      <c r="K87" s="26">
        <v>0</v>
      </c>
      <c r="L87" s="67">
        <v>1</v>
      </c>
      <c r="N87" s="8"/>
      <c r="O87" s="2" t="s">
        <v>670</v>
      </c>
      <c r="P87" s="26">
        <v>0</v>
      </c>
      <c r="Q87" s="27">
        <v>0</v>
      </c>
      <c r="R87" s="30">
        <v>0</v>
      </c>
      <c r="S87" s="27">
        <v>0</v>
      </c>
      <c r="T87" s="30">
        <v>0</v>
      </c>
      <c r="U87" s="34">
        <v>1</v>
      </c>
      <c r="V87" s="34">
        <v>1</v>
      </c>
      <c r="X87" s="8"/>
      <c r="Y87" s="2"/>
      <c r="Z87" s="26"/>
      <c r="AA87" s="26"/>
      <c r="AB87" s="26"/>
      <c r="AC87" s="26"/>
      <c r="AD87" s="27"/>
      <c r="AE87" s="30"/>
      <c r="AF87" s="26"/>
      <c r="AG87" s="26"/>
      <c r="AH87" s="32"/>
      <c r="AJ87" s="8"/>
      <c r="AK87" s="2"/>
      <c r="AL87" s="26"/>
      <c r="AM87" s="26"/>
      <c r="AN87" s="26"/>
      <c r="AO87" s="27"/>
      <c r="AP87" s="30"/>
      <c r="AQ87" s="26"/>
      <c r="AR87" s="26"/>
      <c r="AS87" s="32"/>
      <c r="AT87" s="34"/>
    </row>
    <row r="88" spans="2:46" x14ac:dyDescent="0.3">
      <c r="B88" s="8"/>
      <c r="C88" s="2" t="s">
        <v>735</v>
      </c>
      <c r="D88" s="26">
        <v>0</v>
      </c>
      <c r="E88" s="26">
        <v>0</v>
      </c>
      <c r="F88" s="27">
        <v>0</v>
      </c>
      <c r="G88" s="26">
        <v>0</v>
      </c>
      <c r="H88" s="26">
        <v>0</v>
      </c>
      <c r="I88" s="27">
        <v>0</v>
      </c>
      <c r="J88" s="26">
        <v>0</v>
      </c>
      <c r="K88" s="26">
        <v>0</v>
      </c>
      <c r="L88" s="67">
        <v>1</v>
      </c>
      <c r="N88" s="8"/>
      <c r="O88" s="2" t="s">
        <v>671</v>
      </c>
      <c r="P88" s="26">
        <v>0</v>
      </c>
      <c r="Q88" s="27">
        <v>0</v>
      </c>
      <c r="R88" s="30">
        <v>0</v>
      </c>
      <c r="S88" s="27">
        <v>0</v>
      </c>
      <c r="T88" s="30">
        <v>0</v>
      </c>
      <c r="U88" s="34">
        <v>1</v>
      </c>
      <c r="V88" s="34">
        <v>1</v>
      </c>
      <c r="X88" s="8"/>
      <c r="Y88" s="2"/>
      <c r="Z88" s="26"/>
      <c r="AA88" s="26"/>
      <c r="AB88" s="26"/>
      <c r="AC88" s="26"/>
      <c r="AD88" s="27"/>
      <c r="AE88" s="30"/>
      <c r="AF88" s="26"/>
      <c r="AG88" s="26"/>
      <c r="AH88" s="32"/>
      <c r="AJ88" s="8"/>
      <c r="AK88" s="2"/>
      <c r="AL88" s="26"/>
      <c r="AM88" s="26"/>
      <c r="AN88" s="26"/>
      <c r="AO88" s="27"/>
      <c r="AP88" s="30"/>
      <c r="AQ88" s="26"/>
      <c r="AR88" s="26"/>
      <c r="AS88" s="32"/>
      <c r="AT88" s="34"/>
    </row>
    <row r="89" spans="2:46" x14ac:dyDescent="0.3">
      <c r="B89" s="8"/>
      <c r="C89" s="2" t="s">
        <v>736</v>
      </c>
      <c r="D89" s="26">
        <v>0</v>
      </c>
      <c r="E89" s="26">
        <v>0</v>
      </c>
      <c r="F89" s="27">
        <v>0</v>
      </c>
      <c r="G89" s="26">
        <v>0</v>
      </c>
      <c r="H89" s="26">
        <v>0</v>
      </c>
      <c r="I89" s="27">
        <v>0</v>
      </c>
      <c r="J89" s="26">
        <v>0</v>
      </c>
      <c r="K89" s="26">
        <v>0</v>
      </c>
      <c r="L89" s="67">
        <v>1</v>
      </c>
      <c r="N89" s="8"/>
      <c r="O89" s="2" t="s">
        <v>672</v>
      </c>
      <c r="P89" s="26">
        <v>0</v>
      </c>
      <c r="Q89" s="27">
        <v>0</v>
      </c>
      <c r="R89" s="30">
        <v>0</v>
      </c>
      <c r="S89" s="27">
        <v>0</v>
      </c>
      <c r="T89" s="30">
        <v>0</v>
      </c>
      <c r="U89" s="34">
        <v>1</v>
      </c>
      <c r="V89" s="34">
        <v>1</v>
      </c>
      <c r="X89" s="8"/>
      <c r="Y89" s="2"/>
      <c r="Z89" s="26"/>
      <c r="AA89" s="26"/>
      <c r="AB89" s="26"/>
      <c r="AC89" s="26"/>
      <c r="AD89" s="27"/>
      <c r="AE89" s="30"/>
      <c r="AF89" s="26"/>
      <c r="AG89" s="26"/>
      <c r="AH89" s="32"/>
      <c r="AJ89" s="8"/>
      <c r="AK89" s="2"/>
      <c r="AL89" s="26"/>
      <c r="AM89" s="26"/>
      <c r="AN89" s="26"/>
      <c r="AO89" s="27"/>
      <c r="AP89" s="30"/>
      <c r="AQ89" s="26"/>
      <c r="AR89" s="26"/>
      <c r="AS89" s="32"/>
      <c r="AT89" s="34"/>
    </row>
    <row r="90" spans="2:46" x14ac:dyDescent="0.3">
      <c r="B90" s="8"/>
      <c r="C90" s="2" t="s">
        <v>737</v>
      </c>
      <c r="D90" s="26">
        <v>0</v>
      </c>
      <c r="E90" s="26">
        <v>0</v>
      </c>
      <c r="F90" s="27">
        <v>0</v>
      </c>
      <c r="G90" s="26">
        <v>0</v>
      </c>
      <c r="H90" s="26">
        <v>0</v>
      </c>
      <c r="I90" s="27">
        <v>0</v>
      </c>
      <c r="J90" s="26">
        <v>0</v>
      </c>
      <c r="K90" s="26">
        <v>0</v>
      </c>
      <c r="L90" s="67">
        <v>1</v>
      </c>
      <c r="N90" s="8"/>
      <c r="O90" s="2" t="s">
        <v>673</v>
      </c>
      <c r="P90" s="26">
        <v>0</v>
      </c>
      <c r="Q90" s="27">
        <v>0</v>
      </c>
      <c r="R90" s="30">
        <v>0</v>
      </c>
      <c r="S90" s="27">
        <v>0</v>
      </c>
      <c r="T90" s="30">
        <v>0</v>
      </c>
      <c r="U90" s="34">
        <v>1</v>
      </c>
      <c r="V90" s="34">
        <v>1</v>
      </c>
      <c r="X90" s="8"/>
      <c r="Y90" s="2"/>
      <c r="Z90" s="26"/>
      <c r="AA90" s="26"/>
      <c r="AB90" s="26"/>
      <c r="AC90" s="26"/>
      <c r="AD90" s="27"/>
      <c r="AE90" s="30"/>
      <c r="AF90" s="26"/>
      <c r="AG90" s="26"/>
      <c r="AH90" s="32"/>
      <c r="AJ90" s="8"/>
      <c r="AK90" s="2"/>
      <c r="AL90" s="26"/>
      <c r="AM90" s="26"/>
      <c r="AN90" s="26"/>
      <c r="AO90" s="27"/>
      <c r="AP90" s="30"/>
      <c r="AQ90" s="26"/>
      <c r="AR90" s="26"/>
      <c r="AS90" s="32"/>
      <c r="AT90" s="34"/>
    </row>
    <row r="91" spans="2:46" x14ac:dyDescent="0.3">
      <c r="B91" s="8"/>
      <c r="C91" s="2" t="s">
        <v>806</v>
      </c>
      <c r="D91" s="26">
        <v>0</v>
      </c>
      <c r="E91" s="26">
        <v>0</v>
      </c>
      <c r="F91" s="27">
        <v>0</v>
      </c>
      <c r="G91" s="26">
        <v>0</v>
      </c>
      <c r="H91" s="26">
        <v>0</v>
      </c>
      <c r="I91" s="27">
        <v>0</v>
      </c>
      <c r="J91" s="26">
        <v>0</v>
      </c>
      <c r="K91" s="26">
        <v>0</v>
      </c>
      <c r="L91" s="67">
        <v>1</v>
      </c>
      <c r="N91" s="8"/>
      <c r="O91" s="2" t="s">
        <v>849</v>
      </c>
      <c r="P91" s="26">
        <v>0</v>
      </c>
      <c r="Q91" s="27">
        <v>0</v>
      </c>
      <c r="R91" s="30">
        <v>0</v>
      </c>
      <c r="S91" s="27">
        <v>0</v>
      </c>
      <c r="T91" s="30">
        <v>0</v>
      </c>
      <c r="U91" s="34">
        <v>1</v>
      </c>
      <c r="V91" s="34">
        <v>1</v>
      </c>
      <c r="X91" s="8"/>
      <c r="Y91" s="2"/>
      <c r="Z91" s="26"/>
      <c r="AA91" s="26"/>
      <c r="AB91" s="26"/>
      <c r="AC91" s="26"/>
      <c r="AD91" s="27"/>
      <c r="AE91" s="30"/>
      <c r="AF91" s="26"/>
      <c r="AG91" s="26"/>
      <c r="AH91" s="32"/>
      <c r="AJ91" s="8"/>
      <c r="AK91" s="2"/>
      <c r="AL91" s="26"/>
      <c r="AM91" s="26"/>
      <c r="AN91" s="26"/>
      <c r="AO91" s="27"/>
      <c r="AP91" s="30"/>
      <c r="AQ91" s="26"/>
      <c r="AR91" s="26"/>
      <c r="AS91" s="32"/>
      <c r="AT91" s="34"/>
    </row>
    <row r="92" spans="2:46" x14ac:dyDescent="0.3">
      <c r="B92" s="8"/>
      <c r="C92" s="2" t="s">
        <v>807</v>
      </c>
      <c r="D92" s="26">
        <v>0</v>
      </c>
      <c r="E92" s="26">
        <v>0</v>
      </c>
      <c r="F92" s="27">
        <v>0</v>
      </c>
      <c r="G92" s="26">
        <v>0</v>
      </c>
      <c r="H92" s="26">
        <v>0</v>
      </c>
      <c r="I92" s="27">
        <v>0</v>
      </c>
      <c r="J92" s="26">
        <v>0</v>
      </c>
      <c r="K92" s="26">
        <v>0</v>
      </c>
      <c r="L92" s="67">
        <v>1</v>
      </c>
      <c r="N92" s="8"/>
      <c r="O92" s="2" t="s">
        <v>850</v>
      </c>
      <c r="P92" s="26">
        <v>0</v>
      </c>
      <c r="Q92" s="27">
        <v>0</v>
      </c>
      <c r="R92" s="30">
        <v>0</v>
      </c>
      <c r="S92" s="27">
        <v>0</v>
      </c>
      <c r="T92" s="30">
        <v>0</v>
      </c>
      <c r="U92" s="34">
        <v>1</v>
      </c>
      <c r="V92" s="34">
        <v>1</v>
      </c>
      <c r="X92" s="8"/>
      <c r="Y92" s="2"/>
      <c r="Z92" s="26"/>
      <c r="AA92" s="26"/>
      <c r="AB92" s="26"/>
      <c r="AC92" s="26"/>
      <c r="AD92" s="27"/>
      <c r="AE92" s="30"/>
      <c r="AF92" s="26"/>
      <c r="AG92" s="26"/>
      <c r="AH92" s="32"/>
      <c r="AJ92" s="8"/>
      <c r="AK92" s="2"/>
      <c r="AL92" s="26"/>
      <c r="AM92" s="26"/>
      <c r="AN92" s="26"/>
      <c r="AO92" s="27"/>
      <c r="AP92" s="30"/>
      <c r="AQ92" s="26"/>
      <c r="AR92" s="26"/>
      <c r="AS92" s="32"/>
      <c r="AT92" s="34"/>
    </row>
    <row r="93" spans="2:46" x14ac:dyDescent="0.3">
      <c r="B93" s="8"/>
      <c r="C93" s="2" t="s">
        <v>738</v>
      </c>
      <c r="D93" s="26">
        <v>0</v>
      </c>
      <c r="E93" s="26">
        <v>0</v>
      </c>
      <c r="F93" s="27">
        <v>0</v>
      </c>
      <c r="G93" s="26">
        <v>0</v>
      </c>
      <c r="H93" s="26">
        <v>0</v>
      </c>
      <c r="I93" s="27">
        <v>0</v>
      </c>
      <c r="J93" s="26">
        <v>0</v>
      </c>
      <c r="K93" s="26">
        <v>0</v>
      </c>
      <c r="L93" s="67">
        <v>1</v>
      </c>
      <c r="N93" s="8"/>
      <c r="O93" s="2" t="s">
        <v>674</v>
      </c>
      <c r="P93" s="26">
        <v>0</v>
      </c>
      <c r="Q93" s="27">
        <v>0</v>
      </c>
      <c r="R93" s="30">
        <v>0</v>
      </c>
      <c r="S93" s="27">
        <v>0</v>
      </c>
      <c r="T93" s="30">
        <v>0</v>
      </c>
      <c r="U93" s="34">
        <v>1</v>
      </c>
      <c r="V93" s="34">
        <v>1</v>
      </c>
      <c r="X93" s="8"/>
      <c r="Y93" s="2"/>
      <c r="Z93" s="26"/>
      <c r="AA93" s="26"/>
      <c r="AB93" s="26"/>
      <c r="AC93" s="26"/>
      <c r="AD93" s="27"/>
      <c r="AE93" s="30"/>
      <c r="AF93" s="26"/>
      <c r="AG93" s="26"/>
      <c r="AH93" s="32"/>
      <c r="AJ93" s="8"/>
      <c r="AK93" s="2"/>
      <c r="AL93" s="26"/>
      <c r="AM93" s="26"/>
      <c r="AN93" s="26"/>
      <c r="AO93" s="27"/>
      <c r="AP93" s="30"/>
      <c r="AQ93" s="26"/>
      <c r="AR93" s="26"/>
      <c r="AS93" s="32"/>
      <c r="AT93" s="34"/>
    </row>
    <row r="94" spans="2:46" x14ac:dyDescent="0.3">
      <c r="B94" s="8"/>
      <c r="C94" s="2" t="s">
        <v>739</v>
      </c>
      <c r="D94" s="26">
        <v>0</v>
      </c>
      <c r="E94" s="26">
        <v>0</v>
      </c>
      <c r="F94" s="27">
        <v>0</v>
      </c>
      <c r="G94" s="26">
        <v>0</v>
      </c>
      <c r="H94" s="26">
        <v>0</v>
      </c>
      <c r="I94" s="27">
        <v>0</v>
      </c>
      <c r="J94" s="26">
        <v>0</v>
      </c>
      <c r="K94" s="26">
        <v>0</v>
      </c>
      <c r="L94" s="67">
        <v>1</v>
      </c>
      <c r="N94" s="8"/>
      <c r="O94" s="2" t="s">
        <v>675</v>
      </c>
      <c r="P94" s="26">
        <v>0</v>
      </c>
      <c r="Q94" s="27">
        <v>0</v>
      </c>
      <c r="R94" s="30">
        <v>0</v>
      </c>
      <c r="S94" s="27">
        <v>0</v>
      </c>
      <c r="T94" s="30">
        <v>0</v>
      </c>
      <c r="U94" s="34">
        <v>1</v>
      </c>
      <c r="V94" s="34">
        <v>1</v>
      </c>
      <c r="X94" s="8"/>
      <c r="Y94" s="2"/>
      <c r="Z94" s="26"/>
      <c r="AA94" s="26"/>
      <c r="AB94" s="26"/>
      <c r="AC94" s="26"/>
      <c r="AD94" s="27"/>
      <c r="AE94" s="30"/>
      <c r="AF94" s="26"/>
      <c r="AG94" s="26"/>
      <c r="AH94" s="32"/>
      <c r="AJ94" s="8"/>
      <c r="AK94" s="2"/>
      <c r="AL94" s="26"/>
      <c r="AM94" s="26"/>
      <c r="AN94" s="26"/>
      <c r="AO94" s="27"/>
      <c r="AP94" s="30"/>
      <c r="AQ94" s="26"/>
      <c r="AR94" s="26"/>
      <c r="AS94" s="32"/>
      <c r="AT94" s="34"/>
    </row>
    <row r="95" spans="2:46" x14ac:dyDescent="0.3">
      <c r="B95" s="8"/>
      <c r="C95" s="2" t="s">
        <v>740</v>
      </c>
      <c r="D95" s="26">
        <v>0</v>
      </c>
      <c r="E95" s="26">
        <v>0</v>
      </c>
      <c r="F95" s="27">
        <v>0</v>
      </c>
      <c r="G95" s="26">
        <v>0</v>
      </c>
      <c r="H95" s="26">
        <v>0</v>
      </c>
      <c r="I95" s="27">
        <v>0</v>
      </c>
      <c r="J95" s="26">
        <v>0</v>
      </c>
      <c r="K95" s="26">
        <v>0</v>
      </c>
      <c r="L95" s="67">
        <v>1</v>
      </c>
      <c r="N95" s="8"/>
      <c r="O95" s="2" t="s">
        <v>676</v>
      </c>
      <c r="P95" s="26">
        <v>0</v>
      </c>
      <c r="Q95" s="27">
        <v>0</v>
      </c>
      <c r="R95" s="30">
        <v>0</v>
      </c>
      <c r="S95" s="27">
        <v>0</v>
      </c>
      <c r="T95" s="30">
        <v>0</v>
      </c>
      <c r="U95" s="34">
        <v>1</v>
      </c>
      <c r="V95" s="34">
        <v>1</v>
      </c>
      <c r="X95" s="8"/>
      <c r="Y95" s="2"/>
      <c r="Z95" s="26"/>
      <c r="AA95" s="26"/>
      <c r="AB95" s="26"/>
      <c r="AC95" s="26"/>
      <c r="AD95" s="27"/>
      <c r="AE95" s="30"/>
      <c r="AF95" s="26"/>
      <c r="AG95" s="26"/>
      <c r="AH95" s="32"/>
      <c r="AJ95" s="8"/>
      <c r="AK95" s="2"/>
      <c r="AL95" s="26"/>
      <c r="AM95" s="26"/>
      <c r="AN95" s="26"/>
      <c r="AO95" s="27"/>
      <c r="AP95" s="30"/>
      <c r="AQ95" s="26"/>
      <c r="AR95" s="26"/>
      <c r="AS95" s="32"/>
      <c r="AT95" s="34"/>
    </row>
    <row r="96" spans="2:46" x14ac:dyDescent="0.3">
      <c r="B96" s="8"/>
      <c r="C96" s="2" t="s">
        <v>741</v>
      </c>
      <c r="D96" s="26">
        <v>0</v>
      </c>
      <c r="E96" s="26">
        <v>0</v>
      </c>
      <c r="F96" s="27">
        <v>0</v>
      </c>
      <c r="G96" s="26">
        <v>0</v>
      </c>
      <c r="H96" s="26">
        <v>0</v>
      </c>
      <c r="I96" s="27">
        <v>0</v>
      </c>
      <c r="J96" s="26">
        <v>0</v>
      </c>
      <c r="K96" s="26">
        <v>0</v>
      </c>
      <c r="L96" s="67">
        <v>1</v>
      </c>
      <c r="N96" s="8"/>
      <c r="O96" s="2" t="s">
        <v>677</v>
      </c>
      <c r="P96" s="26">
        <v>0</v>
      </c>
      <c r="Q96" s="27">
        <v>0</v>
      </c>
      <c r="R96" s="30">
        <v>0</v>
      </c>
      <c r="S96" s="27">
        <v>0</v>
      </c>
      <c r="T96" s="30">
        <v>0</v>
      </c>
      <c r="U96" s="34">
        <v>1</v>
      </c>
      <c r="V96" s="34">
        <v>1</v>
      </c>
      <c r="X96" s="8"/>
      <c r="Y96" s="2"/>
      <c r="Z96" s="26"/>
      <c r="AA96" s="26"/>
      <c r="AB96" s="26"/>
      <c r="AC96" s="26"/>
      <c r="AD96" s="27"/>
      <c r="AE96" s="30"/>
      <c r="AF96" s="26"/>
      <c r="AG96" s="26"/>
      <c r="AH96" s="32"/>
      <c r="AJ96" s="8"/>
      <c r="AK96" s="2"/>
      <c r="AL96" s="26"/>
      <c r="AM96" s="26"/>
      <c r="AN96" s="26"/>
      <c r="AO96" s="27"/>
      <c r="AP96" s="30"/>
      <c r="AQ96" s="26"/>
      <c r="AR96" s="26"/>
      <c r="AS96" s="32"/>
      <c r="AT96" s="34"/>
    </row>
    <row r="97" spans="2:46" x14ac:dyDescent="0.3">
      <c r="B97" s="8"/>
      <c r="C97" s="2" t="s">
        <v>742</v>
      </c>
      <c r="D97" s="26">
        <v>0</v>
      </c>
      <c r="E97" s="26">
        <v>0</v>
      </c>
      <c r="F97" s="27">
        <v>0</v>
      </c>
      <c r="G97" s="26">
        <v>0</v>
      </c>
      <c r="H97" s="26">
        <v>0</v>
      </c>
      <c r="I97" s="27">
        <v>0</v>
      </c>
      <c r="J97" s="26">
        <v>0</v>
      </c>
      <c r="K97" s="26">
        <v>0</v>
      </c>
      <c r="L97" s="67">
        <v>1</v>
      </c>
      <c r="N97" s="8"/>
      <c r="O97" s="2" t="s">
        <v>678</v>
      </c>
      <c r="P97" s="26">
        <v>0</v>
      </c>
      <c r="Q97" s="27">
        <v>0</v>
      </c>
      <c r="R97" s="30">
        <v>0</v>
      </c>
      <c r="S97" s="27">
        <v>0</v>
      </c>
      <c r="T97" s="30">
        <v>0</v>
      </c>
      <c r="U97" s="34">
        <v>1</v>
      </c>
      <c r="V97" s="34">
        <v>1</v>
      </c>
      <c r="X97" s="8"/>
      <c r="Y97" s="2"/>
      <c r="Z97" s="26"/>
      <c r="AA97" s="26"/>
      <c r="AB97" s="26"/>
      <c r="AC97" s="26"/>
      <c r="AD97" s="27"/>
      <c r="AE97" s="30"/>
      <c r="AF97" s="26"/>
      <c r="AG97" s="26"/>
      <c r="AH97" s="32"/>
      <c r="AJ97" s="8"/>
      <c r="AK97" s="2"/>
      <c r="AL97" s="26"/>
      <c r="AM97" s="26"/>
      <c r="AN97" s="26"/>
      <c r="AO97" s="27"/>
      <c r="AP97" s="30"/>
      <c r="AQ97" s="26"/>
      <c r="AR97" s="26"/>
      <c r="AS97" s="32"/>
      <c r="AT97" s="34"/>
    </row>
    <row r="98" spans="2:46" x14ac:dyDescent="0.3">
      <c r="B98" s="8"/>
      <c r="C98" s="2" t="s">
        <v>743</v>
      </c>
      <c r="D98" s="26">
        <v>0</v>
      </c>
      <c r="E98" s="26">
        <v>0</v>
      </c>
      <c r="F98" s="27">
        <v>0</v>
      </c>
      <c r="G98" s="26">
        <v>0</v>
      </c>
      <c r="H98" s="26">
        <v>0</v>
      </c>
      <c r="I98" s="27">
        <v>0</v>
      </c>
      <c r="J98" s="26">
        <v>0</v>
      </c>
      <c r="K98" s="26">
        <v>0</v>
      </c>
      <c r="L98" s="67">
        <v>1</v>
      </c>
      <c r="N98" s="8"/>
      <c r="O98" s="2" t="s">
        <v>679</v>
      </c>
      <c r="P98" s="26">
        <v>0</v>
      </c>
      <c r="Q98" s="27">
        <v>0</v>
      </c>
      <c r="R98" s="30">
        <v>0</v>
      </c>
      <c r="S98" s="27">
        <v>0</v>
      </c>
      <c r="T98" s="30">
        <v>0</v>
      </c>
      <c r="U98" s="34">
        <v>1</v>
      </c>
      <c r="V98" s="34">
        <v>1</v>
      </c>
      <c r="X98" s="8"/>
      <c r="Y98" s="2"/>
      <c r="Z98" s="26"/>
      <c r="AA98" s="26"/>
      <c r="AB98" s="26"/>
      <c r="AC98" s="26"/>
      <c r="AD98" s="27"/>
      <c r="AE98" s="30"/>
      <c r="AF98" s="26"/>
      <c r="AG98" s="26"/>
      <c r="AH98" s="32"/>
      <c r="AJ98" s="8"/>
      <c r="AK98" s="2"/>
      <c r="AL98" s="26"/>
      <c r="AM98" s="26"/>
      <c r="AN98" s="26"/>
      <c r="AO98" s="27"/>
      <c r="AP98" s="30"/>
      <c r="AQ98" s="26"/>
      <c r="AR98" s="26"/>
      <c r="AS98" s="32"/>
      <c r="AT98" s="34"/>
    </row>
    <row r="99" spans="2:46" x14ac:dyDescent="0.3">
      <c r="B99" s="8"/>
      <c r="C99" s="2" t="s">
        <v>744</v>
      </c>
      <c r="D99" s="26">
        <v>0</v>
      </c>
      <c r="E99" s="26">
        <v>0</v>
      </c>
      <c r="F99" s="27">
        <v>0</v>
      </c>
      <c r="G99" s="26">
        <v>0</v>
      </c>
      <c r="H99" s="26">
        <v>0</v>
      </c>
      <c r="I99" s="27">
        <v>0</v>
      </c>
      <c r="J99" s="26">
        <v>0</v>
      </c>
      <c r="K99" s="26">
        <v>0</v>
      </c>
      <c r="L99" s="67">
        <v>1</v>
      </c>
      <c r="N99" s="8"/>
      <c r="O99" s="2" t="s">
        <v>680</v>
      </c>
      <c r="P99" s="26">
        <v>0</v>
      </c>
      <c r="Q99" s="27">
        <v>0</v>
      </c>
      <c r="R99" s="30">
        <v>0</v>
      </c>
      <c r="S99" s="27">
        <v>0</v>
      </c>
      <c r="T99" s="30">
        <v>0</v>
      </c>
      <c r="U99" s="34">
        <v>1</v>
      </c>
      <c r="V99" s="34">
        <v>1</v>
      </c>
      <c r="X99" s="8"/>
      <c r="Y99" s="2"/>
      <c r="Z99" s="26"/>
      <c r="AA99" s="26"/>
      <c r="AB99" s="26"/>
      <c r="AC99" s="26"/>
      <c r="AD99" s="27"/>
      <c r="AE99" s="30"/>
      <c r="AF99" s="26"/>
      <c r="AG99" s="26"/>
      <c r="AH99" s="32"/>
      <c r="AJ99" s="8"/>
      <c r="AK99" s="2"/>
      <c r="AL99" s="26"/>
      <c r="AM99" s="26"/>
      <c r="AN99" s="26"/>
      <c r="AO99" s="27"/>
      <c r="AP99" s="30"/>
      <c r="AQ99" s="26"/>
      <c r="AR99" s="26"/>
      <c r="AS99" s="32"/>
      <c r="AT99" s="34"/>
    </row>
    <row r="100" spans="2:46" x14ac:dyDescent="0.3">
      <c r="B100" s="8"/>
      <c r="C100" s="2" t="s">
        <v>808</v>
      </c>
      <c r="D100" s="26">
        <v>0</v>
      </c>
      <c r="E100" s="26">
        <v>0</v>
      </c>
      <c r="F100" s="27">
        <v>0</v>
      </c>
      <c r="G100" s="26">
        <v>0</v>
      </c>
      <c r="H100" s="26">
        <v>0</v>
      </c>
      <c r="I100" s="27">
        <v>0</v>
      </c>
      <c r="J100" s="26">
        <v>0</v>
      </c>
      <c r="K100" s="26">
        <v>0</v>
      </c>
      <c r="L100" s="67">
        <v>1</v>
      </c>
      <c r="N100" s="8"/>
      <c r="O100" s="2" t="s">
        <v>851</v>
      </c>
      <c r="P100" s="26">
        <v>0</v>
      </c>
      <c r="Q100" s="27">
        <v>0</v>
      </c>
      <c r="R100" s="30">
        <v>0</v>
      </c>
      <c r="S100" s="27">
        <v>0</v>
      </c>
      <c r="T100" s="30">
        <v>0</v>
      </c>
      <c r="U100" s="34">
        <v>1</v>
      </c>
      <c r="V100" s="34">
        <v>1</v>
      </c>
      <c r="X100" s="8"/>
      <c r="Y100" s="2"/>
      <c r="Z100" s="26"/>
      <c r="AA100" s="26"/>
      <c r="AB100" s="26"/>
      <c r="AC100" s="26"/>
      <c r="AD100" s="27"/>
      <c r="AE100" s="30"/>
      <c r="AF100" s="26"/>
      <c r="AG100" s="26"/>
      <c r="AH100" s="32"/>
      <c r="AJ100" s="8"/>
      <c r="AK100" s="2"/>
      <c r="AL100" s="26"/>
      <c r="AM100" s="26"/>
      <c r="AN100" s="26"/>
      <c r="AO100" s="27"/>
      <c r="AP100" s="30"/>
      <c r="AQ100" s="26"/>
      <c r="AR100" s="26"/>
      <c r="AS100" s="32"/>
      <c r="AT100" s="34"/>
    </row>
    <row r="101" spans="2:46" x14ac:dyDescent="0.3">
      <c r="B101" s="8"/>
      <c r="C101" s="2" t="s">
        <v>745</v>
      </c>
      <c r="D101" s="26">
        <v>0</v>
      </c>
      <c r="E101" s="26">
        <v>0</v>
      </c>
      <c r="F101" s="27">
        <v>0</v>
      </c>
      <c r="G101" s="26">
        <v>0</v>
      </c>
      <c r="H101" s="26">
        <v>0</v>
      </c>
      <c r="I101" s="27">
        <v>0</v>
      </c>
      <c r="J101" s="26">
        <v>0</v>
      </c>
      <c r="K101" s="26">
        <v>0</v>
      </c>
      <c r="L101" s="67">
        <v>1</v>
      </c>
      <c r="N101" s="8"/>
      <c r="O101" s="2" t="s">
        <v>681</v>
      </c>
      <c r="P101" s="26">
        <v>0</v>
      </c>
      <c r="Q101" s="27">
        <v>0</v>
      </c>
      <c r="R101" s="30">
        <v>0</v>
      </c>
      <c r="S101" s="27">
        <v>0</v>
      </c>
      <c r="T101" s="30">
        <v>0</v>
      </c>
      <c r="U101" s="34">
        <v>1</v>
      </c>
      <c r="V101" s="34">
        <v>1</v>
      </c>
      <c r="X101" s="8"/>
      <c r="Y101" s="2"/>
      <c r="Z101" s="26"/>
      <c r="AA101" s="26"/>
      <c r="AB101" s="26"/>
      <c r="AC101" s="26"/>
      <c r="AD101" s="27"/>
      <c r="AE101" s="30"/>
      <c r="AF101" s="26"/>
      <c r="AG101" s="26"/>
      <c r="AH101" s="32"/>
      <c r="AJ101" s="8"/>
      <c r="AK101" s="2"/>
      <c r="AL101" s="26"/>
      <c r="AM101" s="26"/>
      <c r="AN101" s="26"/>
      <c r="AO101" s="27"/>
      <c r="AP101" s="30"/>
      <c r="AQ101" s="26"/>
      <c r="AR101" s="26"/>
      <c r="AS101" s="32"/>
      <c r="AT101" s="34"/>
    </row>
    <row r="102" spans="2:46" x14ac:dyDescent="0.3">
      <c r="B102" s="8"/>
      <c r="C102" s="2" t="s">
        <v>746</v>
      </c>
      <c r="D102" s="26">
        <v>0</v>
      </c>
      <c r="E102" s="26">
        <v>0</v>
      </c>
      <c r="F102" s="27">
        <v>0</v>
      </c>
      <c r="G102" s="26">
        <v>0</v>
      </c>
      <c r="H102" s="26">
        <v>0</v>
      </c>
      <c r="I102" s="27">
        <v>0</v>
      </c>
      <c r="J102" s="26">
        <v>0</v>
      </c>
      <c r="K102" s="26">
        <v>0</v>
      </c>
      <c r="L102" s="67">
        <v>1</v>
      </c>
      <c r="N102" s="8"/>
      <c r="O102" s="2" t="s">
        <v>682</v>
      </c>
      <c r="P102" s="26">
        <v>0</v>
      </c>
      <c r="Q102" s="27">
        <v>0</v>
      </c>
      <c r="R102" s="30">
        <v>0</v>
      </c>
      <c r="S102" s="27">
        <v>0</v>
      </c>
      <c r="T102" s="30">
        <v>0</v>
      </c>
      <c r="U102" s="34">
        <v>1</v>
      </c>
      <c r="V102" s="34">
        <v>1</v>
      </c>
      <c r="X102" s="8"/>
      <c r="Y102" s="2"/>
      <c r="Z102" s="26"/>
      <c r="AA102" s="26"/>
      <c r="AB102" s="26"/>
      <c r="AC102" s="26"/>
      <c r="AD102" s="27"/>
      <c r="AE102" s="30"/>
      <c r="AF102" s="26"/>
      <c r="AG102" s="26"/>
      <c r="AH102" s="32"/>
      <c r="AJ102" s="8"/>
      <c r="AK102" s="2"/>
      <c r="AL102" s="26"/>
      <c r="AM102" s="26"/>
      <c r="AN102" s="26"/>
      <c r="AO102" s="27"/>
      <c r="AP102" s="30"/>
      <c r="AQ102" s="26"/>
      <c r="AR102" s="26"/>
      <c r="AS102" s="32"/>
      <c r="AT102" s="34"/>
    </row>
    <row r="103" spans="2:46" x14ac:dyDescent="0.3">
      <c r="B103" s="8"/>
      <c r="C103" s="2" t="s">
        <v>747</v>
      </c>
      <c r="D103" s="26">
        <v>0</v>
      </c>
      <c r="E103" s="26">
        <v>0</v>
      </c>
      <c r="F103" s="27">
        <v>0</v>
      </c>
      <c r="G103" s="26">
        <v>0</v>
      </c>
      <c r="H103" s="26">
        <v>0</v>
      </c>
      <c r="I103" s="27">
        <v>0</v>
      </c>
      <c r="J103" s="26">
        <v>0</v>
      </c>
      <c r="K103" s="26">
        <v>0</v>
      </c>
      <c r="L103" s="67">
        <v>1</v>
      </c>
      <c r="N103" s="8"/>
      <c r="O103" s="2" t="s">
        <v>683</v>
      </c>
      <c r="P103" s="26">
        <v>0</v>
      </c>
      <c r="Q103" s="27">
        <v>0</v>
      </c>
      <c r="R103" s="30">
        <v>0</v>
      </c>
      <c r="S103" s="27">
        <v>0</v>
      </c>
      <c r="T103" s="30">
        <v>0</v>
      </c>
      <c r="U103" s="34">
        <v>1</v>
      </c>
      <c r="V103" s="34">
        <v>1</v>
      </c>
      <c r="X103" s="8"/>
      <c r="Y103" s="2"/>
      <c r="Z103" s="26"/>
      <c r="AA103" s="26"/>
      <c r="AB103" s="26"/>
      <c r="AC103" s="26"/>
      <c r="AD103" s="27"/>
      <c r="AE103" s="30"/>
      <c r="AF103" s="26"/>
      <c r="AG103" s="26"/>
      <c r="AH103" s="32"/>
      <c r="AJ103" s="8"/>
      <c r="AK103" s="2"/>
      <c r="AL103" s="26"/>
      <c r="AM103" s="26"/>
      <c r="AN103" s="26"/>
      <c r="AO103" s="27"/>
      <c r="AP103" s="30"/>
      <c r="AQ103" s="26"/>
      <c r="AR103" s="26"/>
      <c r="AS103" s="32"/>
      <c r="AT103" s="34"/>
    </row>
    <row r="104" spans="2:46" x14ac:dyDescent="0.3">
      <c r="B104" s="8"/>
      <c r="C104" s="2" t="s">
        <v>748</v>
      </c>
      <c r="D104" s="26">
        <v>0</v>
      </c>
      <c r="E104" s="26">
        <v>0</v>
      </c>
      <c r="F104" s="27">
        <v>0</v>
      </c>
      <c r="G104" s="26">
        <v>0</v>
      </c>
      <c r="H104" s="26">
        <v>0</v>
      </c>
      <c r="I104" s="27">
        <v>0</v>
      </c>
      <c r="J104" s="26">
        <v>0</v>
      </c>
      <c r="K104" s="26">
        <v>0</v>
      </c>
      <c r="L104" s="67">
        <v>1</v>
      </c>
      <c r="N104" s="8"/>
      <c r="O104" s="2" t="s">
        <v>684</v>
      </c>
      <c r="P104" s="26">
        <v>0</v>
      </c>
      <c r="Q104" s="27">
        <v>0</v>
      </c>
      <c r="R104" s="30">
        <v>0</v>
      </c>
      <c r="S104" s="27">
        <v>0</v>
      </c>
      <c r="T104" s="30">
        <v>0</v>
      </c>
      <c r="U104" s="34">
        <v>1</v>
      </c>
      <c r="V104" s="34">
        <v>1</v>
      </c>
      <c r="X104" s="8"/>
      <c r="Y104" s="2"/>
      <c r="Z104" s="26"/>
      <c r="AA104" s="26"/>
      <c r="AB104" s="26"/>
      <c r="AC104" s="26"/>
      <c r="AD104" s="27"/>
      <c r="AE104" s="30"/>
      <c r="AF104" s="26"/>
      <c r="AG104" s="26"/>
      <c r="AH104" s="32"/>
      <c r="AJ104" s="8"/>
      <c r="AK104" s="2"/>
      <c r="AL104" s="26"/>
      <c r="AM104" s="26"/>
      <c r="AN104" s="26"/>
      <c r="AO104" s="27"/>
      <c r="AP104" s="30"/>
      <c r="AQ104" s="26"/>
      <c r="AR104" s="26"/>
      <c r="AS104" s="32"/>
      <c r="AT104" s="34"/>
    </row>
    <row r="105" spans="2:46" x14ac:dyDescent="0.3">
      <c r="B105" s="8"/>
      <c r="C105" s="2" t="s">
        <v>749</v>
      </c>
      <c r="D105" s="26">
        <v>0</v>
      </c>
      <c r="E105" s="26">
        <v>0</v>
      </c>
      <c r="F105" s="27">
        <v>0</v>
      </c>
      <c r="G105" s="26">
        <v>0</v>
      </c>
      <c r="H105" s="26">
        <v>0</v>
      </c>
      <c r="I105" s="27">
        <v>0</v>
      </c>
      <c r="J105" s="26">
        <v>0</v>
      </c>
      <c r="K105" s="26">
        <v>0</v>
      </c>
      <c r="L105" s="67">
        <v>1</v>
      </c>
      <c r="N105" s="8"/>
      <c r="O105" s="2" t="s">
        <v>685</v>
      </c>
      <c r="P105" s="26">
        <v>0</v>
      </c>
      <c r="Q105" s="27">
        <v>0</v>
      </c>
      <c r="R105" s="30">
        <v>0</v>
      </c>
      <c r="S105" s="27">
        <v>0</v>
      </c>
      <c r="T105" s="30">
        <v>0</v>
      </c>
      <c r="U105" s="34">
        <v>1</v>
      </c>
      <c r="V105" s="34">
        <v>1</v>
      </c>
      <c r="X105" s="8"/>
      <c r="Y105" s="2"/>
      <c r="Z105" s="26"/>
      <c r="AA105" s="26"/>
      <c r="AB105" s="26"/>
      <c r="AC105" s="26"/>
      <c r="AD105" s="27"/>
      <c r="AE105" s="30"/>
      <c r="AF105" s="26"/>
      <c r="AG105" s="26"/>
      <c r="AH105" s="32"/>
      <c r="AJ105" s="8"/>
      <c r="AK105" s="2"/>
      <c r="AL105" s="26"/>
      <c r="AM105" s="26"/>
      <c r="AN105" s="26"/>
      <c r="AO105" s="27"/>
      <c r="AP105" s="30"/>
      <c r="AQ105" s="26"/>
      <c r="AR105" s="26"/>
      <c r="AS105" s="32"/>
      <c r="AT105" s="34"/>
    </row>
    <row r="106" spans="2:46" x14ac:dyDescent="0.3">
      <c r="B106" s="8"/>
      <c r="C106" s="2" t="s">
        <v>750</v>
      </c>
      <c r="D106" s="26">
        <v>0</v>
      </c>
      <c r="E106" s="26">
        <v>0</v>
      </c>
      <c r="F106" s="27">
        <v>0</v>
      </c>
      <c r="G106" s="26">
        <v>0</v>
      </c>
      <c r="H106" s="26">
        <v>0</v>
      </c>
      <c r="I106" s="27">
        <v>0</v>
      </c>
      <c r="J106" s="26">
        <v>0</v>
      </c>
      <c r="K106" s="26">
        <v>0</v>
      </c>
      <c r="L106" s="67">
        <v>1</v>
      </c>
      <c r="N106" s="8"/>
      <c r="O106" s="2" t="s">
        <v>686</v>
      </c>
      <c r="P106" s="26">
        <v>0</v>
      </c>
      <c r="Q106" s="27">
        <v>0</v>
      </c>
      <c r="R106" s="30">
        <v>0</v>
      </c>
      <c r="S106" s="27">
        <v>0</v>
      </c>
      <c r="T106" s="30">
        <v>0</v>
      </c>
      <c r="U106" s="34">
        <v>1</v>
      </c>
      <c r="V106" s="34">
        <v>1</v>
      </c>
      <c r="X106" s="8"/>
      <c r="Y106" s="2"/>
      <c r="Z106" s="26"/>
      <c r="AA106" s="26"/>
      <c r="AB106" s="26"/>
      <c r="AC106" s="26"/>
      <c r="AD106" s="27"/>
      <c r="AE106" s="30"/>
      <c r="AF106" s="26"/>
      <c r="AG106" s="26"/>
      <c r="AH106" s="32"/>
      <c r="AJ106" s="8"/>
      <c r="AK106" s="2"/>
      <c r="AL106" s="26"/>
      <c r="AM106" s="26"/>
      <c r="AN106" s="26"/>
      <c r="AO106" s="27"/>
      <c r="AP106" s="30"/>
      <c r="AQ106" s="26"/>
      <c r="AR106" s="26"/>
      <c r="AS106" s="32"/>
      <c r="AT106" s="34"/>
    </row>
    <row r="107" spans="2:46" x14ac:dyDescent="0.3">
      <c r="B107" s="8"/>
      <c r="C107" s="2" t="s">
        <v>751</v>
      </c>
      <c r="D107" s="26">
        <v>0</v>
      </c>
      <c r="E107" s="26">
        <v>0</v>
      </c>
      <c r="F107" s="27">
        <v>0</v>
      </c>
      <c r="G107" s="26">
        <v>0</v>
      </c>
      <c r="H107" s="26">
        <v>0</v>
      </c>
      <c r="I107" s="27">
        <v>0</v>
      </c>
      <c r="J107" s="26">
        <v>0</v>
      </c>
      <c r="K107" s="26">
        <v>0</v>
      </c>
      <c r="L107" s="67">
        <v>1</v>
      </c>
      <c r="N107" s="8"/>
      <c r="O107" s="2" t="s">
        <v>687</v>
      </c>
      <c r="P107" s="26">
        <v>0</v>
      </c>
      <c r="Q107" s="27">
        <v>0</v>
      </c>
      <c r="R107" s="30">
        <v>0</v>
      </c>
      <c r="S107" s="27">
        <v>0</v>
      </c>
      <c r="T107" s="30">
        <v>0</v>
      </c>
      <c r="U107" s="34">
        <v>1</v>
      </c>
      <c r="V107" s="34">
        <v>1</v>
      </c>
      <c r="X107" s="8"/>
      <c r="Y107" s="2"/>
      <c r="Z107" s="26"/>
      <c r="AA107" s="26"/>
      <c r="AB107" s="26"/>
      <c r="AC107" s="26"/>
      <c r="AD107" s="27"/>
      <c r="AE107" s="30"/>
      <c r="AF107" s="26"/>
      <c r="AG107" s="26"/>
      <c r="AH107" s="32"/>
      <c r="AJ107" s="8"/>
      <c r="AK107" s="2"/>
      <c r="AL107" s="26"/>
      <c r="AM107" s="26"/>
      <c r="AN107" s="26"/>
      <c r="AO107" s="27"/>
      <c r="AP107" s="30"/>
      <c r="AQ107" s="26"/>
      <c r="AR107" s="26"/>
      <c r="AS107" s="32"/>
      <c r="AT107" s="34"/>
    </row>
    <row r="108" spans="2:46" x14ac:dyDescent="0.3">
      <c r="B108" s="8"/>
      <c r="C108" s="2" t="s">
        <v>752</v>
      </c>
      <c r="D108" s="26">
        <v>0</v>
      </c>
      <c r="E108" s="26">
        <v>0</v>
      </c>
      <c r="F108" s="27">
        <v>0</v>
      </c>
      <c r="G108" s="26">
        <v>0</v>
      </c>
      <c r="H108" s="26">
        <v>0</v>
      </c>
      <c r="I108" s="27">
        <v>0</v>
      </c>
      <c r="J108" s="26">
        <v>0</v>
      </c>
      <c r="K108" s="26">
        <v>0</v>
      </c>
      <c r="L108" s="67">
        <v>1</v>
      </c>
      <c r="N108" s="8"/>
      <c r="O108" s="2" t="s">
        <v>688</v>
      </c>
      <c r="P108" s="26">
        <v>0</v>
      </c>
      <c r="Q108" s="27">
        <v>0</v>
      </c>
      <c r="R108" s="30">
        <v>0</v>
      </c>
      <c r="S108" s="27">
        <v>0</v>
      </c>
      <c r="T108" s="30">
        <v>0</v>
      </c>
      <c r="U108" s="34">
        <v>1</v>
      </c>
      <c r="V108" s="34">
        <v>1</v>
      </c>
      <c r="X108" s="8"/>
      <c r="Y108" s="2"/>
      <c r="Z108" s="26"/>
      <c r="AA108" s="26"/>
      <c r="AB108" s="26"/>
      <c r="AC108" s="26"/>
      <c r="AD108" s="27"/>
      <c r="AE108" s="30"/>
      <c r="AF108" s="26"/>
      <c r="AG108" s="26"/>
      <c r="AH108" s="32"/>
      <c r="AJ108" s="8"/>
      <c r="AK108" s="2"/>
      <c r="AL108" s="26"/>
      <c r="AM108" s="26"/>
      <c r="AN108" s="26"/>
      <c r="AO108" s="27"/>
      <c r="AP108" s="30"/>
      <c r="AQ108" s="26"/>
      <c r="AR108" s="26"/>
      <c r="AS108" s="32"/>
      <c r="AT108" s="34"/>
    </row>
    <row r="109" spans="2:46" x14ac:dyDescent="0.3">
      <c r="B109" s="8"/>
      <c r="C109" s="2"/>
      <c r="D109" s="26"/>
      <c r="E109" s="26"/>
      <c r="F109" s="27"/>
      <c r="G109" s="26"/>
      <c r="H109" s="26"/>
      <c r="I109" s="27"/>
      <c r="J109" s="26"/>
      <c r="K109" s="26"/>
      <c r="L109" s="67"/>
      <c r="N109" s="8"/>
      <c r="O109" s="2"/>
      <c r="P109" s="26"/>
      <c r="Q109" s="27"/>
      <c r="R109" s="30"/>
      <c r="S109" s="27"/>
      <c r="T109" s="30"/>
      <c r="U109" s="34"/>
      <c r="V109" s="34"/>
      <c r="X109" s="8"/>
      <c r="Y109" s="2"/>
      <c r="Z109" s="26"/>
      <c r="AA109" s="26"/>
      <c r="AB109" s="26"/>
      <c r="AC109" s="26"/>
      <c r="AD109" s="27"/>
      <c r="AE109" s="30"/>
      <c r="AF109" s="26"/>
      <c r="AG109" s="26"/>
      <c r="AH109" s="32"/>
      <c r="AJ109" s="8"/>
      <c r="AK109" s="2"/>
      <c r="AL109" s="26"/>
      <c r="AM109" s="26"/>
      <c r="AN109" s="26"/>
      <c r="AO109" s="27"/>
      <c r="AP109" s="30"/>
      <c r="AQ109" s="26"/>
      <c r="AR109" s="26"/>
      <c r="AS109" s="32"/>
      <c r="AT109" s="34"/>
    </row>
    <row r="110" spans="2:46" x14ac:dyDescent="0.3">
      <c r="B110" s="8"/>
      <c r="C110" s="2"/>
      <c r="D110" s="26"/>
      <c r="E110" s="26"/>
      <c r="F110" s="27"/>
      <c r="G110" s="26"/>
      <c r="H110" s="26"/>
      <c r="I110" s="27"/>
      <c r="J110" s="26"/>
      <c r="K110" s="26"/>
      <c r="L110" s="67"/>
      <c r="N110" s="8"/>
      <c r="O110" s="2"/>
      <c r="P110" s="26"/>
      <c r="Q110" s="27"/>
      <c r="R110" s="30"/>
      <c r="S110" s="27"/>
      <c r="T110" s="30"/>
      <c r="U110" s="34"/>
      <c r="V110" s="34"/>
      <c r="X110" s="8"/>
      <c r="Y110" s="2"/>
      <c r="Z110" s="26"/>
      <c r="AA110" s="26"/>
      <c r="AB110" s="26"/>
      <c r="AC110" s="26"/>
      <c r="AD110" s="27"/>
      <c r="AE110" s="30"/>
      <c r="AF110" s="26"/>
      <c r="AG110" s="26"/>
      <c r="AH110" s="32"/>
      <c r="AJ110" s="8"/>
      <c r="AK110" s="2"/>
      <c r="AL110" s="26"/>
      <c r="AM110" s="26"/>
      <c r="AN110" s="26"/>
      <c r="AO110" s="27"/>
      <c r="AP110" s="30"/>
      <c r="AQ110" s="26"/>
      <c r="AR110" s="26"/>
      <c r="AS110" s="32"/>
      <c r="AT110" s="34"/>
    </row>
    <row r="111" spans="2:46" x14ac:dyDescent="0.3">
      <c r="B111" s="8"/>
      <c r="C111" s="2"/>
      <c r="D111" s="26"/>
      <c r="E111" s="26"/>
      <c r="F111" s="27"/>
      <c r="G111" s="26"/>
      <c r="H111" s="26"/>
      <c r="I111" s="27"/>
      <c r="J111" s="26"/>
      <c r="K111" s="26"/>
      <c r="L111" s="67"/>
      <c r="N111" s="8"/>
      <c r="O111" s="2"/>
      <c r="P111" s="26"/>
      <c r="Q111" s="27"/>
      <c r="R111" s="30"/>
      <c r="S111" s="27"/>
      <c r="T111" s="30"/>
      <c r="U111" s="34"/>
      <c r="V111" s="34"/>
      <c r="X111" s="8"/>
      <c r="Y111" s="2"/>
      <c r="Z111" s="26"/>
      <c r="AA111" s="26"/>
      <c r="AB111" s="26"/>
      <c r="AC111" s="26"/>
      <c r="AD111" s="27"/>
      <c r="AE111" s="30"/>
      <c r="AF111" s="26"/>
      <c r="AG111" s="26"/>
      <c r="AH111" s="32"/>
      <c r="AJ111" s="8"/>
      <c r="AK111" s="2"/>
      <c r="AL111" s="26"/>
      <c r="AM111" s="26"/>
      <c r="AN111" s="26"/>
      <c r="AO111" s="27"/>
      <c r="AP111" s="30"/>
      <c r="AQ111" s="26"/>
      <c r="AR111" s="26"/>
      <c r="AS111" s="32"/>
      <c r="AT111" s="34"/>
    </row>
    <row r="112" spans="2:46" x14ac:dyDescent="0.3">
      <c r="B112" s="8"/>
      <c r="C112" s="2"/>
      <c r="D112" s="26"/>
      <c r="E112" s="26"/>
      <c r="F112" s="27"/>
      <c r="G112" s="26"/>
      <c r="H112" s="26"/>
      <c r="I112" s="27"/>
      <c r="J112" s="26"/>
      <c r="K112" s="26"/>
      <c r="L112" s="67"/>
      <c r="N112" s="8"/>
      <c r="O112" s="2"/>
      <c r="P112" s="26"/>
      <c r="Q112" s="27"/>
      <c r="R112" s="30"/>
      <c r="S112" s="27"/>
      <c r="T112" s="30"/>
      <c r="U112" s="34"/>
      <c r="V112" s="34"/>
      <c r="X112" s="8"/>
      <c r="Y112" s="2"/>
      <c r="Z112" s="26"/>
      <c r="AA112" s="26"/>
      <c r="AB112" s="26"/>
      <c r="AC112" s="26"/>
      <c r="AD112" s="27"/>
      <c r="AE112" s="30"/>
      <c r="AF112" s="26"/>
      <c r="AG112" s="26"/>
      <c r="AH112" s="32"/>
      <c r="AJ112" s="8"/>
      <c r="AK112" s="2"/>
      <c r="AL112" s="26"/>
      <c r="AM112" s="26"/>
      <c r="AN112" s="26"/>
      <c r="AO112" s="27"/>
      <c r="AP112" s="30"/>
      <c r="AQ112" s="26"/>
      <c r="AR112" s="26"/>
      <c r="AS112" s="32"/>
      <c r="AT112" s="34"/>
    </row>
    <row r="113" spans="2:46" x14ac:dyDescent="0.3">
      <c r="B113" s="8"/>
      <c r="C113" s="2"/>
      <c r="D113" s="26"/>
      <c r="E113" s="26"/>
      <c r="F113" s="27"/>
      <c r="G113" s="26"/>
      <c r="H113" s="26"/>
      <c r="I113" s="27"/>
      <c r="J113" s="26"/>
      <c r="K113" s="26"/>
      <c r="L113" s="67"/>
      <c r="N113" s="8"/>
      <c r="O113" s="2"/>
      <c r="P113" s="26"/>
      <c r="Q113" s="27"/>
      <c r="R113" s="30"/>
      <c r="S113" s="27"/>
      <c r="T113" s="30"/>
      <c r="U113" s="34"/>
      <c r="V113" s="34"/>
      <c r="X113" s="8"/>
      <c r="Y113" s="2"/>
      <c r="Z113" s="26"/>
      <c r="AA113" s="26"/>
      <c r="AB113" s="26"/>
      <c r="AC113" s="26"/>
      <c r="AD113" s="27"/>
      <c r="AE113" s="30"/>
      <c r="AF113" s="26"/>
      <c r="AG113" s="26"/>
      <c r="AH113" s="32"/>
      <c r="AJ113" s="8"/>
      <c r="AK113" s="2"/>
      <c r="AL113" s="26"/>
      <c r="AM113" s="26"/>
      <c r="AN113" s="26"/>
      <c r="AO113" s="27"/>
      <c r="AP113" s="30"/>
      <c r="AQ113" s="26"/>
      <c r="AR113" s="26"/>
      <c r="AS113" s="32"/>
      <c r="AT113" s="34"/>
    </row>
    <row r="114" spans="2:46" x14ac:dyDescent="0.3">
      <c r="B114" s="8"/>
      <c r="C114" s="2"/>
      <c r="D114" s="26"/>
      <c r="E114" s="26"/>
      <c r="F114" s="27"/>
      <c r="G114" s="26"/>
      <c r="H114" s="26"/>
      <c r="I114" s="27"/>
      <c r="J114" s="26"/>
      <c r="K114" s="26"/>
      <c r="L114" s="67"/>
      <c r="N114" s="8"/>
      <c r="O114" s="2"/>
      <c r="P114" s="26"/>
      <c r="Q114" s="27"/>
      <c r="R114" s="30"/>
      <c r="S114" s="27"/>
      <c r="T114" s="30"/>
      <c r="U114" s="34"/>
      <c r="V114" s="34"/>
      <c r="X114" s="8"/>
      <c r="Y114" s="2"/>
      <c r="Z114" s="26"/>
      <c r="AA114" s="26"/>
      <c r="AB114" s="26"/>
      <c r="AC114" s="26"/>
      <c r="AD114" s="27"/>
      <c r="AE114" s="30"/>
      <c r="AF114" s="26"/>
      <c r="AG114" s="26"/>
      <c r="AH114" s="32"/>
      <c r="AJ114" s="8"/>
      <c r="AK114" s="2"/>
      <c r="AL114" s="26"/>
      <c r="AM114" s="26"/>
      <c r="AN114" s="26"/>
      <c r="AO114" s="27"/>
      <c r="AP114" s="30"/>
      <c r="AQ114" s="26"/>
      <c r="AR114" s="26"/>
      <c r="AS114" s="32"/>
      <c r="AT114" s="34"/>
    </row>
    <row r="115" spans="2:46" x14ac:dyDescent="0.3">
      <c r="B115" s="8"/>
      <c r="C115" s="2"/>
      <c r="D115" s="26"/>
      <c r="E115" s="26"/>
      <c r="F115" s="27"/>
      <c r="G115" s="26"/>
      <c r="H115" s="26"/>
      <c r="I115" s="27"/>
      <c r="J115" s="26"/>
      <c r="K115" s="26"/>
      <c r="L115" s="67"/>
      <c r="N115" s="8"/>
      <c r="O115" s="2"/>
      <c r="P115" s="26"/>
      <c r="Q115" s="27"/>
      <c r="R115" s="30"/>
      <c r="S115" s="27"/>
      <c r="T115" s="30"/>
      <c r="U115" s="34"/>
      <c r="V115" s="34"/>
      <c r="X115" s="8"/>
      <c r="Y115" s="2"/>
      <c r="Z115" s="26"/>
      <c r="AA115" s="26"/>
      <c r="AB115" s="26"/>
      <c r="AC115" s="26"/>
      <c r="AD115" s="27"/>
      <c r="AE115" s="30"/>
      <c r="AF115" s="26"/>
      <c r="AG115" s="26"/>
      <c r="AH115" s="32"/>
      <c r="AJ115" s="8"/>
      <c r="AK115" s="2"/>
      <c r="AL115" s="26"/>
      <c r="AM115" s="26"/>
      <c r="AN115" s="26"/>
      <c r="AO115" s="27"/>
      <c r="AP115" s="30"/>
      <c r="AQ115" s="26"/>
      <c r="AR115" s="26"/>
      <c r="AS115" s="32"/>
      <c r="AT115" s="34"/>
    </row>
    <row r="116" spans="2:46" x14ac:dyDescent="0.3">
      <c r="B116" s="8"/>
      <c r="C116" s="2"/>
      <c r="D116" s="26"/>
      <c r="E116" s="26"/>
      <c r="F116" s="27"/>
      <c r="G116" s="26"/>
      <c r="H116" s="26"/>
      <c r="I116" s="27"/>
      <c r="J116" s="26"/>
      <c r="K116" s="26"/>
      <c r="L116" s="67"/>
      <c r="N116" s="8"/>
      <c r="O116" s="2"/>
      <c r="P116" s="26"/>
      <c r="Q116" s="27"/>
      <c r="R116" s="30"/>
      <c r="S116" s="27"/>
      <c r="T116" s="30"/>
      <c r="U116" s="34"/>
      <c r="V116" s="34"/>
      <c r="X116" s="8"/>
      <c r="Y116" s="2"/>
      <c r="Z116" s="26"/>
      <c r="AA116" s="26"/>
      <c r="AB116" s="26"/>
      <c r="AC116" s="26"/>
      <c r="AD116" s="27"/>
      <c r="AE116" s="30"/>
      <c r="AF116" s="26"/>
      <c r="AG116" s="26"/>
      <c r="AH116" s="32"/>
      <c r="AJ116" s="8"/>
      <c r="AK116" s="2"/>
      <c r="AL116" s="26"/>
      <c r="AM116" s="26"/>
      <c r="AN116" s="26"/>
      <c r="AO116" s="27"/>
      <c r="AP116" s="30"/>
      <c r="AQ116" s="26"/>
      <c r="AR116" s="26"/>
      <c r="AS116" s="32"/>
      <c r="AT116" s="34"/>
    </row>
    <row r="117" spans="2:46" x14ac:dyDescent="0.3">
      <c r="B117" s="8"/>
      <c r="C117" s="2"/>
      <c r="D117" s="26"/>
      <c r="E117" s="26"/>
      <c r="F117" s="27"/>
      <c r="G117" s="26"/>
      <c r="H117" s="26"/>
      <c r="I117" s="27"/>
      <c r="J117" s="26"/>
      <c r="K117" s="26"/>
      <c r="L117" s="67"/>
      <c r="N117" s="8"/>
      <c r="O117" s="2"/>
      <c r="P117" s="26"/>
      <c r="Q117" s="27"/>
      <c r="R117" s="30"/>
      <c r="S117" s="27"/>
      <c r="T117" s="30"/>
      <c r="U117" s="34"/>
      <c r="V117" s="34"/>
      <c r="X117" s="8"/>
      <c r="Y117" s="2"/>
      <c r="Z117" s="26"/>
      <c r="AA117" s="26"/>
      <c r="AB117" s="26"/>
      <c r="AC117" s="26"/>
      <c r="AD117" s="27"/>
      <c r="AE117" s="30"/>
      <c r="AF117" s="26"/>
      <c r="AG117" s="26"/>
      <c r="AH117" s="32"/>
      <c r="AJ117" s="8"/>
      <c r="AK117" s="2"/>
      <c r="AL117" s="26"/>
      <c r="AM117" s="26"/>
      <c r="AN117" s="26"/>
      <c r="AO117" s="27"/>
      <c r="AP117" s="30"/>
      <c r="AQ117" s="26"/>
      <c r="AR117" s="26"/>
      <c r="AS117" s="32"/>
      <c r="AT117" s="34"/>
    </row>
    <row r="118" spans="2:46" x14ac:dyDescent="0.3">
      <c r="B118" s="8"/>
      <c r="C118" s="2"/>
      <c r="D118" s="26"/>
      <c r="E118" s="26"/>
      <c r="F118" s="27"/>
      <c r="G118" s="26"/>
      <c r="H118" s="26"/>
      <c r="I118" s="27"/>
      <c r="J118" s="26"/>
      <c r="K118" s="26"/>
      <c r="L118" s="67"/>
      <c r="N118" s="8"/>
      <c r="O118" s="2"/>
      <c r="P118" s="26"/>
      <c r="Q118" s="27"/>
      <c r="R118" s="30"/>
      <c r="S118" s="27"/>
      <c r="T118" s="30"/>
      <c r="U118" s="34"/>
      <c r="V118" s="34"/>
      <c r="X118" s="8"/>
      <c r="Y118" s="2"/>
      <c r="Z118" s="26"/>
      <c r="AA118" s="26"/>
      <c r="AB118" s="26"/>
      <c r="AC118" s="26"/>
      <c r="AD118" s="27"/>
      <c r="AE118" s="30"/>
      <c r="AF118" s="26"/>
      <c r="AG118" s="26"/>
      <c r="AH118" s="32"/>
      <c r="AJ118" s="8"/>
      <c r="AK118" s="2"/>
      <c r="AL118" s="26"/>
      <c r="AM118" s="26"/>
      <c r="AN118" s="26"/>
      <c r="AO118" s="27"/>
      <c r="AP118" s="30"/>
      <c r="AQ118" s="26"/>
      <c r="AR118" s="26"/>
      <c r="AS118" s="32"/>
      <c r="AT118" s="34"/>
    </row>
    <row r="119" spans="2:46" x14ac:dyDescent="0.3">
      <c r="B119" s="8"/>
      <c r="C119" s="2"/>
      <c r="D119" s="26"/>
      <c r="E119" s="26"/>
      <c r="F119" s="27"/>
      <c r="G119" s="26"/>
      <c r="H119" s="26"/>
      <c r="I119" s="27"/>
      <c r="J119" s="26"/>
      <c r="K119" s="26"/>
      <c r="L119" s="67"/>
      <c r="N119" s="8"/>
      <c r="O119" s="2"/>
      <c r="P119" s="26"/>
      <c r="Q119" s="27"/>
      <c r="R119" s="30"/>
      <c r="S119" s="27"/>
      <c r="T119" s="30"/>
      <c r="U119" s="34"/>
      <c r="V119" s="34"/>
      <c r="X119" s="8"/>
      <c r="Y119" s="2"/>
      <c r="Z119" s="26"/>
      <c r="AA119" s="26"/>
      <c r="AB119" s="26"/>
      <c r="AC119" s="26"/>
      <c r="AD119" s="27"/>
      <c r="AE119" s="30"/>
      <c r="AF119" s="26"/>
      <c r="AG119" s="26"/>
      <c r="AH119" s="32"/>
      <c r="AJ119" s="8"/>
      <c r="AK119" s="2"/>
      <c r="AL119" s="26"/>
      <c r="AM119" s="26"/>
      <c r="AN119" s="26"/>
      <c r="AO119" s="27"/>
      <c r="AP119" s="30"/>
      <c r="AQ119" s="26"/>
      <c r="AR119" s="26"/>
      <c r="AS119" s="32"/>
      <c r="AT119" s="34"/>
    </row>
    <row r="120" spans="2:46" x14ac:dyDescent="0.3">
      <c r="B120" s="8"/>
      <c r="C120" s="2"/>
      <c r="D120" s="26"/>
      <c r="E120" s="26"/>
      <c r="F120" s="27"/>
      <c r="G120" s="26"/>
      <c r="H120" s="26"/>
      <c r="I120" s="27"/>
      <c r="J120" s="26"/>
      <c r="K120" s="26"/>
      <c r="L120" s="67"/>
      <c r="N120" s="8"/>
      <c r="O120" s="2"/>
      <c r="P120" s="26"/>
      <c r="Q120" s="27"/>
      <c r="R120" s="30"/>
      <c r="S120" s="27"/>
      <c r="T120" s="30"/>
      <c r="U120" s="34"/>
      <c r="V120" s="34"/>
      <c r="X120" s="8"/>
      <c r="Y120" s="2"/>
      <c r="Z120" s="26"/>
      <c r="AA120" s="26"/>
      <c r="AB120" s="26"/>
      <c r="AC120" s="26"/>
      <c r="AD120" s="27"/>
      <c r="AE120" s="30"/>
      <c r="AF120" s="26"/>
      <c r="AG120" s="26"/>
      <c r="AH120" s="32"/>
      <c r="AJ120" s="8"/>
      <c r="AK120" s="2"/>
      <c r="AL120" s="26"/>
      <c r="AM120" s="26"/>
      <c r="AN120" s="26"/>
      <c r="AO120" s="27"/>
      <c r="AP120" s="30"/>
      <c r="AQ120" s="26"/>
      <c r="AR120" s="26"/>
      <c r="AS120" s="32"/>
      <c r="AT120" s="34"/>
    </row>
    <row r="121" spans="2:46" x14ac:dyDescent="0.3">
      <c r="B121" s="8"/>
      <c r="C121" s="2"/>
      <c r="D121" s="26"/>
      <c r="E121" s="26"/>
      <c r="F121" s="27"/>
      <c r="G121" s="26"/>
      <c r="H121" s="26"/>
      <c r="I121" s="27"/>
      <c r="J121" s="26"/>
      <c r="K121" s="26"/>
      <c r="L121" s="67"/>
      <c r="N121" s="8"/>
      <c r="O121" s="2"/>
      <c r="P121" s="26"/>
      <c r="Q121" s="27"/>
      <c r="R121" s="30"/>
      <c r="S121" s="27"/>
      <c r="T121" s="30"/>
      <c r="U121" s="34"/>
      <c r="V121" s="34"/>
      <c r="X121" s="8"/>
      <c r="Y121" s="2"/>
      <c r="Z121" s="26"/>
      <c r="AA121" s="26"/>
      <c r="AB121" s="26"/>
      <c r="AC121" s="26"/>
      <c r="AD121" s="27"/>
      <c r="AE121" s="30"/>
      <c r="AF121" s="26"/>
      <c r="AG121" s="26"/>
      <c r="AH121" s="32"/>
      <c r="AJ121" s="8"/>
      <c r="AK121" s="2"/>
      <c r="AL121" s="26"/>
      <c r="AM121" s="26"/>
      <c r="AN121" s="26"/>
      <c r="AO121" s="27"/>
      <c r="AP121" s="30"/>
      <c r="AQ121" s="26"/>
      <c r="AR121" s="26"/>
      <c r="AS121" s="32"/>
      <c r="AT121" s="34"/>
    </row>
    <row r="122" spans="2:46" x14ac:dyDescent="0.3">
      <c r="B122" s="8"/>
      <c r="C122" s="2"/>
      <c r="D122" s="26"/>
      <c r="E122" s="26"/>
      <c r="F122" s="27"/>
      <c r="G122" s="26"/>
      <c r="H122" s="26"/>
      <c r="I122" s="27"/>
      <c r="J122" s="26"/>
      <c r="K122" s="26"/>
      <c r="L122" s="67"/>
      <c r="N122" s="8"/>
      <c r="O122" s="2"/>
      <c r="P122" s="26"/>
      <c r="Q122" s="27"/>
      <c r="R122" s="30"/>
      <c r="S122" s="27"/>
      <c r="T122" s="30"/>
      <c r="U122" s="34"/>
      <c r="V122" s="34"/>
      <c r="X122" s="8"/>
      <c r="Y122" s="2"/>
      <c r="Z122" s="26"/>
      <c r="AA122" s="26"/>
      <c r="AB122" s="26"/>
      <c r="AC122" s="26"/>
      <c r="AD122" s="27"/>
      <c r="AE122" s="30"/>
      <c r="AF122" s="26"/>
      <c r="AG122" s="26"/>
      <c r="AH122" s="32"/>
      <c r="AJ122" s="8"/>
      <c r="AK122" s="2"/>
      <c r="AL122" s="26"/>
      <c r="AM122" s="26"/>
      <c r="AN122" s="26"/>
      <c r="AO122" s="27"/>
      <c r="AP122" s="30"/>
      <c r="AQ122" s="26"/>
      <c r="AR122" s="26"/>
      <c r="AS122" s="32"/>
      <c r="AT122" s="34"/>
    </row>
    <row r="123" spans="2:46" x14ac:dyDescent="0.3">
      <c r="B123" s="8"/>
      <c r="C123" s="2"/>
      <c r="D123" s="26"/>
      <c r="E123" s="26"/>
      <c r="F123" s="27"/>
      <c r="G123" s="26"/>
      <c r="H123" s="26"/>
      <c r="I123" s="27"/>
      <c r="J123" s="26"/>
      <c r="K123" s="26"/>
      <c r="L123" s="67"/>
      <c r="N123" s="8"/>
      <c r="O123" s="2"/>
      <c r="P123" s="26"/>
      <c r="Q123" s="27"/>
      <c r="R123" s="30"/>
      <c r="S123" s="27"/>
      <c r="T123" s="30"/>
      <c r="U123" s="34"/>
      <c r="V123" s="34"/>
      <c r="X123" s="8"/>
      <c r="Y123" s="2"/>
      <c r="Z123" s="26"/>
      <c r="AA123" s="26"/>
      <c r="AB123" s="26"/>
      <c r="AC123" s="26"/>
      <c r="AD123" s="27"/>
      <c r="AE123" s="30"/>
      <c r="AF123" s="26"/>
      <c r="AG123" s="26"/>
      <c r="AH123" s="32"/>
      <c r="AJ123" s="8"/>
      <c r="AK123" s="2"/>
      <c r="AL123" s="26"/>
      <c r="AM123" s="26"/>
      <c r="AN123" s="26"/>
      <c r="AO123" s="27"/>
      <c r="AP123" s="30"/>
      <c r="AQ123" s="26"/>
      <c r="AR123" s="26"/>
      <c r="AS123" s="32"/>
      <c r="AT123" s="34"/>
    </row>
    <row r="124" spans="2:46" x14ac:dyDescent="0.3">
      <c r="B124" s="8"/>
      <c r="C124" s="2"/>
      <c r="D124" s="26"/>
      <c r="E124" s="26"/>
      <c r="F124" s="27"/>
      <c r="G124" s="26"/>
      <c r="H124" s="26"/>
      <c r="I124" s="27"/>
      <c r="J124" s="26"/>
      <c r="K124" s="26"/>
      <c r="L124" s="67"/>
      <c r="N124" s="8"/>
      <c r="O124" s="2"/>
      <c r="P124" s="26"/>
      <c r="Q124" s="27"/>
      <c r="R124" s="30"/>
      <c r="S124" s="27"/>
      <c r="T124" s="30"/>
      <c r="U124" s="34"/>
      <c r="V124" s="34"/>
      <c r="X124" s="8"/>
      <c r="Y124" s="2"/>
      <c r="Z124" s="26"/>
      <c r="AA124" s="26"/>
      <c r="AB124" s="26"/>
      <c r="AC124" s="26"/>
      <c r="AD124" s="27"/>
      <c r="AE124" s="30"/>
      <c r="AF124" s="26"/>
      <c r="AG124" s="26"/>
      <c r="AH124" s="32"/>
      <c r="AJ124" s="8"/>
      <c r="AK124" s="2"/>
      <c r="AL124" s="26"/>
      <c r="AM124" s="26"/>
      <c r="AN124" s="26"/>
      <c r="AO124" s="27"/>
      <c r="AP124" s="30"/>
      <c r="AQ124" s="26"/>
      <c r="AR124" s="26"/>
      <c r="AS124" s="32"/>
      <c r="AT124" s="34"/>
    </row>
    <row r="125" spans="2:46" x14ac:dyDescent="0.3">
      <c r="B125" s="8"/>
      <c r="C125" s="2"/>
      <c r="D125" s="26"/>
      <c r="E125" s="26"/>
      <c r="F125" s="27"/>
      <c r="G125" s="26"/>
      <c r="H125" s="26"/>
      <c r="I125" s="27"/>
      <c r="J125" s="26"/>
      <c r="K125" s="26"/>
      <c r="L125" s="67"/>
      <c r="N125" s="8"/>
      <c r="O125" s="2"/>
      <c r="P125" s="26"/>
      <c r="Q125" s="27"/>
      <c r="R125" s="30"/>
      <c r="S125" s="27"/>
      <c r="T125" s="30"/>
      <c r="U125" s="34"/>
      <c r="V125" s="34"/>
      <c r="X125" s="8"/>
      <c r="Y125" s="2"/>
      <c r="Z125" s="26"/>
      <c r="AA125" s="26"/>
      <c r="AB125" s="26"/>
      <c r="AC125" s="26"/>
      <c r="AD125" s="27"/>
      <c r="AE125" s="30"/>
      <c r="AF125" s="26"/>
      <c r="AG125" s="26"/>
      <c r="AH125" s="32"/>
      <c r="AJ125" s="8"/>
      <c r="AK125" s="2"/>
      <c r="AL125" s="26"/>
      <c r="AM125" s="26"/>
      <c r="AN125" s="26"/>
      <c r="AO125" s="27"/>
      <c r="AP125" s="30"/>
      <c r="AQ125" s="26"/>
      <c r="AR125" s="26"/>
      <c r="AS125" s="32"/>
      <c r="AT125" s="34"/>
    </row>
    <row r="126" spans="2:46" x14ac:dyDescent="0.3">
      <c r="B126" s="8"/>
      <c r="C126" s="2"/>
      <c r="D126" s="26"/>
      <c r="E126" s="26"/>
      <c r="F126" s="27"/>
      <c r="G126" s="26"/>
      <c r="H126" s="26"/>
      <c r="I126" s="27"/>
      <c r="J126" s="26"/>
      <c r="K126" s="26"/>
      <c r="L126" s="67"/>
      <c r="N126" s="8"/>
      <c r="O126" s="2"/>
      <c r="P126" s="26"/>
      <c r="Q126" s="27"/>
      <c r="R126" s="30"/>
      <c r="S126" s="27"/>
      <c r="T126" s="30"/>
      <c r="U126" s="34"/>
      <c r="V126" s="34"/>
      <c r="X126" s="8"/>
      <c r="Y126" s="2"/>
      <c r="Z126" s="26"/>
      <c r="AA126" s="26"/>
      <c r="AB126" s="26"/>
      <c r="AC126" s="26"/>
      <c r="AD126" s="27"/>
      <c r="AE126" s="30"/>
      <c r="AF126" s="26"/>
      <c r="AG126" s="26"/>
      <c r="AH126" s="32"/>
      <c r="AJ126" s="8"/>
      <c r="AK126" s="2"/>
      <c r="AL126" s="26"/>
      <c r="AM126" s="26"/>
      <c r="AN126" s="26"/>
      <c r="AO126" s="27"/>
      <c r="AP126" s="30"/>
      <c r="AQ126" s="26"/>
      <c r="AR126" s="26"/>
      <c r="AS126" s="32"/>
      <c r="AT126" s="34"/>
    </row>
    <row r="127" spans="2:46" x14ac:dyDescent="0.3">
      <c r="B127" s="8"/>
      <c r="C127" s="2"/>
      <c r="D127" s="26"/>
      <c r="E127" s="26"/>
      <c r="F127" s="27"/>
      <c r="G127" s="26"/>
      <c r="H127" s="26"/>
      <c r="I127" s="27"/>
      <c r="J127" s="26"/>
      <c r="K127" s="26"/>
      <c r="L127" s="67"/>
      <c r="N127" s="8"/>
      <c r="O127" s="2"/>
      <c r="P127" s="26"/>
      <c r="Q127" s="27"/>
      <c r="R127" s="30"/>
      <c r="S127" s="27"/>
      <c r="T127" s="30"/>
      <c r="U127" s="34"/>
      <c r="V127" s="34"/>
      <c r="X127" s="8"/>
      <c r="Y127" s="2"/>
      <c r="Z127" s="26"/>
      <c r="AA127" s="26"/>
      <c r="AB127" s="26"/>
      <c r="AC127" s="26"/>
      <c r="AD127" s="27"/>
      <c r="AE127" s="30"/>
      <c r="AF127" s="26"/>
      <c r="AG127" s="26"/>
      <c r="AH127" s="32"/>
      <c r="AJ127" s="8"/>
      <c r="AK127" s="2"/>
      <c r="AL127" s="26"/>
      <c r="AM127" s="26"/>
      <c r="AN127" s="26"/>
      <c r="AO127" s="27"/>
      <c r="AP127" s="30"/>
      <c r="AQ127" s="26"/>
      <c r="AR127" s="26"/>
      <c r="AS127" s="32"/>
      <c r="AT127" s="34"/>
    </row>
    <row r="128" spans="2:46" x14ac:dyDescent="0.3">
      <c r="B128" s="8"/>
      <c r="C128" s="2"/>
      <c r="D128" s="26"/>
      <c r="E128" s="26"/>
      <c r="F128" s="27"/>
      <c r="G128" s="26"/>
      <c r="H128" s="26"/>
      <c r="I128" s="27"/>
      <c r="J128" s="26"/>
      <c r="K128" s="26"/>
      <c r="L128" s="67"/>
      <c r="N128" s="8"/>
      <c r="O128" s="2"/>
      <c r="P128" s="26"/>
      <c r="Q128" s="27"/>
      <c r="R128" s="30"/>
      <c r="S128" s="27"/>
      <c r="T128" s="30"/>
      <c r="U128" s="34"/>
      <c r="V128" s="34"/>
      <c r="X128" s="8"/>
      <c r="Y128" s="2"/>
      <c r="Z128" s="26"/>
      <c r="AA128" s="26"/>
      <c r="AB128" s="26"/>
      <c r="AC128" s="26"/>
      <c r="AD128" s="27"/>
      <c r="AE128" s="30"/>
      <c r="AF128" s="26"/>
      <c r="AG128" s="26"/>
      <c r="AH128" s="32"/>
      <c r="AJ128" s="8"/>
      <c r="AK128" s="2"/>
      <c r="AL128" s="26"/>
      <c r="AM128" s="26"/>
      <c r="AN128" s="26"/>
      <c r="AO128" s="27"/>
      <c r="AP128" s="30"/>
      <c r="AQ128" s="26"/>
      <c r="AR128" s="26"/>
      <c r="AS128" s="32"/>
      <c r="AT128" s="34"/>
    </row>
    <row r="129" spans="2:46" x14ac:dyDescent="0.3">
      <c r="B129" s="8"/>
      <c r="C129" s="2"/>
      <c r="D129" s="26"/>
      <c r="E129" s="26"/>
      <c r="F129" s="27"/>
      <c r="G129" s="26"/>
      <c r="H129" s="26"/>
      <c r="I129" s="27"/>
      <c r="J129" s="26"/>
      <c r="K129" s="26"/>
      <c r="L129" s="67"/>
      <c r="N129" s="8"/>
      <c r="O129" s="2"/>
      <c r="P129" s="26"/>
      <c r="Q129" s="27"/>
      <c r="R129" s="30"/>
      <c r="S129" s="27"/>
      <c r="T129" s="30"/>
      <c r="U129" s="34"/>
      <c r="V129" s="34"/>
      <c r="X129" s="8"/>
      <c r="Y129" s="2"/>
      <c r="Z129" s="26"/>
      <c r="AA129" s="26"/>
      <c r="AB129" s="26"/>
      <c r="AC129" s="26"/>
      <c r="AD129" s="27"/>
      <c r="AE129" s="30"/>
      <c r="AF129" s="26"/>
      <c r="AG129" s="26"/>
      <c r="AH129" s="32"/>
      <c r="AJ129" s="8"/>
      <c r="AK129" s="2"/>
      <c r="AL129" s="26"/>
      <c r="AM129" s="26"/>
      <c r="AN129" s="26"/>
      <c r="AO129" s="27"/>
      <c r="AP129" s="30"/>
      <c r="AQ129" s="26"/>
      <c r="AR129" s="26"/>
      <c r="AS129" s="32"/>
      <c r="AT129" s="34"/>
    </row>
    <row r="130" spans="2:46" x14ac:dyDescent="0.3">
      <c r="B130" s="8"/>
      <c r="C130" s="2"/>
      <c r="D130" s="26"/>
      <c r="E130" s="26"/>
      <c r="F130" s="27"/>
      <c r="G130" s="26"/>
      <c r="H130" s="26"/>
      <c r="I130" s="27"/>
      <c r="J130" s="26"/>
      <c r="K130" s="26"/>
      <c r="L130" s="67"/>
      <c r="N130" s="8"/>
      <c r="O130" s="2"/>
      <c r="P130" s="26"/>
      <c r="Q130" s="27"/>
      <c r="R130" s="30"/>
      <c r="S130" s="27"/>
      <c r="T130" s="30"/>
      <c r="U130" s="34"/>
      <c r="V130" s="34"/>
      <c r="X130" s="8"/>
      <c r="Y130" s="2"/>
      <c r="Z130" s="26"/>
      <c r="AA130" s="26"/>
      <c r="AB130" s="26"/>
      <c r="AC130" s="26"/>
      <c r="AD130" s="27"/>
      <c r="AE130" s="30"/>
      <c r="AF130" s="26"/>
      <c r="AG130" s="26"/>
      <c r="AH130" s="32"/>
      <c r="AJ130" s="8"/>
      <c r="AK130" s="2"/>
      <c r="AL130" s="26"/>
      <c r="AM130" s="26"/>
      <c r="AN130" s="26"/>
      <c r="AO130" s="27"/>
      <c r="AP130" s="30"/>
      <c r="AQ130" s="26"/>
      <c r="AR130" s="26"/>
      <c r="AS130" s="32"/>
      <c r="AT130" s="34"/>
    </row>
    <row r="131" spans="2:46" x14ac:dyDescent="0.3">
      <c r="B131" s="8"/>
      <c r="C131" s="2"/>
      <c r="D131" s="26"/>
      <c r="E131" s="26"/>
      <c r="F131" s="27"/>
      <c r="G131" s="26"/>
      <c r="H131" s="26"/>
      <c r="I131" s="27"/>
      <c r="J131" s="26"/>
      <c r="K131" s="26"/>
      <c r="L131" s="67"/>
      <c r="N131" s="8"/>
      <c r="O131" s="2"/>
      <c r="P131" s="26"/>
      <c r="Q131" s="27"/>
      <c r="R131" s="30"/>
      <c r="S131" s="27"/>
      <c r="T131" s="30"/>
      <c r="U131" s="34"/>
      <c r="V131" s="34"/>
      <c r="X131" s="8"/>
      <c r="Y131" s="2"/>
      <c r="Z131" s="26"/>
      <c r="AA131" s="26"/>
      <c r="AB131" s="26"/>
      <c r="AC131" s="26"/>
      <c r="AD131" s="27"/>
      <c r="AE131" s="30"/>
      <c r="AF131" s="26"/>
      <c r="AG131" s="26"/>
      <c r="AH131" s="32"/>
      <c r="AJ131" s="8"/>
      <c r="AK131" s="2"/>
      <c r="AL131" s="26"/>
      <c r="AM131" s="26"/>
      <c r="AN131" s="26"/>
      <c r="AO131" s="27"/>
      <c r="AP131" s="30"/>
      <c r="AQ131" s="26"/>
      <c r="AR131" s="26"/>
      <c r="AS131" s="32"/>
      <c r="AT131" s="34"/>
    </row>
    <row r="132" spans="2:46" x14ac:dyDescent="0.3">
      <c r="B132" s="8"/>
      <c r="C132" s="2"/>
      <c r="D132" s="26"/>
      <c r="E132" s="26"/>
      <c r="F132" s="27"/>
      <c r="G132" s="26"/>
      <c r="H132" s="26"/>
      <c r="I132" s="27"/>
      <c r="J132" s="26"/>
      <c r="K132" s="26"/>
      <c r="L132" s="67"/>
      <c r="N132" s="8"/>
      <c r="O132" s="2"/>
      <c r="P132" s="26"/>
      <c r="Q132" s="27"/>
      <c r="R132" s="30"/>
      <c r="S132" s="27"/>
      <c r="T132" s="30"/>
      <c r="U132" s="34"/>
      <c r="V132" s="34"/>
      <c r="X132" s="8"/>
      <c r="Y132" s="2"/>
      <c r="Z132" s="26"/>
      <c r="AA132" s="26"/>
      <c r="AB132" s="26"/>
      <c r="AC132" s="26"/>
      <c r="AD132" s="27"/>
      <c r="AE132" s="30"/>
      <c r="AF132" s="26"/>
      <c r="AG132" s="26"/>
      <c r="AH132" s="32"/>
      <c r="AJ132" s="8"/>
      <c r="AK132" s="2"/>
      <c r="AL132" s="26"/>
      <c r="AM132" s="26"/>
      <c r="AN132" s="26"/>
      <c r="AO132" s="27"/>
      <c r="AP132" s="30"/>
      <c r="AQ132" s="26"/>
      <c r="AR132" s="26"/>
      <c r="AS132" s="32"/>
      <c r="AT132" s="34"/>
    </row>
    <row r="133" spans="2:46" x14ac:dyDescent="0.3">
      <c r="B133" s="8"/>
      <c r="C133" s="2"/>
      <c r="D133" s="26"/>
      <c r="E133" s="26"/>
      <c r="F133" s="27"/>
      <c r="G133" s="26"/>
      <c r="H133" s="26"/>
      <c r="I133" s="27"/>
      <c r="J133" s="26"/>
      <c r="K133" s="26"/>
      <c r="L133" s="67"/>
      <c r="N133" s="8"/>
      <c r="O133" s="2"/>
      <c r="P133" s="26"/>
      <c r="Q133" s="27"/>
      <c r="R133" s="30"/>
      <c r="S133" s="27"/>
      <c r="T133" s="30"/>
      <c r="U133" s="34"/>
      <c r="V133" s="34"/>
      <c r="X133" s="8"/>
      <c r="Y133" s="2"/>
      <c r="Z133" s="26"/>
      <c r="AA133" s="26"/>
      <c r="AB133" s="26"/>
      <c r="AC133" s="26"/>
      <c r="AD133" s="27"/>
      <c r="AE133" s="30"/>
      <c r="AF133" s="26"/>
      <c r="AG133" s="26"/>
      <c r="AH133" s="32"/>
      <c r="AJ133" s="8"/>
      <c r="AK133" s="2"/>
      <c r="AL133" s="26"/>
      <c r="AM133" s="26"/>
      <c r="AN133" s="26"/>
      <c r="AO133" s="27"/>
      <c r="AP133" s="30"/>
      <c r="AQ133" s="26"/>
      <c r="AR133" s="26"/>
      <c r="AS133" s="32"/>
      <c r="AT133" s="34"/>
    </row>
    <row r="134" spans="2:46" x14ac:dyDescent="0.3">
      <c r="B134" s="8"/>
      <c r="C134" s="2"/>
      <c r="D134" s="26"/>
      <c r="E134" s="26"/>
      <c r="F134" s="27"/>
      <c r="G134" s="26"/>
      <c r="H134" s="26"/>
      <c r="I134" s="27"/>
      <c r="J134" s="26"/>
      <c r="K134" s="26"/>
      <c r="L134" s="67"/>
      <c r="N134" s="8"/>
      <c r="O134" s="2"/>
      <c r="P134" s="26"/>
      <c r="Q134" s="27"/>
      <c r="R134" s="30"/>
      <c r="S134" s="27"/>
      <c r="T134" s="30"/>
      <c r="U134" s="34"/>
      <c r="V134" s="34"/>
      <c r="X134" s="8"/>
      <c r="Y134" s="2"/>
      <c r="Z134" s="26"/>
      <c r="AA134" s="26"/>
      <c r="AB134" s="26"/>
      <c r="AC134" s="26"/>
      <c r="AD134" s="27"/>
      <c r="AE134" s="30"/>
      <c r="AF134" s="26"/>
      <c r="AG134" s="26"/>
      <c r="AH134" s="32"/>
      <c r="AJ134" s="8"/>
      <c r="AK134" s="2"/>
      <c r="AL134" s="26"/>
      <c r="AM134" s="26"/>
      <c r="AN134" s="26"/>
      <c r="AO134" s="27"/>
      <c r="AP134" s="30"/>
      <c r="AQ134" s="26"/>
      <c r="AR134" s="26"/>
      <c r="AS134" s="32"/>
      <c r="AT134" s="34"/>
    </row>
    <row r="135" spans="2:46" x14ac:dyDescent="0.3">
      <c r="B135" s="8"/>
      <c r="C135" s="2"/>
      <c r="D135" s="26"/>
      <c r="E135" s="26"/>
      <c r="F135" s="27"/>
      <c r="G135" s="26"/>
      <c r="H135" s="26"/>
      <c r="I135" s="27"/>
      <c r="J135" s="26"/>
      <c r="K135" s="26"/>
      <c r="L135" s="67"/>
      <c r="N135" s="8"/>
      <c r="O135" s="2"/>
      <c r="P135" s="26"/>
      <c r="Q135" s="27"/>
      <c r="R135" s="30"/>
      <c r="S135" s="27"/>
      <c r="T135" s="30"/>
      <c r="U135" s="34"/>
      <c r="V135" s="34"/>
      <c r="X135" s="8"/>
      <c r="Y135" s="2"/>
      <c r="Z135" s="26"/>
      <c r="AA135" s="26"/>
      <c r="AB135" s="26"/>
      <c r="AC135" s="26"/>
      <c r="AD135" s="27"/>
      <c r="AE135" s="30"/>
      <c r="AF135" s="26"/>
      <c r="AG135" s="26"/>
      <c r="AH135" s="32"/>
      <c r="AJ135" s="8"/>
      <c r="AK135" s="2"/>
      <c r="AL135" s="26"/>
      <c r="AM135" s="26"/>
      <c r="AN135" s="26"/>
      <c r="AO135" s="27"/>
      <c r="AP135" s="30"/>
      <c r="AQ135" s="26"/>
      <c r="AR135" s="26"/>
      <c r="AS135" s="32"/>
      <c r="AT135" s="34"/>
    </row>
    <row r="136" spans="2:46" x14ac:dyDescent="0.3">
      <c r="B136" s="8"/>
      <c r="C136" s="2"/>
      <c r="D136" s="26"/>
      <c r="E136" s="26"/>
      <c r="F136" s="27"/>
      <c r="G136" s="26"/>
      <c r="H136" s="26"/>
      <c r="I136" s="27"/>
      <c r="J136" s="26"/>
      <c r="K136" s="26"/>
      <c r="L136" s="67"/>
      <c r="N136" s="8"/>
      <c r="O136" s="2"/>
      <c r="P136" s="26"/>
      <c r="Q136" s="27"/>
      <c r="R136" s="30"/>
      <c r="S136" s="27"/>
      <c r="T136" s="30"/>
      <c r="U136" s="34"/>
      <c r="V136" s="34"/>
      <c r="X136" s="8"/>
      <c r="Y136" s="2"/>
      <c r="Z136" s="26"/>
      <c r="AA136" s="26"/>
      <c r="AB136" s="26"/>
      <c r="AC136" s="26"/>
      <c r="AD136" s="27"/>
      <c r="AE136" s="30"/>
      <c r="AF136" s="26"/>
      <c r="AG136" s="26"/>
      <c r="AH136" s="32"/>
      <c r="AJ136" s="8"/>
      <c r="AK136" s="2"/>
      <c r="AL136" s="26"/>
      <c r="AM136" s="26"/>
      <c r="AN136" s="26"/>
      <c r="AO136" s="27"/>
      <c r="AP136" s="30"/>
      <c r="AQ136" s="26"/>
      <c r="AR136" s="26"/>
      <c r="AS136" s="32"/>
      <c r="AT136" s="34"/>
    </row>
    <row r="137" spans="2:46" x14ac:dyDescent="0.3">
      <c r="B137" s="8"/>
      <c r="C137" s="2"/>
      <c r="D137" s="26"/>
      <c r="E137" s="26"/>
      <c r="F137" s="27"/>
      <c r="G137" s="26"/>
      <c r="H137" s="26"/>
      <c r="I137" s="27"/>
      <c r="J137" s="26"/>
      <c r="K137" s="26"/>
      <c r="L137" s="67"/>
      <c r="N137" s="8"/>
      <c r="O137" s="2"/>
      <c r="P137" s="26"/>
      <c r="Q137" s="27"/>
      <c r="R137" s="30"/>
      <c r="S137" s="27"/>
      <c r="T137" s="30"/>
      <c r="U137" s="34"/>
      <c r="V137" s="34"/>
      <c r="X137" s="8"/>
      <c r="Y137" s="2"/>
      <c r="Z137" s="26"/>
      <c r="AA137" s="26"/>
      <c r="AB137" s="26"/>
      <c r="AC137" s="26"/>
      <c r="AD137" s="27"/>
      <c r="AE137" s="30"/>
      <c r="AF137" s="26"/>
      <c r="AG137" s="26"/>
      <c r="AH137" s="32"/>
      <c r="AJ137" s="8"/>
      <c r="AK137" s="2"/>
      <c r="AL137" s="26"/>
      <c r="AM137" s="26"/>
      <c r="AN137" s="26"/>
      <c r="AO137" s="27"/>
      <c r="AP137" s="30"/>
      <c r="AQ137" s="26"/>
      <c r="AR137" s="26"/>
      <c r="AS137" s="32"/>
      <c r="AT137" s="34"/>
    </row>
    <row r="138" spans="2:46" x14ac:dyDescent="0.3">
      <c r="B138" s="8"/>
      <c r="C138" s="2"/>
      <c r="D138" s="26"/>
      <c r="E138" s="26"/>
      <c r="F138" s="27"/>
      <c r="G138" s="26"/>
      <c r="H138" s="26"/>
      <c r="I138" s="27"/>
      <c r="J138" s="26"/>
      <c r="K138" s="26"/>
      <c r="L138" s="67"/>
      <c r="N138" s="8"/>
      <c r="O138" s="2"/>
      <c r="P138" s="26"/>
      <c r="Q138" s="27"/>
      <c r="R138" s="30"/>
      <c r="S138" s="27"/>
      <c r="T138" s="30"/>
      <c r="U138" s="34"/>
      <c r="V138" s="34"/>
      <c r="X138" s="8"/>
      <c r="Y138" s="2"/>
      <c r="Z138" s="26"/>
      <c r="AA138" s="26"/>
      <c r="AB138" s="26"/>
      <c r="AC138" s="26"/>
      <c r="AD138" s="27"/>
      <c r="AE138" s="30"/>
      <c r="AF138" s="26"/>
      <c r="AG138" s="26"/>
      <c r="AH138" s="32"/>
      <c r="AJ138" s="8"/>
      <c r="AK138" s="2"/>
      <c r="AL138" s="26"/>
      <c r="AM138" s="26"/>
      <c r="AN138" s="26"/>
      <c r="AO138" s="27"/>
      <c r="AP138" s="30"/>
      <c r="AQ138" s="26"/>
      <c r="AR138" s="26"/>
      <c r="AS138" s="32"/>
      <c r="AT138" s="34"/>
    </row>
    <row r="139" spans="2:46" x14ac:dyDescent="0.3">
      <c r="B139" s="8"/>
      <c r="C139" s="2"/>
      <c r="D139" s="26"/>
      <c r="E139" s="26"/>
      <c r="F139" s="27"/>
      <c r="G139" s="26"/>
      <c r="H139" s="26"/>
      <c r="I139" s="27"/>
      <c r="J139" s="26"/>
      <c r="K139" s="26"/>
      <c r="L139" s="67"/>
      <c r="N139" s="8"/>
      <c r="O139" s="2"/>
      <c r="P139" s="26"/>
      <c r="Q139" s="27"/>
      <c r="R139" s="30"/>
      <c r="S139" s="27"/>
      <c r="T139" s="30"/>
      <c r="U139" s="34"/>
      <c r="V139" s="34"/>
      <c r="X139" s="8"/>
      <c r="Y139" s="2"/>
      <c r="Z139" s="26"/>
      <c r="AA139" s="26"/>
      <c r="AB139" s="26"/>
      <c r="AC139" s="26"/>
      <c r="AD139" s="27"/>
      <c r="AE139" s="30"/>
      <c r="AF139" s="26"/>
      <c r="AG139" s="26"/>
      <c r="AH139" s="32"/>
      <c r="AJ139" s="8"/>
      <c r="AK139" s="2"/>
      <c r="AL139" s="26"/>
      <c r="AM139" s="26"/>
      <c r="AN139" s="26"/>
      <c r="AO139" s="27"/>
      <c r="AP139" s="30"/>
      <c r="AQ139" s="26"/>
      <c r="AR139" s="26"/>
      <c r="AS139" s="32"/>
      <c r="AT139" s="34"/>
    </row>
    <row r="140" spans="2:46" x14ac:dyDescent="0.3">
      <c r="B140" s="8"/>
      <c r="C140" s="2"/>
      <c r="D140" s="26"/>
      <c r="E140" s="26"/>
      <c r="F140" s="27"/>
      <c r="G140" s="26"/>
      <c r="H140" s="26"/>
      <c r="I140" s="27"/>
      <c r="J140" s="26"/>
      <c r="K140" s="26"/>
      <c r="L140" s="67"/>
      <c r="N140" s="8"/>
      <c r="O140" s="2"/>
      <c r="P140" s="26"/>
      <c r="Q140" s="27"/>
      <c r="R140" s="30"/>
      <c r="S140" s="27"/>
      <c r="T140" s="30"/>
      <c r="U140" s="34"/>
      <c r="V140" s="34"/>
      <c r="X140" s="8"/>
      <c r="Y140" s="2"/>
      <c r="Z140" s="26"/>
      <c r="AA140" s="26"/>
      <c r="AB140" s="26"/>
      <c r="AC140" s="26"/>
      <c r="AD140" s="27"/>
      <c r="AE140" s="30"/>
      <c r="AF140" s="26"/>
      <c r="AG140" s="26"/>
      <c r="AH140" s="32"/>
      <c r="AJ140" s="8"/>
      <c r="AK140" s="2"/>
      <c r="AL140" s="26"/>
      <c r="AM140" s="26"/>
      <c r="AN140" s="26"/>
      <c r="AO140" s="27"/>
      <c r="AP140" s="30"/>
      <c r="AQ140" s="26"/>
      <c r="AR140" s="26"/>
      <c r="AS140" s="32"/>
      <c r="AT140" s="34"/>
    </row>
    <row r="141" spans="2:46" x14ac:dyDescent="0.3">
      <c r="B141" s="8"/>
      <c r="C141" s="2"/>
      <c r="D141" s="26"/>
      <c r="E141" s="26"/>
      <c r="F141" s="27"/>
      <c r="G141" s="26"/>
      <c r="H141" s="26"/>
      <c r="I141" s="27"/>
      <c r="J141" s="26"/>
      <c r="K141" s="26"/>
      <c r="L141" s="67"/>
      <c r="N141" s="8"/>
      <c r="O141" s="2"/>
      <c r="P141" s="26"/>
      <c r="Q141" s="27"/>
      <c r="R141" s="30"/>
      <c r="S141" s="27"/>
      <c r="T141" s="30"/>
      <c r="U141" s="34"/>
      <c r="V141" s="34"/>
      <c r="X141" s="8"/>
      <c r="Y141" s="2"/>
      <c r="Z141" s="26"/>
      <c r="AA141" s="26"/>
      <c r="AB141" s="26"/>
      <c r="AC141" s="26"/>
      <c r="AD141" s="27"/>
      <c r="AE141" s="30"/>
      <c r="AF141" s="26"/>
      <c r="AG141" s="26"/>
      <c r="AH141" s="32"/>
      <c r="AJ141" s="8"/>
      <c r="AK141" s="2"/>
      <c r="AL141" s="26"/>
      <c r="AM141" s="26"/>
      <c r="AN141" s="26"/>
      <c r="AO141" s="27"/>
      <c r="AP141" s="30"/>
      <c r="AQ141" s="26"/>
      <c r="AR141" s="26"/>
      <c r="AS141" s="32"/>
      <c r="AT141" s="34"/>
    </row>
    <row r="142" spans="2:46" x14ac:dyDescent="0.3">
      <c r="B142" s="8"/>
      <c r="C142" s="2"/>
      <c r="D142" s="26"/>
      <c r="E142" s="26"/>
      <c r="F142" s="27"/>
      <c r="G142" s="26"/>
      <c r="H142" s="26"/>
      <c r="I142" s="27"/>
      <c r="J142" s="26"/>
      <c r="K142" s="26"/>
      <c r="L142" s="67"/>
      <c r="N142" s="8"/>
      <c r="O142" s="2"/>
      <c r="P142" s="26"/>
      <c r="Q142" s="27"/>
      <c r="R142" s="30"/>
      <c r="S142" s="27"/>
      <c r="T142" s="30"/>
      <c r="U142" s="34"/>
      <c r="V142" s="34"/>
      <c r="X142" s="8"/>
      <c r="Y142" s="2"/>
      <c r="Z142" s="26"/>
      <c r="AA142" s="26"/>
      <c r="AB142" s="26"/>
      <c r="AC142" s="26"/>
      <c r="AD142" s="27"/>
      <c r="AE142" s="30"/>
      <c r="AF142" s="26"/>
      <c r="AG142" s="26"/>
      <c r="AH142" s="32"/>
      <c r="AJ142" s="8"/>
      <c r="AK142" s="2"/>
      <c r="AL142" s="26"/>
      <c r="AM142" s="26"/>
      <c r="AN142" s="26"/>
      <c r="AO142" s="27"/>
      <c r="AP142" s="30"/>
      <c r="AQ142" s="26"/>
      <c r="AR142" s="26"/>
      <c r="AS142" s="32"/>
      <c r="AT142" s="34"/>
    </row>
    <row r="143" spans="2:46" x14ac:dyDescent="0.3">
      <c r="B143" s="8"/>
      <c r="C143" s="2"/>
      <c r="D143" s="26"/>
      <c r="E143" s="26"/>
      <c r="F143" s="27"/>
      <c r="G143" s="26"/>
      <c r="H143" s="26"/>
      <c r="I143" s="27"/>
      <c r="J143" s="26"/>
      <c r="K143" s="26"/>
      <c r="L143" s="67"/>
      <c r="N143" s="8"/>
      <c r="O143" s="2"/>
      <c r="P143" s="26"/>
      <c r="Q143" s="27"/>
      <c r="R143" s="30"/>
      <c r="S143" s="27"/>
      <c r="T143" s="30"/>
      <c r="U143" s="34"/>
      <c r="V143" s="34"/>
      <c r="X143" s="8"/>
      <c r="Y143" s="2"/>
      <c r="Z143" s="26"/>
      <c r="AA143" s="26"/>
      <c r="AB143" s="26"/>
      <c r="AC143" s="26"/>
      <c r="AD143" s="27"/>
      <c r="AE143" s="30"/>
      <c r="AF143" s="26"/>
      <c r="AG143" s="26"/>
      <c r="AH143" s="32"/>
      <c r="AJ143" s="8"/>
      <c r="AK143" s="2"/>
      <c r="AL143" s="26"/>
      <c r="AM143" s="26"/>
      <c r="AN143" s="26"/>
      <c r="AO143" s="27"/>
      <c r="AP143" s="30"/>
      <c r="AQ143" s="26"/>
      <c r="AR143" s="26"/>
      <c r="AS143" s="32"/>
      <c r="AT143" s="34"/>
    </row>
    <row r="144" spans="2:46" x14ac:dyDescent="0.3">
      <c r="B144" s="8"/>
      <c r="C144" s="2"/>
      <c r="D144" s="26"/>
      <c r="E144" s="26"/>
      <c r="F144" s="27"/>
      <c r="G144" s="26"/>
      <c r="H144" s="26"/>
      <c r="I144" s="27"/>
      <c r="J144" s="26"/>
      <c r="K144" s="26"/>
      <c r="L144" s="67"/>
      <c r="N144" s="8"/>
      <c r="O144" s="2"/>
      <c r="P144" s="26"/>
      <c r="Q144" s="27"/>
      <c r="R144" s="30"/>
      <c r="S144" s="27"/>
      <c r="T144" s="30"/>
      <c r="U144" s="34"/>
      <c r="V144" s="34"/>
      <c r="X144" s="8"/>
      <c r="Y144" s="2"/>
      <c r="Z144" s="26"/>
      <c r="AA144" s="26"/>
      <c r="AB144" s="26"/>
      <c r="AC144" s="26"/>
      <c r="AD144" s="27"/>
      <c r="AE144" s="30"/>
      <c r="AF144" s="26"/>
      <c r="AG144" s="26"/>
      <c r="AH144" s="32"/>
      <c r="AJ144" s="8"/>
      <c r="AK144" s="2"/>
      <c r="AL144" s="26"/>
      <c r="AM144" s="26"/>
      <c r="AN144" s="26"/>
      <c r="AO144" s="27"/>
      <c r="AP144" s="30"/>
      <c r="AQ144" s="26"/>
      <c r="AR144" s="26"/>
      <c r="AS144" s="32"/>
      <c r="AT144" s="34"/>
    </row>
    <row r="145" spans="2:46" x14ac:dyDescent="0.3">
      <c r="B145" s="8"/>
      <c r="C145" s="2"/>
      <c r="D145" s="26"/>
      <c r="E145" s="26"/>
      <c r="F145" s="27"/>
      <c r="G145" s="26"/>
      <c r="H145" s="26"/>
      <c r="I145" s="27"/>
      <c r="J145" s="26"/>
      <c r="K145" s="26"/>
      <c r="L145" s="67"/>
      <c r="N145" s="8"/>
      <c r="O145" s="2"/>
      <c r="P145" s="26"/>
      <c r="Q145" s="27"/>
      <c r="R145" s="30"/>
      <c r="S145" s="27"/>
      <c r="T145" s="30"/>
      <c r="U145" s="34"/>
      <c r="V145" s="34"/>
      <c r="X145" s="8"/>
      <c r="Y145" s="2"/>
      <c r="Z145" s="26"/>
      <c r="AA145" s="26"/>
      <c r="AB145" s="26"/>
      <c r="AC145" s="26"/>
      <c r="AD145" s="27"/>
      <c r="AE145" s="30"/>
      <c r="AF145" s="26"/>
      <c r="AG145" s="26"/>
      <c r="AH145" s="32"/>
      <c r="AJ145" s="8"/>
      <c r="AK145" s="2"/>
      <c r="AL145" s="26"/>
      <c r="AM145" s="26"/>
      <c r="AN145" s="26"/>
      <c r="AO145" s="27"/>
      <c r="AP145" s="30"/>
      <c r="AQ145" s="26"/>
      <c r="AR145" s="26"/>
      <c r="AS145" s="32"/>
      <c r="AT145" s="34"/>
    </row>
    <row r="146" spans="2:46" x14ac:dyDescent="0.3">
      <c r="B146" s="8"/>
      <c r="C146" s="2"/>
      <c r="D146" s="26"/>
      <c r="E146" s="26"/>
      <c r="F146" s="27"/>
      <c r="G146" s="26"/>
      <c r="H146" s="26"/>
      <c r="I146" s="27"/>
      <c r="J146" s="26"/>
      <c r="K146" s="26"/>
      <c r="L146" s="67"/>
      <c r="N146" s="8"/>
      <c r="O146" s="2"/>
      <c r="P146" s="26"/>
      <c r="Q146" s="27"/>
      <c r="R146" s="30"/>
      <c r="S146" s="27"/>
      <c r="T146" s="30"/>
      <c r="U146" s="34"/>
      <c r="V146" s="34"/>
      <c r="X146" s="8"/>
      <c r="Y146" s="2"/>
      <c r="Z146" s="26"/>
      <c r="AA146" s="26"/>
      <c r="AB146" s="26"/>
      <c r="AC146" s="26"/>
      <c r="AD146" s="27"/>
      <c r="AE146" s="30"/>
      <c r="AF146" s="26"/>
      <c r="AG146" s="26"/>
      <c r="AH146" s="32"/>
      <c r="AJ146" s="8"/>
      <c r="AK146" s="2"/>
      <c r="AL146" s="26"/>
      <c r="AM146" s="26"/>
      <c r="AN146" s="26"/>
      <c r="AO146" s="27"/>
      <c r="AP146" s="30"/>
      <c r="AQ146" s="26"/>
      <c r="AR146" s="26"/>
      <c r="AS146" s="32"/>
      <c r="AT146" s="34"/>
    </row>
    <row r="147" spans="2:46" x14ac:dyDescent="0.3">
      <c r="B147" s="8"/>
      <c r="C147" s="2"/>
      <c r="D147" s="26"/>
      <c r="E147" s="26"/>
      <c r="F147" s="27"/>
      <c r="G147" s="26"/>
      <c r="H147" s="26"/>
      <c r="I147" s="27"/>
      <c r="J147" s="26"/>
      <c r="K147" s="26"/>
      <c r="L147" s="67"/>
      <c r="N147" s="8"/>
      <c r="O147" s="2"/>
      <c r="P147" s="26"/>
      <c r="Q147" s="27"/>
      <c r="R147" s="30"/>
      <c r="S147" s="27"/>
      <c r="T147" s="30"/>
      <c r="U147" s="34"/>
      <c r="V147" s="34"/>
      <c r="X147" s="8"/>
      <c r="Y147" s="2"/>
      <c r="Z147" s="26"/>
      <c r="AA147" s="26"/>
      <c r="AB147" s="26"/>
      <c r="AC147" s="26"/>
      <c r="AD147" s="27"/>
      <c r="AE147" s="30"/>
      <c r="AF147" s="26"/>
      <c r="AG147" s="26"/>
      <c r="AH147" s="32"/>
      <c r="AJ147" s="8"/>
      <c r="AK147" s="2"/>
      <c r="AL147" s="26"/>
      <c r="AM147" s="26"/>
      <c r="AN147" s="26"/>
      <c r="AO147" s="27"/>
      <c r="AP147" s="30"/>
      <c r="AQ147" s="26"/>
      <c r="AR147" s="26"/>
      <c r="AS147" s="32"/>
      <c r="AT147" s="34"/>
    </row>
    <row r="148" spans="2:46" x14ac:dyDescent="0.3">
      <c r="B148" s="8"/>
      <c r="C148" s="2"/>
      <c r="D148" s="26"/>
      <c r="E148" s="26"/>
      <c r="F148" s="27"/>
      <c r="G148" s="26"/>
      <c r="H148" s="26"/>
      <c r="I148" s="27"/>
      <c r="J148" s="26"/>
      <c r="K148" s="26"/>
      <c r="L148" s="67"/>
      <c r="N148" s="8"/>
      <c r="O148" s="2"/>
      <c r="P148" s="26"/>
      <c r="Q148" s="27"/>
      <c r="R148" s="30"/>
      <c r="S148" s="27"/>
      <c r="T148" s="30"/>
      <c r="U148" s="34"/>
      <c r="V148" s="34"/>
      <c r="X148" s="8"/>
      <c r="Y148" s="2"/>
      <c r="Z148" s="26"/>
      <c r="AA148" s="26"/>
      <c r="AB148" s="26"/>
      <c r="AC148" s="26"/>
      <c r="AD148" s="27"/>
      <c r="AE148" s="30"/>
      <c r="AF148" s="26"/>
      <c r="AG148" s="26"/>
      <c r="AH148" s="32"/>
      <c r="AJ148" s="8"/>
      <c r="AK148" s="2"/>
      <c r="AL148" s="26"/>
      <c r="AM148" s="26"/>
      <c r="AN148" s="26"/>
      <c r="AO148" s="27"/>
      <c r="AP148" s="30"/>
      <c r="AQ148" s="26"/>
      <c r="AR148" s="26"/>
      <c r="AS148" s="32"/>
      <c r="AT148" s="34"/>
    </row>
    <row r="149" spans="2:46" x14ac:dyDescent="0.3">
      <c r="B149" s="8"/>
      <c r="C149" s="2"/>
      <c r="D149" s="26"/>
      <c r="E149" s="26"/>
      <c r="F149" s="27"/>
      <c r="G149" s="26"/>
      <c r="H149" s="26"/>
      <c r="I149" s="27"/>
      <c r="J149" s="26"/>
      <c r="K149" s="26"/>
      <c r="L149" s="67"/>
      <c r="N149" s="8"/>
      <c r="O149" s="2"/>
      <c r="P149" s="26"/>
      <c r="Q149" s="27"/>
      <c r="R149" s="30"/>
      <c r="S149" s="27"/>
      <c r="T149" s="30"/>
      <c r="U149" s="34"/>
      <c r="V149" s="34"/>
      <c r="X149" s="8"/>
      <c r="Y149" s="2"/>
      <c r="Z149" s="26"/>
      <c r="AA149" s="26"/>
      <c r="AB149" s="26"/>
      <c r="AC149" s="26"/>
      <c r="AD149" s="27"/>
      <c r="AE149" s="30"/>
      <c r="AF149" s="26"/>
      <c r="AG149" s="26"/>
      <c r="AH149" s="32"/>
      <c r="AJ149" s="8"/>
      <c r="AK149" s="2"/>
      <c r="AL149" s="26"/>
      <c r="AM149" s="26"/>
      <c r="AN149" s="26"/>
      <c r="AO149" s="27"/>
      <c r="AP149" s="30"/>
      <c r="AQ149" s="26"/>
      <c r="AR149" s="26"/>
      <c r="AS149" s="32"/>
      <c r="AT149" s="34"/>
    </row>
    <row r="150" spans="2:46" x14ac:dyDescent="0.3">
      <c r="B150" s="8"/>
      <c r="C150" s="2"/>
      <c r="D150" s="26"/>
      <c r="E150" s="26"/>
      <c r="F150" s="27"/>
      <c r="G150" s="26"/>
      <c r="H150" s="26"/>
      <c r="I150" s="27"/>
      <c r="J150" s="26"/>
      <c r="K150" s="26"/>
      <c r="L150" s="67"/>
      <c r="N150" s="8"/>
      <c r="O150" s="2"/>
      <c r="P150" s="26"/>
      <c r="Q150" s="27"/>
      <c r="R150" s="30"/>
      <c r="S150" s="27"/>
      <c r="T150" s="30"/>
      <c r="U150" s="34"/>
      <c r="V150" s="34"/>
      <c r="X150" s="8"/>
      <c r="Y150" s="2"/>
      <c r="Z150" s="26"/>
      <c r="AA150" s="26"/>
      <c r="AB150" s="26"/>
      <c r="AC150" s="26"/>
      <c r="AD150" s="27"/>
      <c r="AE150" s="30"/>
      <c r="AF150" s="26"/>
      <c r="AG150" s="26"/>
      <c r="AH150" s="32"/>
      <c r="AJ150" s="8"/>
      <c r="AK150" s="2"/>
      <c r="AL150" s="26"/>
      <c r="AM150" s="26"/>
      <c r="AN150" s="26"/>
      <c r="AO150" s="27"/>
      <c r="AP150" s="30"/>
      <c r="AQ150" s="26"/>
      <c r="AR150" s="26"/>
      <c r="AS150" s="32"/>
      <c r="AT150" s="34"/>
    </row>
    <row r="151" spans="2:46" x14ac:dyDescent="0.3">
      <c r="B151" s="8"/>
      <c r="C151" s="2"/>
      <c r="D151" s="26"/>
      <c r="E151" s="26"/>
      <c r="F151" s="27"/>
      <c r="G151" s="26"/>
      <c r="H151" s="26"/>
      <c r="I151" s="27"/>
      <c r="J151" s="26"/>
      <c r="K151" s="26"/>
      <c r="L151" s="67"/>
      <c r="N151" s="8"/>
      <c r="O151" s="2"/>
      <c r="P151" s="26"/>
      <c r="Q151" s="27"/>
      <c r="R151" s="30"/>
      <c r="S151" s="27"/>
      <c r="T151" s="30"/>
      <c r="U151" s="34"/>
      <c r="V151" s="34"/>
      <c r="X151" s="8"/>
      <c r="Y151" s="2"/>
      <c r="Z151" s="26"/>
      <c r="AA151" s="26"/>
      <c r="AB151" s="26"/>
      <c r="AC151" s="26"/>
      <c r="AD151" s="27"/>
      <c r="AE151" s="30"/>
      <c r="AF151" s="26"/>
      <c r="AG151" s="26"/>
      <c r="AH151" s="32"/>
      <c r="AJ151" s="8"/>
      <c r="AK151" s="2"/>
      <c r="AL151" s="26"/>
      <c r="AM151" s="26"/>
      <c r="AN151" s="26"/>
      <c r="AO151" s="27"/>
      <c r="AP151" s="30"/>
      <c r="AQ151" s="26"/>
      <c r="AR151" s="26"/>
      <c r="AS151" s="32"/>
      <c r="AT151" s="34"/>
    </row>
    <row r="152" spans="2:46" x14ac:dyDescent="0.3">
      <c r="B152" s="8"/>
      <c r="C152" s="2"/>
      <c r="D152" s="26"/>
      <c r="E152" s="26"/>
      <c r="F152" s="27"/>
      <c r="G152" s="26"/>
      <c r="H152" s="26"/>
      <c r="I152" s="27"/>
      <c r="J152" s="26"/>
      <c r="K152" s="26"/>
      <c r="L152" s="67"/>
      <c r="N152" s="8"/>
      <c r="O152" s="2"/>
      <c r="P152" s="26"/>
      <c r="Q152" s="27"/>
      <c r="R152" s="30"/>
      <c r="S152" s="27"/>
      <c r="T152" s="30"/>
      <c r="U152" s="34"/>
      <c r="V152" s="34"/>
      <c r="X152" s="8"/>
      <c r="Y152" s="2"/>
      <c r="Z152" s="26"/>
      <c r="AA152" s="26"/>
      <c r="AB152" s="26"/>
      <c r="AC152" s="26"/>
      <c r="AD152" s="27"/>
      <c r="AE152" s="30"/>
      <c r="AF152" s="26"/>
      <c r="AG152" s="26"/>
      <c r="AH152" s="32"/>
      <c r="AJ152" s="8"/>
      <c r="AK152" s="2"/>
      <c r="AL152" s="26"/>
      <c r="AM152" s="26"/>
      <c r="AN152" s="26"/>
      <c r="AO152" s="27"/>
      <c r="AP152" s="30"/>
      <c r="AQ152" s="26"/>
      <c r="AR152" s="26"/>
      <c r="AS152" s="32"/>
      <c r="AT152" s="34"/>
    </row>
    <row r="153" spans="2:46" x14ac:dyDescent="0.3">
      <c r="B153" s="8"/>
      <c r="C153" s="2"/>
      <c r="D153" s="26"/>
      <c r="E153" s="26"/>
      <c r="F153" s="27"/>
      <c r="G153" s="26"/>
      <c r="H153" s="26"/>
      <c r="I153" s="27"/>
      <c r="J153" s="26"/>
      <c r="K153" s="26"/>
      <c r="L153" s="67"/>
      <c r="N153" s="8"/>
      <c r="O153" s="2"/>
      <c r="P153" s="26"/>
      <c r="Q153" s="27"/>
      <c r="R153" s="30"/>
      <c r="S153" s="27"/>
      <c r="T153" s="30"/>
      <c r="U153" s="34"/>
      <c r="V153" s="34"/>
      <c r="X153" s="8"/>
      <c r="Y153" s="2"/>
      <c r="Z153" s="26"/>
      <c r="AA153" s="26"/>
      <c r="AB153" s="26"/>
      <c r="AC153" s="26"/>
      <c r="AD153" s="27"/>
      <c r="AE153" s="30"/>
      <c r="AF153" s="26"/>
      <c r="AG153" s="26"/>
      <c r="AH153" s="32"/>
      <c r="AJ153" s="8"/>
      <c r="AK153" s="2"/>
      <c r="AL153" s="26"/>
      <c r="AM153" s="26"/>
      <c r="AN153" s="26"/>
      <c r="AO153" s="27"/>
      <c r="AP153" s="30"/>
      <c r="AQ153" s="26"/>
      <c r="AR153" s="26"/>
      <c r="AS153" s="32"/>
      <c r="AT153" s="34"/>
    </row>
    <row r="154" spans="2:46" x14ac:dyDescent="0.3">
      <c r="B154" s="8"/>
      <c r="C154" s="2"/>
      <c r="D154" s="26"/>
      <c r="E154" s="26"/>
      <c r="F154" s="27"/>
      <c r="G154" s="26"/>
      <c r="H154" s="26"/>
      <c r="I154" s="27"/>
      <c r="J154" s="26"/>
      <c r="K154" s="26"/>
      <c r="L154" s="67"/>
      <c r="N154" s="8"/>
      <c r="O154" s="2"/>
      <c r="P154" s="26"/>
      <c r="Q154" s="27"/>
      <c r="R154" s="30"/>
      <c r="S154" s="27"/>
      <c r="T154" s="30"/>
      <c r="U154" s="34"/>
      <c r="V154" s="34"/>
      <c r="X154" s="8"/>
      <c r="Y154" s="2"/>
      <c r="Z154" s="26"/>
      <c r="AA154" s="26"/>
      <c r="AB154" s="26"/>
      <c r="AC154" s="26"/>
      <c r="AD154" s="27"/>
      <c r="AE154" s="30"/>
      <c r="AF154" s="26"/>
      <c r="AG154" s="26"/>
      <c r="AH154" s="32"/>
      <c r="AJ154" s="8"/>
      <c r="AK154" s="2"/>
      <c r="AL154" s="26"/>
      <c r="AM154" s="26"/>
      <c r="AN154" s="26"/>
      <c r="AO154" s="27"/>
      <c r="AP154" s="30"/>
      <c r="AQ154" s="26"/>
      <c r="AR154" s="26"/>
      <c r="AS154" s="32"/>
      <c r="AT154" s="34"/>
    </row>
    <row r="155" spans="2:46" x14ac:dyDescent="0.3">
      <c r="B155" s="8"/>
      <c r="C155" s="2"/>
      <c r="D155" s="26"/>
      <c r="E155" s="26"/>
      <c r="F155" s="27"/>
      <c r="G155" s="26"/>
      <c r="H155" s="26"/>
      <c r="I155" s="27"/>
      <c r="J155" s="26"/>
      <c r="K155" s="26"/>
      <c r="L155" s="67"/>
      <c r="N155" s="8"/>
      <c r="O155" s="2"/>
      <c r="P155" s="26"/>
      <c r="Q155" s="27"/>
      <c r="R155" s="30"/>
      <c r="S155" s="27"/>
      <c r="T155" s="30"/>
      <c r="U155" s="34"/>
      <c r="V155" s="34"/>
      <c r="X155" s="8"/>
      <c r="Y155" s="2"/>
      <c r="Z155" s="26"/>
      <c r="AA155" s="26"/>
      <c r="AB155" s="26"/>
      <c r="AC155" s="26"/>
      <c r="AD155" s="27"/>
      <c r="AE155" s="30"/>
      <c r="AF155" s="26"/>
      <c r="AG155" s="26"/>
      <c r="AH155" s="32"/>
      <c r="AJ155" s="8"/>
      <c r="AK155" s="2"/>
      <c r="AL155" s="26"/>
      <c r="AM155" s="26"/>
      <c r="AN155" s="26"/>
      <c r="AO155" s="27"/>
      <c r="AP155" s="30"/>
      <c r="AQ155" s="26"/>
      <c r="AR155" s="26"/>
      <c r="AS155" s="32"/>
      <c r="AT155" s="34"/>
    </row>
    <row r="156" spans="2:46" x14ac:dyDescent="0.3">
      <c r="B156" s="8"/>
      <c r="C156" s="2"/>
      <c r="D156" s="26"/>
      <c r="E156" s="26"/>
      <c r="F156" s="27"/>
      <c r="G156" s="26"/>
      <c r="H156" s="26"/>
      <c r="I156" s="27"/>
      <c r="J156" s="26"/>
      <c r="K156" s="26"/>
      <c r="L156" s="67"/>
      <c r="N156" s="8"/>
      <c r="O156" s="2"/>
      <c r="P156" s="26"/>
      <c r="Q156" s="27"/>
      <c r="R156" s="30"/>
      <c r="S156" s="27"/>
      <c r="T156" s="30"/>
      <c r="U156" s="34"/>
      <c r="V156" s="34"/>
      <c r="X156" s="8"/>
      <c r="Y156" s="2"/>
      <c r="Z156" s="26"/>
      <c r="AA156" s="26"/>
      <c r="AB156" s="26"/>
      <c r="AC156" s="26"/>
      <c r="AD156" s="27"/>
      <c r="AE156" s="30"/>
      <c r="AF156" s="26"/>
      <c r="AG156" s="26"/>
      <c r="AH156" s="32"/>
      <c r="AJ156" s="8"/>
      <c r="AK156" s="2"/>
      <c r="AL156" s="26"/>
      <c r="AM156" s="26"/>
      <c r="AN156" s="26"/>
      <c r="AO156" s="27"/>
      <c r="AP156" s="30"/>
      <c r="AQ156" s="26"/>
      <c r="AR156" s="26"/>
      <c r="AS156" s="32"/>
      <c r="AT156" s="34"/>
    </row>
    <row r="157" spans="2:46" x14ac:dyDescent="0.3">
      <c r="B157" s="8"/>
      <c r="C157" s="2"/>
      <c r="D157" s="26"/>
      <c r="E157" s="26"/>
      <c r="F157" s="27"/>
      <c r="G157" s="26"/>
      <c r="H157" s="26"/>
      <c r="I157" s="27"/>
      <c r="J157" s="26"/>
      <c r="K157" s="26"/>
      <c r="L157" s="67"/>
      <c r="N157" s="8"/>
      <c r="O157" s="2"/>
      <c r="P157" s="26"/>
      <c r="Q157" s="27"/>
      <c r="R157" s="30"/>
      <c r="S157" s="27"/>
      <c r="T157" s="30"/>
      <c r="U157" s="34"/>
      <c r="V157" s="34"/>
      <c r="X157" s="8"/>
      <c r="Y157" s="2"/>
      <c r="Z157" s="26"/>
      <c r="AA157" s="26"/>
      <c r="AB157" s="26"/>
      <c r="AC157" s="26"/>
      <c r="AD157" s="27"/>
      <c r="AE157" s="30"/>
      <c r="AF157" s="26"/>
      <c r="AG157" s="26"/>
      <c r="AH157" s="32"/>
      <c r="AJ157" s="8"/>
      <c r="AK157" s="2"/>
      <c r="AL157" s="26"/>
      <c r="AM157" s="26"/>
      <c r="AN157" s="26"/>
      <c r="AO157" s="27"/>
      <c r="AP157" s="30"/>
      <c r="AQ157" s="26"/>
      <c r="AR157" s="26"/>
      <c r="AS157" s="32"/>
      <c r="AT157" s="34"/>
    </row>
    <row r="158" spans="2:46" x14ac:dyDescent="0.3">
      <c r="B158" s="8"/>
      <c r="C158" s="2"/>
      <c r="D158" s="26"/>
      <c r="E158" s="26"/>
      <c r="F158" s="27"/>
      <c r="G158" s="26"/>
      <c r="H158" s="26"/>
      <c r="I158" s="27"/>
      <c r="J158" s="26"/>
      <c r="K158" s="26"/>
      <c r="L158" s="67"/>
      <c r="N158" s="8"/>
      <c r="O158" s="2"/>
      <c r="P158" s="26"/>
      <c r="Q158" s="27"/>
      <c r="R158" s="30"/>
      <c r="S158" s="27"/>
      <c r="T158" s="30"/>
      <c r="U158" s="34"/>
      <c r="V158" s="34"/>
      <c r="X158" s="8"/>
      <c r="Y158" s="2"/>
      <c r="Z158" s="26"/>
      <c r="AA158" s="26"/>
      <c r="AB158" s="26"/>
      <c r="AC158" s="26"/>
      <c r="AD158" s="27"/>
      <c r="AE158" s="30"/>
      <c r="AF158" s="26"/>
      <c r="AG158" s="26"/>
      <c r="AH158" s="32"/>
      <c r="AJ158" s="8"/>
      <c r="AK158" s="2"/>
      <c r="AL158" s="26"/>
      <c r="AM158" s="26"/>
      <c r="AN158" s="26"/>
      <c r="AO158" s="27"/>
      <c r="AP158" s="30"/>
      <c r="AQ158" s="26"/>
      <c r="AR158" s="26"/>
      <c r="AS158" s="32"/>
      <c r="AT158" s="34"/>
    </row>
    <row r="159" spans="2:46" x14ac:dyDescent="0.3">
      <c r="B159" s="8"/>
      <c r="C159" s="2"/>
      <c r="D159" s="26"/>
      <c r="E159" s="26"/>
      <c r="F159" s="27"/>
      <c r="G159" s="26"/>
      <c r="H159" s="26"/>
      <c r="I159" s="27"/>
      <c r="J159" s="26"/>
      <c r="K159" s="26"/>
      <c r="L159" s="67"/>
      <c r="N159" s="8"/>
      <c r="O159" s="2"/>
      <c r="P159" s="26"/>
      <c r="Q159" s="27"/>
      <c r="R159" s="30"/>
      <c r="S159" s="27"/>
      <c r="T159" s="30"/>
      <c r="U159" s="34"/>
      <c r="V159" s="34"/>
      <c r="X159" s="8"/>
      <c r="Y159" s="2"/>
      <c r="Z159" s="26"/>
      <c r="AA159" s="26"/>
      <c r="AB159" s="26"/>
      <c r="AC159" s="26"/>
      <c r="AD159" s="27"/>
      <c r="AE159" s="30"/>
      <c r="AF159" s="26"/>
      <c r="AG159" s="26"/>
      <c r="AH159" s="32"/>
      <c r="AJ159" s="8"/>
      <c r="AK159" s="2"/>
      <c r="AL159" s="26"/>
      <c r="AM159" s="26"/>
      <c r="AN159" s="26"/>
      <c r="AO159" s="27"/>
      <c r="AP159" s="30"/>
      <c r="AQ159" s="26"/>
      <c r="AR159" s="26"/>
      <c r="AS159" s="32"/>
      <c r="AT159" s="34"/>
    </row>
    <row r="160" spans="2:46" x14ac:dyDescent="0.3">
      <c r="B160" s="8"/>
      <c r="C160" s="2"/>
      <c r="D160" s="26"/>
      <c r="E160" s="26"/>
      <c r="F160" s="27"/>
      <c r="G160" s="26"/>
      <c r="H160" s="26"/>
      <c r="I160" s="27"/>
      <c r="J160" s="26"/>
      <c r="K160" s="26"/>
      <c r="L160" s="67"/>
      <c r="N160" s="8"/>
      <c r="O160" s="2"/>
      <c r="P160" s="26"/>
      <c r="Q160" s="27"/>
      <c r="R160" s="30"/>
      <c r="S160" s="27"/>
      <c r="T160" s="30"/>
      <c r="U160" s="34"/>
      <c r="V160" s="34"/>
      <c r="X160" s="8"/>
      <c r="Y160" s="2"/>
      <c r="Z160" s="26"/>
      <c r="AA160" s="26"/>
      <c r="AB160" s="26"/>
      <c r="AC160" s="26"/>
      <c r="AD160" s="27"/>
      <c r="AE160" s="30"/>
      <c r="AF160" s="26"/>
      <c r="AG160" s="26"/>
      <c r="AH160" s="32"/>
      <c r="AJ160" s="8"/>
      <c r="AK160" s="2"/>
      <c r="AL160" s="26"/>
      <c r="AM160" s="26"/>
      <c r="AN160" s="26"/>
      <c r="AO160" s="27"/>
      <c r="AP160" s="30"/>
      <c r="AQ160" s="26"/>
      <c r="AR160" s="26"/>
      <c r="AS160" s="32"/>
      <c r="AT160" s="34"/>
    </row>
    <row r="161" spans="2:46" x14ac:dyDescent="0.3">
      <c r="B161" s="8"/>
      <c r="C161" s="2"/>
      <c r="D161" s="26"/>
      <c r="E161" s="26"/>
      <c r="F161" s="27"/>
      <c r="G161" s="26"/>
      <c r="H161" s="26"/>
      <c r="I161" s="27"/>
      <c r="J161" s="26"/>
      <c r="K161" s="26"/>
      <c r="L161" s="67"/>
      <c r="N161" s="8"/>
      <c r="O161" s="2"/>
      <c r="P161" s="26"/>
      <c r="Q161" s="27"/>
      <c r="R161" s="30"/>
      <c r="S161" s="27"/>
      <c r="T161" s="30"/>
      <c r="U161" s="34"/>
      <c r="V161" s="34"/>
      <c r="X161" s="8"/>
      <c r="Y161" s="2"/>
      <c r="Z161" s="26"/>
      <c r="AA161" s="26"/>
      <c r="AB161" s="26"/>
      <c r="AC161" s="26"/>
      <c r="AD161" s="27"/>
      <c r="AE161" s="30"/>
      <c r="AF161" s="26"/>
      <c r="AG161" s="26"/>
      <c r="AH161" s="32"/>
      <c r="AJ161" s="8"/>
      <c r="AK161" s="2"/>
      <c r="AL161" s="26"/>
      <c r="AM161" s="26"/>
      <c r="AN161" s="26"/>
      <c r="AO161" s="27"/>
      <c r="AP161" s="30"/>
      <c r="AQ161" s="26"/>
      <c r="AR161" s="26"/>
      <c r="AS161" s="32"/>
      <c r="AT161" s="34"/>
    </row>
    <row r="162" spans="2:46" x14ac:dyDescent="0.3">
      <c r="B162" s="8"/>
      <c r="C162" s="2"/>
      <c r="D162" s="26"/>
      <c r="E162" s="26"/>
      <c r="F162" s="27"/>
      <c r="G162" s="26"/>
      <c r="H162" s="26"/>
      <c r="I162" s="27"/>
      <c r="J162" s="26"/>
      <c r="K162" s="26"/>
      <c r="L162" s="67"/>
      <c r="N162" s="8"/>
      <c r="O162" s="2"/>
      <c r="P162" s="26"/>
      <c r="Q162" s="27"/>
      <c r="R162" s="30"/>
      <c r="S162" s="27"/>
      <c r="T162" s="30"/>
      <c r="U162" s="34"/>
      <c r="V162" s="34"/>
      <c r="X162" s="8"/>
      <c r="Y162" s="2"/>
      <c r="Z162" s="26"/>
      <c r="AA162" s="26"/>
      <c r="AB162" s="26"/>
      <c r="AC162" s="26"/>
      <c r="AD162" s="27"/>
      <c r="AE162" s="30"/>
      <c r="AF162" s="26"/>
      <c r="AG162" s="26"/>
      <c r="AH162" s="32"/>
      <c r="AJ162" s="8"/>
      <c r="AK162" s="2"/>
      <c r="AL162" s="26"/>
      <c r="AM162" s="26"/>
      <c r="AN162" s="26"/>
      <c r="AO162" s="27"/>
      <c r="AP162" s="30"/>
      <c r="AQ162" s="26"/>
      <c r="AR162" s="26"/>
      <c r="AS162" s="32"/>
      <c r="AT162" s="34"/>
    </row>
    <row r="163" spans="2:46" x14ac:dyDescent="0.3">
      <c r="B163" s="8"/>
      <c r="C163" s="2"/>
      <c r="D163" s="26"/>
      <c r="E163" s="26"/>
      <c r="F163" s="27"/>
      <c r="G163" s="26"/>
      <c r="H163" s="26"/>
      <c r="I163" s="27"/>
      <c r="J163" s="26"/>
      <c r="K163" s="26"/>
      <c r="L163" s="67"/>
      <c r="N163" s="8"/>
      <c r="O163" s="2"/>
      <c r="P163" s="26"/>
      <c r="Q163" s="27"/>
      <c r="R163" s="30"/>
      <c r="S163" s="27"/>
      <c r="T163" s="30"/>
      <c r="U163" s="34"/>
      <c r="V163" s="34"/>
      <c r="X163" s="8"/>
      <c r="Y163" s="2"/>
      <c r="Z163" s="26"/>
      <c r="AA163" s="26"/>
      <c r="AB163" s="26"/>
      <c r="AC163" s="26"/>
      <c r="AD163" s="27"/>
      <c r="AE163" s="30"/>
      <c r="AF163" s="26"/>
      <c r="AG163" s="26"/>
      <c r="AH163" s="32"/>
      <c r="AJ163" s="8"/>
      <c r="AK163" s="2"/>
      <c r="AL163" s="26"/>
      <c r="AM163" s="26"/>
      <c r="AN163" s="26"/>
      <c r="AO163" s="27"/>
      <c r="AP163" s="30"/>
      <c r="AQ163" s="26"/>
      <c r="AR163" s="26"/>
      <c r="AS163" s="32"/>
      <c r="AT163" s="34"/>
    </row>
    <row r="164" spans="2:46" x14ac:dyDescent="0.3">
      <c r="B164" s="8"/>
      <c r="C164" s="2"/>
      <c r="D164" s="26"/>
      <c r="E164" s="26"/>
      <c r="F164" s="27"/>
      <c r="G164" s="26"/>
      <c r="H164" s="26"/>
      <c r="I164" s="27"/>
      <c r="J164" s="26"/>
      <c r="K164" s="26"/>
      <c r="L164" s="67"/>
      <c r="N164" s="8"/>
      <c r="O164" s="2"/>
      <c r="P164" s="26"/>
      <c r="Q164" s="27"/>
      <c r="R164" s="30"/>
      <c r="S164" s="27"/>
      <c r="T164" s="30"/>
      <c r="U164" s="34"/>
      <c r="V164" s="34"/>
      <c r="X164" s="8"/>
      <c r="Y164" s="2"/>
      <c r="Z164" s="26"/>
      <c r="AA164" s="26"/>
      <c r="AB164" s="26"/>
      <c r="AC164" s="26"/>
      <c r="AD164" s="27"/>
      <c r="AE164" s="30"/>
      <c r="AF164" s="26"/>
      <c r="AG164" s="26"/>
      <c r="AH164" s="32"/>
      <c r="AJ164" s="8"/>
      <c r="AK164" s="2"/>
      <c r="AL164" s="26"/>
      <c r="AM164" s="26"/>
      <c r="AN164" s="26"/>
      <c r="AO164" s="27"/>
      <c r="AP164" s="30"/>
      <c r="AQ164" s="26"/>
      <c r="AR164" s="26"/>
      <c r="AS164" s="32"/>
      <c r="AT164" s="34"/>
    </row>
    <row r="165" spans="2:46" x14ac:dyDescent="0.3">
      <c r="B165" s="8"/>
      <c r="C165" s="2"/>
      <c r="D165" s="26"/>
      <c r="E165" s="26"/>
      <c r="F165" s="27"/>
      <c r="G165" s="26"/>
      <c r="H165" s="26"/>
      <c r="I165" s="27"/>
      <c r="J165" s="26"/>
      <c r="K165" s="26"/>
      <c r="L165" s="67"/>
      <c r="N165" s="8"/>
      <c r="O165" s="2"/>
      <c r="P165" s="26"/>
      <c r="Q165" s="27"/>
      <c r="R165" s="30"/>
      <c r="S165" s="27"/>
      <c r="T165" s="30"/>
      <c r="U165" s="34"/>
      <c r="V165" s="34"/>
      <c r="X165" s="8"/>
      <c r="Y165" s="2"/>
      <c r="Z165" s="26"/>
      <c r="AA165" s="26"/>
      <c r="AB165" s="26"/>
      <c r="AC165" s="26"/>
      <c r="AD165" s="27"/>
      <c r="AE165" s="30"/>
      <c r="AF165" s="26"/>
      <c r="AG165" s="26"/>
      <c r="AH165" s="32"/>
      <c r="AJ165" s="8"/>
      <c r="AK165" s="2"/>
      <c r="AL165" s="26"/>
      <c r="AM165" s="26"/>
      <c r="AN165" s="26"/>
      <c r="AO165" s="27"/>
      <c r="AP165" s="30"/>
      <c r="AQ165" s="26"/>
      <c r="AR165" s="26"/>
      <c r="AS165" s="32"/>
      <c r="AT165" s="34"/>
    </row>
    <row r="166" spans="2:46" x14ac:dyDescent="0.3">
      <c r="B166" s="8"/>
      <c r="C166" s="2"/>
      <c r="D166" s="26"/>
      <c r="E166" s="26"/>
      <c r="F166" s="28"/>
      <c r="G166" s="29"/>
      <c r="H166" s="29"/>
      <c r="I166" s="28"/>
      <c r="J166" s="29"/>
      <c r="K166" s="29"/>
      <c r="L166" s="68"/>
      <c r="N166" s="8"/>
      <c r="O166" s="2"/>
      <c r="P166" s="26"/>
      <c r="Q166" s="28"/>
      <c r="R166" s="31"/>
      <c r="S166" s="28"/>
      <c r="T166" s="31"/>
      <c r="U166" s="34"/>
      <c r="V166" s="34"/>
      <c r="X166" s="8"/>
      <c r="Y166" s="2"/>
      <c r="Z166" s="26"/>
      <c r="AA166" s="26"/>
      <c r="AB166" s="26"/>
      <c r="AC166" s="26"/>
      <c r="AD166" s="28"/>
      <c r="AE166" s="31"/>
      <c r="AF166" s="26"/>
      <c r="AG166" s="26"/>
      <c r="AH166" s="33"/>
      <c r="AJ166" s="8"/>
      <c r="AK166" s="2"/>
      <c r="AL166" s="26"/>
      <c r="AM166" s="26"/>
      <c r="AN166" s="26"/>
      <c r="AO166" s="28"/>
      <c r="AP166" s="31"/>
      <c r="AQ166" s="26"/>
      <c r="AR166" s="26"/>
      <c r="AS166" s="32"/>
      <c r="AT166" s="34"/>
    </row>
    <row r="167" spans="2:46" x14ac:dyDescent="0.3">
      <c r="B167" s="22"/>
      <c r="C167" s="22"/>
      <c r="D167" s="22"/>
      <c r="E167" s="22"/>
      <c r="F167" s="22"/>
      <c r="G167" s="22"/>
      <c r="H167" s="22"/>
      <c r="I167" s="22"/>
      <c r="J167" s="22"/>
      <c r="K167" s="22"/>
      <c r="L167" s="22"/>
      <c r="N167" s="22"/>
      <c r="O167" s="22"/>
      <c r="P167" s="22"/>
      <c r="Q167" s="22"/>
      <c r="R167" s="22"/>
      <c r="S167" s="22"/>
      <c r="T167" s="22"/>
      <c r="U167" s="22"/>
      <c r="V167" s="22"/>
      <c r="X167" s="22"/>
      <c r="Y167" s="22"/>
      <c r="Z167" s="22"/>
      <c r="AA167" s="22"/>
      <c r="AB167" s="22"/>
      <c r="AC167" s="22"/>
      <c r="AD167" s="22"/>
      <c r="AE167" s="22"/>
      <c r="AF167" s="22"/>
      <c r="AG167" s="22"/>
      <c r="AH167" s="22"/>
      <c r="AJ167" s="22"/>
      <c r="AK167" s="22"/>
      <c r="AL167" s="22"/>
      <c r="AM167" s="22"/>
      <c r="AN167" s="22"/>
      <c r="AO167" s="22"/>
      <c r="AP167" s="22"/>
      <c r="AQ167" s="22"/>
      <c r="AR167" s="22"/>
      <c r="AS167" s="22"/>
      <c r="AT167" s="22"/>
    </row>
  </sheetData>
  <mergeCells count="11">
    <mergeCell ref="AF4:AG4"/>
    <mergeCell ref="AO4:AP4"/>
    <mergeCell ref="AQ4:AR4"/>
    <mergeCell ref="AS4:AT4"/>
    <mergeCell ref="D4:E4"/>
    <mergeCell ref="F4:H4"/>
    <mergeCell ref="I4:K4"/>
    <mergeCell ref="Q4:R4"/>
    <mergeCell ref="AD4:AE4"/>
    <mergeCell ref="S4:T4"/>
    <mergeCell ref="U4:V4"/>
  </mergeCells>
  <conditionalFormatting sqref="D13:K13 P13:R13 Z13:AG13 AL13:AR13">
    <cfRule type="cellIs" dxfId="43" priority="11" operator="greaterThan">
      <formula>1</formula>
    </cfRule>
  </conditionalFormatting>
  <conditionalFormatting sqref="D17:K166 Z17:AG166 AL17:AR166">
    <cfRule type="cellIs" dxfId="42" priority="12" operator="lessThan">
      <formula>0</formula>
    </cfRule>
    <cfRule type="cellIs" dxfId="41" priority="13" operator="greaterThan">
      <formula>0</formula>
    </cfRule>
  </conditionalFormatting>
  <conditionalFormatting sqref="U17:V166">
    <cfRule type="cellIs" dxfId="40" priority="9" operator="greaterThan">
      <formula>1</formula>
    </cfRule>
  </conditionalFormatting>
  <conditionalFormatting sqref="AH17:AH166">
    <cfRule type="cellIs" dxfId="39" priority="8" operator="greaterThan">
      <formula>1</formula>
    </cfRule>
  </conditionalFormatting>
  <conditionalFormatting sqref="AS17:AT166">
    <cfRule type="cellIs" dxfId="38" priority="6" operator="greaterThan">
      <formula>1</formula>
    </cfRule>
  </conditionalFormatting>
  <conditionalFormatting sqref="BA7:BA24 P17:T166">
    <cfRule type="cellIs" dxfId="35" priority="3" operator="lessThan">
      <formula>0</formula>
    </cfRule>
    <cfRule type="cellIs" dxfId="34" priority="4" operator="greaterThan">
      <formula>0</formula>
    </cfRule>
  </conditionalFormatting>
  <conditionalFormatting sqref="BB7:BB24 L17:L166">
    <cfRule type="cellIs" dxfId="33" priority="5" operator="greaterThan">
      <formula>1</formula>
    </cfRule>
  </conditionalFormatting>
  <dataValidations count="4">
    <dataValidation type="whole" errorStyle="information" allowBlank="1" showInputMessage="1" showErrorMessage="1" errorTitle="Must select 1 or 2" error="1 = Multiplicative_x000a_2 = Additive" sqref="AL13:AR13 Z13:AG13 P13:R13 D13:K13 BB7:BB24" xr:uid="{B9824184-F17E-4543-93BF-73F8AB3E2C40}">
      <formula1>1</formula1>
      <formula2>2</formula2>
    </dataValidation>
    <dataValidation type="decimal" errorStyle="information" allowBlank="1" showInputMessage="1" showErrorMessage="1" errorTitle="Must select a number" error="Cannot choose letters or special characters." sqref="D17:K166 BA7:BA24 AL17:AN37 P17:T166 Z17:AG166 AO17:AR166" xr:uid="{9C2C6716-6A00-4130-A932-D9FE94C200BA}">
      <formula1>-1000000000</formula1>
      <formula2>1000000000</formula2>
    </dataValidation>
    <dataValidation type="whole" errorStyle="information" allowBlank="1" showInputMessage="1" showErrorMessage="1" errorTitle="Must select 1 or 2" error="1 = Included in shock_x000a_2 = Excluded" sqref="U17:U166" xr:uid="{480A8030-E4C3-4403-8113-B7E3EFEECEAE}">
      <formula1>1</formula1>
      <formula2>2</formula2>
    </dataValidation>
    <dataValidation type="whole" errorStyle="information" allowBlank="1" showInputMessage="1" showErrorMessage="1" errorTitle="Must select 1 or 2" error="1 = Included in closure_x000a_2 = Excluded" sqref="V17:V166 AH17:AH166 L17:L166 AS17:AT166" xr:uid="{19838BEF-84E3-4E97-B163-5287ECCD819C}">
      <formula1>1</formula1>
      <formula2>2</formula2>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ellIs" priority="15" operator="equal" id="{4B8D7B35-E57C-471B-B3D5-59C9AF4A5676}">
            <xm:f>Notes!$L$4</xm:f>
            <x14:dxf>
              <font>
                <b val="0"/>
                <i val="0"/>
                <strike val="0"/>
                <color theme="0" tint="-0.34998626667073579"/>
              </font>
              <fill>
                <patternFill patternType="none">
                  <bgColor auto="1"/>
                </patternFill>
              </fill>
            </x14:dxf>
          </x14:cfRule>
          <xm:sqref>AY7:AY24 D8:K8 P8:T8 Z8:AG8 AL8:AR8</xm:sqref>
        </x14:conditionalFormatting>
        <x14:conditionalFormatting xmlns:xm="http://schemas.microsoft.com/office/excel/2006/main">
          <x14:cfRule type="cellIs" priority="14" operator="equal" id="{079E4C41-FD93-46D9-A2D7-F8626B63FDF7}">
            <xm:f>Notes!$L$5</xm:f>
            <x14:dxf>
              <font>
                <b val="0"/>
                <i val="0"/>
                <strike val="0"/>
                <color theme="0" tint="-0.34998626667073579"/>
              </font>
              <fill>
                <patternFill patternType="none">
                  <bgColor auto="1"/>
                </patternFill>
              </fill>
            </x14:dxf>
          </x14:cfRule>
          <xm:sqref>AZ7:AZ24 D9:K9 P9:T9 Z9:AG9 AL9:AR9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Out of range" error="Time periods must fall within the range specified on the &quot;Base&quot; worksheet." xr:uid="{D4A97FB8-5978-4FB2-8A66-6F7608C61C2B}">
          <x14:formula1>
            <xm:f>Main!$H$5:$H$58</xm:f>
          </x14:formula1>
          <xm:sqref>D8:K9 AY7:AZ24 AL8:AR9 P8:T9</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A06E3-E91A-44E7-975B-CA9B4115CEE6}">
  <sheetPr>
    <tabColor theme="8" tint="-0.499984740745262"/>
  </sheetPr>
  <dimension ref="A1:BE167"/>
  <sheetViews>
    <sheetView zoomScale="55" zoomScaleNormal="55" workbookViewId="0">
      <pane ySplit="16" topLeftCell="A17" activePane="bottomLeft" state="frozen"/>
      <selection activeCell="V17" sqref="V17"/>
      <selection pane="bottomLeft" activeCell="V17" sqref="V17"/>
    </sheetView>
  </sheetViews>
  <sheetFormatPr defaultColWidth="0" defaultRowHeight="14.4" zeroHeight="1" x14ac:dyDescent="0.3"/>
  <cols>
    <col min="1" max="2" width="2.44140625" customWidth="1"/>
    <col min="3" max="12" width="9.109375" customWidth="1"/>
    <col min="13" max="14" width="2.44140625" customWidth="1"/>
    <col min="15" max="22" width="9.109375" customWidth="1"/>
    <col min="23" max="24" width="2.44140625" customWidth="1"/>
    <col min="25" max="34" width="9.109375" customWidth="1"/>
    <col min="35" max="36" width="2.44140625" customWidth="1"/>
    <col min="37" max="37" width="11.77734375" customWidth="1"/>
    <col min="38" max="46" width="9.109375" customWidth="1"/>
    <col min="47" max="48" width="2.44140625" customWidth="1"/>
    <col min="49" max="49" width="18.88671875" bestFit="1" customWidth="1"/>
    <col min="50" max="54" width="9.109375" customWidth="1"/>
    <col min="55" max="55" width="2.44140625" customWidth="1"/>
    <col min="56" max="57" width="0" hidden="1" customWidth="1"/>
    <col min="58" max="16384" width="9.109375" hidden="1"/>
  </cols>
  <sheetData>
    <row r="1" spans="1:55" ht="18" x14ac:dyDescent="0.35">
      <c r="A1" s="6" t="str">
        <f>"Simulation "&amp;AC1&amp;IF(AD1&lt;&gt;""," : "&amp;AD1,"")</f>
        <v>Simulation sim13</v>
      </c>
      <c r="B1" s="6"/>
      <c r="C1" s="4"/>
      <c r="D1" s="4"/>
      <c r="E1" s="4"/>
      <c r="F1" s="4"/>
      <c r="G1" s="4"/>
      <c r="H1" s="4"/>
      <c r="I1" s="4"/>
      <c r="J1" s="4"/>
      <c r="K1" s="4"/>
      <c r="L1" s="4"/>
      <c r="M1" s="4"/>
      <c r="N1" s="4"/>
      <c r="O1" s="4"/>
      <c r="P1" s="4"/>
      <c r="Q1" s="4"/>
      <c r="R1" s="4"/>
      <c r="S1" s="4"/>
      <c r="T1" s="4"/>
      <c r="U1" s="4"/>
      <c r="V1" s="4"/>
      <c r="W1" s="4"/>
      <c r="X1" s="4"/>
      <c r="Y1" s="4"/>
      <c r="Z1" s="4"/>
      <c r="AA1" s="4"/>
      <c r="AB1" s="4"/>
      <c r="AC1" s="4" t="str">
        <f>Main!C19</f>
        <v>sim13</v>
      </c>
      <c r="AD1" s="4" t="str">
        <f>IF(Main!E19&lt;&gt;"",Main!E19,"")</f>
        <v/>
      </c>
      <c r="AE1" s="4"/>
      <c r="AF1" s="4"/>
      <c r="AG1" s="4"/>
      <c r="AH1" s="4"/>
      <c r="AI1" s="4"/>
      <c r="AJ1" s="4"/>
      <c r="AK1" s="4"/>
      <c r="AL1" s="4"/>
      <c r="AM1" s="4"/>
      <c r="AN1" s="4"/>
      <c r="AO1" s="4"/>
      <c r="AP1" s="4"/>
      <c r="AQ1" s="4"/>
      <c r="AR1" s="4"/>
      <c r="AS1" s="4"/>
      <c r="AT1" s="4"/>
      <c r="AU1" s="4"/>
      <c r="AV1" s="4"/>
      <c r="AW1" s="4"/>
      <c r="AX1" s="4"/>
      <c r="AY1" s="4"/>
      <c r="AZ1" s="4"/>
      <c r="BA1" s="4"/>
      <c r="BB1" s="4"/>
      <c r="BC1" s="4"/>
    </row>
    <row r="2" spans="1:55" x14ac:dyDescent="0.3"/>
    <row r="3" spans="1:55" ht="15.6" x14ac:dyDescent="0.3">
      <c r="B3" s="7"/>
      <c r="C3" s="17" t="s">
        <v>55</v>
      </c>
      <c r="D3" s="36"/>
      <c r="E3" s="36"/>
      <c r="F3" s="36"/>
      <c r="G3" s="36"/>
      <c r="H3" s="36"/>
      <c r="I3" s="36"/>
      <c r="J3" s="36"/>
      <c r="K3" s="36"/>
      <c r="L3" s="36"/>
      <c r="N3" s="7"/>
      <c r="O3" s="17" t="s">
        <v>56</v>
      </c>
      <c r="P3" s="36"/>
      <c r="Q3" s="36"/>
      <c r="R3" s="36"/>
      <c r="S3" s="36"/>
      <c r="T3" s="36"/>
      <c r="U3" s="36"/>
      <c r="V3" s="36"/>
      <c r="X3" s="7"/>
      <c r="Y3" s="17" t="s">
        <v>57</v>
      </c>
      <c r="Z3" s="36"/>
      <c r="AA3" s="36"/>
      <c r="AB3" s="36"/>
      <c r="AC3" s="36"/>
      <c r="AD3" s="36"/>
      <c r="AE3" s="36"/>
      <c r="AF3" s="36"/>
      <c r="AG3" s="36"/>
      <c r="AH3" s="36"/>
      <c r="AJ3" s="7"/>
      <c r="AK3" s="17" t="s">
        <v>283</v>
      </c>
      <c r="AL3" s="36"/>
      <c r="AM3" s="36"/>
      <c r="AN3" s="36"/>
      <c r="AO3" s="36"/>
      <c r="AP3" s="36"/>
      <c r="AQ3" s="36"/>
      <c r="AR3" s="36"/>
      <c r="AS3" s="36"/>
      <c r="AT3" s="36"/>
      <c r="AV3" s="7"/>
      <c r="AW3" s="17" t="s">
        <v>125</v>
      </c>
      <c r="AX3" s="36"/>
      <c r="AY3" s="36"/>
      <c r="AZ3" s="36"/>
      <c r="BA3" s="36"/>
      <c r="BB3" s="36"/>
    </row>
    <row r="4" spans="1:55" x14ac:dyDescent="0.3">
      <c r="B4" s="14"/>
      <c r="C4" s="9"/>
      <c r="D4" s="74" t="s">
        <v>58</v>
      </c>
      <c r="E4" s="74"/>
      <c r="F4" s="75" t="s">
        <v>59</v>
      </c>
      <c r="G4" s="74"/>
      <c r="H4" s="74"/>
      <c r="I4" s="75" t="s">
        <v>7</v>
      </c>
      <c r="J4" s="74"/>
      <c r="K4" s="74"/>
      <c r="L4" s="37" t="s">
        <v>103</v>
      </c>
      <c r="N4" s="14"/>
      <c r="O4" s="9"/>
      <c r="P4" s="38" t="s">
        <v>60</v>
      </c>
      <c r="Q4" s="75" t="s">
        <v>61</v>
      </c>
      <c r="R4" s="76"/>
      <c r="S4" s="75" t="s">
        <v>646</v>
      </c>
      <c r="T4" s="74"/>
      <c r="U4" s="75" t="s">
        <v>103</v>
      </c>
      <c r="V4" s="74"/>
      <c r="X4" s="14"/>
      <c r="Y4" s="9"/>
      <c r="Z4" s="38" t="s">
        <v>63</v>
      </c>
      <c r="AA4" s="38" t="s">
        <v>62</v>
      </c>
      <c r="AB4" s="38" t="s">
        <v>311</v>
      </c>
      <c r="AC4" s="38" t="s">
        <v>62</v>
      </c>
      <c r="AD4" s="75" t="s">
        <v>126</v>
      </c>
      <c r="AE4" s="76"/>
      <c r="AF4" s="74" t="s">
        <v>127</v>
      </c>
      <c r="AG4" s="74"/>
      <c r="AH4" s="37" t="s">
        <v>103</v>
      </c>
      <c r="AJ4" s="14"/>
      <c r="AK4" s="9"/>
      <c r="AL4" s="38" t="s">
        <v>132</v>
      </c>
      <c r="AM4" s="38" t="s">
        <v>99</v>
      </c>
      <c r="AN4" s="38" t="s">
        <v>289</v>
      </c>
      <c r="AO4" s="75" t="s">
        <v>126</v>
      </c>
      <c r="AP4" s="76"/>
      <c r="AQ4" s="74" t="s">
        <v>127</v>
      </c>
      <c r="AR4" s="74"/>
      <c r="AS4" s="75" t="s">
        <v>103</v>
      </c>
      <c r="AT4" s="74"/>
      <c r="AV4" s="8"/>
      <c r="AY4" s="39" t="s">
        <v>335</v>
      </c>
      <c r="AZ4" s="39" t="s">
        <v>336</v>
      </c>
      <c r="BA4" s="39" t="s">
        <v>300</v>
      </c>
      <c r="BB4" s="39" t="s">
        <v>304</v>
      </c>
    </row>
    <row r="5" spans="1:55" x14ac:dyDescent="0.3">
      <c r="B5" s="14"/>
      <c r="C5" s="9"/>
      <c r="D5" s="40" t="s">
        <v>64</v>
      </c>
      <c r="E5" s="40" t="s">
        <v>65</v>
      </c>
      <c r="F5" s="41" t="s">
        <v>64</v>
      </c>
      <c r="G5" s="40" t="s">
        <v>65</v>
      </c>
      <c r="H5" s="40" t="s">
        <v>66</v>
      </c>
      <c r="I5" s="41" t="s">
        <v>64</v>
      </c>
      <c r="J5" s="40" t="s">
        <v>65</v>
      </c>
      <c r="K5" s="40" t="s">
        <v>67</v>
      </c>
      <c r="L5" s="41" t="s">
        <v>100</v>
      </c>
      <c r="N5" s="14"/>
      <c r="O5" s="9"/>
      <c r="P5" s="40"/>
      <c r="Q5" s="41" t="s">
        <v>68</v>
      </c>
      <c r="R5" s="42" t="s">
        <v>124</v>
      </c>
      <c r="S5" s="40" t="s">
        <v>284</v>
      </c>
      <c r="T5" s="40" t="s">
        <v>286</v>
      </c>
      <c r="U5" s="69" t="s">
        <v>313</v>
      </c>
      <c r="V5" s="40" t="s">
        <v>100</v>
      </c>
      <c r="X5" s="14"/>
      <c r="Y5" s="9"/>
      <c r="Z5" s="38" t="s">
        <v>70</v>
      </c>
      <c r="AA5" s="38" t="s">
        <v>71</v>
      </c>
      <c r="AB5" s="38" t="s">
        <v>312</v>
      </c>
      <c r="AC5" s="38" t="s">
        <v>69</v>
      </c>
      <c r="AD5" s="41" t="s">
        <v>86</v>
      </c>
      <c r="AE5" s="42" t="s">
        <v>87</v>
      </c>
      <c r="AF5" s="40" t="s">
        <v>86</v>
      </c>
      <c r="AG5" s="40" t="s">
        <v>87</v>
      </c>
      <c r="AH5" s="41" t="s">
        <v>100</v>
      </c>
      <c r="AJ5" s="14"/>
      <c r="AK5" s="9"/>
      <c r="AL5" s="38" t="s">
        <v>134</v>
      </c>
      <c r="AM5" s="38" t="s">
        <v>70</v>
      </c>
      <c r="AN5" s="38" t="s">
        <v>123</v>
      </c>
      <c r="AO5" s="41" t="s">
        <v>86</v>
      </c>
      <c r="AP5" s="42" t="s">
        <v>87</v>
      </c>
      <c r="AQ5" s="40" t="s">
        <v>86</v>
      </c>
      <c r="AR5" s="40" t="s">
        <v>87</v>
      </c>
      <c r="AS5" s="41" t="s">
        <v>99</v>
      </c>
      <c r="AT5" s="40" t="s">
        <v>100</v>
      </c>
      <c r="AV5" s="8"/>
      <c r="BA5" s="43"/>
      <c r="BB5" s="44" t="s">
        <v>305</v>
      </c>
    </row>
    <row r="6" spans="1:55" x14ac:dyDescent="0.3">
      <c r="B6" s="8"/>
      <c r="F6" s="45"/>
      <c r="I6" s="45"/>
      <c r="L6" s="45"/>
      <c r="N6" s="8"/>
      <c r="Q6" s="45"/>
      <c r="R6" s="46"/>
      <c r="U6" s="70"/>
      <c r="X6" s="8"/>
      <c r="AD6" s="45"/>
      <c r="AE6" s="46"/>
      <c r="AH6" s="45"/>
      <c r="AJ6" s="8"/>
      <c r="AO6" s="45"/>
      <c r="AP6" s="46"/>
      <c r="AS6" s="45"/>
      <c r="AV6" s="8"/>
      <c r="AW6" s="47" t="s">
        <v>303</v>
      </c>
      <c r="AX6" s="48"/>
      <c r="AY6" s="49" t="s">
        <v>337</v>
      </c>
      <c r="AZ6" s="49" t="s">
        <v>338</v>
      </c>
      <c r="BA6" s="49" t="s">
        <v>206</v>
      </c>
      <c r="BB6" s="49" t="s">
        <v>207</v>
      </c>
    </row>
    <row r="7" spans="1:55" x14ac:dyDescent="0.3">
      <c r="B7" s="8"/>
      <c r="D7" s="50" t="s">
        <v>72</v>
      </c>
      <c r="E7" s="50" t="s">
        <v>73</v>
      </c>
      <c r="F7" s="51" t="s">
        <v>74</v>
      </c>
      <c r="G7" s="50" t="s">
        <v>75</v>
      </c>
      <c r="H7" s="50" t="s">
        <v>76</v>
      </c>
      <c r="I7" s="51" t="s">
        <v>77</v>
      </c>
      <c r="J7" s="50" t="s">
        <v>78</v>
      </c>
      <c r="K7" s="50" t="s">
        <v>79</v>
      </c>
      <c r="L7" s="45"/>
      <c r="N7" s="8"/>
      <c r="P7" s="50" t="s">
        <v>81</v>
      </c>
      <c r="Q7" s="51" t="s">
        <v>82</v>
      </c>
      <c r="R7" s="52" t="s">
        <v>621</v>
      </c>
      <c r="S7" s="50" t="s">
        <v>80</v>
      </c>
      <c r="T7" s="50" t="s">
        <v>285</v>
      </c>
      <c r="U7" s="70"/>
      <c r="X7" s="8"/>
      <c r="Z7" s="50" t="s">
        <v>84</v>
      </c>
      <c r="AA7" s="50" t="s">
        <v>85</v>
      </c>
      <c r="AB7" s="50" t="s">
        <v>310</v>
      </c>
      <c r="AC7" s="50" t="s">
        <v>83</v>
      </c>
      <c r="AD7" s="51" t="s">
        <v>130</v>
      </c>
      <c r="AE7" s="52" t="s">
        <v>131</v>
      </c>
      <c r="AF7" s="50" t="s">
        <v>128</v>
      </c>
      <c r="AG7" s="50" t="s">
        <v>129</v>
      </c>
      <c r="AH7" s="45"/>
      <c r="AJ7" s="8"/>
      <c r="AL7" s="50" t="s">
        <v>133</v>
      </c>
      <c r="AM7" s="50" t="s">
        <v>101</v>
      </c>
      <c r="AN7" s="50" t="s">
        <v>622</v>
      </c>
      <c r="AO7" s="51" t="s">
        <v>130</v>
      </c>
      <c r="AP7" s="52" t="s">
        <v>131</v>
      </c>
      <c r="AQ7" s="50" t="s">
        <v>128</v>
      </c>
      <c r="AR7" s="50" t="s">
        <v>129</v>
      </c>
      <c r="AS7" s="45"/>
      <c r="AV7" s="8"/>
      <c r="AW7" s="9" t="s">
        <v>88</v>
      </c>
      <c r="AX7" s="53" t="s">
        <v>89</v>
      </c>
      <c r="AY7" s="63">
        <f>Notes!$L$4</f>
        <v>2024</v>
      </c>
      <c r="AZ7" s="63">
        <f>Notes!$L$5</f>
        <v>2040</v>
      </c>
      <c r="BA7" s="26">
        <v>0</v>
      </c>
      <c r="BB7" s="34">
        <v>1</v>
      </c>
    </row>
    <row r="8" spans="1:55" x14ac:dyDescent="0.3">
      <c r="B8" s="8"/>
      <c r="C8" s="1" t="s">
        <v>339</v>
      </c>
      <c r="D8" s="63">
        <f>Notes!$L4</f>
        <v>2024</v>
      </c>
      <c r="E8" s="63">
        <f>Notes!$L4</f>
        <v>2024</v>
      </c>
      <c r="F8" s="64">
        <f>Notes!$L4</f>
        <v>2024</v>
      </c>
      <c r="G8" s="63">
        <f>Notes!$L4</f>
        <v>2024</v>
      </c>
      <c r="H8" s="63">
        <f>Notes!$L4</f>
        <v>2024</v>
      </c>
      <c r="I8" s="64">
        <f>Notes!$L4</f>
        <v>2024</v>
      </c>
      <c r="J8" s="63">
        <f>Notes!$L4</f>
        <v>2024</v>
      </c>
      <c r="K8" s="63">
        <f>Notes!$L4</f>
        <v>2024</v>
      </c>
      <c r="L8" s="45"/>
      <c r="N8" s="8"/>
      <c r="O8" s="1" t="s">
        <v>339</v>
      </c>
      <c r="P8" s="63">
        <f>Notes!$L4</f>
        <v>2024</v>
      </c>
      <c r="Q8" s="64">
        <f>Notes!$L4</f>
        <v>2024</v>
      </c>
      <c r="R8" s="63">
        <f>Notes!$L4</f>
        <v>2024</v>
      </c>
      <c r="S8" s="64">
        <f>Notes!$L4</f>
        <v>2024</v>
      </c>
      <c r="T8" s="63">
        <f>Notes!$L4</f>
        <v>2024</v>
      </c>
      <c r="U8" s="70"/>
      <c r="X8" s="8"/>
      <c r="Y8" s="1" t="s">
        <v>339</v>
      </c>
      <c r="Z8" s="63">
        <f>Notes!$L4</f>
        <v>2024</v>
      </c>
      <c r="AA8" s="63">
        <f>Notes!$L4</f>
        <v>2024</v>
      </c>
      <c r="AB8" s="63">
        <f>Notes!$L4</f>
        <v>2024</v>
      </c>
      <c r="AC8" s="63">
        <f>Notes!$L4</f>
        <v>2024</v>
      </c>
      <c r="AD8" s="64">
        <f>Notes!$L4</f>
        <v>2024</v>
      </c>
      <c r="AE8" s="63">
        <f>Notes!$L4</f>
        <v>2024</v>
      </c>
      <c r="AF8" s="64">
        <f>Notes!$L4</f>
        <v>2024</v>
      </c>
      <c r="AG8" s="63">
        <f>Notes!$L4</f>
        <v>2024</v>
      </c>
      <c r="AH8" s="45"/>
      <c r="AJ8" s="8"/>
      <c r="AK8" s="1" t="s">
        <v>339</v>
      </c>
      <c r="AL8" s="63">
        <f>Notes!$L4</f>
        <v>2024</v>
      </c>
      <c r="AM8" s="63">
        <f>Notes!$L4</f>
        <v>2024</v>
      </c>
      <c r="AN8" s="63">
        <f>Notes!$L4</f>
        <v>2024</v>
      </c>
      <c r="AO8" s="64">
        <f>Notes!$L4</f>
        <v>2024</v>
      </c>
      <c r="AP8" s="63">
        <f>Notes!$L4</f>
        <v>2024</v>
      </c>
      <c r="AQ8" s="64">
        <f>Notes!$L$4</f>
        <v>2024</v>
      </c>
      <c r="AR8" s="63">
        <f>Notes!$L4</f>
        <v>2024</v>
      </c>
      <c r="AS8" s="45"/>
      <c r="AV8" s="8"/>
      <c r="AW8" s="9" t="s">
        <v>92</v>
      </c>
      <c r="AX8" s="53" t="s">
        <v>93</v>
      </c>
      <c r="AY8" s="63">
        <f>Notes!$L$4</f>
        <v>2024</v>
      </c>
      <c r="AZ8" s="63">
        <f>Notes!$L$5</f>
        <v>2040</v>
      </c>
      <c r="BA8" s="26">
        <v>0</v>
      </c>
      <c r="BB8" s="34">
        <v>1</v>
      </c>
    </row>
    <row r="9" spans="1:55" x14ac:dyDescent="0.3">
      <c r="B9" s="8"/>
      <c r="C9" s="1" t="s">
        <v>340</v>
      </c>
      <c r="D9" s="63">
        <f>Notes!$L5</f>
        <v>2040</v>
      </c>
      <c r="E9" s="63">
        <f>Notes!$L5</f>
        <v>2040</v>
      </c>
      <c r="F9" s="64">
        <f>Notes!$L5</f>
        <v>2040</v>
      </c>
      <c r="G9" s="63">
        <f>Notes!$L5</f>
        <v>2040</v>
      </c>
      <c r="H9" s="63">
        <f>Notes!$L5</f>
        <v>2040</v>
      </c>
      <c r="I9" s="64">
        <f>Notes!$L5</f>
        <v>2040</v>
      </c>
      <c r="J9" s="63">
        <f>Notes!$L5</f>
        <v>2040</v>
      </c>
      <c r="K9" s="63">
        <f>Notes!$L5</f>
        <v>2040</v>
      </c>
      <c r="L9" s="45"/>
      <c r="N9" s="8"/>
      <c r="O9" s="1" t="s">
        <v>340</v>
      </c>
      <c r="P9" s="63">
        <f>Notes!$L5</f>
        <v>2040</v>
      </c>
      <c r="Q9" s="64">
        <f>Notes!$L5</f>
        <v>2040</v>
      </c>
      <c r="R9" s="63">
        <f>Notes!$L5</f>
        <v>2040</v>
      </c>
      <c r="S9" s="64">
        <f>Notes!$L5</f>
        <v>2040</v>
      </c>
      <c r="T9" s="63">
        <f>Notes!$L5</f>
        <v>2040</v>
      </c>
      <c r="U9" s="70"/>
      <c r="X9" s="8"/>
      <c r="Y9" s="1" t="s">
        <v>340</v>
      </c>
      <c r="Z9" s="63">
        <f>Notes!$L5</f>
        <v>2040</v>
      </c>
      <c r="AA9" s="63">
        <f>Notes!$L5</f>
        <v>2040</v>
      </c>
      <c r="AB9" s="63">
        <f>Notes!$L5</f>
        <v>2040</v>
      </c>
      <c r="AC9" s="63">
        <f>Notes!$L5</f>
        <v>2040</v>
      </c>
      <c r="AD9" s="64">
        <f>Notes!$L5</f>
        <v>2040</v>
      </c>
      <c r="AE9" s="63">
        <f>Notes!$L5</f>
        <v>2040</v>
      </c>
      <c r="AF9" s="64">
        <f>Notes!$L5</f>
        <v>2040</v>
      </c>
      <c r="AG9" s="63">
        <f>Notes!$L5</f>
        <v>2040</v>
      </c>
      <c r="AH9" s="45"/>
      <c r="AJ9" s="8"/>
      <c r="AK9" s="1" t="s">
        <v>340</v>
      </c>
      <c r="AL9" s="63">
        <f>Notes!$L5</f>
        <v>2040</v>
      </c>
      <c r="AM9" s="63">
        <f>Notes!$L5</f>
        <v>2040</v>
      </c>
      <c r="AN9" s="63">
        <f>Notes!$L5</f>
        <v>2040</v>
      </c>
      <c r="AO9" s="64">
        <f>Notes!$L5</f>
        <v>2040</v>
      </c>
      <c r="AP9" s="63">
        <f>Notes!$L5</f>
        <v>2040</v>
      </c>
      <c r="AQ9" s="64">
        <f>Notes!$L5</f>
        <v>2040</v>
      </c>
      <c r="AR9" s="63">
        <f>Notes!$L5</f>
        <v>2040</v>
      </c>
      <c r="AS9" s="45"/>
      <c r="AV9" s="8"/>
      <c r="AW9" s="9" t="s">
        <v>90</v>
      </c>
      <c r="AX9" s="53" t="s">
        <v>91</v>
      </c>
      <c r="AY9" s="63">
        <f>Notes!$L$4</f>
        <v>2024</v>
      </c>
      <c r="AZ9" s="63">
        <f>Notes!$L$5</f>
        <v>2040</v>
      </c>
      <c r="BA9" s="26">
        <v>0</v>
      </c>
      <c r="BB9" s="34">
        <v>1</v>
      </c>
    </row>
    <row r="10" spans="1:55" x14ac:dyDescent="0.3">
      <c r="B10" s="8"/>
      <c r="F10" s="45"/>
      <c r="I10" s="45"/>
      <c r="L10" s="45"/>
      <c r="N10" s="8"/>
      <c r="Q10" s="45"/>
      <c r="R10" s="46"/>
      <c r="U10" s="70"/>
      <c r="X10" s="8"/>
      <c r="AD10" s="45"/>
      <c r="AE10" s="46"/>
      <c r="AH10" s="45"/>
      <c r="AJ10" s="8"/>
      <c r="AO10" s="45"/>
      <c r="AP10" s="46"/>
      <c r="AS10" s="45"/>
      <c r="AV10" s="8"/>
      <c r="AW10" s="9" t="s">
        <v>298</v>
      </c>
      <c r="AX10" s="53" t="s">
        <v>299</v>
      </c>
      <c r="AY10" s="63">
        <f>Notes!$L$4</f>
        <v>2024</v>
      </c>
      <c r="AZ10" s="63">
        <f>Notes!$L$5</f>
        <v>2040</v>
      </c>
      <c r="BA10" s="26">
        <v>0</v>
      </c>
      <c r="BB10" s="34">
        <v>1</v>
      </c>
    </row>
    <row r="11" spans="1:55" x14ac:dyDescent="0.3">
      <c r="B11" s="8"/>
      <c r="C11" s="54" t="s">
        <v>302</v>
      </c>
      <c r="D11" s="55"/>
      <c r="E11" s="55"/>
      <c r="F11" s="56"/>
      <c r="G11" s="55"/>
      <c r="H11" s="55"/>
      <c r="I11" s="56"/>
      <c r="J11" s="55"/>
      <c r="K11" s="55"/>
      <c r="L11" s="56"/>
      <c r="N11" s="8"/>
      <c r="O11" s="54" t="s">
        <v>302</v>
      </c>
      <c r="P11" s="53"/>
      <c r="Q11" s="57"/>
      <c r="R11" s="58"/>
      <c r="S11" s="53"/>
      <c r="T11" s="53"/>
      <c r="U11" s="71"/>
      <c r="V11" s="53"/>
      <c r="X11" s="8"/>
      <c r="Y11" s="54" t="s">
        <v>302</v>
      </c>
      <c r="Z11" s="53"/>
      <c r="AA11" s="53"/>
      <c r="AB11" s="53"/>
      <c r="AC11" s="53"/>
      <c r="AD11" s="57"/>
      <c r="AE11" s="58"/>
      <c r="AF11" s="53"/>
      <c r="AG11" s="53"/>
      <c r="AH11" s="56"/>
      <c r="AJ11" s="8"/>
      <c r="AK11" s="54" t="s">
        <v>302</v>
      </c>
      <c r="AL11" s="54"/>
      <c r="AM11" s="59"/>
      <c r="AN11" s="53"/>
      <c r="AO11" s="57"/>
      <c r="AP11" s="58"/>
      <c r="AQ11" s="53"/>
      <c r="AR11" s="53"/>
      <c r="AS11" s="57"/>
      <c r="AT11" s="53"/>
      <c r="AV11" s="8"/>
      <c r="AW11" s="9" t="s">
        <v>98</v>
      </c>
      <c r="AX11" s="53" t="s">
        <v>101</v>
      </c>
      <c r="AY11" s="63">
        <f>Notes!$L$4</f>
        <v>2024</v>
      </c>
      <c r="AZ11" s="63">
        <f>Notes!$L$5</f>
        <v>2040</v>
      </c>
      <c r="BA11" s="26">
        <v>0</v>
      </c>
      <c r="BB11" s="34">
        <v>1</v>
      </c>
    </row>
    <row r="12" spans="1:55" x14ac:dyDescent="0.3">
      <c r="B12" s="8"/>
      <c r="C12" s="54"/>
      <c r="D12" s="50" t="s">
        <v>72</v>
      </c>
      <c r="E12" s="50" t="s">
        <v>73</v>
      </c>
      <c r="F12" s="51" t="s">
        <v>74</v>
      </c>
      <c r="G12" s="50" t="s">
        <v>75</v>
      </c>
      <c r="H12" s="50" t="s">
        <v>76</v>
      </c>
      <c r="I12" s="51" t="s">
        <v>77</v>
      </c>
      <c r="J12" s="50" t="s">
        <v>78</v>
      </c>
      <c r="K12" s="50" t="s">
        <v>79</v>
      </c>
      <c r="L12" s="56"/>
      <c r="N12" s="8"/>
      <c r="O12" s="54"/>
      <c r="P12" s="50" t="s">
        <v>81</v>
      </c>
      <c r="Q12" s="51" t="s">
        <v>82</v>
      </c>
      <c r="R12" s="52" t="s">
        <v>621</v>
      </c>
      <c r="S12" s="53"/>
      <c r="T12" s="53"/>
      <c r="U12" s="71"/>
      <c r="V12" s="53"/>
      <c r="X12" s="8"/>
      <c r="Y12" s="54"/>
      <c r="Z12" s="50" t="s">
        <v>84</v>
      </c>
      <c r="AA12" s="50" t="s">
        <v>85</v>
      </c>
      <c r="AB12" s="50" t="s">
        <v>310</v>
      </c>
      <c r="AC12" s="50" t="s">
        <v>83</v>
      </c>
      <c r="AD12" s="51" t="s">
        <v>130</v>
      </c>
      <c r="AE12" s="52" t="s">
        <v>131</v>
      </c>
      <c r="AF12" s="50" t="s">
        <v>128</v>
      </c>
      <c r="AG12" s="50" t="s">
        <v>129</v>
      </c>
      <c r="AH12" s="56"/>
      <c r="AJ12" s="8"/>
      <c r="AK12" s="54"/>
      <c r="AL12" s="50" t="s">
        <v>133</v>
      </c>
      <c r="AM12" s="50" t="s">
        <v>101</v>
      </c>
      <c r="AN12" s="50" t="s">
        <v>622</v>
      </c>
      <c r="AO12" s="51" t="s">
        <v>130</v>
      </c>
      <c r="AP12" s="52" t="s">
        <v>131</v>
      </c>
      <c r="AQ12" s="50" t="s">
        <v>128</v>
      </c>
      <c r="AR12" s="50" t="s">
        <v>129</v>
      </c>
      <c r="AS12" s="57"/>
      <c r="AT12" s="53"/>
      <c r="AV12" s="8"/>
      <c r="AW12" s="9" t="s">
        <v>94</v>
      </c>
      <c r="AX12" s="53" t="s">
        <v>95</v>
      </c>
      <c r="AY12" s="63">
        <f>Notes!$L$4</f>
        <v>2024</v>
      </c>
      <c r="AZ12" s="63">
        <f>Notes!$L$5</f>
        <v>2040</v>
      </c>
      <c r="BA12" s="26">
        <v>0</v>
      </c>
      <c r="BB12" s="34">
        <v>1</v>
      </c>
    </row>
    <row r="13" spans="1:55" x14ac:dyDescent="0.3">
      <c r="B13" s="8"/>
      <c r="C13" s="55"/>
      <c r="D13" s="34">
        <v>1</v>
      </c>
      <c r="E13" s="34">
        <v>1</v>
      </c>
      <c r="F13" s="32">
        <v>1</v>
      </c>
      <c r="G13" s="34">
        <v>1</v>
      </c>
      <c r="H13" s="34">
        <v>1</v>
      </c>
      <c r="I13" s="32">
        <v>1</v>
      </c>
      <c r="J13" s="34">
        <v>1</v>
      </c>
      <c r="K13" s="34">
        <v>1</v>
      </c>
      <c r="L13" s="56"/>
      <c r="N13" s="8"/>
      <c r="O13" s="55"/>
      <c r="P13" s="34">
        <v>1</v>
      </c>
      <c r="Q13" s="32">
        <v>1</v>
      </c>
      <c r="R13" s="35">
        <v>1</v>
      </c>
      <c r="S13" s="55"/>
      <c r="T13" s="55"/>
      <c r="U13" s="72"/>
      <c r="V13" s="55"/>
      <c r="X13" s="8"/>
      <c r="Y13" s="55"/>
      <c r="Z13" s="34">
        <v>1</v>
      </c>
      <c r="AA13" s="34">
        <v>1</v>
      </c>
      <c r="AB13" s="34">
        <v>1</v>
      </c>
      <c r="AC13" s="34">
        <v>1</v>
      </c>
      <c r="AD13" s="32">
        <v>1</v>
      </c>
      <c r="AE13" s="35">
        <v>1</v>
      </c>
      <c r="AF13" s="34">
        <v>1</v>
      </c>
      <c r="AG13" s="34">
        <v>1</v>
      </c>
      <c r="AH13" s="56"/>
      <c r="AJ13" s="8"/>
      <c r="AK13" s="55"/>
      <c r="AL13" s="34">
        <v>1</v>
      </c>
      <c r="AM13" s="34">
        <v>1</v>
      </c>
      <c r="AN13" s="34">
        <v>1</v>
      </c>
      <c r="AO13" s="32">
        <v>1</v>
      </c>
      <c r="AP13" s="35">
        <v>1</v>
      </c>
      <c r="AQ13" s="34">
        <v>1</v>
      </c>
      <c r="AR13" s="34">
        <v>1</v>
      </c>
      <c r="AS13" s="56"/>
      <c r="AT13" s="55"/>
      <c r="AV13" s="8"/>
      <c r="AW13" s="9" t="s">
        <v>96</v>
      </c>
      <c r="AX13" s="53" t="s">
        <v>97</v>
      </c>
      <c r="AY13" s="63">
        <f>Notes!$L$4</f>
        <v>2024</v>
      </c>
      <c r="AZ13" s="63">
        <f>Notes!$L$5</f>
        <v>2040</v>
      </c>
      <c r="BA13" s="26">
        <v>0</v>
      </c>
      <c r="BB13" s="34">
        <v>1</v>
      </c>
    </row>
    <row r="14" spans="1:55" x14ac:dyDescent="0.3">
      <c r="B14" s="8"/>
      <c r="C14" s="55"/>
      <c r="F14" s="45"/>
      <c r="I14" s="45"/>
      <c r="L14" s="45"/>
      <c r="N14" s="8"/>
      <c r="O14" s="55"/>
      <c r="Q14" s="45"/>
      <c r="R14" s="46"/>
      <c r="U14" s="70"/>
      <c r="X14" s="8"/>
      <c r="Y14" s="55"/>
      <c r="AD14" s="45"/>
      <c r="AE14" s="46"/>
      <c r="AH14" s="45"/>
      <c r="AJ14" s="8"/>
      <c r="AK14" s="55"/>
      <c r="AL14" s="55"/>
      <c r="AO14" s="45"/>
      <c r="AP14" s="46"/>
      <c r="AS14" s="45"/>
      <c r="AV14" s="8"/>
      <c r="AW14" s="9" t="s">
        <v>297</v>
      </c>
      <c r="AX14" s="53" t="s">
        <v>296</v>
      </c>
      <c r="AY14" s="63">
        <f>Notes!$L$4</f>
        <v>2024</v>
      </c>
      <c r="AZ14" s="63">
        <f>Notes!$L$5</f>
        <v>2040</v>
      </c>
      <c r="BA14" s="26">
        <v>0</v>
      </c>
      <c r="BB14" s="34">
        <v>1</v>
      </c>
    </row>
    <row r="15" spans="1:55" x14ac:dyDescent="0.3">
      <c r="B15" s="8"/>
      <c r="C15" s="54" t="s">
        <v>301</v>
      </c>
      <c r="F15" s="45"/>
      <c r="I15" s="45"/>
      <c r="L15" s="45"/>
      <c r="N15" s="8"/>
      <c r="O15" s="54" t="s">
        <v>301</v>
      </c>
      <c r="P15" s="60"/>
      <c r="Q15" s="45"/>
      <c r="R15" s="46"/>
      <c r="U15" s="70"/>
      <c r="X15" s="8"/>
      <c r="Y15" s="54" t="s">
        <v>301</v>
      </c>
      <c r="Z15" s="60"/>
      <c r="AD15" s="45"/>
      <c r="AE15" s="46"/>
      <c r="AH15" s="45"/>
      <c r="AJ15" s="8"/>
      <c r="AK15" s="54" t="s">
        <v>301</v>
      </c>
      <c r="AL15" s="54"/>
      <c r="AO15" s="45"/>
      <c r="AP15" s="46"/>
      <c r="AS15" s="45"/>
      <c r="AV15" s="8"/>
      <c r="AW15" s="9" t="s">
        <v>762</v>
      </c>
      <c r="AX15" s="53" t="s">
        <v>131</v>
      </c>
      <c r="AY15" s="63">
        <f>Notes!$L$4</f>
        <v>2024</v>
      </c>
      <c r="AZ15" s="63">
        <f>Notes!$L$5</f>
        <v>2040</v>
      </c>
      <c r="BA15" s="26">
        <v>0</v>
      </c>
      <c r="BB15" s="34">
        <v>1</v>
      </c>
    </row>
    <row r="16" spans="1:55" x14ac:dyDescent="0.3">
      <c r="B16" s="8"/>
      <c r="D16" s="50" t="s">
        <v>72</v>
      </c>
      <c r="E16" s="50" t="s">
        <v>73</v>
      </c>
      <c r="F16" s="51" t="s">
        <v>74</v>
      </c>
      <c r="G16" s="50" t="s">
        <v>75</v>
      </c>
      <c r="H16" s="50" t="s">
        <v>76</v>
      </c>
      <c r="I16" s="51" t="s">
        <v>77</v>
      </c>
      <c r="J16" s="50" t="s">
        <v>78</v>
      </c>
      <c r="K16" s="50" t="s">
        <v>79</v>
      </c>
      <c r="L16" s="51" t="s">
        <v>123</v>
      </c>
      <c r="N16" s="8"/>
      <c r="P16" s="50" t="s">
        <v>81</v>
      </c>
      <c r="Q16" s="51" t="s">
        <v>82</v>
      </c>
      <c r="R16" s="52" t="s">
        <v>621</v>
      </c>
      <c r="S16" s="50" t="s">
        <v>80</v>
      </c>
      <c r="T16" s="50" t="s">
        <v>285</v>
      </c>
      <c r="U16" s="73" t="s">
        <v>310</v>
      </c>
      <c r="V16" s="50" t="s">
        <v>123</v>
      </c>
      <c r="X16" s="8"/>
      <c r="Z16" s="50" t="s">
        <v>84</v>
      </c>
      <c r="AA16" s="50" t="s">
        <v>85</v>
      </c>
      <c r="AB16" s="50" t="s">
        <v>310</v>
      </c>
      <c r="AC16" s="50" t="s">
        <v>83</v>
      </c>
      <c r="AD16" s="51" t="s">
        <v>130</v>
      </c>
      <c r="AE16" s="52" t="s">
        <v>131</v>
      </c>
      <c r="AF16" s="50" t="s">
        <v>128</v>
      </c>
      <c r="AG16" s="61" t="s">
        <v>129</v>
      </c>
      <c r="AH16" s="51" t="s">
        <v>123</v>
      </c>
      <c r="AJ16" s="8"/>
      <c r="AL16" s="50" t="s">
        <v>133</v>
      </c>
      <c r="AM16" s="50" t="s">
        <v>101</v>
      </c>
      <c r="AN16" s="50" t="s">
        <v>622</v>
      </c>
      <c r="AO16" s="51" t="s">
        <v>130</v>
      </c>
      <c r="AP16" s="62" t="s">
        <v>131</v>
      </c>
      <c r="AQ16" s="50" t="s">
        <v>128</v>
      </c>
      <c r="AR16" s="61" t="s">
        <v>129</v>
      </c>
      <c r="AS16" s="51" t="s">
        <v>288</v>
      </c>
      <c r="AT16" s="50" t="s">
        <v>123</v>
      </c>
      <c r="AV16" s="8"/>
      <c r="AW16" s="9" t="s">
        <v>763</v>
      </c>
      <c r="AX16" s="53" t="s">
        <v>129</v>
      </c>
      <c r="AY16" s="63">
        <f>Notes!$L$4</f>
        <v>2024</v>
      </c>
      <c r="AZ16" s="63">
        <f>Notes!$L$5</f>
        <v>2040</v>
      </c>
      <c r="BA16" s="26">
        <v>0</v>
      </c>
      <c r="BB16" s="34">
        <v>1</v>
      </c>
    </row>
    <row r="17" spans="2:54" x14ac:dyDescent="0.3">
      <c r="B17" s="8"/>
      <c r="C17" s="2" t="s">
        <v>713</v>
      </c>
      <c r="D17" s="26">
        <v>0</v>
      </c>
      <c r="E17" s="26">
        <v>0</v>
      </c>
      <c r="F17" s="27">
        <v>0</v>
      </c>
      <c r="G17" s="26">
        <v>0</v>
      </c>
      <c r="H17" s="26">
        <v>0</v>
      </c>
      <c r="I17" s="27">
        <v>0</v>
      </c>
      <c r="J17" s="26">
        <v>0</v>
      </c>
      <c r="K17" s="26">
        <v>0</v>
      </c>
      <c r="L17" s="67">
        <v>1</v>
      </c>
      <c r="N17" s="8"/>
      <c r="O17" s="2" t="s">
        <v>649</v>
      </c>
      <c r="P17" s="26">
        <v>0</v>
      </c>
      <c r="Q17" s="27">
        <v>0</v>
      </c>
      <c r="R17" s="30">
        <v>0</v>
      </c>
      <c r="S17" s="27">
        <v>0</v>
      </c>
      <c r="T17" s="30">
        <v>0</v>
      </c>
      <c r="U17" s="34">
        <v>1</v>
      </c>
      <c r="V17" s="34">
        <v>1</v>
      </c>
      <c r="X17" s="8"/>
      <c r="Y17" s="2" t="s">
        <v>852</v>
      </c>
      <c r="Z17" s="26">
        <v>0</v>
      </c>
      <c r="AA17" s="26">
        <v>0</v>
      </c>
      <c r="AB17" s="26">
        <v>0</v>
      </c>
      <c r="AC17" s="26">
        <v>0</v>
      </c>
      <c r="AD17" s="27">
        <v>0</v>
      </c>
      <c r="AE17" s="30">
        <v>0</v>
      </c>
      <c r="AF17" s="26">
        <v>0</v>
      </c>
      <c r="AG17" s="26">
        <v>0</v>
      </c>
      <c r="AH17" s="32">
        <v>1</v>
      </c>
      <c r="AJ17" s="8"/>
      <c r="AK17" s="2" t="s">
        <v>8</v>
      </c>
      <c r="AL17" s="26">
        <v>0</v>
      </c>
      <c r="AM17" s="26">
        <v>0</v>
      </c>
      <c r="AN17" s="26">
        <v>0</v>
      </c>
      <c r="AO17" s="27">
        <v>0</v>
      </c>
      <c r="AP17" s="30">
        <v>0</v>
      </c>
      <c r="AQ17" s="26">
        <v>0</v>
      </c>
      <c r="AR17" s="26">
        <v>0</v>
      </c>
      <c r="AS17" s="32">
        <v>1</v>
      </c>
      <c r="AT17" s="34">
        <v>1</v>
      </c>
      <c r="AV17" s="8"/>
      <c r="AW17" s="9" t="s">
        <v>290</v>
      </c>
      <c r="AX17" s="53" t="s">
        <v>74</v>
      </c>
      <c r="AY17" s="63">
        <f>Notes!$L$4</f>
        <v>2024</v>
      </c>
      <c r="AZ17" s="63">
        <f>Notes!$L$5</f>
        <v>2040</v>
      </c>
      <c r="BA17" s="26">
        <v>0</v>
      </c>
      <c r="BB17" s="34">
        <v>1</v>
      </c>
    </row>
    <row r="18" spans="2:54" x14ac:dyDescent="0.3">
      <c r="B18" s="8"/>
      <c r="C18" s="2" t="s">
        <v>766</v>
      </c>
      <c r="D18" s="26">
        <v>0</v>
      </c>
      <c r="E18" s="26">
        <v>0</v>
      </c>
      <c r="F18" s="27">
        <v>0</v>
      </c>
      <c r="G18" s="26">
        <v>0</v>
      </c>
      <c r="H18" s="26">
        <v>0</v>
      </c>
      <c r="I18" s="27">
        <v>0</v>
      </c>
      <c r="J18" s="26">
        <v>0</v>
      </c>
      <c r="K18" s="26">
        <v>0</v>
      </c>
      <c r="L18" s="67">
        <v>1</v>
      </c>
      <c r="N18" s="8"/>
      <c r="O18" s="2" t="s">
        <v>809</v>
      </c>
      <c r="P18" s="26">
        <v>0</v>
      </c>
      <c r="Q18" s="27">
        <v>0</v>
      </c>
      <c r="R18" s="30">
        <v>0</v>
      </c>
      <c r="S18" s="27">
        <v>0</v>
      </c>
      <c r="T18" s="30">
        <v>0</v>
      </c>
      <c r="U18" s="34">
        <v>1</v>
      </c>
      <c r="V18" s="34">
        <v>1</v>
      </c>
      <c r="X18" s="8"/>
      <c r="Y18" s="2" t="s">
        <v>853</v>
      </c>
      <c r="Z18" s="26">
        <v>0</v>
      </c>
      <c r="AA18" s="26">
        <v>0</v>
      </c>
      <c r="AB18" s="26">
        <v>0</v>
      </c>
      <c r="AC18" s="26">
        <v>0</v>
      </c>
      <c r="AD18" s="27">
        <v>0</v>
      </c>
      <c r="AE18" s="30">
        <v>0</v>
      </c>
      <c r="AF18" s="26">
        <v>0</v>
      </c>
      <c r="AG18" s="26">
        <v>0</v>
      </c>
      <c r="AH18" s="32">
        <v>1</v>
      </c>
      <c r="AJ18" s="8"/>
      <c r="AK18" s="2" t="s">
        <v>985</v>
      </c>
      <c r="AL18" s="26">
        <v>0</v>
      </c>
      <c r="AM18" s="26">
        <v>0</v>
      </c>
      <c r="AN18" s="26">
        <v>0</v>
      </c>
      <c r="AO18" s="27">
        <v>0</v>
      </c>
      <c r="AP18" s="30">
        <v>0</v>
      </c>
      <c r="AQ18" s="26">
        <v>0</v>
      </c>
      <c r="AR18" s="26">
        <v>0</v>
      </c>
      <c r="AS18" s="32">
        <v>1</v>
      </c>
      <c r="AT18" s="34">
        <v>1</v>
      </c>
      <c r="AV18" s="8"/>
      <c r="AW18" s="9" t="s">
        <v>291</v>
      </c>
      <c r="AX18" s="53" t="s">
        <v>75</v>
      </c>
      <c r="AY18" s="63">
        <f>Notes!$L$4</f>
        <v>2024</v>
      </c>
      <c r="AZ18" s="63">
        <f>Notes!$L$5</f>
        <v>2040</v>
      </c>
      <c r="BA18" s="26">
        <v>0</v>
      </c>
      <c r="BB18" s="34">
        <v>1</v>
      </c>
    </row>
    <row r="19" spans="2:54" x14ac:dyDescent="0.3">
      <c r="B19" s="8"/>
      <c r="C19" s="2" t="s">
        <v>976</v>
      </c>
      <c r="D19" s="26">
        <v>0</v>
      </c>
      <c r="E19" s="26">
        <v>0</v>
      </c>
      <c r="F19" s="27">
        <v>0</v>
      </c>
      <c r="G19" s="26">
        <v>0</v>
      </c>
      <c r="H19" s="26">
        <v>0</v>
      </c>
      <c r="I19" s="27">
        <v>0</v>
      </c>
      <c r="J19" s="26">
        <v>0</v>
      </c>
      <c r="K19" s="26">
        <v>0</v>
      </c>
      <c r="L19" s="67">
        <v>1</v>
      </c>
      <c r="N19" s="8"/>
      <c r="O19" s="2" t="s">
        <v>946</v>
      </c>
      <c r="P19" s="26">
        <v>0</v>
      </c>
      <c r="Q19" s="27">
        <v>0</v>
      </c>
      <c r="R19" s="30">
        <v>0</v>
      </c>
      <c r="S19" s="27">
        <v>0</v>
      </c>
      <c r="T19" s="30">
        <v>0</v>
      </c>
      <c r="U19" s="34">
        <v>1</v>
      </c>
      <c r="V19" s="34">
        <v>1</v>
      </c>
      <c r="X19" s="8"/>
      <c r="Y19" s="2" t="s">
        <v>854</v>
      </c>
      <c r="Z19" s="26">
        <v>0</v>
      </c>
      <c r="AA19" s="26">
        <v>0</v>
      </c>
      <c r="AB19" s="26">
        <v>0</v>
      </c>
      <c r="AC19" s="26">
        <v>0</v>
      </c>
      <c r="AD19" s="27">
        <v>0</v>
      </c>
      <c r="AE19" s="30">
        <v>0</v>
      </c>
      <c r="AF19" s="26">
        <v>0</v>
      </c>
      <c r="AG19" s="26">
        <v>0</v>
      </c>
      <c r="AH19" s="32">
        <v>1</v>
      </c>
      <c r="AJ19" s="8"/>
      <c r="AK19" s="2" t="s">
        <v>986</v>
      </c>
      <c r="AL19" s="26">
        <v>0</v>
      </c>
      <c r="AM19" s="26">
        <v>0</v>
      </c>
      <c r="AN19" s="26">
        <v>0</v>
      </c>
      <c r="AO19" s="27">
        <v>0</v>
      </c>
      <c r="AP19" s="30">
        <v>0</v>
      </c>
      <c r="AQ19" s="26">
        <v>0</v>
      </c>
      <c r="AR19" s="26">
        <v>0</v>
      </c>
      <c r="AS19" s="32">
        <v>1</v>
      </c>
      <c r="AT19" s="34">
        <v>1</v>
      </c>
      <c r="AV19" s="8"/>
      <c r="AW19" s="9" t="s">
        <v>292</v>
      </c>
      <c r="AX19" s="53" t="s">
        <v>76</v>
      </c>
      <c r="AY19" s="63">
        <f>Notes!$L$4</f>
        <v>2024</v>
      </c>
      <c r="AZ19" s="63">
        <f>Notes!$L$5</f>
        <v>2040</v>
      </c>
      <c r="BA19" s="26">
        <v>0</v>
      </c>
      <c r="BB19" s="34">
        <v>1</v>
      </c>
    </row>
    <row r="20" spans="2:54" x14ac:dyDescent="0.3">
      <c r="B20" s="8"/>
      <c r="C20" s="2" t="s">
        <v>977</v>
      </c>
      <c r="D20" s="26">
        <v>0</v>
      </c>
      <c r="E20" s="26">
        <v>0</v>
      </c>
      <c r="F20" s="27">
        <v>0</v>
      </c>
      <c r="G20" s="26">
        <v>0</v>
      </c>
      <c r="H20" s="26">
        <v>0</v>
      </c>
      <c r="I20" s="27">
        <v>0</v>
      </c>
      <c r="J20" s="26">
        <v>0</v>
      </c>
      <c r="K20" s="26">
        <v>0</v>
      </c>
      <c r="L20" s="67">
        <v>1</v>
      </c>
      <c r="N20" s="8"/>
      <c r="O20" s="2" t="s">
        <v>947</v>
      </c>
      <c r="P20" s="26">
        <v>0</v>
      </c>
      <c r="Q20" s="27">
        <v>0</v>
      </c>
      <c r="R20" s="30">
        <v>0</v>
      </c>
      <c r="S20" s="27">
        <v>0</v>
      </c>
      <c r="T20" s="30">
        <v>0</v>
      </c>
      <c r="U20" s="34">
        <v>1</v>
      </c>
      <c r="V20" s="34">
        <v>1</v>
      </c>
      <c r="X20" s="8"/>
      <c r="Y20" s="2" t="s">
        <v>855</v>
      </c>
      <c r="Z20" s="26">
        <v>0</v>
      </c>
      <c r="AA20" s="26">
        <v>0</v>
      </c>
      <c r="AB20" s="26">
        <v>0</v>
      </c>
      <c r="AC20" s="26">
        <v>0</v>
      </c>
      <c r="AD20" s="27">
        <v>0</v>
      </c>
      <c r="AE20" s="30">
        <v>0</v>
      </c>
      <c r="AF20" s="26">
        <v>0</v>
      </c>
      <c r="AG20" s="26">
        <v>0</v>
      </c>
      <c r="AH20" s="32">
        <v>1</v>
      </c>
      <c r="AJ20" s="8"/>
      <c r="AK20" s="2" t="s">
        <v>987</v>
      </c>
      <c r="AL20" s="26">
        <v>0</v>
      </c>
      <c r="AM20" s="26">
        <v>0</v>
      </c>
      <c r="AN20" s="26">
        <v>0</v>
      </c>
      <c r="AO20" s="27">
        <v>0</v>
      </c>
      <c r="AP20" s="30">
        <v>0</v>
      </c>
      <c r="AQ20" s="26">
        <v>0</v>
      </c>
      <c r="AR20" s="26">
        <v>0</v>
      </c>
      <c r="AS20" s="32">
        <v>1</v>
      </c>
      <c r="AT20" s="34">
        <v>1</v>
      </c>
      <c r="AV20" s="8"/>
      <c r="AW20" s="9" t="s">
        <v>61</v>
      </c>
      <c r="AX20" s="53" t="s">
        <v>82</v>
      </c>
      <c r="AY20" s="63">
        <f>Notes!$L$4</f>
        <v>2024</v>
      </c>
      <c r="AZ20" s="63">
        <f>Notes!$L$5</f>
        <v>2040</v>
      </c>
      <c r="BA20" s="26">
        <v>0</v>
      </c>
      <c r="BB20" s="34">
        <v>1</v>
      </c>
    </row>
    <row r="21" spans="2:54" x14ac:dyDescent="0.3">
      <c r="B21" s="8"/>
      <c r="C21" s="2" t="s">
        <v>767</v>
      </c>
      <c r="D21" s="26">
        <v>0</v>
      </c>
      <c r="E21" s="26">
        <v>0</v>
      </c>
      <c r="F21" s="27">
        <v>0</v>
      </c>
      <c r="G21" s="26">
        <v>0</v>
      </c>
      <c r="H21" s="26">
        <v>0</v>
      </c>
      <c r="I21" s="27">
        <v>0</v>
      </c>
      <c r="J21" s="26">
        <v>0</v>
      </c>
      <c r="K21" s="26">
        <v>0</v>
      </c>
      <c r="L21" s="67">
        <v>1</v>
      </c>
      <c r="N21" s="8"/>
      <c r="O21" s="2" t="s">
        <v>810</v>
      </c>
      <c r="P21" s="26">
        <v>0</v>
      </c>
      <c r="Q21" s="27">
        <v>0</v>
      </c>
      <c r="R21" s="30">
        <v>0</v>
      </c>
      <c r="S21" s="27">
        <v>0</v>
      </c>
      <c r="T21" s="30">
        <v>0</v>
      </c>
      <c r="U21" s="34">
        <v>1</v>
      </c>
      <c r="V21" s="34">
        <v>1</v>
      </c>
      <c r="X21" s="8"/>
      <c r="Y21" s="2" t="s">
        <v>856</v>
      </c>
      <c r="Z21" s="26">
        <v>0</v>
      </c>
      <c r="AA21" s="26">
        <v>0</v>
      </c>
      <c r="AB21" s="26">
        <v>0</v>
      </c>
      <c r="AC21" s="26">
        <v>0</v>
      </c>
      <c r="AD21" s="27">
        <v>0</v>
      </c>
      <c r="AE21" s="30">
        <v>0</v>
      </c>
      <c r="AF21" s="26">
        <v>0</v>
      </c>
      <c r="AG21" s="26">
        <v>0</v>
      </c>
      <c r="AH21" s="32">
        <v>1</v>
      </c>
      <c r="AJ21" s="8"/>
      <c r="AK21" s="2" t="s">
        <v>988</v>
      </c>
      <c r="AL21" s="26">
        <v>0</v>
      </c>
      <c r="AM21" s="26">
        <v>0</v>
      </c>
      <c r="AN21" s="26">
        <v>0</v>
      </c>
      <c r="AO21" s="27">
        <v>0</v>
      </c>
      <c r="AP21" s="30">
        <v>0</v>
      </c>
      <c r="AQ21" s="26">
        <v>0</v>
      </c>
      <c r="AR21" s="26">
        <v>0</v>
      </c>
      <c r="AS21" s="32">
        <v>1</v>
      </c>
      <c r="AT21" s="34">
        <v>1</v>
      </c>
      <c r="AV21" s="8"/>
      <c r="AW21" s="9" t="s">
        <v>293</v>
      </c>
      <c r="AX21" s="53" t="s">
        <v>621</v>
      </c>
      <c r="AY21" s="63">
        <f>Notes!$L$4</f>
        <v>2024</v>
      </c>
      <c r="AZ21" s="63">
        <f>Notes!$L$5</f>
        <v>2040</v>
      </c>
      <c r="BA21" s="26">
        <v>0</v>
      </c>
      <c r="BB21" s="34">
        <v>1</v>
      </c>
    </row>
    <row r="22" spans="2:54" x14ac:dyDescent="0.3">
      <c r="B22" s="8"/>
      <c r="C22" s="2" t="s">
        <v>714</v>
      </c>
      <c r="D22" s="26">
        <v>0</v>
      </c>
      <c r="E22" s="26">
        <v>0</v>
      </c>
      <c r="F22" s="27">
        <v>0</v>
      </c>
      <c r="G22" s="26">
        <v>0</v>
      </c>
      <c r="H22" s="26">
        <v>0</v>
      </c>
      <c r="I22" s="27">
        <v>0</v>
      </c>
      <c r="J22" s="26">
        <v>0</v>
      </c>
      <c r="K22" s="26">
        <v>0</v>
      </c>
      <c r="L22" s="67">
        <v>1</v>
      </c>
      <c r="N22" s="8"/>
      <c r="O22" s="2" t="s">
        <v>650</v>
      </c>
      <c r="P22" s="26">
        <v>0</v>
      </c>
      <c r="Q22" s="27">
        <v>0</v>
      </c>
      <c r="R22" s="30">
        <v>0</v>
      </c>
      <c r="S22" s="27">
        <v>0</v>
      </c>
      <c r="T22" s="30">
        <v>0</v>
      </c>
      <c r="U22" s="34">
        <v>1</v>
      </c>
      <c r="V22" s="34">
        <v>1</v>
      </c>
      <c r="X22" s="8"/>
      <c r="Y22" s="2" t="s">
        <v>857</v>
      </c>
      <c r="Z22" s="26">
        <v>0</v>
      </c>
      <c r="AA22" s="26">
        <v>0</v>
      </c>
      <c r="AB22" s="26">
        <v>0</v>
      </c>
      <c r="AC22" s="26">
        <v>0</v>
      </c>
      <c r="AD22" s="27">
        <v>0</v>
      </c>
      <c r="AE22" s="30">
        <v>0</v>
      </c>
      <c r="AF22" s="26">
        <v>0</v>
      </c>
      <c r="AG22" s="26">
        <v>0</v>
      </c>
      <c r="AH22" s="32">
        <v>1</v>
      </c>
      <c r="AJ22" s="8"/>
      <c r="AK22" s="2" t="s">
        <v>989</v>
      </c>
      <c r="AL22" s="26">
        <v>0</v>
      </c>
      <c r="AM22" s="26">
        <v>0</v>
      </c>
      <c r="AN22" s="26">
        <v>0</v>
      </c>
      <c r="AO22" s="27">
        <v>0</v>
      </c>
      <c r="AP22" s="30">
        <v>0</v>
      </c>
      <c r="AQ22" s="26">
        <v>0</v>
      </c>
      <c r="AR22" s="26">
        <v>0</v>
      </c>
      <c r="AS22" s="32">
        <v>1</v>
      </c>
      <c r="AT22" s="34">
        <v>1</v>
      </c>
      <c r="AV22" s="8"/>
      <c r="AW22" s="9" t="s">
        <v>294</v>
      </c>
      <c r="AX22" s="53" t="s">
        <v>83</v>
      </c>
      <c r="AY22" s="63">
        <f>Notes!$L$4</f>
        <v>2024</v>
      </c>
      <c r="AZ22" s="63">
        <f>Notes!$L$5</f>
        <v>2040</v>
      </c>
      <c r="BA22" s="26">
        <v>0</v>
      </c>
      <c r="BB22" s="34">
        <v>1</v>
      </c>
    </row>
    <row r="23" spans="2:54" x14ac:dyDescent="0.3">
      <c r="B23" s="8"/>
      <c r="C23" s="2" t="s">
        <v>715</v>
      </c>
      <c r="D23" s="26">
        <v>0</v>
      </c>
      <c r="E23" s="26">
        <v>0</v>
      </c>
      <c r="F23" s="27">
        <v>0</v>
      </c>
      <c r="G23" s="26">
        <v>0</v>
      </c>
      <c r="H23" s="26">
        <v>0</v>
      </c>
      <c r="I23" s="27">
        <v>0</v>
      </c>
      <c r="J23" s="26">
        <v>0</v>
      </c>
      <c r="K23" s="26">
        <v>0</v>
      </c>
      <c r="L23" s="67">
        <v>1</v>
      </c>
      <c r="N23" s="8"/>
      <c r="O23" s="2" t="s">
        <v>651</v>
      </c>
      <c r="P23" s="26">
        <v>0</v>
      </c>
      <c r="Q23" s="27">
        <v>0</v>
      </c>
      <c r="R23" s="30">
        <v>0</v>
      </c>
      <c r="S23" s="27">
        <v>0</v>
      </c>
      <c r="T23" s="30">
        <v>0</v>
      </c>
      <c r="U23" s="34">
        <v>1</v>
      </c>
      <c r="V23" s="34">
        <v>1</v>
      </c>
      <c r="X23" s="8"/>
      <c r="Y23" s="2" t="s">
        <v>858</v>
      </c>
      <c r="Z23" s="26">
        <v>0</v>
      </c>
      <c r="AA23" s="26">
        <v>0</v>
      </c>
      <c r="AB23" s="26">
        <v>0</v>
      </c>
      <c r="AC23" s="26">
        <v>0</v>
      </c>
      <c r="AD23" s="27">
        <v>0</v>
      </c>
      <c r="AE23" s="30">
        <v>0</v>
      </c>
      <c r="AF23" s="26">
        <v>0</v>
      </c>
      <c r="AG23" s="26">
        <v>0</v>
      </c>
      <c r="AH23" s="32">
        <v>1</v>
      </c>
      <c r="AJ23" s="8"/>
      <c r="AK23" s="2" t="s">
        <v>990</v>
      </c>
      <c r="AL23" s="26">
        <v>0</v>
      </c>
      <c r="AM23" s="26">
        <v>0</v>
      </c>
      <c r="AN23" s="26">
        <v>0</v>
      </c>
      <c r="AO23" s="27">
        <v>0</v>
      </c>
      <c r="AP23" s="30">
        <v>0</v>
      </c>
      <c r="AQ23" s="26">
        <v>0</v>
      </c>
      <c r="AR23" s="26">
        <v>0</v>
      </c>
      <c r="AS23" s="32">
        <v>1</v>
      </c>
      <c r="AT23" s="34">
        <v>1</v>
      </c>
      <c r="AV23" s="8"/>
      <c r="AW23" s="9" t="s">
        <v>295</v>
      </c>
      <c r="AX23" s="53" t="s">
        <v>622</v>
      </c>
      <c r="AY23" s="63">
        <f>Notes!$L$4</f>
        <v>2024</v>
      </c>
      <c r="AZ23" s="63">
        <f>Notes!$L$5</f>
        <v>2040</v>
      </c>
      <c r="BA23" s="26">
        <v>0</v>
      </c>
      <c r="BB23" s="34">
        <v>1</v>
      </c>
    </row>
    <row r="24" spans="2:54" x14ac:dyDescent="0.3">
      <c r="B24" s="8"/>
      <c r="C24" s="2" t="s">
        <v>768</v>
      </c>
      <c r="D24" s="26">
        <v>0</v>
      </c>
      <c r="E24" s="26">
        <v>0</v>
      </c>
      <c r="F24" s="27">
        <v>0</v>
      </c>
      <c r="G24" s="26">
        <v>0</v>
      </c>
      <c r="H24" s="26">
        <v>0</v>
      </c>
      <c r="I24" s="27">
        <v>0</v>
      </c>
      <c r="J24" s="26">
        <v>0</v>
      </c>
      <c r="K24" s="26">
        <v>0</v>
      </c>
      <c r="L24" s="67">
        <v>1</v>
      </c>
      <c r="N24" s="8"/>
      <c r="O24" s="2" t="s">
        <v>811</v>
      </c>
      <c r="P24" s="26">
        <v>0</v>
      </c>
      <c r="Q24" s="27">
        <v>0</v>
      </c>
      <c r="R24" s="30">
        <v>0</v>
      </c>
      <c r="S24" s="27">
        <v>0</v>
      </c>
      <c r="T24" s="30">
        <v>0</v>
      </c>
      <c r="U24" s="34">
        <v>1</v>
      </c>
      <c r="V24" s="34">
        <v>1</v>
      </c>
      <c r="X24" s="8"/>
      <c r="Y24" s="2" t="s">
        <v>859</v>
      </c>
      <c r="Z24" s="26">
        <v>0</v>
      </c>
      <c r="AA24" s="26">
        <v>0</v>
      </c>
      <c r="AB24" s="26">
        <v>0</v>
      </c>
      <c r="AC24" s="26">
        <v>0</v>
      </c>
      <c r="AD24" s="27">
        <v>0</v>
      </c>
      <c r="AE24" s="30">
        <v>0</v>
      </c>
      <c r="AF24" s="26">
        <v>0</v>
      </c>
      <c r="AG24" s="26">
        <v>0</v>
      </c>
      <c r="AH24" s="32">
        <v>1</v>
      </c>
      <c r="AJ24" s="8"/>
      <c r="AK24" s="2" t="s">
        <v>991</v>
      </c>
      <c r="AL24" s="26">
        <v>0</v>
      </c>
      <c r="AM24" s="26">
        <v>0</v>
      </c>
      <c r="AN24" s="26">
        <v>0</v>
      </c>
      <c r="AO24" s="27">
        <v>0</v>
      </c>
      <c r="AP24" s="30">
        <v>0</v>
      </c>
      <c r="AQ24" s="26">
        <v>0</v>
      </c>
      <c r="AR24" s="26">
        <v>0</v>
      </c>
      <c r="AS24" s="32">
        <v>1</v>
      </c>
      <c r="AT24" s="34">
        <v>1</v>
      </c>
      <c r="AV24" s="8"/>
      <c r="AW24" s="9" t="s">
        <v>647</v>
      </c>
      <c r="AX24" s="53" t="s">
        <v>648</v>
      </c>
      <c r="AY24" s="63">
        <f>Notes!$L$4</f>
        <v>2024</v>
      </c>
      <c r="AZ24" s="63">
        <f>Notes!$L$5</f>
        <v>2040</v>
      </c>
      <c r="BA24" s="26">
        <v>0</v>
      </c>
      <c r="BB24" s="34">
        <v>1</v>
      </c>
    </row>
    <row r="25" spans="2:54" x14ac:dyDescent="0.3">
      <c r="B25" s="8"/>
      <c r="C25" s="2" t="s">
        <v>716</v>
      </c>
      <c r="D25" s="26">
        <v>0</v>
      </c>
      <c r="E25" s="26">
        <v>0</v>
      </c>
      <c r="F25" s="27">
        <v>0</v>
      </c>
      <c r="G25" s="26">
        <v>0</v>
      </c>
      <c r="H25" s="26">
        <v>0</v>
      </c>
      <c r="I25" s="27">
        <v>0</v>
      </c>
      <c r="J25" s="26">
        <v>0</v>
      </c>
      <c r="K25" s="26">
        <v>0</v>
      </c>
      <c r="L25" s="67">
        <v>1</v>
      </c>
      <c r="N25" s="8"/>
      <c r="O25" s="2" t="s">
        <v>652</v>
      </c>
      <c r="P25" s="26">
        <v>0</v>
      </c>
      <c r="Q25" s="27">
        <v>0</v>
      </c>
      <c r="R25" s="30">
        <v>0</v>
      </c>
      <c r="S25" s="27">
        <v>0</v>
      </c>
      <c r="T25" s="30">
        <v>0</v>
      </c>
      <c r="U25" s="34">
        <v>1</v>
      </c>
      <c r="V25" s="34">
        <v>1</v>
      </c>
      <c r="X25" s="8"/>
      <c r="Y25" s="2" t="s">
        <v>10</v>
      </c>
      <c r="Z25" s="26">
        <v>0</v>
      </c>
      <c r="AA25" s="26">
        <v>0</v>
      </c>
      <c r="AB25" s="26">
        <v>0</v>
      </c>
      <c r="AC25" s="26">
        <v>0</v>
      </c>
      <c r="AD25" s="27">
        <v>0</v>
      </c>
      <c r="AE25" s="30">
        <v>0</v>
      </c>
      <c r="AF25" s="26">
        <v>0</v>
      </c>
      <c r="AG25" s="26">
        <v>0</v>
      </c>
      <c r="AH25" s="32">
        <v>1</v>
      </c>
      <c r="AJ25" s="8"/>
      <c r="AK25" s="2" t="s">
        <v>992</v>
      </c>
      <c r="AL25" s="26">
        <v>0</v>
      </c>
      <c r="AM25" s="26">
        <v>0</v>
      </c>
      <c r="AN25" s="26">
        <v>0</v>
      </c>
      <c r="AO25" s="27">
        <v>0</v>
      </c>
      <c r="AP25" s="30">
        <v>0</v>
      </c>
      <c r="AQ25" s="26">
        <v>0</v>
      </c>
      <c r="AR25" s="26">
        <v>0</v>
      </c>
      <c r="AS25" s="32">
        <v>1</v>
      </c>
      <c r="AT25" s="34">
        <v>1</v>
      </c>
      <c r="AV25" s="8"/>
    </row>
    <row r="26" spans="2:54" x14ac:dyDescent="0.3">
      <c r="B26" s="8"/>
      <c r="C26" s="2" t="s">
        <v>769</v>
      </c>
      <c r="D26" s="26">
        <v>0</v>
      </c>
      <c r="E26" s="26">
        <v>0</v>
      </c>
      <c r="F26" s="27">
        <v>0</v>
      </c>
      <c r="G26" s="26">
        <v>0</v>
      </c>
      <c r="H26" s="26">
        <v>0</v>
      </c>
      <c r="I26" s="27">
        <v>0</v>
      </c>
      <c r="J26" s="26">
        <v>0</v>
      </c>
      <c r="K26" s="26">
        <v>0</v>
      </c>
      <c r="L26" s="67">
        <v>1</v>
      </c>
      <c r="N26" s="8"/>
      <c r="O26" s="2" t="s">
        <v>812</v>
      </c>
      <c r="P26" s="26">
        <v>0</v>
      </c>
      <c r="Q26" s="27">
        <v>0</v>
      </c>
      <c r="R26" s="30">
        <v>0</v>
      </c>
      <c r="S26" s="27">
        <v>0</v>
      </c>
      <c r="T26" s="30">
        <v>0</v>
      </c>
      <c r="U26" s="34">
        <v>1</v>
      </c>
      <c r="V26" s="34">
        <v>1</v>
      </c>
      <c r="X26" s="8"/>
      <c r="Y26" s="2" t="s">
        <v>860</v>
      </c>
      <c r="Z26" s="26">
        <v>0</v>
      </c>
      <c r="AA26" s="26">
        <v>0</v>
      </c>
      <c r="AB26" s="26">
        <v>0</v>
      </c>
      <c r="AC26" s="26">
        <v>0</v>
      </c>
      <c r="AD26" s="27">
        <v>0</v>
      </c>
      <c r="AE26" s="30">
        <v>0</v>
      </c>
      <c r="AF26" s="26">
        <v>0</v>
      </c>
      <c r="AG26" s="26">
        <v>0</v>
      </c>
      <c r="AH26" s="32">
        <v>1</v>
      </c>
      <c r="AJ26" s="8"/>
      <c r="AK26" s="2" t="s">
        <v>993</v>
      </c>
      <c r="AL26" s="26">
        <v>0</v>
      </c>
      <c r="AM26" s="26">
        <v>0</v>
      </c>
      <c r="AN26" s="26">
        <v>0</v>
      </c>
      <c r="AO26" s="27">
        <v>0</v>
      </c>
      <c r="AP26" s="30">
        <v>0</v>
      </c>
      <c r="AQ26" s="26">
        <v>0</v>
      </c>
      <c r="AR26" s="26">
        <v>0</v>
      </c>
      <c r="AS26" s="32">
        <v>1</v>
      </c>
      <c r="AT26" s="34">
        <v>1</v>
      </c>
    </row>
    <row r="27" spans="2:54" x14ac:dyDescent="0.3">
      <c r="B27" s="8"/>
      <c r="C27" s="2" t="s">
        <v>770</v>
      </c>
      <c r="D27" s="26">
        <v>0</v>
      </c>
      <c r="E27" s="26">
        <v>0</v>
      </c>
      <c r="F27" s="27">
        <v>0</v>
      </c>
      <c r="G27" s="26">
        <v>0</v>
      </c>
      <c r="H27" s="26">
        <v>0</v>
      </c>
      <c r="I27" s="27">
        <v>0</v>
      </c>
      <c r="J27" s="26">
        <v>0</v>
      </c>
      <c r="K27" s="26">
        <v>0</v>
      </c>
      <c r="L27" s="67">
        <v>1</v>
      </c>
      <c r="N27" s="8"/>
      <c r="O27" s="2" t="s">
        <v>813</v>
      </c>
      <c r="P27" s="26">
        <v>0</v>
      </c>
      <c r="Q27" s="27">
        <v>0</v>
      </c>
      <c r="R27" s="30">
        <v>0</v>
      </c>
      <c r="S27" s="27">
        <v>0</v>
      </c>
      <c r="T27" s="30">
        <v>0</v>
      </c>
      <c r="U27" s="34">
        <v>1</v>
      </c>
      <c r="V27" s="34">
        <v>1</v>
      </c>
      <c r="X27" s="8"/>
      <c r="Y27" s="2" t="s">
        <v>861</v>
      </c>
      <c r="Z27" s="26">
        <v>0</v>
      </c>
      <c r="AA27" s="26">
        <v>0</v>
      </c>
      <c r="AB27" s="26">
        <v>0</v>
      </c>
      <c r="AC27" s="26">
        <v>0</v>
      </c>
      <c r="AD27" s="27">
        <v>0</v>
      </c>
      <c r="AE27" s="30">
        <v>0</v>
      </c>
      <c r="AF27" s="26">
        <v>0</v>
      </c>
      <c r="AG27" s="26">
        <v>0</v>
      </c>
      <c r="AH27" s="32">
        <v>1</v>
      </c>
      <c r="AJ27" s="8"/>
      <c r="AK27" s="2" t="s">
        <v>994</v>
      </c>
      <c r="AL27" s="26">
        <v>0</v>
      </c>
      <c r="AM27" s="26">
        <v>0</v>
      </c>
      <c r="AN27" s="26">
        <v>0</v>
      </c>
      <c r="AO27" s="27">
        <v>0</v>
      </c>
      <c r="AP27" s="30">
        <v>0</v>
      </c>
      <c r="AQ27" s="26">
        <v>0</v>
      </c>
      <c r="AR27" s="26">
        <v>0</v>
      </c>
      <c r="AS27" s="32">
        <v>1</v>
      </c>
      <c r="AT27" s="34">
        <v>1</v>
      </c>
    </row>
    <row r="28" spans="2:54" x14ac:dyDescent="0.3">
      <c r="B28" s="8"/>
      <c r="C28" s="2" t="s">
        <v>771</v>
      </c>
      <c r="D28" s="26">
        <v>0</v>
      </c>
      <c r="E28" s="26">
        <v>0</v>
      </c>
      <c r="F28" s="27">
        <v>0</v>
      </c>
      <c r="G28" s="26">
        <v>0</v>
      </c>
      <c r="H28" s="26">
        <v>0</v>
      </c>
      <c r="I28" s="27">
        <v>0</v>
      </c>
      <c r="J28" s="26">
        <v>0</v>
      </c>
      <c r="K28" s="26">
        <v>0</v>
      </c>
      <c r="L28" s="67">
        <v>1</v>
      </c>
      <c r="N28" s="8"/>
      <c r="O28" s="2" t="s">
        <v>814</v>
      </c>
      <c r="P28" s="26">
        <v>0</v>
      </c>
      <c r="Q28" s="27">
        <v>0</v>
      </c>
      <c r="R28" s="30">
        <v>0</v>
      </c>
      <c r="S28" s="27">
        <v>0</v>
      </c>
      <c r="T28" s="30">
        <v>0</v>
      </c>
      <c r="U28" s="34">
        <v>1</v>
      </c>
      <c r="V28" s="34">
        <v>1</v>
      </c>
      <c r="X28" s="8"/>
      <c r="Y28" s="2" t="s">
        <v>862</v>
      </c>
      <c r="Z28" s="26">
        <v>0</v>
      </c>
      <c r="AA28" s="26">
        <v>0</v>
      </c>
      <c r="AB28" s="26">
        <v>0</v>
      </c>
      <c r="AC28" s="26">
        <v>0</v>
      </c>
      <c r="AD28" s="27">
        <v>0</v>
      </c>
      <c r="AE28" s="30">
        <v>0</v>
      </c>
      <c r="AF28" s="26">
        <v>0</v>
      </c>
      <c r="AG28" s="26">
        <v>0</v>
      </c>
      <c r="AH28" s="32">
        <v>1</v>
      </c>
      <c r="AJ28" s="8"/>
      <c r="AK28" s="2" t="s">
        <v>995</v>
      </c>
      <c r="AL28" s="26">
        <v>0</v>
      </c>
      <c r="AM28" s="26">
        <v>0</v>
      </c>
      <c r="AN28" s="26">
        <v>0</v>
      </c>
      <c r="AO28" s="27">
        <v>0</v>
      </c>
      <c r="AP28" s="30">
        <v>0</v>
      </c>
      <c r="AQ28" s="26">
        <v>0</v>
      </c>
      <c r="AR28" s="26">
        <v>0</v>
      </c>
      <c r="AS28" s="32">
        <v>1</v>
      </c>
      <c r="AT28" s="34">
        <v>1</v>
      </c>
    </row>
    <row r="29" spans="2:54" x14ac:dyDescent="0.3">
      <c r="B29" s="8"/>
      <c r="C29" s="2" t="s">
        <v>717</v>
      </c>
      <c r="D29" s="26">
        <v>0</v>
      </c>
      <c r="E29" s="26">
        <v>0</v>
      </c>
      <c r="F29" s="27">
        <v>0</v>
      </c>
      <c r="G29" s="26">
        <v>0</v>
      </c>
      <c r="H29" s="26">
        <v>0</v>
      </c>
      <c r="I29" s="27">
        <v>0</v>
      </c>
      <c r="J29" s="26">
        <v>0</v>
      </c>
      <c r="K29" s="26">
        <v>0</v>
      </c>
      <c r="L29" s="67">
        <v>1</v>
      </c>
      <c r="N29" s="8"/>
      <c r="O29" s="2" t="s">
        <v>653</v>
      </c>
      <c r="P29" s="26">
        <v>0</v>
      </c>
      <c r="Q29" s="27">
        <v>0</v>
      </c>
      <c r="R29" s="30">
        <v>0</v>
      </c>
      <c r="S29" s="27">
        <v>0</v>
      </c>
      <c r="T29" s="30">
        <v>0</v>
      </c>
      <c r="U29" s="34">
        <v>1</v>
      </c>
      <c r="V29" s="34">
        <v>1</v>
      </c>
      <c r="X29" s="8"/>
      <c r="Y29" s="2" t="s">
        <v>863</v>
      </c>
      <c r="Z29" s="26">
        <v>0</v>
      </c>
      <c r="AA29" s="26">
        <v>0</v>
      </c>
      <c r="AB29" s="26">
        <v>0</v>
      </c>
      <c r="AC29" s="26">
        <v>0</v>
      </c>
      <c r="AD29" s="27">
        <v>0</v>
      </c>
      <c r="AE29" s="30">
        <v>0</v>
      </c>
      <c r="AF29" s="26">
        <v>0</v>
      </c>
      <c r="AG29" s="26">
        <v>0</v>
      </c>
      <c r="AH29" s="32">
        <v>1</v>
      </c>
      <c r="AJ29" s="8"/>
      <c r="AK29" s="2" t="s">
        <v>996</v>
      </c>
      <c r="AL29" s="26">
        <v>0</v>
      </c>
      <c r="AM29" s="26">
        <v>0</v>
      </c>
      <c r="AN29" s="26">
        <v>0</v>
      </c>
      <c r="AO29" s="27">
        <v>0</v>
      </c>
      <c r="AP29" s="30">
        <v>0</v>
      </c>
      <c r="AQ29" s="26">
        <v>0</v>
      </c>
      <c r="AR29" s="26">
        <v>0</v>
      </c>
      <c r="AS29" s="32">
        <v>1</v>
      </c>
      <c r="AT29" s="34">
        <v>1</v>
      </c>
    </row>
    <row r="30" spans="2:54" x14ac:dyDescent="0.3">
      <c r="B30" s="8"/>
      <c r="C30" s="2" t="s">
        <v>978</v>
      </c>
      <c r="D30" s="26">
        <v>0</v>
      </c>
      <c r="E30" s="26">
        <v>0</v>
      </c>
      <c r="F30" s="27">
        <v>0</v>
      </c>
      <c r="G30" s="26">
        <v>0</v>
      </c>
      <c r="H30" s="26">
        <v>0</v>
      </c>
      <c r="I30" s="27">
        <v>0</v>
      </c>
      <c r="J30" s="26">
        <v>0</v>
      </c>
      <c r="K30" s="26">
        <v>0</v>
      </c>
      <c r="L30" s="67">
        <v>1</v>
      </c>
      <c r="N30" s="8"/>
      <c r="O30" s="2" t="s">
        <v>948</v>
      </c>
      <c r="P30" s="26">
        <v>0</v>
      </c>
      <c r="Q30" s="27">
        <v>0</v>
      </c>
      <c r="R30" s="30">
        <v>0</v>
      </c>
      <c r="S30" s="27">
        <v>0</v>
      </c>
      <c r="T30" s="30">
        <v>0</v>
      </c>
      <c r="U30" s="34">
        <v>1</v>
      </c>
      <c r="V30" s="34">
        <v>1</v>
      </c>
      <c r="X30" s="8"/>
      <c r="Y30" s="2"/>
      <c r="Z30" s="26"/>
      <c r="AA30" s="26"/>
      <c r="AB30" s="26"/>
      <c r="AC30" s="26"/>
      <c r="AD30" s="27"/>
      <c r="AE30" s="30"/>
      <c r="AF30" s="26"/>
      <c r="AG30" s="26"/>
      <c r="AH30" s="32"/>
      <c r="AJ30" s="8"/>
      <c r="AK30" s="2" t="s">
        <v>997</v>
      </c>
      <c r="AL30" s="26">
        <v>0</v>
      </c>
      <c r="AM30" s="26">
        <v>0</v>
      </c>
      <c r="AN30" s="26">
        <v>0</v>
      </c>
      <c r="AO30" s="27">
        <v>0</v>
      </c>
      <c r="AP30" s="30">
        <v>0</v>
      </c>
      <c r="AQ30" s="26">
        <v>0</v>
      </c>
      <c r="AR30" s="26">
        <v>0</v>
      </c>
      <c r="AS30" s="32">
        <v>1</v>
      </c>
      <c r="AT30" s="34">
        <v>1</v>
      </c>
    </row>
    <row r="31" spans="2:54" x14ac:dyDescent="0.3">
      <c r="B31" s="8"/>
      <c r="C31" s="2" t="s">
        <v>718</v>
      </c>
      <c r="D31" s="26">
        <v>0</v>
      </c>
      <c r="E31" s="26">
        <v>0</v>
      </c>
      <c r="F31" s="27">
        <v>0</v>
      </c>
      <c r="G31" s="26">
        <v>0</v>
      </c>
      <c r="H31" s="26">
        <v>0</v>
      </c>
      <c r="I31" s="27">
        <v>0</v>
      </c>
      <c r="J31" s="26">
        <v>0</v>
      </c>
      <c r="K31" s="26">
        <v>0</v>
      </c>
      <c r="L31" s="67">
        <v>1</v>
      </c>
      <c r="N31" s="8"/>
      <c r="O31" s="2" t="s">
        <v>654</v>
      </c>
      <c r="P31" s="26">
        <v>0</v>
      </c>
      <c r="Q31" s="27">
        <v>0</v>
      </c>
      <c r="R31" s="30">
        <v>0</v>
      </c>
      <c r="S31" s="27">
        <v>0</v>
      </c>
      <c r="T31" s="30">
        <v>0</v>
      </c>
      <c r="U31" s="34">
        <v>1</v>
      </c>
      <c r="V31" s="34">
        <v>1</v>
      </c>
      <c r="X31" s="8"/>
      <c r="Y31" s="2"/>
      <c r="Z31" s="26"/>
      <c r="AA31" s="26"/>
      <c r="AB31" s="26"/>
      <c r="AC31" s="26"/>
      <c r="AD31" s="27"/>
      <c r="AE31" s="30"/>
      <c r="AF31" s="26"/>
      <c r="AG31" s="26"/>
      <c r="AH31" s="32"/>
      <c r="AJ31" s="8"/>
      <c r="AK31" s="2" t="s">
        <v>998</v>
      </c>
      <c r="AL31" s="26">
        <v>0</v>
      </c>
      <c r="AM31" s="26">
        <v>0</v>
      </c>
      <c r="AN31" s="26">
        <v>0</v>
      </c>
      <c r="AO31" s="27">
        <v>0</v>
      </c>
      <c r="AP31" s="30">
        <v>0</v>
      </c>
      <c r="AQ31" s="26">
        <v>0</v>
      </c>
      <c r="AR31" s="26">
        <v>0</v>
      </c>
      <c r="AS31" s="32">
        <v>1</v>
      </c>
      <c r="AT31" s="34">
        <v>1</v>
      </c>
    </row>
    <row r="32" spans="2:54" x14ac:dyDescent="0.3">
      <c r="B32" s="8"/>
      <c r="C32" s="2" t="s">
        <v>719</v>
      </c>
      <c r="D32" s="26">
        <v>0</v>
      </c>
      <c r="E32" s="26">
        <v>0</v>
      </c>
      <c r="F32" s="27">
        <v>0</v>
      </c>
      <c r="G32" s="26">
        <v>0</v>
      </c>
      <c r="H32" s="26">
        <v>0</v>
      </c>
      <c r="I32" s="27">
        <v>0</v>
      </c>
      <c r="J32" s="26">
        <v>0</v>
      </c>
      <c r="K32" s="26">
        <v>0</v>
      </c>
      <c r="L32" s="67">
        <v>1</v>
      </c>
      <c r="N32" s="8"/>
      <c r="O32" s="2" t="s">
        <v>655</v>
      </c>
      <c r="P32" s="26">
        <v>0</v>
      </c>
      <c r="Q32" s="27">
        <v>0</v>
      </c>
      <c r="R32" s="30">
        <v>0</v>
      </c>
      <c r="S32" s="27">
        <v>0</v>
      </c>
      <c r="T32" s="30">
        <v>0</v>
      </c>
      <c r="U32" s="34">
        <v>1</v>
      </c>
      <c r="V32" s="34">
        <v>1</v>
      </c>
      <c r="X32" s="8"/>
      <c r="Y32" s="2"/>
      <c r="Z32" s="26"/>
      <c r="AA32" s="26"/>
      <c r="AB32" s="26"/>
      <c r="AC32" s="26"/>
      <c r="AD32" s="27"/>
      <c r="AE32" s="30"/>
      <c r="AF32" s="26"/>
      <c r="AG32" s="26"/>
      <c r="AH32" s="32"/>
      <c r="AJ32" s="8"/>
      <c r="AK32" s="2" t="s">
        <v>999</v>
      </c>
      <c r="AL32" s="26">
        <v>0</v>
      </c>
      <c r="AM32" s="26">
        <v>0</v>
      </c>
      <c r="AN32" s="26">
        <v>0</v>
      </c>
      <c r="AO32" s="27">
        <v>0</v>
      </c>
      <c r="AP32" s="30">
        <v>0</v>
      </c>
      <c r="AQ32" s="26">
        <v>0</v>
      </c>
      <c r="AR32" s="26">
        <v>0</v>
      </c>
      <c r="AS32" s="32">
        <v>1</v>
      </c>
      <c r="AT32" s="34">
        <v>1</v>
      </c>
    </row>
    <row r="33" spans="2:46" x14ac:dyDescent="0.3">
      <c r="B33" s="8"/>
      <c r="C33" s="2" t="s">
        <v>720</v>
      </c>
      <c r="D33" s="26">
        <v>0</v>
      </c>
      <c r="E33" s="26">
        <v>0</v>
      </c>
      <c r="F33" s="27">
        <v>0</v>
      </c>
      <c r="G33" s="26">
        <v>0</v>
      </c>
      <c r="H33" s="26">
        <v>0</v>
      </c>
      <c r="I33" s="27">
        <v>0</v>
      </c>
      <c r="J33" s="26">
        <v>0</v>
      </c>
      <c r="K33" s="26">
        <v>0</v>
      </c>
      <c r="L33" s="67">
        <v>1</v>
      </c>
      <c r="N33" s="8"/>
      <c r="O33" s="2" t="s">
        <v>656</v>
      </c>
      <c r="P33" s="26">
        <v>0</v>
      </c>
      <c r="Q33" s="27">
        <v>0</v>
      </c>
      <c r="R33" s="30">
        <v>0</v>
      </c>
      <c r="S33" s="27">
        <v>0</v>
      </c>
      <c r="T33" s="30">
        <v>0</v>
      </c>
      <c r="U33" s="34">
        <v>1</v>
      </c>
      <c r="V33" s="34">
        <v>1</v>
      </c>
      <c r="X33" s="8"/>
      <c r="Y33" s="2"/>
      <c r="Z33" s="26"/>
      <c r="AA33" s="26"/>
      <c r="AB33" s="26"/>
      <c r="AC33" s="26"/>
      <c r="AD33" s="27"/>
      <c r="AE33" s="30"/>
      <c r="AF33" s="26"/>
      <c r="AG33" s="26"/>
      <c r="AH33" s="32"/>
      <c r="AJ33" s="8"/>
      <c r="AK33" s="2" t="s">
        <v>1000</v>
      </c>
      <c r="AL33" s="26">
        <v>0</v>
      </c>
      <c r="AM33" s="26">
        <v>0</v>
      </c>
      <c r="AN33" s="26">
        <v>0</v>
      </c>
      <c r="AO33" s="27">
        <v>0</v>
      </c>
      <c r="AP33" s="30">
        <v>0</v>
      </c>
      <c r="AQ33" s="26">
        <v>0</v>
      </c>
      <c r="AR33" s="26">
        <v>0</v>
      </c>
      <c r="AS33" s="32">
        <v>1</v>
      </c>
      <c r="AT33" s="34">
        <v>1</v>
      </c>
    </row>
    <row r="34" spans="2:46" x14ac:dyDescent="0.3">
      <c r="B34" s="8"/>
      <c r="C34" s="2" t="s">
        <v>721</v>
      </c>
      <c r="D34" s="26">
        <v>0</v>
      </c>
      <c r="E34" s="26">
        <v>0</v>
      </c>
      <c r="F34" s="27">
        <v>0</v>
      </c>
      <c r="G34" s="26">
        <v>0</v>
      </c>
      <c r="H34" s="26">
        <v>0</v>
      </c>
      <c r="I34" s="27">
        <v>0</v>
      </c>
      <c r="J34" s="26">
        <v>0</v>
      </c>
      <c r="K34" s="26">
        <v>0</v>
      </c>
      <c r="L34" s="67">
        <v>1</v>
      </c>
      <c r="N34" s="8"/>
      <c r="O34" s="2" t="s">
        <v>657</v>
      </c>
      <c r="P34" s="26">
        <v>0</v>
      </c>
      <c r="Q34" s="27">
        <v>0</v>
      </c>
      <c r="R34" s="30">
        <v>0</v>
      </c>
      <c r="S34" s="27">
        <v>0</v>
      </c>
      <c r="T34" s="30">
        <v>0</v>
      </c>
      <c r="U34" s="34">
        <v>1</v>
      </c>
      <c r="V34" s="34">
        <v>1</v>
      </c>
      <c r="X34" s="8"/>
      <c r="Y34" s="2"/>
      <c r="Z34" s="26"/>
      <c r="AA34" s="26"/>
      <c r="AB34" s="26"/>
      <c r="AC34" s="26"/>
      <c r="AD34" s="27"/>
      <c r="AE34" s="30"/>
      <c r="AF34" s="26"/>
      <c r="AG34" s="26"/>
      <c r="AH34" s="32"/>
      <c r="AJ34" s="8"/>
      <c r="AK34" s="2" t="s">
        <v>1001</v>
      </c>
      <c r="AL34" s="26">
        <v>0</v>
      </c>
      <c r="AM34" s="26">
        <v>0</v>
      </c>
      <c r="AN34" s="26">
        <v>0</v>
      </c>
      <c r="AO34" s="27">
        <v>0</v>
      </c>
      <c r="AP34" s="30">
        <v>0</v>
      </c>
      <c r="AQ34" s="26">
        <v>0</v>
      </c>
      <c r="AR34" s="26">
        <v>0</v>
      </c>
      <c r="AS34" s="32">
        <v>1</v>
      </c>
      <c r="AT34" s="34">
        <v>1</v>
      </c>
    </row>
    <row r="35" spans="2:46" x14ac:dyDescent="0.3">
      <c r="B35" s="8"/>
      <c r="C35" s="2" t="s">
        <v>979</v>
      </c>
      <c r="D35" s="26">
        <v>0</v>
      </c>
      <c r="E35" s="26">
        <v>0</v>
      </c>
      <c r="F35" s="27">
        <v>0</v>
      </c>
      <c r="G35" s="26">
        <v>0</v>
      </c>
      <c r="H35" s="26">
        <v>0</v>
      </c>
      <c r="I35" s="27">
        <v>0</v>
      </c>
      <c r="J35" s="26">
        <v>0</v>
      </c>
      <c r="K35" s="26">
        <v>0</v>
      </c>
      <c r="L35" s="67">
        <v>1</v>
      </c>
      <c r="N35" s="8"/>
      <c r="O35" s="2" t="s">
        <v>949</v>
      </c>
      <c r="P35" s="26">
        <v>0</v>
      </c>
      <c r="Q35" s="27">
        <v>0</v>
      </c>
      <c r="R35" s="30">
        <v>0</v>
      </c>
      <c r="S35" s="27">
        <v>0</v>
      </c>
      <c r="T35" s="30">
        <v>0</v>
      </c>
      <c r="U35" s="34">
        <v>1</v>
      </c>
      <c r="V35" s="34">
        <v>1</v>
      </c>
      <c r="X35" s="8"/>
      <c r="Y35" s="2"/>
      <c r="Z35" s="26"/>
      <c r="AA35" s="26"/>
      <c r="AB35" s="26"/>
      <c r="AC35" s="26"/>
      <c r="AD35" s="27"/>
      <c r="AE35" s="30"/>
      <c r="AF35" s="26"/>
      <c r="AG35" s="26"/>
      <c r="AH35" s="32"/>
      <c r="AJ35" s="8"/>
      <c r="AK35" s="2" t="s">
        <v>1002</v>
      </c>
      <c r="AL35" s="26">
        <v>0</v>
      </c>
      <c r="AM35" s="26">
        <v>0</v>
      </c>
      <c r="AN35" s="26">
        <v>0</v>
      </c>
      <c r="AO35" s="27">
        <v>0</v>
      </c>
      <c r="AP35" s="30">
        <v>0</v>
      </c>
      <c r="AQ35" s="26">
        <v>0</v>
      </c>
      <c r="AR35" s="26">
        <v>0</v>
      </c>
      <c r="AS35" s="32">
        <v>1</v>
      </c>
      <c r="AT35" s="34">
        <v>1</v>
      </c>
    </row>
    <row r="36" spans="2:46" x14ac:dyDescent="0.3">
      <c r="B36" s="8"/>
      <c r="C36" s="2" t="s">
        <v>772</v>
      </c>
      <c r="D36" s="26">
        <v>0</v>
      </c>
      <c r="E36" s="26">
        <v>0</v>
      </c>
      <c r="F36" s="27">
        <v>0</v>
      </c>
      <c r="G36" s="26">
        <v>0</v>
      </c>
      <c r="H36" s="26">
        <v>0</v>
      </c>
      <c r="I36" s="27">
        <v>0</v>
      </c>
      <c r="J36" s="26">
        <v>0</v>
      </c>
      <c r="K36" s="26">
        <v>0</v>
      </c>
      <c r="L36" s="67">
        <v>1</v>
      </c>
      <c r="N36" s="8"/>
      <c r="O36" s="2" t="s">
        <v>815</v>
      </c>
      <c r="P36" s="26">
        <v>0</v>
      </c>
      <c r="Q36" s="27">
        <v>0</v>
      </c>
      <c r="R36" s="30">
        <v>0</v>
      </c>
      <c r="S36" s="27">
        <v>0</v>
      </c>
      <c r="T36" s="30">
        <v>0</v>
      </c>
      <c r="U36" s="34">
        <v>1</v>
      </c>
      <c r="V36" s="34">
        <v>1</v>
      </c>
      <c r="X36" s="8"/>
      <c r="Y36" s="2"/>
      <c r="Z36" s="26"/>
      <c r="AA36" s="26"/>
      <c r="AB36" s="26"/>
      <c r="AC36" s="26"/>
      <c r="AD36" s="27"/>
      <c r="AE36" s="30"/>
      <c r="AF36" s="26"/>
      <c r="AG36" s="26"/>
      <c r="AH36" s="32"/>
      <c r="AJ36" s="8"/>
      <c r="AK36" s="2" t="s">
        <v>1003</v>
      </c>
      <c r="AL36" s="26">
        <v>0</v>
      </c>
      <c r="AM36" s="26">
        <v>0</v>
      </c>
      <c r="AN36" s="26">
        <v>0</v>
      </c>
      <c r="AO36" s="27">
        <v>0</v>
      </c>
      <c r="AP36" s="30">
        <v>0</v>
      </c>
      <c r="AQ36" s="26">
        <v>0</v>
      </c>
      <c r="AR36" s="26">
        <v>0</v>
      </c>
      <c r="AS36" s="32">
        <v>1</v>
      </c>
      <c r="AT36" s="34">
        <v>1</v>
      </c>
    </row>
    <row r="37" spans="2:46" x14ac:dyDescent="0.3">
      <c r="B37" s="8"/>
      <c r="C37" s="2" t="s">
        <v>773</v>
      </c>
      <c r="D37" s="26">
        <v>0</v>
      </c>
      <c r="E37" s="26">
        <v>0</v>
      </c>
      <c r="F37" s="27">
        <v>0</v>
      </c>
      <c r="G37" s="26">
        <v>0</v>
      </c>
      <c r="H37" s="26">
        <v>0</v>
      </c>
      <c r="I37" s="27">
        <v>0</v>
      </c>
      <c r="J37" s="26">
        <v>0</v>
      </c>
      <c r="K37" s="26">
        <v>0</v>
      </c>
      <c r="L37" s="67">
        <v>1</v>
      </c>
      <c r="N37" s="8"/>
      <c r="O37" s="2" t="s">
        <v>816</v>
      </c>
      <c r="P37" s="26">
        <v>0</v>
      </c>
      <c r="Q37" s="27">
        <v>0</v>
      </c>
      <c r="R37" s="30">
        <v>0</v>
      </c>
      <c r="S37" s="27">
        <v>0</v>
      </c>
      <c r="T37" s="30">
        <v>0</v>
      </c>
      <c r="U37" s="34">
        <v>1</v>
      </c>
      <c r="V37" s="34">
        <v>1</v>
      </c>
      <c r="X37" s="8"/>
      <c r="Y37" s="2"/>
      <c r="Z37" s="26"/>
      <c r="AA37" s="26"/>
      <c r="AB37" s="26"/>
      <c r="AC37" s="26"/>
      <c r="AD37" s="27"/>
      <c r="AE37" s="30"/>
      <c r="AF37" s="26"/>
      <c r="AG37" s="26"/>
      <c r="AH37" s="32"/>
      <c r="AJ37" s="8"/>
      <c r="AK37" s="2" t="s">
        <v>1004</v>
      </c>
      <c r="AL37" s="26">
        <v>0</v>
      </c>
      <c r="AM37" s="26">
        <v>0</v>
      </c>
      <c r="AN37" s="26">
        <v>0</v>
      </c>
      <c r="AO37" s="27">
        <v>0</v>
      </c>
      <c r="AP37" s="30">
        <v>0</v>
      </c>
      <c r="AQ37" s="26">
        <v>0</v>
      </c>
      <c r="AR37" s="26">
        <v>0</v>
      </c>
      <c r="AS37" s="32">
        <v>1</v>
      </c>
      <c r="AT37" s="34">
        <v>1</v>
      </c>
    </row>
    <row r="38" spans="2:46" x14ac:dyDescent="0.3">
      <c r="B38" s="8"/>
      <c r="C38" s="2" t="s">
        <v>722</v>
      </c>
      <c r="D38" s="26">
        <v>0</v>
      </c>
      <c r="E38" s="26">
        <v>0</v>
      </c>
      <c r="F38" s="27">
        <v>0</v>
      </c>
      <c r="G38" s="26">
        <v>0</v>
      </c>
      <c r="H38" s="26">
        <v>0</v>
      </c>
      <c r="I38" s="27">
        <v>0</v>
      </c>
      <c r="J38" s="26">
        <v>0</v>
      </c>
      <c r="K38" s="26">
        <v>0</v>
      </c>
      <c r="L38" s="67">
        <v>1</v>
      </c>
      <c r="N38" s="8"/>
      <c r="O38" s="2" t="s">
        <v>658</v>
      </c>
      <c r="P38" s="26">
        <v>0</v>
      </c>
      <c r="Q38" s="27">
        <v>0</v>
      </c>
      <c r="R38" s="30">
        <v>0</v>
      </c>
      <c r="S38" s="27">
        <v>0</v>
      </c>
      <c r="T38" s="30">
        <v>0</v>
      </c>
      <c r="U38" s="34">
        <v>1</v>
      </c>
      <c r="V38" s="34">
        <v>1</v>
      </c>
      <c r="X38" s="8"/>
      <c r="Y38" s="2"/>
      <c r="Z38" s="26"/>
      <c r="AA38" s="26"/>
      <c r="AB38" s="26"/>
      <c r="AC38" s="26"/>
      <c r="AD38" s="27"/>
      <c r="AE38" s="30"/>
      <c r="AF38" s="26"/>
      <c r="AG38" s="26"/>
      <c r="AH38" s="32"/>
      <c r="AJ38" s="8"/>
      <c r="AK38" s="2"/>
      <c r="AL38" s="26"/>
      <c r="AM38" s="26"/>
      <c r="AN38" s="26"/>
      <c r="AO38" s="27"/>
      <c r="AP38" s="30"/>
      <c r="AQ38" s="26"/>
      <c r="AR38" s="26"/>
      <c r="AS38" s="32"/>
      <c r="AT38" s="34"/>
    </row>
    <row r="39" spans="2:46" x14ac:dyDescent="0.3">
      <c r="B39" s="8"/>
      <c r="C39" s="2" t="s">
        <v>774</v>
      </c>
      <c r="D39" s="26">
        <v>0</v>
      </c>
      <c r="E39" s="26">
        <v>0</v>
      </c>
      <c r="F39" s="27">
        <v>0</v>
      </c>
      <c r="G39" s="26">
        <v>0</v>
      </c>
      <c r="H39" s="26">
        <v>0</v>
      </c>
      <c r="I39" s="27">
        <v>0</v>
      </c>
      <c r="J39" s="26">
        <v>0</v>
      </c>
      <c r="K39" s="26">
        <v>0</v>
      </c>
      <c r="L39" s="67">
        <v>1</v>
      </c>
      <c r="N39" s="8"/>
      <c r="O39" s="2" t="s">
        <v>817</v>
      </c>
      <c r="P39" s="26">
        <v>0</v>
      </c>
      <c r="Q39" s="27">
        <v>0</v>
      </c>
      <c r="R39" s="30">
        <v>0</v>
      </c>
      <c r="S39" s="27">
        <v>0</v>
      </c>
      <c r="T39" s="30">
        <v>0</v>
      </c>
      <c r="U39" s="34">
        <v>1</v>
      </c>
      <c r="V39" s="34">
        <v>1</v>
      </c>
      <c r="X39" s="8"/>
      <c r="Y39" s="2"/>
      <c r="Z39" s="26"/>
      <c r="AA39" s="26"/>
      <c r="AB39" s="26"/>
      <c r="AC39" s="26"/>
      <c r="AD39" s="27"/>
      <c r="AE39" s="30"/>
      <c r="AF39" s="26"/>
      <c r="AG39" s="26"/>
      <c r="AH39" s="32"/>
      <c r="AJ39" s="8"/>
      <c r="AK39" s="2"/>
      <c r="AL39" s="26"/>
      <c r="AM39" s="26"/>
      <c r="AN39" s="26"/>
      <c r="AO39" s="27"/>
      <c r="AP39" s="30"/>
      <c r="AQ39" s="26"/>
      <c r="AR39" s="26"/>
      <c r="AS39" s="32"/>
      <c r="AT39" s="34"/>
    </row>
    <row r="40" spans="2:46" x14ac:dyDescent="0.3">
      <c r="B40" s="8"/>
      <c r="C40" s="2" t="s">
        <v>723</v>
      </c>
      <c r="D40" s="26">
        <v>0</v>
      </c>
      <c r="E40" s="26">
        <v>0</v>
      </c>
      <c r="F40" s="27">
        <v>0</v>
      </c>
      <c r="G40" s="26">
        <v>0</v>
      </c>
      <c r="H40" s="26">
        <v>0</v>
      </c>
      <c r="I40" s="27">
        <v>0</v>
      </c>
      <c r="J40" s="26">
        <v>0</v>
      </c>
      <c r="K40" s="26">
        <v>0</v>
      </c>
      <c r="L40" s="67">
        <v>1</v>
      </c>
      <c r="N40" s="8"/>
      <c r="O40" s="2" t="s">
        <v>659</v>
      </c>
      <c r="P40" s="26">
        <v>0</v>
      </c>
      <c r="Q40" s="27">
        <v>0</v>
      </c>
      <c r="R40" s="30">
        <v>0</v>
      </c>
      <c r="S40" s="27">
        <v>0</v>
      </c>
      <c r="T40" s="30">
        <v>0</v>
      </c>
      <c r="U40" s="34">
        <v>1</v>
      </c>
      <c r="V40" s="34">
        <v>1</v>
      </c>
      <c r="X40" s="8"/>
      <c r="Y40" s="2"/>
      <c r="Z40" s="26"/>
      <c r="AA40" s="26"/>
      <c r="AB40" s="26"/>
      <c r="AC40" s="26"/>
      <c r="AD40" s="27"/>
      <c r="AE40" s="30"/>
      <c r="AF40" s="26"/>
      <c r="AG40" s="26"/>
      <c r="AH40" s="32"/>
      <c r="AJ40" s="8"/>
      <c r="AK40" s="2"/>
      <c r="AL40" s="26"/>
      <c r="AM40" s="26"/>
      <c r="AN40" s="26"/>
      <c r="AO40" s="27"/>
      <c r="AP40" s="30"/>
      <c r="AQ40" s="26"/>
      <c r="AR40" s="26"/>
      <c r="AS40" s="32"/>
      <c r="AT40" s="34"/>
    </row>
    <row r="41" spans="2:46" x14ac:dyDescent="0.3">
      <c r="B41" s="8"/>
      <c r="C41" s="2" t="s">
        <v>775</v>
      </c>
      <c r="D41" s="26">
        <v>0</v>
      </c>
      <c r="E41" s="26">
        <v>0</v>
      </c>
      <c r="F41" s="27">
        <v>0</v>
      </c>
      <c r="G41" s="26">
        <v>0</v>
      </c>
      <c r="H41" s="26">
        <v>0</v>
      </c>
      <c r="I41" s="27">
        <v>0</v>
      </c>
      <c r="J41" s="26">
        <v>0</v>
      </c>
      <c r="K41" s="26">
        <v>0</v>
      </c>
      <c r="L41" s="67">
        <v>1</v>
      </c>
      <c r="N41" s="8"/>
      <c r="O41" s="2" t="s">
        <v>818</v>
      </c>
      <c r="P41" s="26">
        <v>0</v>
      </c>
      <c r="Q41" s="27">
        <v>0</v>
      </c>
      <c r="R41" s="30">
        <v>0</v>
      </c>
      <c r="S41" s="27">
        <v>0</v>
      </c>
      <c r="T41" s="30">
        <v>0</v>
      </c>
      <c r="U41" s="34">
        <v>1</v>
      </c>
      <c r="V41" s="34">
        <v>1</v>
      </c>
      <c r="X41" s="8"/>
      <c r="Y41" s="2"/>
      <c r="Z41" s="26"/>
      <c r="AA41" s="26"/>
      <c r="AB41" s="26"/>
      <c r="AC41" s="26"/>
      <c r="AD41" s="27"/>
      <c r="AE41" s="30"/>
      <c r="AF41" s="26"/>
      <c r="AG41" s="26"/>
      <c r="AH41" s="32"/>
      <c r="AJ41" s="8"/>
      <c r="AK41" s="2"/>
      <c r="AL41" s="26"/>
      <c r="AM41" s="26"/>
      <c r="AN41" s="26"/>
      <c r="AO41" s="27"/>
      <c r="AP41" s="30"/>
      <c r="AQ41" s="26"/>
      <c r="AR41" s="26"/>
      <c r="AS41" s="32"/>
      <c r="AT41" s="34"/>
    </row>
    <row r="42" spans="2:46" x14ac:dyDescent="0.3">
      <c r="B42" s="8"/>
      <c r="C42" s="2" t="s">
        <v>776</v>
      </c>
      <c r="D42" s="26">
        <v>0</v>
      </c>
      <c r="E42" s="26">
        <v>0</v>
      </c>
      <c r="F42" s="27">
        <v>0</v>
      </c>
      <c r="G42" s="26">
        <v>0</v>
      </c>
      <c r="H42" s="26">
        <v>0</v>
      </c>
      <c r="I42" s="27">
        <v>0</v>
      </c>
      <c r="J42" s="26">
        <v>0</v>
      </c>
      <c r="K42" s="26">
        <v>0</v>
      </c>
      <c r="L42" s="67">
        <v>1</v>
      </c>
      <c r="N42" s="8"/>
      <c r="O42" s="2" t="s">
        <v>819</v>
      </c>
      <c r="P42" s="26">
        <v>0</v>
      </c>
      <c r="Q42" s="27">
        <v>0</v>
      </c>
      <c r="R42" s="30">
        <v>0</v>
      </c>
      <c r="S42" s="27">
        <v>0</v>
      </c>
      <c r="T42" s="30">
        <v>0</v>
      </c>
      <c r="U42" s="34">
        <v>1</v>
      </c>
      <c r="V42" s="34">
        <v>1</v>
      </c>
      <c r="X42" s="8"/>
      <c r="Y42" s="2"/>
      <c r="Z42" s="26"/>
      <c r="AA42" s="26"/>
      <c r="AB42" s="26"/>
      <c r="AC42" s="26"/>
      <c r="AD42" s="27"/>
      <c r="AE42" s="30"/>
      <c r="AF42" s="26"/>
      <c r="AG42" s="26"/>
      <c r="AH42" s="32"/>
      <c r="AJ42" s="8"/>
      <c r="AK42" s="2"/>
      <c r="AL42" s="26"/>
      <c r="AM42" s="26"/>
      <c r="AN42" s="26"/>
      <c r="AO42" s="27"/>
      <c r="AP42" s="30"/>
      <c r="AQ42" s="26"/>
      <c r="AR42" s="26"/>
      <c r="AS42" s="32"/>
      <c r="AT42" s="34"/>
    </row>
    <row r="43" spans="2:46" x14ac:dyDescent="0.3">
      <c r="B43" s="8"/>
      <c r="C43" s="2" t="s">
        <v>777</v>
      </c>
      <c r="D43" s="26">
        <v>0</v>
      </c>
      <c r="E43" s="26">
        <v>0</v>
      </c>
      <c r="F43" s="27">
        <v>0</v>
      </c>
      <c r="G43" s="26">
        <v>0</v>
      </c>
      <c r="H43" s="26">
        <v>0</v>
      </c>
      <c r="I43" s="27">
        <v>0</v>
      </c>
      <c r="J43" s="26">
        <v>0</v>
      </c>
      <c r="K43" s="26">
        <v>0</v>
      </c>
      <c r="L43" s="67">
        <v>1</v>
      </c>
      <c r="N43" s="8"/>
      <c r="O43" s="2" t="s">
        <v>820</v>
      </c>
      <c r="P43" s="26">
        <v>0</v>
      </c>
      <c r="Q43" s="27">
        <v>0</v>
      </c>
      <c r="R43" s="30">
        <v>0</v>
      </c>
      <c r="S43" s="27">
        <v>0</v>
      </c>
      <c r="T43" s="30">
        <v>0</v>
      </c>
      <c r="U43" s="34">
        <v>1</v>
      </c>
      <c r="V43" s="34">
        <v>1</v>
      </c>
      <c r="X43" s="8"/>
      <c r="Y43" s="2"/>
      <c r="Z43" s="26"/>
      <c r="AA43" s="26"/>
      <c r="AB43" s="26"/>
      <c r="AC43" s="26"/>
      <c r="AD43" s="27"/>
      <c r="AE43" s="30"/>
      <c r="AF43" s="26"/>
      <c r="AG43" s="26"/>
      <c r="AH43" s="32"/>
      <c r="AJ43" s="8"/>
      <c r="AK43" s="2"/>
      <c r="AL43" s="26"/>
      <c r="AM43" s="26"/>
      <c r="AN43" s="26"/>
      <c r="AO43" s="27"/>
      <c r="AP43" s="30"/>
      <c r="AQ43" s="26"/>
      <c r="AR43" s="26"/>
      <c r="AS43" s="32"/>
      <c r="AT43" s="34"/>
    </row>
    <row r="44" spans="2:46" x14ac:dyDescent="0.3">
      <c r="B44" s="8"/>
      <c r="C44" s="2" t="s">
        <v>724</v>
      </c>
      <c r="D44" s="26">
        <v>0</v>
      </c>
      <c r="E44" s="26">
        <v>0</v>
      </c>
      <c r="F44" s="27">
        <v>0</v>
      </c>
      <c r="G44" s="26">
        <v>0</v>
      </c>
      <c r="H44" s="26">
        <v>0</v>
      </c>
      <c r="I44" s="27">
        <v>0</v>
      </c>
      <c r="J44" s="26">
        <v>0</v>
      </c>
      <c r="K44" s="26">
        <v>0</v>
      </c>
      <c r="L44" s="67">
        <v>1</v>
      </c>
      <c r="N44" s="8"/>
      <c r="O44" s="2" t="s">
        <v>660</v>
      </c>
      <c r="P44" s="26">
        <v>0</v>
      </c>
      <c r="Q44" s="27">
        <v>0</v>
      </c>
      <c r="R44" s="30">
        <v>0</v>
      </c>
      <c r="S44" s="27">
        <v>0</v>
      </c>
      <c r="T44" s="30">
        <v>0</v>
      </c>
      <c r="U44" s="34">
        <v>1</v>
      </c>
      <c r="V44" s="34">
        <v>1</v>
      </c>
      <c r="X44" s="8"/>
      <c r="Y44" s="2"/>
      <c r="Z44" s="26"/>
      <c r="AA44" s="26"/>
      <c r="AB44" s="26"/>
      <c r="AC44" s="26"/>
      <c r="AD44" s="27"/>
      <c r="AE44" s="30"/>
      <c r="AF44" s="26"/>
      <c r="AG44" s="26"/>
      <c r="AH44" s="32"/>
      <c r="AJ44" s="8"/>
      <c r="AK44" s="2"/>
      <c r="AL44" s="26"/>
      <c r="AM44" s="26"/>
      <c r="AN44" s="26"/>
      <c r="AO44" s="27"/>
      <c r="AP44" s="30"/>
      <c r="AQ44" s="26"/>
      <c r="AR44" s="26"/>
      <c r="AS44" s="32"/>
      <c r="AT44" s="34"/>
    </row>
    <row r="45" spans="2:46" x14ac:dyDescent="0.3">
      <c r="B45" s="8"/>
      <c r="C45" s="2" t="s">
        <v>725</v>
      </c>
      <c r="D45" s="26">
        <v>0</v>
      </c>
      <c r="E45" s="26">
        <v>0</v>
      </c>
      <c r="F45" s="27">
        <v>0</v>
      </c>
      <c r="G45" s="26">
        <v>0</v>
      </c>
      <c r="H45" s="26">
        <v>0</v>
      </c>
      <c r="I45" s="27">
        <v>0</v>
      </c>
      <c r="J45" s="26">
        <v>0</v>
      </c>
      <c r="K45" s="26">
        <v>0</v>
      </c>
      <c r="L45" s="67">
        <v>1</v>
      </c>
      <c r="N45" s="8"/>
      <c r="O45" s="2" t="s">
        <v>661</v>
      </c>
      <c r="P45" s="26">
        <v>0</v>
      </c>
      <c r="Q45" s="27">
        <v>0</v>
      </c>
      <c r="R45" s="30">
        <v>0</v>
      </c>
      <c r="S45" s="27">
        <v>0</v>
      </c>
      <c r="T45" s="30">
        <v>0</v>
      </c>
      <c r="U45" s="34">
        <v>1</v>
      </c>
      <c r="V45" s="34">
        <v>1</v>
      </c>
      <c r="X45" s="8"/>
      <c r="Y45" s="2"/>
      <c r="Z45" s="26"/>
      <c r="AA45" s="26"/>
      <c r="AB45" s="26"/>
      <c r="AC45" s="26"/>
      <c r="AD45" s="27"/>
      <c r="AE45" s="30"/>
      <c r="AF45" s="26"/>
      <c r="AG45" s="26"/>
      <c r="AH45" s="32"/>
      <c r="AJ45" s="8"/>
      <c r="AK45" s="2"/>
      <c r="AL45" s="26"/>
      <c r="AM45" s="26"/>
      <c r="AN45" s="26"/>
      <c r="AO45" s="27"/>
      <c r="AP45" s="30"/>
      <c r="AQ45" s="26"/>
      <c r="AR45" s="26"/>
      <c r="AS45" s="32"/>
      <c r="AT45" s="34"/>
    </row>
    <row r="46" spans="2:46" x14ac:dyDescent="0.3">
      <c r="B46" s="8"/>
      <c r="C46" s="2" t="s">
        <v>778</v>
      </c>
      <c r="D46" s="26">
        <v>0</v>
      </c>
      <c r="E46" s="26">
        <v>0</v>
      </c>
      <c r="F46" s="27">
        <v>0</v>
      </c>
      <c r="G46" s="26">
        <v>0</v>
      </c>
      <c r="H46" s="26">
        <v>0</v>
      </c>
      <c r="I46" s="27">
        <v>0</v>
      </c>
      <c r="J46" s="26">
        <v>0</v>
      </c>
      <c r="K46" s="26">
        <v>0</v>
      </c>
      <c r="L46" s="67">
        <v>1</v>
      </c>
      <c r="N46" s="8"/>
      <c r="O46" s="2" t="s">
        <v>821</v>
      </c>
      <c r="P46" s="26">
        <v>0</v>
      </c>
      <c r="Q46" s="27">
        <v>0</v>
      </c>
      <c r="R46" s="30">
        <v>0</v>
      </c>
      <c r="S46" s="27">
        <v>0</v>
      </c>
      <c r="T46" s="30">
        <v>0</v>
      </c>
      <c r="U46" s="34">
        <v>1</v>
      </c>
      <c r="V46" s="34">
        <v>1</v>
      </c>
      <c r="X46" s="8"/>
      <c r="Y46" s="2"/>
      <c r="Z46" s="26"/>
      <c r="AA46" s="26"/>
      <c r="AB46" s="26"/>
      <c r="AC46" s="26"/>
      <c r="AD46" s="27"/>
      <c r="AE46" s="30"/>
      <c r="AF46" s="26"/>
      <c r="AG46" s="26"/>
      <c r="AH46" s="32"/>
      <c r="AJ46" s="8"/>
      <c r="AK46" s="2"/>
      <c r="AL46" s="26"/>
      <c r="AM46" s="26"/>
      <c r="AN46" s="26"/>
      <c r="AO46" s="27"/>
      <c r="AP46" s="30"/>
      <c r="AQ46" s="26"/>
      <c r="AR46" s="26"/>
      <c r="AS46" s="32"/>
      <c r="AT46" s="34"/>
    </row>
    <row r="47" spans="2:46" x14ac:dyDescent="0.3">
      <c r="B47" s="8"/>
      <c r="C47" s="2" t="s">
        <v>726</v>
      </c>
      <c r="D47" s="26">
        <v>0</v>
      </c>
      <c r="E47" s="26">
        <v>0</v>
      </c>
      <c r="F47" s="27">
        <v>0</v>
      </c>
      <c r="G47" s="26">
        <v>0</v>
      </c>
      <c r="H47" s="26">
        <v>0</v>
      </c>
      <c r="I47" s="27">
        <v>0</v>
      </c>
      <c r="J47" s="26">
        <v>0</v>
      </c>
      <c r="K47" s="26">
        <v>0</v>
      </c>
      <c r="L47" s="67">
        <v>1</v>
      </c>
      <c r="N47" s="8"/>
      <c r="O47" s="2" t="s">
        <v>662</v>
      </c>
      <c r="P47" s="26">
        <v>0</v>
      </c>
      <c r="Q47" s="27">
        <v>0</v>
      </c>
      <c r="R47" s="30">
        <v>0</v>
      </c>
      <c r="S47" s="27">
        <v>0</v>
      </c>
      <c r="T47" s="30">
        <v>0</v>
      </c>
      <c r="U47" s="34">
        <v>1</v>
      </c>
      <c r="V47" s="34">
        <v>1</v>
      </c>
      <c r="X47" s="8"/>
      <c r="Y47" s="2"/>
      <c r="Z47" s="26"/>
      <c r="AA47" s="26"/>
      <c r="AB47" s="26"/>
      <c r="AC47" s="26"/>
      <c r="AD47" s="27"/>
      <c r="AE47" s="30"/>
      <c r="AF47" s="26"/>
      <c r="AG47" s="26"/>
      <c r="AH47" s="32"/>
      <c r="AJ47" s="8"/>
      <c r="AK47" s="2"/>
      <c r="AL47" s="26"/>
      <c r="AM47" s="26"/>
      <c r="AN47" s="26"/>
      <c r="AO47" s="27"/>
      <c r="AP47" s="30"/>
      <c r="AQ47" s="26"/>
      <c r="AR47" s="26"/>
      <c r="AS47" s="32"/>
      <c r="AT47" s="34"/>
    </row>
    <row r="48" spans="2:46" x14ac:dyDescent="0.3">
      <c r="B48" s="8"/>
      <c r="C48" s="2" t="s">
        <v>779</v>
      </c>
      <c r="D48" s="26">
        <v>0</v>
      </c>
      <c r="E48" s="26">
        <v>0</v>
      </c>
      <c r="F48" s="27">
        <v>0</v>
      </c>
      <c r="G48" s="26">
        <v>0</v>
      </c>
      <c r="H48" s="26">
        <v>0</v>
      </c>
      <c r="I48" s="27">
        <v>0</v>
      </c>
      <c r="J48" s="26">
        <v>0</v>
      </c>
      <c r="K48" s="26">
        <v>0</v>
      </c>
      <c r="L48" s="67">
        <v>1</v>
      </c>
      <c r="N48" s="8"/>
      <c r="O48" s="2" t="s">
        <v>822</v>
      </c>
      <c r="P48" s="26">
        <v>0</v>
      </c>
      <c r="Q48" s="27">
        <v>0</v>
      </c>
      <c r="R48" s="30">
        <v>0</v>
      </c>
      <c r="S48" s="27">
        <v>0</v>
      </c>
      <c r="T48" s="30">
        <v>0</v>
      </c>
      <c r="U48" s="34">
        <v>1</v>
      </c>
      <c r="V48" s="34">
        <v>1</v>
      </c>
      <c r="X48" s="8"/>
      <c r="Y48" s="2"/>
      <c r="Z48" s="26"/>
      <c r="AA48" s="26"/>
      <c r="AB48" s="26"/>
      <c r="AC48" s="26"/>
      <c r="AD48" s="27"/>
      <c r="AE48" s="30"/>
      <c r="AF48" s="26"/>
      <c r="AG48" s="26"/>
      <c r="AH48" s="32"/>
      <c r="AJ48" s="8"/>
      <c r="AK48" s="2"/>
      <c r="AL48" s="26"/>
      <c r="AM48" s="26"/>
      <c r="AN48" s="26"/>
      <c r="AO48" s="27"/>
      <c r="AP48" s="30"/>
      <c r="AQ48" s="26"/>
      <c r="AR48" s="26"/>
      <c r="AS48" s="32"/>
      <c r="AT48" s="34"/>
    </row>
    <row r="49" spans="2:46" x14ac:dyDescent="0.3">
      <c r="B49" s="8"/>
      <c r="C49" s="2" t="s">
        <v>780</v>
      </c>
      <c r="D49" s="26">
        <v>0</v>
      </c>
      <c r="E49" s="26">
        <v>0</v>
      </c>
      <c r="F49" s="27">
        <v>0</v>
      </c>
      <c r="G49" s="26">
        <v>0</v>
      </c>
      <c r="H49" s="26">
        <v>0</v>
      </c>
      <c r="I49" s="27">
        <v>0</v>
      </c>
      <c r="J49" s="26">
        <v>0</v>
      </c>
      <c r="K49" s="26">
        <v>0</v>
      </c>
      <c r="L49" s="67">
        <v>1</v>
      </c>
      <c r="N49" s="8"/>
      <c r="O49" s="2" t="s">
        <v>823</v>
      </c>
      <c r="P49" s="26">
        <v>0</v>
      </c>
      <c r="Q49" s="27">
        <v>0</v>
      </c>
      <c r="R49" s="30">
        <v>0</v>
      </c>
      <c r="S49" s="27">
        <v>0</v>
      </c>
      <c r="T49" s="30">
        <v>0</v>
      </c>
      <c r="U49" s="34">
        <v>1</v>
      </c>
      <c r="V49" s="34">
        <v>1</v>
      </c>
      <c r="X49" s="8"/>
      <c r="Y49" s="2"/>
      <c r="Z49" s="26"/>
      <c r="AA49" s="26"/>
      <c r="AB49" s="26"/>
      <c r="AC49" s="26"/>
      <c r="AD49" s="27"/>
      <c r="AE49" s="30"/>
      <c r="AF49" s="26"/>
      <c r="AG49" s="26"/>
      <c r="AH49" s="32"/>
      <c r="AJ49" s="8"/>
      <c r="AK49" s="2"/>
      <c r="AL49" s="26"/>
      <c r="AM49" s="26"/>
      <c r="AN49" s="26"/>
      <c r="AO49" s="27"/>
      <c r="AP49" s="30"/>
      <c r="AQ49" s="26"/>
      <c r="AR49" s="26"/>
      <c r="AS49" s="32"/>
      <c r="AT49" s="34"/>
    </row>
    <row r="50" spans="2:46" x14ac:dyDescent="0.3">
      <c r="B50" s="8"/>
      <c r="C50" s="2" t="s">
        <v>727</v>
      </c>
      <c r="D50" s="26">
        <v>0</v>
      </c>
      <c r="E50" s="26">
        <v>0</v>
      </c>
      <c r="F50" s="27">
        <v>0</v>
      </c>
      <c r="G50" s="26">
        <v>0</v>
      </c>
      <c r="H50" s="26">
        <v>0</v>
      </c>
      <c r="I50" s="27">
        <v>0</v>
      </c>
      <c r="J50" s="26">
        <v>0</v>
      </c>
      <c r="K50" s="26">
        <v>0</v>
      </c>
      <c r="L50" s="67">
        <v>1</v>
      </c>
      <c r="N50" s="8"/>
      <c r="O50" s="2" t="s">
        <v>663</v>
      </c>
      <c r="P50" s="26">
        <v>0</v>
      </c>
      <c r="Q50" s="27">
        <v>0</v>
      </c>
      <c r="R50" s="30">
        <v>0</v>
      </c>
      <c r="S50" s="27">
        <v>0</v>
      </c>
      <c r="T50" s="30">
        <v>0</v>
      </c>
      <c r="U50" s="34">
        <v>1</v>
      </c>
      <c r="V50" s="34">
        <v>1</v>
      </c>
      <c r="X50" s="8"/>
      <c r="Y50" s="2"/>
      <c r="Z50" s="26"/>
      <c r="AA50" s="26"/>
      <c r="AB50" s="26"/>
      <c r="AC50" s="26"/>
      <c r="AD50" s="27"/>
      <c r="AE50" s="30"/>
      <c r="AF50" s="26"/>
      <c r="AG50" s="26"/>
      <c r="AH50" s="32"/>
      <c r="AJ50" s="8"/>
      <c r="AK50" s="2"/>
      <c r="AL50" s="26"/>
      <c r="AM50" s="26"/>
      <c r="AN50" s="26"/>
      <c r="AO50" s="27"/>
      <c r="AP50" s="30"/>
      <c r="AQ50" s="26"/>
      <c r="AR50" s="26"/>
      <c r="AS50" s="32"/>
      <c r="AT50" s="34"/>
    </row>
    <row r="51" spans="2:46" x14ac:dyDescent="0.3">
      <c r="B51" s="8"/>
      <c r="C51" s="2" t="s">
        <v>728</v>
      </c>
      <c r="D51" s="26">
        <v>0</v>
      </c>
      <c r="E51" s="26">
        <v>0</v>
      </c>
      <c r="F51" s="27">
        <v>0</v>
      </c>
      <c r="G51" s="26">
        <v>0</v>
      </c>
      <c r="H51" s="26">
        <v>0</v>
      </c>
      <c r="I51" s="27">
        <v>0</v>
      </c>
      <c r="J51" s="26">
        <v>0</v>
      </c>
      <c r="K51" s="26">
        <v>0</v>
      </c>
      <c r="L51" s="67">
        <v>1</v>
      </c>
      <c r="N51" s="8"/>
      <c r="O51" s="2" t="s">
        <v>664</v>
      </c>
      <c r="P51" s="26">
        <v>0</v>
      </c>
      <c r="Q51" s="27">
        <v>0</v>
      </c>
      <c r="R51" s="30">
        <v>0</v>
      </c>
      <c r="S51" s="27">
        <v>0</v>
      </c>
      <c r="T51" s="30">
        <v>0</v>
      </c>
      <c r="U51" s="34">
        <v>1</v>
      </c>
      <c r="V51" s="34">
        <v>1</v>
      </c>
      <c r="X51" s="8"/>
      <c r="Y51" s="2"/>
      <c r="Z51" s="26"/>
      <c r="AA51" s="26"/>
      <c r="AB51" s="26"/>
      <c r="AC51" s="26"/>
      <c r="AD51" s="27"/>
      <c r="AE51" s="30"/>
      <c r="AF51" s="26"/>
      <c r="AG51" s="26"/>
      <c r="AH51" s="32"/>
      <c r="AJ51" s="8"/>
      <c r="AK51" s="2"/>
      <c r="AL51" s="26"/>
      <c r="AM51" s="26"/>
      <c r="AN51" s="26"/>
      <c r="AO51" s="27"/>
      <c r="AP51" s="30"/>
      <c r="AQ51" s="26"/>
      <c r="AR51" s="26"/>
      <c r="AS51" s="32"/>
      <c r="AT51" s="34"/>
    </row>
    <row r="52" spans="2:46" x14ac:dyDescent="0.3">
      <c r="B52" s="8"/>
      <c r="C52" s="2" t="s">
        <v>781</v>
      </c>
      <c r="D52" s="26">
        <v>0</v>
      </c>
      <c r="E52" s="26">
        <v>0</v>
      </c>
      <c r="F52" s="27">
        <v>0</v>
      </c>
      <c r="G52" s="26">
        <v>0</v>
      </c>
      <c r="H52" s="26">
        <v>0</v>
      </c>
      <c r="I52" s="27">
        <v>0</v>
      </c>
      <c r="J52" s="26">
        <v>0</v>
      </c>
      <c r="K52" s="26">
        <v>0</v>
      </c>
      <c r="L52" s="67">
        <v>1</v>
      </c>
      <c r="N52" s="8"/>
      <c r="O52" s="2" t="s">
        <v>824</v>
      </c>
      <c r="P52" s="26">
        <v>0</v>
      </c>
      <c r="Q52" s="27">
        <v>0</v>
      </c>
      <c r="R52" s="30">
        <v>0</v>
      </c>
      <c r="S52" s="27">
        <v>0</v>
      </c>
      <c r="T52" s="30">
        <v>0</v>
      </c>
      <c r="U52" s="34">
        <v>1</v>
      </c>
      <c r="V52" s="34">
        <v>1</v>
      </c>
      <c r="X52" s="8"/>
      <c r="Y52" s="2"/>
      <c r="Z52" s="26"/>
      <c r="AA52" s="26"/>
      <c r="AB52" s="26"/>
      <c r="AC52" s="26"/>
      <c r="AD52" s="27"/>
      <c r="AE52" s="30"/>
      <c r="AF52" s="26"/>
      <c r="AG52" s="26"/>
      <c r="AH52" s="32"/>
      <c r="AJ52" s="8"/>
      <c r="AK52" s="2"/>
      <c r="AL52" s="26"/>
      <c r="AM52" s="26"/>
      <c r="AN52" s="26"/>
      <c r="AO52" s="27"/>
      <c r="AP52" s="30"/>
      <c r="AQ52" s="26"/>
      <c r="AR52" s="26"/>
      <c r="AS52" s="32"/>
      <c r="AT52" s="34"/>
    </row>
    <row r="53" spans="2:46" x14ac:dyDescent="0.3">
      <c r="B53" s="8"/>
      <c r="C53" s="2" t="s">
        <v>729</v>
      </c>
      <c r="D53" s="26">
        <v>0</v>
      </c>
      <c r="E53" s="26">
        <v>0</v>
      </c>
      <c r="F53" s="27">
        <v>0</v>
      </c>
      <c r="G53" s="26">
        <v>0</v>
      </c>
      <c r="H53" s="26">
        <v>0</v>
      </c>
      <c r="I53" s="27">
        <v>0</v>
      </c>
      <c r="J53" s="26">
        <v>0</v>
      </c>
      <c r="K53" s="26">
        <v>0</v>
      </c>
      <c r="L53" s="67">
        <v>1</v>
      </c>
      <c r="N53" s="8"/>
      <c r="O53" s="2" t="s">
        <v>665</v>
      </c>
      <c r="P53" s="26">
        <v>0</v>
      </c>
      <c r="Q53" s="27">
        <v>0</v>
      </c>
      <c r="R53" s="30">
        <v>0</v>
      </c>
      <c r="S53" s="27">
        <v>0</v>
      </c>
      <c r="T53" s="30">
        <v>0</v>
      </c>
      <c r="U53" s="34">
        <v>1</v>
      </c>
      <c r="V53" s="34">
        <v>1</v>
      </c>
      <c r="X53" s="8"/>
      <c r="Y53" s="2"/>
      <c r="Z53" s="26"/>
      <c r="AA53" s="26"/>
      <c r="AB53" s="26"/>
      <c r="AC53" s="26"/>
      <c r="AD53" s="27"/>
      <c r="AE53" s="30"/>
      <c r="AF53" s="26"/>
      <c r="AG53" s="26"/>
      <c r="AH53" s="32"/>
      <c r="AJ53" s="8"/>
      <c r="AK53" s="2"/>
      <c r="AL53" s="26"/>
      <c r="AM53" s="26"/>
      <c r="AN53" s="26"/>
      <c r="AO53" s="27"/>
      <c r="AP53" s="30"/>
      <c r="AQ53" s="26"/>
      <c r="AR53" s="26"/>
      <c r="AS53" s="32"/>
      <c r="AT53" s="34"/>
    </row>
    <row r="54" spans="2:46" x14ac:dyDescent="0.3">
      <c r="B54" s="8"/>
      <c r="C54" s="2" t="s">
        <v>782</v>
      </c>
      <c r="D54" s="26">
        <v>0</v>
      </c>
      <c r="E54" s="26">
        <v>0</v>
      </c>
      <c r="F54" s="27">
        <v>0</v>
      </c>
      <c r="G54" s="26">
        <v>0</v>
      </c>
      <c r="H54" s="26">
        <v>0</v>
      </c>
      <c r="I54" s="27">
        <v>0</v>
      </c>
      <c r="J54" s="26">
        <v>0</v>
      </c>
      <c r="K54" s="26">
        <v>0</v>
      </c>
      <c r="L54" s="67">
        <v>1</v>
      </c>
      <c r="N54" s="8"/>
      <c r="O54" s="2" t="s">
        <v>825</v>
      </c>
      <c r="P54" s="26">
        <v>0</v>
      </c>
      <c r="Q54" s="27">
        <v>0</v>
      </c>
      <c r="R54" s="30">
        <v>0</v>
      </c>
      <c r="S54" s="27">
        <v>0</v>
      </c>
      <c r="T54" s="30">
        <v>0</v>
      </c>
      <c r="U54" s="34">
        <v>1</v>
      </c>
      <c r="V54" s="34">
        <v>1</v>
      </c>
      <c r="X54" s="8"/>
      <c r="Y54" s="2"/>
      <c r="Z54" s="26"/>
      <c r="AA54" s="26"/>
      <c r="AB54" s="26"/>
      <c r="AC54" s="26"/>
      <c r="AD54" s="27"/>
      <c r="AE54" s="30"/>
      <c r="AF54" s="26"/>
      <c r="AG54" s="26"/>
      <c r="AH54" s="32"/>
      <c r="AJ54" s="8"/>
      <c r="AK54" s="2"/>
      <c r="AL54" s="26"/>
      <c r="AM54" s="26"/>
      <c r="AN54" s="26"/>
      <c r="AO54" s="27"/>
      <c r="AP54" s="30"/>
      <c r="AQ54" s="26"/>
      <c r="AR54" s="26"/>
      <c r="AS54" s="32"/>
      <c r="AT54" s="34"/>
    </row>
    <row r="55" spans="2:46" x14ac:dyDescent="0.3">
      <c r="B55" s="8"/>
      <c r="C55" s="2" t="s">
        <v>783</v>
      </c>
      <c r="D55" s="26">
        <v>0</v>
      </c>
      <c r="E55" s="26">
        <v>0</v>
      </c>
      <c r="F55" s="27">
        <v>0</v>
      </c>
      <c r="G55" s="26">
        <v>0</v>
      </c>
      <c r="H55" s="26">
        <v>0</v>
      </c>
      <c r="I55" s="27">
        <v>0</v>
      </c>
      <c r="J55" s="26">
        <v>0</v>
      </c>
      <c r="K55" s="26">
        <v>0</v>
      </c>
      <c r="L55" s="67">
        <v>1</v>
      </c>
      <c r="N55" s="8"/>
      <c r="O55" s="2" t="s">
        <v>826</v>
      </c>
      <c r="P55" s="26">
        <v>0</v>
      </c>
      <c r="Q55" s="27">
        <v>0</v>
      </c>
      <c r="R55" s="30">
        <v>0</v>
      </c>
      <c r="S55" s="27">
        <v>0</v>
      </c>
      <c r="T55" s="30">
        <v>0</v>
      </c>
      <c r="U55" s="34">
        <v>1</v>
      </c>
      <c r="V55" s="34">
        <v>1</v>
      </c>
      <c r="X55" s="8"/>
      <c r="Y55" s="2"/>
      <c r="Z55" s="26"/>
      <c r="AA55" s="26"/>
      <c r="AB55" s="26"/>
      <c r="AC55" s="26"/>
      <c r="AD55" s="27"/>
      <c r="AE55" s="30"/>
      <c r="AF55" s="26"/>
      <c r="AG55" s="26"/>
      <c r="AH55" s="32"/>
      <c r="AJ55" s="8"/>
      <c r="AK55" s="2"/>
      <c r="AL55" s="26"/>
      <c r="AM55" s="26"/>
      <c r="AN55" s="26"/>
      <c r="AO55" s="27"/>
      <c r="AP55" s="30"/>
      <c r="AQ55" s="26"/>
      <c r="AR55" s="26"/>
      <c r="AS55" s="32"/>
      <c r="AT55" s="34"/>
    </row>
    <row r="56" spans="2:46" x14ac:dyDescent="0.3">
      <c r="B56" s="8"/>
      <c r="C56" s="2" t="s">
        <v>784</v>
      </c>
      <c r="D56" s="26">
        <v>0</v>
      </c>
      <c r="E56" s="26">
        <v>0</v>
      </c>
      <c r="F56" s="27">
        <v>0</v>
      </c>
      <c r="G56" s="26">
        <v>0</v>
      </c>
      <c r="H56" s="26">
        <v>0</v>
      </c>
      <c r="I56" s="27">
        <v>0</v>
      </c>
      <c r="J56" s="26">
        <v>0</v>
      </c>
      <c r="K56" s="26">
        <v>0</v>
      </c>
      <c r="L56" s="67">
        <v>1</v>
      </c>
      <c r="N56" s="8"/>
      <c r="O56" s="2" t="s">
        <v>827</v>
      </c>
      <c r="P56" s="26">
        <v>0</v>
      </c>
      <c r="Q56" s="27">
        <v>0</v>
      </c>
      <c r="R56" s="30">
        <v>0</v>
      </c>
      <c r="S56" s="27">
        <v>0</v>
      </c>
      <c r="T56" s="30">
        <v>0</v>
      </c>
      <c r="U56" s="34">
        <v>1</v>
      </c>
      <c r="V56" s="34">
        <v>1</v>
      </c>
      <c r="X56" s="8"/>
      <c r="Y56" s="2"/>
      <c r="Z56" s="26"/>
      <c r="AA56" s="26"/>
      <c r="AB56" s="26"/>
      <c r="AC56" s="26"/>
      <c r="AD56" s="27"/>
      <c r="AE56" s="30"/>
      <c r="AF56" s="26"/>
      <c r="AG56" s="26"/>
      <c r="AH56" s="32"/>
      <c r="AJ56" s="8"/>
      <c r="AK56" s="2"/>
      <c r="AL56" s="26"/>
      <c r="AM56" s="26"/>
      <c r="AN56" s="26"/>
      <c r="AO56" s="27"/>
      <c r="AP56" s="30"/>
      <c r="AQ56" s="26"/>
      <c r="AR56" s="26"/>
      <c r="AS56" s="32"/>
      <c r="AT56" s="34"/>
    </row>
    <row r="57" spans="2:46" x14ac:dyDescent="0.3">
      <c r="B57" s="8"/>
      <c r="C57" s="2" t="s">
        <v>785</v>
      </c>
      <c r="D57" s="26">
        <v>0</v>
      </c>
      <c r="E57" s="26">
        <v>0</v>
      </c>
      <c r="F57" s="27">
        <v>0</v>
      </c>
      <c r="G57" s="26">
        <v>0</v>
      </c>
      <c r="H57" s="26">
        <v>0</v>
      </c>
      <c r="I57" s="27">
        <v>0</v>
      </c>
      <c r="J57" s="26">
        <v>0</v>
      </c>
      <c r="K57" s="26">
        <v>0</v>
      </c>
      <c r="L57" s="67">
        <v>1</v>
      </c>
      <c r="N57" s="8"/>
      <c r="O57" s="2" t="s">
        <v>828</v>
      </c>
      <c r="P57" s="26">
        <v>0</v>
      </c>
      <c r="Q57" s="27">
        <v>0</v>
      </c>
      <c r="R57" s="30">
        <v>0</v>
      </c>
      <c r="S57" s="27">
        <v>0</v>
      </c>
      <c r="T57" s="30">
        <v>0</v>
      </c>
      <c r="U57" s="34">
        <v>1</v>
      </c>
      <c r="V57" s="34">
        <v>1</v>
      </c>
      <c r="X57" s="8"/>
      <c r="Y57" s="2"/>
      <c r="Z57" s="26"/>
      <c r="AA57" s="26"/>
      <c r="AB57" s="26"/>
      <c r="AC57" s="26"/>
      <c r="AD57" s="27"/>
      <c r="AE57" s="30"/>
      <c r="AF57" s="26"/>
      <c r="AG57" s="26"/>
      <c r="AH57" s="32"/>
      <c r="AJ57" s="8"/>
      <c r="AK57" s="2"/>
      <c r="AL57" s="26"/>
      <c r="AM57" s="26"/>
      <c r="AN57" s="26"/>
      <c r="AO57" s="27"/>
      <c r="AP57" s="30"/>
      <c r="AQ57" s="26"/>
      <c r="AR57" s="26"/>
      <c r="AS57" s="32"/>
      <c r="AT57" s="34"/>
    </row>
    <row r="58" spans="2:46" x14ac:dyDescent="0.3">
      <c r="B58" s="8"/>
      <c r="C58" s="2" t="s">
        <v>786</v>
      </c>
      <c r="D58" s="26">
        <v>0</v>
      </c>
      <c r="E58" s="26">
        <v>0</v>
      </c>
      <c r="F58" s="27">
        <v>0</v>
      </c>
      <c r="G58" s="26">
        <v>0</v>
      </c>
      <c r="H58" s="26">
        <v>0</v>
      </c>
      <c r="I58" s="27">
        <v>0</v>
      </c>
      <c r="J58" s="26">
        <v>0</v>
      </c>
      <c r="K58" s="26">
        <v>0</v>
      </c>
      <c r="L58" s="67">
        <v>1</v>
      </c>
      <c r="N58" s="8"/>
      <c r="O58" s="2" t="s">
        <v>829</v>
      </c>
      <c r="P58" s="26">
        <v>0</v>
      </c>
      <c r="Q58" s="27">
        <v>0</v>
      </c>
      <c r="R58" s="30">
        <v>0</v>
      </c>
      <c r="S58" s="27">
        <v>0</v>
      </c>
      <c r="T58" s="30">
        <v>0</v>
      </c>
      <c r="U58" s="34">
        <v>1</v>
      </c>
      <c r="V58" s="34">
        <v>1</v>
      </c>
      <c r="X58" s="8"/>
      <c r="Y58" s="2"/>
      <c r="Z58" s="26"/>
      <c r="AA58" s="26"/>
      <c r="AB58" s="26"/>
      <c r="AC58" s="26"/>
      <c r="AD58" s="27"/>
      <c r="AE58" s="30"/>
      <c r="AF58" s="26"/>
      <c r="AG58" s="26"/>
      <c r="AH58" s="32"/>
      <c r="AJ58" s="8"/>
      <c r="AK58" s="2"/>
      <c r="AL58" s="26"/>
      <c r="AM58" s="26"/>
      <c r="AN58" s="26"/>
      <c r="AO58" s="27"/>
      <c r="AP58" s="30"/>
      <c r="AQ58" s="26"/>
      <c r="AR58" s="26"/>
      <c r="AS58" s="32"/>
      <c r="AT58" s="34"/>
    </row>
    <row r="59" spans="2:46" x14ac:dyDescent="0.3">
      <c r="B59" s="8"/>
      <c r="C59" s="2" t="s">
        <v>787</v>
      </c>
      <c r="D59" s="26">
        <v>0</v>
      </c>
      <c r="E59" s="26">
        <v>0</v>
      </c>
      <c r="F59" s="27">
        <v>0</v>
      </c>
      <c r="G59" s="26">
        <v>0</v>
      </c>
      <c r="H59" s="26">
        <v>0</v>
      </c>
      <c r="I59" s="27">
        <v>0</v>
      </c>
      <c r="J59" s="26">
        <v>0</v>
      </c>
      <c r="K59" s="26">
        <v>0</v>
      </c>
      <c r="L59" s="67">
        <v>1</v>
      </c>
      <c r="N59" s="8"/>
      <c r="O59" s="2" t="s">
        <v>830</v>
      </c>
      <c r="P59" s="26">
        <v>0</v>
      </c>
      <c r="Q59" s="27">
        <v>0</v>
      </c>
      <c r="R59" s="30">
        <v>0</v>
      </c>
      <c r="S59" s="27">
        <v>0</v>
      </c>
      <c r="T59" s="30">
        <v>0</v>
      </c>
      <c r="U59" s="34">
        <v>1</v>
      </c>
      <c r="V59" s="34">
        <v>1</v>
      </c>
      <c r="X59" s="8"/>
      <c r="Y59" s="2"/>
      <c r="Z59" s="26"/>
      <c r="AA59" s="26"/>
      <c r="AB59" s="26"/>
      <c r="AC59" s="26"/>
      <c r="AD59" s="27"/>
      <c r="AE59" s="30"/>
      <c r="AF59" s="26"/>
      <c r="AG59" s="26"/>
      <c r="AH59" s="32"/>
      <c r="AJ59" s="8"/>
      <c r="AK59" s="2"/>
      <c r="AL59" s="26"/>
      <c r="AM59" s="26"/>
      <c r="AN59" s="26"/>
      <c r="AO59" s="27"/>
      <c r="AP59" s="30"/>
      <c r="AQ59" s="26"/>
      <c r="AR59" s="26"/>
      <c r="AS59" s="32"/>
      <c r="AT59" s="34"/>
    </row>
    <row r="60" spans="2:46" x14ac:dyDescent="0.3">
      <c r="B60" s="8"/>
      <c r="C60" s="2" t="s">
        <v>788</v>
      </c>
      <c r="D60" s="26">
        <v>0</v>
      </c>
      <c r="E60" s="26">
        <v>0</v>
      </c>
      <c r="F60" s="27">
        <v>0</v>
      </c>
      <c r="G60" s="26">
        <v>0</v>
      </c>
      <c r="H60" s="26">
        <v>0</v>
      </c>
      <c r="I60" s="27">
        <v>0</v>
      </c>
      <c r="J60" s="26">
        <v>0</v>
      </c>
      <c r="K60" s="26">
        <v>0</v>
      </c>
      <c r="L60" s="67">
        <v>1</v>
      </c>
      <c r="N60" s="8"/>
      <c r="O60" s="2" t="s">
        <v>831</v>
      </c>
      <c r="P60" s="26">
        <v>0</v>
      </c>
      <c r="Q60" s="27">
        <v>0</v>
      </c>
      <c r="R60" s="30">
        <v>0</v>
      </c>
      <c r="S60" s="27">
        <v>0</v>
      </c>
      <c r="T60" s="30">
        <v>0</v>
      </c>
      <c r="U60" s="34">
        <v>1</v>
      </c>
      <c r="V60" s="34">
        <v>1</v>
      </c>
      <c r="X60" s="8"/>
      <c r="Y60" s="2"/>
      <c r="Z60" s="26"/>
      <c r="AA60" s="26"/>
      <c r="AB60" s="26"/>
      <c r="AC60" s="26"/>
      <c r="AD60" s="27"/>
      <c r="AE60" s="30"/>
      <c r="AF60" s="26"/>
      <c r="AG60" s="26"/>
      <c r="AH60" s="32"/>
      <c r="AJ60" s="8"/>
      <c r="AK60" s="2"/>
      <c r="AL60" s="26"/>
      <c r="AM60" s="26"/>
      <c r="AN60" s="26"/>
      <c r="AO60" s="27"/>
      <c r="AP60" s="30"/>
      <c r="AQ60" s="26"/>
      <c r="AR60" s="26"/>
      <c r="AS60" s="32"/>
      <c r="AT60" s="34"/>
    </row>
    <row r="61" spans="2:46" x14ac:dyDescent="0.3">
      <c r="B61" s="8"/>
      <c r="C61" s="2" t="s">
        <v>789</v>
      </c>
      <c r="D61" s="26">
        <v>0</v>
      </c>
      <c r="E61" s="26">
        <v>0</v>
      </c>
      <c r="F61" s="27">
        <v>0</v>
      </c>
      <c r="G61" s="26">
        <v>0</v>
      </c>
      <c r="H61" s="26">
        <v>0</v>
      </c>
      <c r="I61" s="27">
        <v>0</v>
      </c>
      <c r="J61" s="26">
        <v>0</v>
      </c>
      <c r="K61" s="26">
        <v>0</v>
      </c>
      <c r="L61" s="67">
        <v>1</v>
      </c>
      <c r="N61" s="8"/>
      <c r="O61" s="2" t="s">
        <v>832</v>
      </c>
      <c r="P61" s="26">
        <v>0</v>
      </c>
      <c r="Q61" s="27">
        <v>0</v>
      </c>
      <c r="R61" s="30">
        <v>0</v>
      </c>
      <c r="S61" s="27">
        <v>0</v>
      </c>
      <c r="T61" s="30">
        <v>0</v>
      </c>
      <c r="U61" s="34">
        <v>1</v>
      </c>
      <c r="V61" s="34">
        <v>1</v>
      </c>
      <c r="X61" s="8"/>
      <c r="Y61" s="2"/>
      <c r="Z61" s="26"/>
      <c r="AA61" s="26"/>
      <c r="AB61" s="26"/>
      <c r="AC61" s="26"/>
      <c r="AD61" s="27"/>
      <c r="AE61" s="30"/>
      <c r="AF61" s="26"/>
      <c r="AG61" s="26"/>
      <c r="AH61" s="32"/>
      <c r="AJ61" s="8"/>
      <c r="AK61" s="2"/>
      <c r="AL61" s="26"/>
      <c r="AM61" s="26"/>
      <c r="AN61" s="26"/>
      <c r="AO61" s="27"/>
      <c r="AP61" s="30"/>
      <c r="AQ61" s="26"/>
      <c r="AR61" s="26"/>
      <c r="AS61" s="32"/>
      <c r="AT61" s="34"/>
    </row>
    <row r="62" spans="2:46" x14ac:dyDescent="0.3">
      <c r="B62" s="8"/>
      <c r="C62" s="2" t="s">
        <v>790</v>
      </c>
      <c r="D62" s="26">
        <v>0</v>
      </c>
      <c r="E62" s="26">
        <v>0</v>
      </c>
      <c r="F62" s="27">
        <v>0</v>
      </c>
      <c r="G62" s="26">
        <v>0</v>
      </c>
      <c r="H62" s="26">
        <v>0</v>
      </c>
      <c r="I62" s="27">
        <v>0</v>
      </c>
      <c r="J62" s="26">
        <v>0</v>
      </c>
      <c r="K62" s="26">
        <v>0</v>
      </c>
      <c r="L62" s="67">
        <v>1</v>
      </c>
      <c r="N62" s="8"/>
      <c r="O62" s="2" t="s">
        <v>833</v>
      </c>
      <c r="P62" s="26">
        <v>0</v>
      </c>
      <c r="Q62" s="27">
        <v>0</v>
      </c>
      <c r="R62" s="30">
        <v>0</v>
      </c>
      <c r="S62" s="27">
        <v>0</v>
      </c>
      <c r="T62" s="30">
        <v>0</v>
      </c>
      <c r="U62" s="34">
        <v>1</v>
      </c>
      <c r="V62" s="34">
        <v>1</v>
      </c>
      <c r="X62" s="8"/>
      <c r="Y62" s="2"/>
      <c r="Z62" s="26"/>
      <c r="AA62" s="26"/>
      <c r="AB62" s="26"/>
      <c r="AC62" s="26"/>
      <c r="AD62" s="27"/>
      <c r="AE62" s="30"/>
      <c r="AF62" s="26"/>
      <c r="AG62" s="26"/>
      <c r="AH62" s="32"/>
      <c r="AJ62" s="8"/>
      <c r="AK62" s="2"/>
      <c r="AL62" s="26"/>
      <c r="AM62" s="26"/>
      <c r="AN62" s="26"/>
      <c r="AO62" s="27"/>
      <c r="AP62" s="30"/>
      <c r="AQ62" s="26"/>
      <c r="AR62" s="26"/>
      <c r="AS62" s="32"/>
      <c r="AT62" s="34"/>
    </row>
    <row r="63" spans="2:46" x14ac:dyDescent="0.3">
      <c r="B63" s="8"/>
      <c r="C63" s="2" t="s">
        <v>791</v>
      </c>
      <c r="D63" s="26">
        <v>0</v>
      </c>
      <c r="E63" s="26">
        <v>0</v>
      </c>
      <c r="F63" s="27">
        <v>0</v>
      </c>
      <c r="G63" s="26">
        <v>0</v>
      </c>
      <c r="H63" s="26">
        <v>0</v>
      </c>
      <c r="I63" s="27">
        <v>0</v>
      </c>
      <c r="J63" s="26">
        <v>0</v>
      </c>
      <c r="K63" s="26">
        <v>0</v>
      </c>
      <c r="L63" s="67">
        <v>1</v>
      </c>
      <c r="N63" s="8"/>
      <c r="O63" s="2" t="s">
        <v>834</v>
      </c>
      <c r="P63" s="26">
        <v>0</v>
      </c>
      <c r="Q63" s="27">
        <v>0</v>
      </c>
      <c r="R63" s="30">
        <v>0</v>
      </c>
      <c r="S63" s="27">
        <v>0</v>
      </c>
      <c r="T63" s="30">
        <v>0</v>
      </c>
      <c r="U63" s="34">
        <v>1</v>
      </c>
      <c r="V63" s="34">
        <v>1</v>
      </c>
      <c r="X63" s="8"/>
      <c r="Y63" s="2"/>
      <c r="Z63" s="26"/>
      <c r="AA63" s="26"/>
      <c r="AB63" s="26"/>
      <c r="AC63" s="26"/>
      <c r="AD63" s="27"/>
      <c r="AE63" s="30"/>
      <c r="AF63" s="26"/>
      <c r="AG63" s="26"/>
      <c r="AH63" s="32"/>
      <c r="AJ63" s="8"/>
      <c r="AK63" s="2"/>
      <c r="AL63" s="26"/>
      <c r="AM63" s="26"/>
      <c r="AN63" s="26"/>
      <c r="AO63" s="27"/>
      <c r="AP63" s="30"/>
      <c r="AQ63" s="26"/>
      <c r="AR63" s="26"/>
      <c r="AS63" s="32"/>
      <c r="AT63" s="34"/>
    </row>
    <row r="64" spans="2:46" x14ac:dyDescent="0.3">
      <c r="B64" s="8"/>
      <c r="C64" s="2" t="s">
        <v>792</v>
      </c>
      <c r="D64" s="26">
        <v>0</v>
      </c>
      <c r="E64" s="26">
        <v>0</v>
      </c>
      <c r="F64" s="27">
        <v>0</v>
      </c>
      <c r="G64" s="26">
        <v>0</v>
      </c>
      <c r="H64" s="26">
        <v>0</v>
      </c>
      <c r="I64" s="27">
        <v>0</v>
      </c>
      <c r="J64" s="26">
        <v>0</v>
      </c>
      <c r="K64" s="26">
        <v>0</v>
      </c>
      <c r="L64" s="67">
        <v>1</v>
      </c>
      <c r="N64" s="8"/>
      <c r="O64" s="2" t="s">
        <v>835</v>
      </c>
      <c r="P64" s="26">
        <v>0</v>
      </c>
      <c r="Q64" s="27">
        <v>0</v>
      </c>
      <c r="R64" s="30">
        <v>0</v>
      </c>
      <c r="S64" s="27">
        <v>0</v>
      </c>
      <c r="T64" s="30">
        <v>0</v>
      </c>
      <c r="U64" s="34">
        <v>1</v>
      </c>
      <c r="V64" s="34">
        <v>1</v>
      </c>
      <c r="X64" s="8"/>
      <c r="Y64" s="2"/>
      <c r="Z64" s="26"/>
      <c r="AA64" s="26"/>
      <c r="AB64" s="26"/>
      <c r="AC64" s="26"/>
      <c r="AD64" s="27"/>
      <c r="AE64" s="30"/>
      <c r="AF64" s="26"/>
      <c r="AG64" s="26"/>
      <c r="AH64" s="32"/>
      <c r="AJ64" s="8"/>
      <c r="AK64" s="2"/>
      <c r="AL64" s="26"/>
      <c r="AM64" s="26"/>
      <c r="AN64" s="26"/>
      <c r="AO64" s="27"/>
      <c r="AP64" s="30"/>
      <c r="AQ64" s="26"/>
      <c r="AR64" s="26"/>
      <c r="AS64" s="32"/>
      <c r="AT64" s="34"/>
    </row>
    <row r="65" spans="2:46" x14ac:dyDescent="0.3">
      <c r="B65" s="8"/>
      <c r="C65" s="2" t="s">
        <v>793</v>
      </c>
      <c r="D65" s="26">
        <v>0</v>
      </c>
      <c r="E65" s="26">
        <v>0</v>
      </c>
      <c r="F65" s="27">
        <v>0</v>
      </c>
      <c r="G65" s="26">
        <v>0</v>
      </c>
      <c r="H65" s="26">
        <v>0</v>
      </c>
      <c r="I65" s="27">
        <v>0</v>
      </c>
      <c r="J65" s="26">
        <v>0</v>
      </c>
      <c r="K65" s="26">
        <v>0</v>
      </c>
      <c r="L65" s="67">
        <v>1</v>
      </c>
      <c r="N65" s="8"/>
      <c r="O65" s="2" t="s">
        <v>836</v>
      </c>
      <c r="P65" s="26">
        <v>0</v>
      </c>
      <c r="Q65" s="27">
        <v>0</v>
      </c>
      <c r="R65" s="30">
        <v>0</v>
      </c>
      <c r="S65" s="27">
        <v>0</v>
      </c>
      <c r="T65" s="30">
        <v>0</v>
      </c>
      <c r="U65" s="34">
        <v>1</v>
      </c>
      <c r="V65" s="34">
        <v>1</v>
      </c>
      <c r="X65" s="8"/>
      <c r="Y65" s="2"/>
      <c r="Z65" s="26"/>
      <c r="AA65" s="26"/>
      <c r="AB65" s="26"/>
      <c r="AC65" s="26"/>
      <c r="AD65" s="27"/>
      <c r="AE65" s="30"/>
      <c r="AF65" s="26"/>
      <c r="AG65" s="26"/>
      <c r="AH65" s="32"/>
      <c r="AJ65" s="8"/>
      <c r="AK65" s="2"/>
      <c r="AL65" s="26"/>
      <c r="AM65" s="26"/>
      <c r="AN65" s="26"/>
      <c r="AO65" s="27"/>
      <c r="AP65" s="30"/>
      <c r="AQ65" s="26"/>
      <c r="AR65" s="26"/>
      <c r="AS65" s="32"/>
      <c r="AT65" s="34"/>
    </row>
    <row r="66" spans="2:46" x14ac:dyDescent="0.3">
      <c r="B66" s="8"/>
      <c r="C66" s="2" t="s">
        <v>980</v>
      </c>
      <c r="D66" s="26">
        <v>0</v>
      </c>
      <c r="E66" s="26">
        <v>0</v>
      </c>
      <c r="F66" s="27">
        <v>0</v>
      </c>
      <c r="G66" s="26">
        <v>0</v>
      </c>
      <c r="H66" s="26">
        <v>0</v>
      </c>
      <c r="I66" s="27">
        <v>0</v>
      </c>
      <c r="J66" s="26">
        <v>0</v>
      </c>
      <c r="K66" s="26">
        <v>0</v>
      </c>
      <c r="L66" s="67">
        <v>1</v>
      </c>
      <c r="N66" s="8"/>
      <c r="O66" s="2" t="s">
        <v>950</v>
      </c>
      <c r="P66" s="26">
        <v>0</v>
      </c>
      <c r="Q66" s="27">
        <v>0</v>
      </c>
      <c r="R66" s="30">
        <v>0</v>
      </c>
      <c r="S66" s="27">
        <v>0</v>
      </c>
      <c r="T66" s="30">
        <v>0</v>
      </c>
      <c r="U66" s="34">
        <v>1</v>
      </c>
      <c r="V66" s="34">
        <v>1</v>
      </c>
      <c r="X66" s="8"/>
      <c r="Y66" s="2"/>
      <c r="Z66" s="26"/>
      <c r="AA66" s="26"/>
      <c r="AB66" s="26"/>
      <c r="AC66" s="26"/>
      <c r="AD66" s="27"/>
      <c r="AE66" s="30"/>
      <c r="AF66" s="26"/>
      <c r="AG66" s="26"/>
      <c r="AH66" s="32"/>
      <c r="AJ66" s="8"/>
      <c r="AK66" s="2"/>
      <c r="AL66" s="26"/>
      <c r="AM66" s="26"/>
      <c r="AN66" s="26"/>
      <c r="AO66" s="27"/>
      <c r="AP66" s="30"/>
      <c r="AQ66" s="26"/>
      <c r="AR66" s="26"/>
      <c r="AS66" s="32"/>
      <c r="AT66" s="34"/>
    </row>
    <row r="67" spans="2:46" x14ac:dyDescent="0.3">
      <c r="B67" s="8"/>
      <c r="C67" s="2" t="s">
        <v>981</v>
      </c>
      <c r="D67" s="26">
        <v>0</v>
      </c>
      <c r="E67" s="26">
        <v>0</v>
      </c>
      <c r="F67" s="27">
        <v>0</v>
      </c>
      <c r="G67" s="26">
        <v>0</v>
      </c>
      <c r="H67" s="26">
        <v>0</v>
      </c>
      <c r="I67" s="27">
        <v>0</v>
      </c>
      <c r="J67" s="26">
        <v>0</v>
      </c>
      <c r="K67" s="26">
        <v>0</v>
      </c>
      <c r="L67" s="67">
        <v>1</v>
      </c>
      <c r="N67" s="8"/>
      <c r="O67" s="2" t="s">
        <v>951</v>
      </c>
      <c r="P67" s="26">
        <v>0</v>
      </c>
      <c r="Q67" s="27">
        <v>0</v>
      </c>
      <c r="R67" s="30">
        <v>0</v>
      </c>
      <c r="S67" s="27">
        <v>0</v>
      </c>
      <c r="T67" s="30">
        <v>0</v>
      </c>
      <c r="U67" s="34">
        <v>1</v>
      </c>
      <c r="V67" s="34">
        <v>1</v>
      </c>
      <c r="X67" s="8"/>
      <c r="Y67" s="2"/>
      <c r="Z67" s="26"/>
      <c r="AA67" s="26"/>
      <c r="AB67" s="26"/>
      <c r="AC67" s="26"/>
      <c r="AD67" s="27"/>
      <c r="AE67" s="30"/>
      <c r="AF67" s="26"/>
      <c r="AG67" s="26"/>
      <c r="AH67" s="32"/>
      <c r="AJ67" s="8"/>
      <c r="AK67" s="2"/>
      <c r="AL67" s="26"/>
      <c r="AM67" s="26"/>
      <c r="AN67" s="26"/>
      <c r="AO67" s="27"/>
      <c r="AP67" s="30"/>
      <c r="AQ67" s="26"/>
      <c r="AR67" s="26"/>
      <c r="AS67" s="32"/>
      <c r="AT67" s="34"/>
    </row>
    <row r="68" spans="2:46" x14ac:dyDescent="0.3">
      <c r="B68" s="8"/>
      <c r="C68" s="2" t="s">
        <v>794</v>
      </c>
      <c r="D68" s="26">
        <v>0</v>
      </c>
      <c r="E68" s="26">
        <v>0</v>
      </c>
      <c r="F68" s="27">
        <v>0</v>
      </c>
      <c r="G68" s="26">
        <v>0</v>
      </c>
      <c r="H68" s="26">
        <v>0</v>
      </c>
      <c r="I68" s="27">
        <v>0</v>
      </c>
      <c r="J68" s="26">
        <v>0</v>
      </c>
      <c r="K68" s="26">
        <v>0</v>
      </c>
      <c r="L68" s="67">
        <v>1</v>
      </c>
      <c r="N68" s="8"/>
      <c r="O68" s="2" t="s">
        <v>837</v>
      </c>
      <c r="P68" s="26">
        <v>0</v>
      </c>
      <c r="Q68" s="27">
        <v>0</v>
      </c>
      <c r="R68" s="30">
        <v>0</v>
      </c>
      <c r="S68" s="27">
        <v>0</v>
      </c>
      <c r="T68" s="30">
        <v>0</v>
      </c>
      <c r="U68" s="34">
        <v>1</v>
      </c>
      <c r="V68" s="34">
        <v>1</v>
      </c>
      <c r="X68" s="8"/>
      <c r="Y68" s="2"/>
      <c r="Z68" s="26"/>
      <c r="AA68" s="26"/>
      <c r="AB68" s="26"/>
      <c r="AC68" s="26"/>
      <c r="AD68" s="27"/>
      <c r="AE68" s="30"/>
      <c r="AF68" s="26"/>
      <c r="AG68" s="26"/>
      <c r="AH68" s="32"/>
      <c r="AJ68" s="8"/>
      <c r="AK68" s="2"/>
      <c r="AL68" s="26"/>
      <c r="AM68" s="26"/>
      <c r="AN68" s="26"/>
      <c r="AO68" s="27"/>
      <c r="AP68" s="30"/>
      <c r="AQ68" s="26"/>
      <c r="AR68" s="26"/>
      <c r="AS68" s="32"/>
      <c r="AT68" s="34"/>
    </row>
    <row r="69" spans="2:46" x14ac:dyDescent="0.3">
      <c r="B69" s="8"/>
      <c r="C69" s="2" t="s">
        <v>795</v>
      </c>
      <c r="D69" s="26">
        <v>0</v>
      </c>
      <c r="E69" s="26">
        <v>0</v>
      </c>
      <c r="F69" s="27">
        <v>0</v>
      </c>
      <c r="G69" s="26">
        <v>0</v>
      </c>
      <c r="H69" s="26">
        <v>0</v>
      </c>
      <c r="I69" s="27">
        <v>0</v>
      </c>
      <c r="J69" s="26">
        <v>0</v>
      </c>
      <c r="K69" s="26">
        <v>0</v>
      </c>
      <c r="L69" s="67">
        <v>1</v>
      </c>
      <c r="N69" s="8"/>
      <c r="O69" s="2" t="s">
        <v>838</v>
      </c>
      <c r="P69" s="26">
        <v>0</v>
      </c>
      <c r="Q69" s="27">
        <v>0</v>
      </c>
      <c r="R69" s="30">
        <v>0</v>
      </c>
      <c r="S69" s="27">
        <v>0</v>
      </c>
      <c r="T69" s="30">
        <v>0</v>
      </c>
      <c r="U69" s="34">
        <v>1</v>
      </c>
      <c r="V69" s="34">
        <v>1</v>
      </c>
      <c r="X69" s="8"/>
      <c r="Y69" s="2"/>
      <c r="Z69" s="26"/>
      <c r="AA69" s="26"/>
      <c r="AB69" s="26"/>
      <c r="AC69" s="26"/>
      <c r="AD69" s="27"/>
      <c r="AE69" s="30"/>
      <c r="AF69" s="26"/>
      <c r="AG69" s="26"/>
      <c r="AH69" s="32"/>
      <c r="AJ69" s="8"/>
      <c r="AK69" s="2"/>
      <c r="AL69" s="26"/>
      <c r="AM69" s="26"/>
      <c r="AN69" s="26"/>
      <c r="AO69" s="27"/>
      <c r="AP69" s="30"/>
      <c r="AQ69" s="26"/>
      <c r="AR69" s="26"/>
      <c r="AS69" s="32"/>
      <c r="AT69" s="34"/>
    </row>
    <row r="70" spans="2:46" x14ac:dyDescent="0.3">
      <c r="B70" s="8"/>
      <c r="C70" s="2" t="s">
        <v>796</v>
      </c>
      <c r="D70" s="26">
        <v>0</v>
      </c>
      <c r="E70" s="26">
        <v>0</v>
      </c>
      <c r="F70" s="27">
        <v>0</v>
      </c>
      <c r="G70" s="26">
        <v>0</v>
      </c>
      <c r="H70" s="26">
        <v>0</v>
      </c>
      <c r="I70" s="27">
        <v>0</v>
      </c>
      <c r="J70" s="26">
        <v>0</v>
      </c>
      <c r="K70" s="26">
        <v>0</v>
      </c>
      <c r="L70" s="67">
        <v>1</v>
      </c>
      <c r="N70" s="8"/>
      <c r="O70" s="2" t="s">
        <v>839</v>
      </c>
      <c r="P70" s="26">
        <v>0</v>
      </c>
      <c r="Q70" s="27">
        <v>0</v>
      </c>
      <c r="R70" s="30">
        <v>0</v>
      </c>
      <c r="S70" s="27">
        <v>0</v>
      </c>
      <c r="T70" s="30">
        <v>0</v>
      </c>
      <c r="U70" s="34">
        <v>1</v>
      </c>
      <c r="V70" s="34">
        <v>1</v>
      </c>
      <c r="X70" s="8"/>
      <c r="Y70" s="2"/>
      <c r="Z70" s="26"/>
      <c r="AA70" s="26"/>
      <c r="AB70" s="26"/>
      <c r="AC70" s="26"/>
      <c r="AD70" s="27"/>
      <c r="AE70" s="30"/>
      <c r="AF70" s="26"/>
      <c r="AG70" s="26"/>
      <c r="AH70" s="32"/>
      <c r="AJ70" s="8"/>
      <c r="AK70" s="2"/>
      <c r="AL70" s="26"/>
      <c r="AM70" s="26"/>
      <c r="AN70" s="26"/>
      <c r="AO70" s="27"/>
      <c r="AP70" s="30"/>
      <c r="AQ70" s="26"/>
      <c r="AR70" s="26"/>
      <c r="AS70" s="32"/>
      <c r="AT70" s="34"/>
    </row>
    <row r="71" spans="2:46" x14ac:dyDescent="0.3">
      <c r="B71" s="8"/>
      <c r="C71" s="2" t="s">
        <v>797</v>
      </c>
      <c r="D71" s="26">
        <v>0</v>
      </c>
      <c r="E71" s="26">
        <v>0</v>
      </c>
      <c r="F71" s="27">
        <v>0</v>
      </c>
      <c r="G71" s="26">
        <v>0</v>
      </c>
      <c r="H71" s="26">
        <v>0</v>
      </c>
      <c r="I71" s="27">
        <v>0</v>
      </c>
      <c r="J71" s="26">
        <v>0</v>
      </c>
      <c r="K71" s="26">
        <v>0</v>
      </c>
      <c r="L71" s="67">
        <v>1</v>
      </c>
      <c r="N71" s="8"/>
      <c r="O71" s="2" t="s">
        <v>840</v>
      </c>
      <c r="P71" s="26">
        <v>0</v>
      </c>
      <c r="Q71" s="27">
        <v>0</v>
      </c>
      <c r="R71" s="30">
        <v>0</v>
      </c>
      <c r="S71" s="27">
        <v>0</v>
      </c>
      <c r="T71" s="30">
        <v>0</v>
      </c>
      <c r="U71" s="34">
        <v>1</v>
      </c>
      <c r="V71" s="34">
        <v>1</v>
      </c>
      <c r="X71" s="8"/>
      <c r="Y71" s="2"/>
      <c r="Z71" s="26"/>
      <c r="AA71" s="26"/>
      <c r="AB71" s="26"/>
      <c r="AC71" s="26"/>
      <c r="AD71" s="27"/>
      <c r="AE71" s="30"/>
      <c r="AF71" s="26"/>
      <c r="AG71" s="26"/>
      <c r="AH71" s="32"/>
      <c r="AJ71" s="8"/>
      <c r="AK71" s="2"/>
      <c r="AL71" s="26"/>
      <c r="AM71" s="26"/>
      <c r="AN71" s="26"/>
      <c r="AO71" s="27"/>
      <c r="AP71" s="30"/>
      <c r="AQ71" s="26"/>
      <c r="AR71" s="26"/>
      <c r="AS71" s="32"/>
      <c r="AT71" s="34"/>
    </row>
    <row r="72" spans="2:46" x14ac:dyDescent="0.3">
      <c r="B72" s="8"/>
      <c r="C72" s="2" t="s">
        <v>798</v>
      </c>
      <c r="D72" s="26">
        <v>0</v>
      </c>
      <c r="E72" s="26">
        <v>0</v>
      </c>
      <c r="F72" s="27">
        <v>0</v>
      </c>
      <c r="G72" s="26">
        <v>0</v>
      </c>
      <c r="H72" s="26">
        <v>0</v>
      </c>
      <c r="I72" s="27">
        <v>0</v>
      </c>
      <c r="J72" s="26">
        <v>0</v>
      </c>
      <c r="K72" s="26">
        <v>0</v>
      </c>
      <c r="L72" s="67">
        <v>1</v>
      </c>
      <c r="N72" s="8"/>
      <c r="O72" s="2" t="s">
        <v>841</v>
      </c>
      <c r="P72" s="26">
        <v>0</v>
      </c>
      <c r="Q72" s="27">
        <v>0</v>
      </c>
      <c r="R72" s="30">
        <v>0</v>
      </c>
      <c r="S72" s="27">
        <v>0</v>
      </c>
      <c r="T72" s="30">
        <v>0</v>
      </c>
      <c r="U72" s="34">
        <v>1</v>
      </c>
      <c r="V72" s="34">
        <v>1</v>
      </c>
      <c r="X72" s="8"/>
      <c r="Y72" s="2"/>
      <c r="Z72" s="26"/>
      <c r="AA72" s="26"/>
      <c r="AB72" s="26"/>
      <c r="AC72" s="26"/>
      <c r="AD72" s="27"/>
      <c r="AE72" s="30"/>
      <c r="AF72" s="26"/>
      <c r="AG72" s="26"/>
      <c r="AH72" s="32"/>
      <c r="AJ72" s="8"/>
      <c r="AK72" s="2"/>
      <c r="AL72" s="26"/>
      <c r="AM72" s="26"/>
      <c r="AN72" s="26"/>
      <c r="AO72" s="27"/>
      <c r="AP72" s="30"/>
      <c r="AQ72" s="26"/>
      <c r="AR72" s="26"/>
      <c r="AS72" s="32"/>
      <c r="AT72" s="34"/>
    </row>
    <row r="73" spans="2:46" x14ac:dyDescent="0.3">
      <c r="B73" s="8"/>
      <c r="C73" s="2" t="s">
        <v>730</v>
      </c>
      <c r="D73" s="26">
        <v>0</v>
      </c>
      <c r="E73" s="26">
        <v>0</v>
      </c>
      <c r="F73" s="27">
        <v>0</v>
      </c>
      <c r="G73" s="26">
        <v>0</v>
      </c>
      <c r="H73" s="26">
        <v>0</v>
      </c>
      <c r="I73" s="27">
        <v>0</v>
      </c>
      <c r="J73" s="26">
        <v>0</v>
      </c>
      <c r="K73" s="26">
        <v>0</v>
      </c>
      <c r="L73" s="67">
        <v>1</v>
      </c>
      <c r="N73" s="8"/>
      <c r="O73" s="2" t="s">
        <v>666</v>
      </c>
      <c r="P73" s="26">
        <v>0</v>
      </c>
      <c r="Q73" s="27">
        <v>0</v>
      </c>
      <c r="R73" s="30">
        <v>0</v>
      </c>
      <c r="S73" s="27">
        <v>0</v>
      </c>
      <c r="T73" s="30">
        <v>0</v>
      </c>
      <c r="U73" s="34">
        <v>1</v>
      </c>
      <c r="V73" s="34">
        <v>1</v>
      </c>
      <c r="X73" s="8"/>
      <c r="Y73" s="2"/>
      <c r="Z73" s="26"/>
      <c r="AA73" s="26"/>
      <c r="AB73" s="26"/>
      <c r="AC73" s="26"/>
      <c r="AD73" s="27"/>
      <c r="AE73" s="30"/>
      <c r="AF73" s="26"/>
      <c r="AG73" s="26"/>
      <c r="AH73" s="32"/>
      <c r="AJ73" s="8"/>
      <c r="AK73" s="2"/>
      <c r="AL73" s="26"/>
      <c r="AM73" s="26"/>
      <c r="AN73" s="26"/>
      <c r="AO73" s="27"/>
      <c r="AP73" s="30"/>
      <c r="AQ73" s="26"/>
      <c r="AR73" s="26"/>
      <c r="AS73" s="32"/>
      <c r="AT73" s="34"/>
    </row>
    <row r="74" spans="2:46" x14ac:dyDescent="0.3">
      <c r="B74" s="8"/>
      <c r="C74" s="2" t="s">
        <v>799</v>
      </c>
      <c r="D74" s="26">
        <v>0</v>
      </c>
      <c r="E74" s="26">
        <v>0</v>
      </c>
      <c r="F74" s="27">
        <v>0</v>
      </c>
      <c r="G74" s="26">
        <v>0</v>
      </c>
      <c r="H74" s="26">
        <v>0</v>
      </c>
      <c r="I74" s="27">
        <v>0</v>
      </c>
      <c r="J74" s="26">
        <v>0</v>
      </c>
      <c r="K74" s="26">
        <v>0</v>
      </c>
      <c r="L74" s="67">
        <v>1</v>
      </c>
      <c r="N74" s="8"/>
      <c r="O74" s="2" t="s">
        <v>842</v>
      </c>
      <c r="P74" s="26">
        <v>0</v>
      </c>
      <c r="Q74" s="27">
        <v>0</v>
      </c>
      <c r="R74" s="30">
        <v>0</v>
      </c>
      <c r="S74" s="27">
        <v>0</v>
      </c>
      <c r="T74" s="30">
        <v>0</v>
      </c>
      <c r="U74" s="34">
        <v>1</v>
      </c>
      <c r="V74" s="34">
        <v>1</v>
      </c>
      <c r="X74" s="8"/>
      <c r="Y74" s="2"/>
      <c r="Z74" s="26"/>
      <c r="AA74" s="26"/>
      <c r="AB74" s="26"/>
      <c r="AC74" s="26"/>
      <c r="AD74" s="27"/>
      <c r="AE74" s="30"/>
      <c r="AF74" s="26"/>
      <c r="AG74" s="26"/>
      <c r="AH74" s="32"/>
      <c r="AJ74" s="8"/>
      <c r="AK74" s="2"/>
      <c r="AL74" s="26"/>
      <c r="AM74" s="26"/>
      <c r="AN74" s="26"/>
      <c r="AO74" s="27"/>
      <c r="AP74" s="30"/>
      <c r="AQ74" s="26"/>
      <c r="AR74" s="26"/>
      <c r="AS74" s="32"/>
      <c r="AT74" s="34"/>
    </row>
    <row r="75" spans="2:46" x14ac:dyDescent="0.3">
      <c r="B75" s="8"/>
      <c r="C75" s="2" t="s">
        <v>731</v>
      </c>
      <c r="D75" s="26">
        <v>0</v>
      </c>
      <c r="E75" s="26">
        <v>0</v>
      </c>
      <c r="F75" s="27">
        <v>0</v>
      </c>
      <c r="G75" s="26">
        <v>0</v>
      </c>
      <c r="H75" s="26">
        <v>0</v>
      </c>
      <c r="I75" s="27">
        <v>0</v>
      </c>
      <c r="J75" s="26">
        <v>0</v>
      </c>
      <c r="K75" s="26">
        <v>0</v>
      </c>
      <c r="L75" s="67">
        <v>1</v>
      </c>
      <c r="N75" s="8"/>
      <c r="O75" s="2" t="s">
        <v>667</v>
      </c>
      <c r="P75" s="26">
        <v>0</v>
      </c>
      <c r="Q75" s="27">
        <v>0</v>
      </c>
      <c r="R75" s="30">
        <v>0</v>
      </c>
      <c r="S75" s="27">
        <v>0</v>
      </c>
      <c r="T75" s="30">
        <v>0</v>
      </c>
      <c r="U75" s="34">
        <v>1</v>
      </c>
      <c r="V75" s="34">
        <v>1</v>
      </c>
      <c r="X75" s="8"/>
      <c r="Y75" s="2"/>
      <c r="Z75" s="26"/>
      <c r="AA75" s="26"/>
      <c r="AB75" s="26"/>
      <c r="AC75" s="26"/>
      <c r="AD75" s="27"/>
      <c r="AE75" s="30"/>
      <c r="AF75" s="26"/>
      <c r="AG75" s="26"/>
      <c r="AH75" s="32"/>
      <c r="AJ75" s="8"/>
      <c r="AK75" s="2"/>
      <c r="AL75" s="26"/>
      <c r="AM75" s="26"/>
      <c r="AN75" s="26"/>
      <c r="AO75" s="27"/>
      <c r="AP75" s="30"/>
      <c r="AQ75" s="26"/>
      <c r="AR75" s="26"/>
      <c r="AS75" s="32"/>
      <c r="AT75" s="34"/>
    </row>
    <row r="76" spans="2:46" x14ac:dyDescent="0.3">
      <c r="B76" s="8"/>
      <c r="C76" s="2" t="s">
        <v>800</v>
      </c>
      <c r="D76" s="26">
        <v>0</v>
      </c>
      <c r="E76" s="26">
        <v>0</v>
      </c>
      <c r="F76" s="27">
        <v>0</v>
      </c>
      <c r="G76" s="26">
        <v>0</v>
      </c>
      <c r="H76" s="26">
        <v>0</v>
      </c>
      <c r="I76" s="27">
        <v>0</v>
      </c>
      <c r="J76" s="26">
        <v>0</v>
      </c>
      <c r="K76" s="26">
        <v>0</v>
      </c>
      <c r="L76" s="67">
        <v>1</v>
      </c>
      <c r="N76" s="8"/>
      <c r="O76" s="2" t="s">
        <v>843</v>
      </c>
      <c r="P76" s="26">
        <v>0</v>
      </c>
      <c r="Q76" s="27">
        <v>0</v>
      </c>
      <c r="R76" s="30">
        <v>0</v>
      </c>
      <c r="S76" s="27">
        <v>0</v>
      </c>
      <c r="T76" s="30">
        <v>0</v>
      </c>
      <c r="U76" s="34">
        <v>1</v>
      </c>
      <c r="V76" s="34">
        <v>1</v>
      </c>
      <c r="X76" s="8"/>
      <c r="Y76" s="2"/>
      <c r="Z76" s="26"/>
      <c r="AA76" s="26"/>
      <c r="AB76" s="26"/>
      <c r="AC76" s="26"/>
      <c r="AD76" s="27"/>
      <c r="AE76" s="30"/>
      <c r="AF76" s="26"/>
      <c r="AG76" s="26"/>
      <c r="AH76" s="32"/>
      <c r="AJ76" s="8"/>
      <c r="AK76" s="2"/>
      <c r="AL76" s="26"/>
      <c r="AM76" s="26"/>
      <c r="AN76" s="26"/>
      <c r="AO76" s="27"/>
      <c r="AP76" s="30"/>
      <c r="AQ76" s="26"/>
      <c r="AR76" s="26"/>
      <c r="AS76" s="32"/>
      <c r="AT76" s="34"/>
    </row>
    <row r="77" spans="2:46" x14ac:dyDescent="0.3">
      <c r="B77" s="8"/>
      <c r="C77" s="2" t="s">
        <v>982</v>
      </c>
      <c r="D77" s="26">
        <v>0</v>
      </c>
      <c r="E77" s="26">
        <v>0</v>
      </c>
      <c r="F77" s="27">
        <v>0</v>
      </c>
      <c r="G77" s="26">
        <v>0</v>
      </c>
      <c r="H77" s="26">
        <v>0</v>
      </c>
      <c r="I77" s="27">
        <v>0</v>
      </c>
      <c r="J77" s="26">
        <v>0</v>
      </c>
      <c r="K77" s="26">
        <v>0</v>
      </c>
      <c r="L77" s="67">
        <v>1</v>
      </c>
      <c r="N77" s="8"/>
      <c r="O77" s="2" t="s">
        <v>952</v>
      </c>
      <c r="P77" s="26">
        <v>0</v>
      </c>
      <c r="Q77" s="27">
        <v>0</v>
      </c>
      <c r="R77" s="30">
        <v>0</v>
      </c>
      <c r="S77" s="27">
        <v>0</v>
      </c>
      <c r="T77" s="30">
        <v>0</v>
      </c>
      <c r="U77" s="34">
        <v>1</v>
      </c>
      <c r="V77" s="34">
        <v>1</v>
      </c>
      <c r="X77" s="8"/>
      <c r="Y77" s="2"/>
      <c r="Z77" s="26"/>
      <c r="AA77" s="26"/>
      <c r="AB77" s="26"/>
      <c r="AC77" s="26"/>
      <c r="AD77" s="27"/>
      <c r="AE77" s="30"/>
      <c r="AF77" s="26"/>
      <c r="AG77" s="26"/>
      <c r="AH77" s="32"/>
      <c r="AJ77" s="8"/>
      <c r="AK77" s="2"/>
      <c r="AL77" s="26"/>
      <c r="AM77" s="26"/>
      <c r="AN77" s="26"/>
      <c r="AO77" s="27"/>
      <c r="AP77" s="30"/>
      <c r="AQ77" s="26"/>
      <c r="AR77" s="26"/>
      <c r="AS77" s="32"/>
      <c r="AT77" s="34"/>
    </row>
    <row r="78" spans="2:46" x14ac:dyDescent="0.3">
      <c r="B78" s="8"/>
      <c r="C78" s="2" t="s">
        <v>983</v>
      </c>
      <c r="D78" s="26">
        <v>0</v>
      </c>
      <c r="E78" s="26">
        <v>0</v>
      </c>
      <c r="F78" s="27">
        <v>0</v>
      </c>
      <c r="G78" s="26">
        <v>0</v>
      </c>
      <c r="H78" s="26">
        <v>0</v>
      </c>
      <c r="I78" s="27">
        <v>0</v>
      </c>
      <c r="J78" s="26">
        <v>0</v>
      </c>
      <c r="K78" s="26">
        <v>0</v>
      </c>
      <c r="L78" s="67">
        <v>1</v>
      </c>
      <c r="N78" s="8"/>
      <c r="O78" s="2" t="s">
        <v>953</v>
      </c>
      <c r="P78" s="26">
        <v>0</v>
      </c>
      <c r="Q78" s="27">
        <v>0</v>
      </c>
      <c r="R78" s="30">
        <v>0</v>
      </c>
      <c r="S78" s="27">
        <v>0</v>
      </c>
      <c r="T78" s="30">
        <v>0</v>
      </c>
      <c r="U78" s="34">
        <v>1</v>
      </c>
      <c r="V78" s="34">
        <v>1</v>
      </c>
      <c r="X78" s="8"/>
      <c r="Y78" s="2"/>
      <c r="Z78" s="26"/>
      <c r="AA78" s="26"/>
      <c r="AB78" s="26"/>
      <c r="AC78" s="26"/>
      <c r="AD78" s="27"/>
      <c r="AE78" s="30"/>
      <c r="AF78" s="26"/>
      <c r="AG78" s="26"/>
      <c r="AH78" s="32"/>
      <c r="AJ78" s="8"/>
      <c r="AK78" s="2"/>
      <c r="AL78" s="26"/>
      <c r="AM78" s="26"/>
      <c r="AN78" s="26"/>
      <c r="AO78" s="27"/>
      <c r="AP78" s="30"/>
      <c r="AQ78" s="26"/>
      <c r="AR78" s="26"/>
      <c r="AS78" s="32"/>
      <c r="AT78" s="34"/>
    </row>
    <row r="79" spans="2:46" x14ac:dyDescent="0.3">
      <c r="B79" s="8"/>
      <c r="C79" s="2" t="s">
        <v>984</v>
      </c>
      <c r="D79" s="26">
        <v>0</v>
      </c>
      <c r="E79" s="26">
        <v>0</v>
      </c>
      <c r="F79" s="27">
        <v>0</v>
      </c>
      <c r="G79" s="26">
        <v>0</v>
      </c>
      <c r="H79" s="26">
        <v>0</v>
      </c>
      <c r="I79" s="27">
        <v>0</v>
      </c>
      <c r="J79" s="26">
        <v>0</v>
      </c>
      <c r="K79" s="26">
        <v>0</v>
      </c>
      <c r="L79" s="67">
        <v>1</v>
      </c>
      <c r="N79" s="8"/>
      <c r="O79" s="2" t="s">
        <v>954</v>
      </c>
      <c r="P79" s="26">
        <v>0</v>
      </c>
      <c r="Q79" s="27">
        <v>0</v>
      </c>
      <c r="R79" s="30">
        <v>0</v>
      </c>
      <c r="S79" s="27">
        <v>0</v>
      </c>
      <c r="T79" s="30">
        <v>0</v>
      </c>
      <c r="U79" s="34">
        <v>1</v>
      </c>
      <c r="V79" s="34">
        <v>1</v>
      </c>
      <c r="X79" s="8"/>
      <c r="Y79" s="2"/>
      <c r="Z79" s="26"/>
      <c r="AA79" s="26"/>
      <c r="AB79" s="26"/>
      <c r="AC79" s="26"/>
      <c r="AD79" s="27"/>
      <c r="AE79" s="30"/>
      <c r="AF79" s="26"/>
      <c r="AG79" s="26"/>
      <c r="AH79" s="32"/>
      <c r="AJ79" s="8"/>
      <c r="AK79" s="2"/>
      <c r="AL79" s="26"/>
      <c r="AM79" s="26"/>
      <c r="AN79" s="26"/>
      <c r="AO79" s="27"/>
      <c r="AP79" s="30"/>
      <c r="AQ79" s="26"/>
      <c r="AR79" s="26"/>
      <c r="AS79" s="32"/>
      <c r="AT79" s="34"/>
    </row>
    <row r="80" spans="2:46" x14ac:dyDescent="0.3">
      <c r="B80" s="8"/>
      <c r="C80" s="2" t="s">
        <v>732</v>
      </c>
      <c r="D80" s="26">
        <v>0</v>
      </c>
      <c r="E80" s="26">
        <v>0</v>
      </c>
      <c r="F80" s="27">
        <v>0</v>
      </c>
      <c r="G80" s="26">
        <v>0</v>
      </c>
      <c r="H80" s="26">
        <v>0</v>
      </c>
      <c r="I80" s="27">
        <v>0</v>
      </c>
      <c r="J80" s="26">
        <v>0</v>
      </c>
      <c r="K80" s="26">
        <v>0</v>
      </c>
      <c r="L80" s="67">
        <v>1</v>
      </c>
      <c r="N80" s="8"/>
      <c r="O80" s="2" t="s">
        <v>668</v>
      </c>
      <c r="P80" s="26">
        <v>0</v>
      </c>
      <c r="Q80" s="27">
        <v>0</v>
      </c>
      <c r="R80" s="30">
        <v>0</v>
      </c>
      <c r="S80" s="27">
        <v>0</v>
      </c>
      <c r="T80" s="30">
        <v>0</v>
      </c>
      <c r="U80" s="34">
        <v>1</v>
      </c>
      <c r="V80" s="34">
        <v>1</v>
      </c>
      <c r="X80" s="8"/>
      <c r="Y80" s="2"/>
      <c r="Z80" s="26"/>
      <c r="AA80" s="26"/>
      <c r="AB80" s="26"/>
      <c r="AC80" s="26"/>
      <c r="AD80" s="27"/>
      <c r="AE80" s="30"/>
      <c r="AF80" s="26"/>
      <c r="AG80" s="26"/>
      <c r="AH80" s="32"/>
      <c r="AJ80" s="8"/>
      <c r="AK80" s="2"/>
      <c r="AL80" s="26"/>
      <c r="AM80" s="26"/>
      <c r="AN80" s="26"/>
      <c r="AO80" s="27"/>
      <c r="AP80" s="30"/>
      <c r="AQ80" s="26"/>
      <c r="AR80" s="26"/>
      <c r="AS80" s="32"/>
      <c r="AT80" s="34"/>
    </row>
    <row r="81" spans="2:46" x14ac:dyDescent="0.3">
      <c r="B81" s="8"/>
      <c r="C81" s="2" t="s">
        <v>801</v>
      </c>
      <c r="D81" s="26">
        <v>0</v>
      </c>
      <c r="E81" s="26">
        <v>0</v>
      </c>
      <c r="F81" s="27">
        <v>0</v>
      </c>
      <c r="G81" s="26">
        <v>0</v>
      </c>
      <c r="H81" s="26">
        <v>0</v>
      </c>
      <c r="I81" s="27">
        <v>0</v>
      </c>
      <c r="J81" s="26">
        <v>0</v>
      </c>
      <c r="K81" s="26">
        <v>0</v>
      </c>
      <c r="L81" s="67">
        <v>1</v>
      </c>
      <c r="N81" s="8"/>
      <c r="O81" s="2" t="s">
        <v>844</v>
      </c>
      <c r="P81" s="26">
        <v>0</v>
      </c>
      <c r="Q81" s="27">
        <v>0</v>
      </c>
      <c r="R81" s="30">
        <v>0</v>
      </c>
      <c r="S81" s="27">
        <v>0</v>
      </c>
      <c r="T81" s="30">
        <v>0</v>
      </c>
      <c r="U81" s="34">
        <v>1</v>
      </c>
      <c r="V81" s="34">
        <v>1</v>
      </c>
      <c r="X81" s="8"/>
      <c r="Y81" s="2"/>
      <c r="Z81" s="26"/>
      <c r="AA81" s="26"/>
      <c r="AB81" s="26"/>
      <c r="AC81" s="26"/>
      <c r="AD81" s="27"/>
      <c r="AE81" s="30"/>
      <c r="AF81" s="26"/>
      <c r="AG81" s="26"/>
      <c r="AH81" s="32"/>
      <c r="AJ81" s="8"/>
      <c r="AK81" s="2"/>
      <c r="AL81" s="26"/>
      <c r="AM81" s="26"/>
      <c r="AN81" s="26"/>
      <c r="AO81" s="27"/>
      <c r="AP81" s="30"/>
      <c r="AQ81" s="26"/>
      <c r="AR81" s="26"/>
      <c r="AS81" s="32"/>
      <c r="AT81" s="34"/>
    </row>
    <row r="82" spans="2:46" x14ac:dyDescent="0.3">
      <c r="B82" s="8"/>
      <c r="C82" s="2" t="s">
        <v>802</v>
      </c>
      <c r="D82" s="26">
        <v>0</v>
      </c>
      <c r="E82" s="26">
        <v>0</v>
      </c>
      <c r="F82" s="27">
        <v>0</v>
      </c>
      <c r="G82" s="26">
        <v>0</v>
      </c>
      <c r="H82" s="26">
        <v>0</v>
      </c>
      <c r="I82" s="27">
        <v>0</v>
      </c>
      <c r="J82" s="26">
        <v>0</v>
      </c>
      <c r="K82" s="26">
        <v>0</v>
      </c>
      <c r="L82" s="67">
        <v>1</v>
      </c>
      <c r="N82" s="8"/>
      <c r="O82" s="2" t="s">
        <v>845</v>
      </c>
      <c r="P82" s="26">
        <v>0</v>
      </c>
      <c r="Q82" s="27">
        <v>0</v>
      </c>
      <c r="R82" s="30">
        <v>0</v>
      </c>
      <c r="S82" s="27">
        <v>0</v>
      </c>
      <c r="T82" s="30">
        <v>0</v>
      </c>
      <c r="U82" s="34">
        <v>1</v>
      </c>
      <c r="V82" s="34">
        <v>1</v>
      </c>
      <c r="X82" s="8"/>
      <c r="Y82" s="2"/>
      <c r="Z82" s="26"/>
      <c r="AA82" s="26"/>
      <c r="AB82" s="26"/>
      <c r="AC82" s="26"/>
      <c r="AD82" s="27"/>
      <c r="AE82" s="30"/>
      <c r="AF82" s="26"/>
      <c r="AG82" s="26"/>
      <c r="AH82" s="32"/>
      <c r="AJ82" s="8"/>
      <c r="AK82" s="2"/>
      <c r="AL82" s="26"/>
      <c r="AM82" s="26"/>
      <c r="AN82" s="26"/>
      <c r="AO82" s="27"/>
      <c r="AP82" s="30"/>
      <c r="AQ82" s="26"/>
      <c r="AR82" s="26"/>
      <c r="AS82" s="32"/>
      <c r="AT82" s="34"/>
    </row>
    <row r="83" spans="2:46" x14ac:dyDescent="0.3">
      <c r="B83" s="8"/>
      <c r="C83" s="2" t="s">
        <v>733</v>
      </c>
      <c r="D83" s="26">
        <v>0</v>
      </c>
      <c r="E83" s="26">
        <v>0</v>
      </c>
      <c r="F83" s="27">
        <v>0</v>
      </c>
      <c r="G83" s="26">
        <v>0</v>
      </c>
      <c r="H83" s="26">
        <v>0</v>
      </c>
      <c r="I83" s="27">
        <v>0</v>
      </c>
      <c r="J83" s="26">
        <v>0</v>
      </c>
      <c r="K83" s="26">
        <v>0</v>
      </c>
      <c r="L83" s="67">
        <v>1</v>
      </c>
      <c r="N83" s="8"/>
      <c r="O83" s="2" t="s">
        <v>669</v>
      </c>
      <c r="P83" s="26">
        <v>0</v>
      </c>
      <c r="Q83" s="27">
        <v>0</v>
      </c>
      <c r="R83" s="30">
        <v>0</v>
      </c>
      <c r="S83" s="27">
        <v>0</v>
      </c>
      <c r="T83" s="30">
        <v>0</v>
      </c>
      <c r="U83" s="34">
        <v>1</v>
      </c>
      <c r="V83" s="34">
        <v>1</v>
      </c>
      <c r="X83" s="8"/>
      <c r="Y83" s="2"/>
      <c r="Z83" s="26"/>
      <c r="AA83" s="26"/>
      <c r="AB83" s="26"/>
      <c r="AC83" s="26"/>
      <c r="AD83" s="27"/>
      <c r="AE83" s="30"/>
      <c r="AF83" s="26"/>
      <c r="AG83" s="26"/>
      <c r="AH83" s="32"/>
      <c r="AJ83" s="8"/>
      <c r="AK83" s="2"/>
      <c r="AL83" s="26"/>
      <c r="AM83" s="26"/>
      <c r="AN83" s="26"/>
      <c r="AO83" s="27"/>
      <c r="AP83" s="30"/>
      <c r="AQ83" s="26"/>
      <c r="AR83" s="26"/>
      <c r="AS83" s="32"/>
      <c r="AT83" s="34"/>
    </row>
    <row r="84" spans="2:46" x14ac:dyDescent="0.3">
      <c r="B84" s="8"/>
      <c r="C84" s="2" t="s">
        <v>803</v>
      </c>
      <c r="D84" s="26">
        <v>0</v>
      </c>
      <c r="E84" s="26">
        <v>0</v>
      </c>
      <c r="F84" s="27">
        <v>0</v>
      </c>
      <c r="G84" s="26">
        <v>0</v>
      </c>
      <c r="H84" s="26">
        <v>0</v>
      </c>
      <c r="I84" s="27">
        <v>0</v>
      </c>
      <c r="J84" s="26">
        <v>0</v>
      </c>
      <c r="K84" s="26">
        <v>0</v>
      </c>
      <c r="L84" s="67">
        <v>1</v>
      </c>
      <c r="N84" s="8"/>
      <c r="O84" s="2" t="s">
        <v>846</v>
      </c>
      <c r="P84" s="26">
        <v>0</v>
      </c>
      <c r="Q84" s="27">
        <v>0</v>
      </c>
      <c r="R84" s="30">
        <v>0</v>
      </c>
      <c r="S84" s="27">
        <v>0</v>
      </c>
      <c r="T84" s="30">
        <v>0</v>
      </c>
      <c r="U84" s="34">
        <v>1</v>
      </c>
      <c r="V84" s="34">
        <v>1</v>
      </c>
      <c r="X84" s="8"/>
      <c r="Y84" s="2"/>
      <c r="Z84" s="26"/>
      <c r="AA84" s="26"/>
      <c r="AB84" s="26"/>
      <c r="AC84" s="26"/>
      <c r="AD84" s="27"/>
      <c r="AE84" s="30"/>
      <c r="AF84" s="26"/>
      <c r="AG84" s="26"/>
      <c r="AH84" s="32"/>
      <c r="AJ84" s="8"/>
      <c r="AK84" s="2"/>
      <c r="AL84" s="26"/>
      <c r="AM84" s="26"/>
      <c r="AN84" s="26"/>
      <c r="AO84" s="27"/>
      <c r="AP84" s="30"/>
      <c r="AQ84" s="26"/>
      <c r="AR84" s="26"/>
      <c r="AS84" s="32"/>
      <c r="AT84" s="34"/>
    </row>
    <row r="85" spans="2:46" x14ac:dyDescent="0.3">
      <c r="B85" s="8"/>
      <c r="C85" s="2" t="s">
        <v>804</v>
      </c>
      <c r="D85" s="26">
        <v>0</v>
      </c>
      <c r="E85" s="26">
        <v>0</v>
      </c>
      <c r="F85" s="27">
        <v>0</v>
      </c>
      <c r="G85" s="26">
        <v>0</v>
      </c>
      <c r="H85" s="26">
        <v>0</v>
      </c>
      <c r="I85" s="27">
        <v>0</v>
      </c>
      <c r="J85" s="26">
        <v>0</v>
      </c>
      <c r="K85" s="26">
        <v>0</v>
      </c>
      <c r="L85" s="67">
        <v>1</v>
      </c>
      <c r="N85" s="8"/>
      <c r="O85" s="2" t="s">
        <v>847</v>
      </c>
      <c r="P85" s="26">
        <v>0</v>
      </c>
      <c r="Q85" s="27">
        <v>0</v>
      </c>
      <c r="R85" s="30">
        <v>0</v>
      </c>
      <c r="S85" s="27">
        <v>0</v>
      </c>
      <c r="T85" s="30">
        <v>0</v>
      </c>
      <c r="U85" s="34">
        <v>1</v>
      </c>
      <c r="V85" s="34">
        <v>1</v>
      </c>
      <c r="X85" s="8"/>
      <c r="Y85" s="2"/>
      <c r="Z85" s="26"/>
      <c r="AA85" s="26"/>
      <c r="AB85" s="26"/>
      <c r="AC85" s="26"/>
      <c r="AD85" s="27"/>
      <c r="AE85" s="30"/>
      <c r="AF85" s="26"/>
      <c r="AG85" s="26"/>
      <c r="AH85" s="32"/>
      <c r="AJ85" s="8"/>
      <c r="AK85" s="2"/>
      <c r="AL85" s="26"/>
      <c r="AM85" s="26"/>
      <c r="AN85" s="26"/>
      <c r="AO85" s="27"/>
      <c r="AP85" s="30"/>
      <c r="AQ85" s="26"/>
      <c r="AR85" s="26"/>
      <c r="AS85" s="32"/>
      <c r="AT85" s="34"/>
    </row>
    <row r="86" spans="2:46" x14ac:dyDescent="0.3">
      <c r="B86" s="8"/>
      <c r="C86" s="2" t="s">
        <v>805</v>
      </c>
      <c r="D86" s="26">
        <v>0</v>
      </c>
      <c r="E86" s="26">
        <v>0</v>
      </c>
      <c r="F86" s="27">
        <v>0</v>
      </c>
      <c r="G86" s="26">
        <v>0</v>
      </c>
      <c r="H86" s="26">
        <v>0</v>
      </c>
      <c r="I86" s="27">
        <v>0</v>
      </c>
      <c r="J86" s="26">
        <v>0</v>
      </c>
      <c r="K86" s="26">
        <v>0</v>
      </c>
      <c r="L86" s="67">
        <v>1</v>
      </c>
      <c r="N86" s="8"/>
      <c r="O86" s="2" t="s">
        <v>848</v>
      </c>
      <c r="P86" s="26">
        <v>0</v>
      </c>
      <c r="Q86" s="27">
        <v>0</v>
      </c>
      <c r="R86" s="30">
        <v>0</v>
      </c>
      <c r="S86" s="27">
        <v>0</v>
      </c>
      <c r="T86" s="30">
        <v>0</v>
      </c>
      <c r="U86" s="34">
        <v>1</v>
      </c>
      <c r="V86" s="34">
        <v>1</v>
      </c>
      <c r="X86" s="8"/>
      <c r="Y86" s="2"/>
      <c r="Z86" s="26"/>
      <c r="AA86" s="26"/>
      <c r="AB86" s="26"/>
      <c r="AC86" s="26"/>
      <c r="AD86" s="27"/>
      <c r="AE86" s="30"/>
      <c r="AF86" s="26"/>
      <c r="AG86" s="26"/>
      <c r="AH86" s="32"/>
      <c r="AJ86" s="8"/>
      <c r="AK86" s="2"/>
      <c r="AL86" s="26"/>
      <c r="AM86" s="26"/>
      <c r="AN86" s="26"/>
      <c r="AO86" s="27"/>
      <c r="AP86" s="30"/>
      <c r="AQ86" s="26"/>
      <c r="AR86" s="26"/>
      <c r="AS86" s="32"/>
      <c r="AT86" s="34"/>
    </row>
    <row r="87" spans="2:46" x14ac:dyDescent="0.3">
      <c r="B87" s="8"/>
      <c r="C87" s="2" t="s">
        <v>734</v>
      </c>
      <c r="D87" s="26">
        <v>0</v>
      </c>
      <c r="E87" s="26">
        <v>0</v>
      </c>
      <c r="F87" s="27">
        <v>0</v>
      </c>
      <c r="G87" s="26">
        <v>0</v>
      </c>
      <c r="H87" s="26">
        <v>0</v>
      </c>
      <c r="I87" s="27">
        <v>0</v>
      </c>
      <c r="J87" s="26">
        <v>0</v>
      </c>
      <c r="K87" s="26">
        <v>0</v>
      </c>
      <c r="L87" s="67">
        <v>1</v>
      </c>
      <c r="N87" s="8"/>
      <c r="O87" s="2" t="s">
        <v>670</v>
      </c>
      <c r="P87" s="26">
        <v>0</v>
      </c>
      <c r="Q87" s="27">
        <v>0</v>
      </c>
      <c r="R87" s="30">
        <v>0</v>
      </c>
      <c r="S87" s="27">
        <v>0</v>
      </c>
      <c r="T87" s="30">
        <v>0</v>
      </c>
      <c r="U87" s="34">
        <v>1</v>
      </c>
      <c r="V87" s="34">
        <v>1</v>
      </c>
      <c r="X87" s="8"/>
      <c r="Y87" s="2"/>
      <c r="Z87" s="26"/>
      <c r="AA87" s="26"/>
      <c r="AB87" s="26"/>
      <c r="AC87" s="26"/>
      <c r="AD87" s="27"/>
      <c r="AE87" s="30"/>
      <c r="AF87" s="26"/>
      <c r="AG87" s="26"/>
      <c r="AH87" s="32"/>
      <c r="AJ87" s="8"/>
      <c r="AK87" s="2"/>
      <c r="AL87" s="26"/>
      <c r="AM87" s="26"/>
      <c r="AN87" s="26"/>
      <c r="AO87" s="27"/>
      <c r="AP87" s="30"/>
      <c r="AQ87" s="26"/>
      <c r="AR87" s="26"/>
      <c r="AS87" s="32"/>
      <c r="AT87" s="34"/>
    </row>
    <row r="88" spans="2:46" x14ac:dyDescent="0.3">
      <c r="B88" s="8"/>
      <c r="C88" s="2" t="s">
        <v>735</v>
      </c>
      <c r="D88" s="26">
        <v>0</v>
      </c>
      <c r="E88" s="26">
        <v>0</v>
      </c>
      <c r="F88" s="27">
        <v>0</v>
      </c>
      <c r="G88" s="26">
        <v>0</v>
      </c>
      <c r="H88" s="26">
        <v>0</v>
      </c>
      <c r="I88" s="27">
        <v>0</v>
      </c>
      <c r="J88" s="26">
        <v>0</v>
      </c>
      <c r="K88" s="26">
        <v>0</v>
      </c>
      <c r="L88" s="67">
        <v>1</v>
      </c>
      <c r="N88" s="8"/>
      <c r="O88" s="2" t="s">
        <v>671</v>
      </c>
      <c r="P88" s="26">
        <v>0</v>
      </c>
      <c r="Q88" s="27">
        <v>0</v>
      </c>
      <c r="R88" s="30">
        <v>0</v>
      </c>
      <c r="S88" s="27">
        <v>0</v>
      </c>
      <c r="T88" s="30">
        <v>0</v>
      </c>
      <c r="U88" s="34">
        <v>1</v>
      </c>
      <c r="V88" s="34">
        <v>1</v>
      </c>
      <c r="X88" s="8"/>
      <c r="Y88" s="2"/>
      <c r="Z88" s="26"/>
      <c r="AA88" s="26"/>
      <c r="AB88" s="26"/>
      <c r="AC88" s="26"/>
      <c r="AD88" s="27"/>
      <c r="AE88" s="30"/>
      <c r="AF88" s="26"/>
      <c r="AG88" s="26"/>
      <c r="AH88" s="32"/>
      <c r="AJ88" s="8"/>
      <c r="AK88" s="2"/>
      <c r="AL88" s="26"/>
      <c r="AM88" s="26"/>
      <c r="AN88" s="26"/>
      <c r="AO88" s="27"/>
      <c r="AP88" s="30"/>
      <c r="AQ88" s="26"/>
      <c r="AR88" s="26"/>
      <c r="AS88" s="32"/>
      <c r="AT88" s="34"/>
    </row>
    <row r="89" spans="2:46" x14ac:dyDescent="0.3">
      <c r="B89" s="8"/>
      <c r="C89" s="2" t="s">
        <v>736</v>
      </c>
      <c r="D89" s="26">
        <v>0</v>
      </c>
      <c r="E89" s="26">
        <v>0</v>
      </c>
      <c r="F89" s="27">
        <v>0</v>
      </c>
      <c r="G89" s="26">
        <v>0</v>
      </c>
      <c r="H89" s="26">
        <v>0</v>
      </c>
      <c r="I89" s="27">
        <v>0</v>
      </c>
      <c r="J89" s="26">
        <v>0</v>
      </c>
      <c r="K89" s="26">
        <v>0</v>
      </c>
      <c r="L89" s="67">
        <v>1</v>
      </c>
      <c r="N89" s="8"/>
      <c r="O89" s="2" t="s">
        <v>672</v>
      </c>
      <c r="P89" s="26">
        <v>0</v>
      </c>
      <c r="Q89" s="27">
        <v>0</v>
      </c>
      <c r="R89" s="30">
        <v>0</v>
      </c>
      <c r="S89" s="27">
        <v>0</v>
      </c>
      <c r="T89" s="30">
        <v>0</v>
      </c>
      <c r="U89" s="34">
        <v>1</v>
      </c>
      <c r="V89" s="34">
        <v>1</v>
      </c>
      <c r="X89" s="8"/>
      <c r="Y89" s="2"/>
      <c r="Z89" s="26"/>
      <c r="AA89" s="26"/>
      <c r="AB89" s="26"/>
      <c r="AC89" s="26"/>
      <c r="AD89" s="27"/>
      <c r="AE89" s="30"/>
      <c r="AF89" s="26"/>
      <c r="AG89" s="26"/>
      <c r="AH89" s="32"/>
      <c r="AJ89" s="8"/>
      <c r="AK89" s="2"/>
      <c r="AL89" s="26"/>
      <c r="AM89" s="26"/>
      <c r="AN89" s="26"/>
      <c r="AO89" s="27"/>
      <c r="AP89" s="30"/>
      <c r="AQ89" s="26"/>
      <c r="AR89" s="26"/>
      <c r="AS89" s="32"/>
      <c r="AT89" s="34"/>
    </row>
    <row r="90" spans="2:46" x14ac:dyDescent="0.3">
      <c r="B90" s="8"/>
      <c r="C90" s="2" t="s">
        <v>737</v>
      </c>
      <c r="D90" s="26">
        <v>0</v>
      </c>
      <c r="E90" s="26">
        <v>0</v>
      </c>
      <c r="F90" s="27">
        <v>0</v>
      </c>
      <c r="G90" s="26">
        <v>0</v>
      </c>
      <c r="H90" s="26">
        <v>0</v>
      </c>
      <c r="I90" s="27">
        <v>0</v>
      </c>
      <c r="J90" s="26">
        <v>0</v>
      </c>
      <c r="K90" s="26">
        <v>0</v>
      </c>
      <c r="L90" s="67">
        <v>1</v>
      </c>
      <c r="N90" s="8"/>
      <c r="O90" s="2" t="s">
        <v>673</v>
      </c>
      <c r="P90" s="26">
        <v>0</v>
      </c>
      <c r="Q90" s="27">
        <v>0</v>
      </c>
      <c r="R90" s="30">
        <v>0</v>
      </c>
      <c r="S90" s="27">
        <v>0</v>
      </c>
      <c r="T90" s="30">
        <v>0</v>
      </c>
      <c r="U90" s="34">
        <v>1</v>
      </c>
      <c r="V90" s="34">
        <v>1</v>
      </c>
      <c r="X90" s="8"/>
      <c r="Y90" s="2"/>
      <c r="Z90" s="26"/>
      <c r="AA90" s="26"/>
      <c r="AB90" s="26"/>
      <c r="AC90" s="26"/>
      <c r="AD90" s="27"/>
      <c r="AE90" s="30"/>
      <c r="AF90" s="26"/>
      <c r="AG90" s="26"/>
      <c r="AH90" s="32"/>
      <c r="AJ90" s="8"/>
      <c r="AK90" s="2"/>
      <c r="AL90" s="26"/>
      <c r="AM90" s="26"/>
      <c r="AN90" s="26"/>
      <c r="AO90" s="27"/>
      <c r="AP90" s="30"/>
      <c r="AQ90" s="26"/>
      <c r="AR90" s="26"/>
      <c r="AS90" s="32"/>
      <c r="AT90" s="34"/>
    </row>
    <row r="91" spans="2:46" x14ac:dyDescent="0.3">
      <c r="B91" s="8"/>
      <c r="C91" s="2" t="s">
        <v>806</v>
      </c>
      <c r="D91" s="26">
        <v>0</v>
      </c>
      <c r="E91" s="26">
        <v>0</v>
      </c>
      <c r="F91" s="27">
        <v>0</v>
      </c>
      <c r="G91" s="26">
        <v>0</v>
      </c>
      <c r="H91" s="26">
        <v>0</v>
      </c>
      <c r="I91" s="27">
        <v>0</v>
      </c>
      <c r="J91" s="26">
        <v>0</v>
      </c>
      <c r="K91" s="26">
        <v>0</v>
      </c>
      <c r="L91" s="67">
        <v>1</v>
      </c>
      <c r="N91" s="8"/>
      <c r="O91" s="2" t="s">
        <v>849</v>
      </c>
      <c r="P91" s="26">
        <v>0</v>
      </c>
      <c r="Q91" s="27">
        <v>0</v>
      </c>
      <c r="R91" s="30">
        <v>0</v>
      </c>
      <c r="S91" s="27">
        <v>0</v>
      </c>
      <c r="T91" s="30">
        <v>0</v>
      </c>
      <c r="U91" s="34">
        <v>1</v>
      </c>
      <c r="V91" s="34">
        <v>1</v>
      </c>
      <c r="X91" s="8"/>
      <c r="Y91" s="2"/>
      <c r="Z91" s="26"/>
      <c r="AA91" s="26"/>
      <c r="AB91" s="26"/>
      <c r="AC91" s="26"/>
      <c r="AD91" s="27"/>
      <c r="AE91" s="30"/>
      <c r="AF91" s="26"/>
      <c r="AG91" s="26"/>
      <c r="AH91" s="32"/>
      <c r="AJ91" s="8"/>
      <c r="AK91" s="2"/>
      <c r="AL91" s="26"/>
      <c r="AM91" s="26"/>
      <c r="AN91" s="26"/>
      <c r="AO91" s="27"/>
      <c r="AP91" s="30"/>
      <c r="AQ91" s="26"/>
      <c r="AR91" s="26"/>
      <c r="AS91" s="32"/>
      <c r="AT91" s="34"/>
    </row>
    <row r="92" spans="2:46" x14ac:dyDescent="0.3">
      <c r="B92" s="8"/>
      <c r="C92" s="2" t="s">
        <v>807</v>
      </c>
      <c r="D92" s="26">
        <v>0</v>
      </c>
      <c r="E92" s="26">
        <v>0</v>
      </c>
      <c r="F92" s="27">
        <v>0</v>
      </c>
      <c r="G92" s="26">
        <v>0</v>
      </c>
      <c r="H92" s="26">
        <v>0</v>
      </c>
      <c r="I92" s="27">
        <v>0</v>
      </c>
      <c r="J92" s="26">
        <v>0</v>
      </c>
      <c r="K92" s="26">
        <v>0</v>
      </c>
      <c r="L92" s="67">
        <v>1</v>
      </c>
      <c r="N92" s="8"/>
      <c r="O92" s="2" t="s">
        <v>850</v>
      </c>
      <c r="P92" s="26">
        <v>0</v>
      </c>
      <c r="Q92" s="27">
        <v>0</v>
      </c>
      <c r="R92" s="30">
        <v>0</v>
      </c>
      <c r="S92" s="27">
        <v>0</v>
      </c>
      <c r="T92" s="30">
        <v>0</v>
      </c>
      <c r="U92" s="34">
        <v>1</v>
      </c>
      <c r="V92" s="34">
        <v>1</v>
      </c>
      <c r="X92" s="8"/>
      <c r="Y92" s="2"/>
      <c r="Z92" s="26"/>
      <c r="AA92" s="26"/>
      <c r="AB92" s="26"/>
      <c r="AC92" s="26"/>
      <c r="AD92" s="27"/>
      <c r="AE92" s="30"/>
      <c r="AF92" s="26"/>
      <c r="AG92" s="26"/>
      <c r="AH92" s="32"/>
      <c r="AJ92" s="8"/>
      <c r="AK92" s="2"/>
      <c r="AL92" s="26"/>
      <c r="AM92" s="26"/>
      <c r="AN92" s="26"/>
      <c r="AO92" s="27"/>
      <c r="AP92" s="30"/>
      <c r="AQ92" s="26"/>
      <c r="AR92" s="26"/>
      <c r="AS92" s="32"/>
      <c r="AT92" s="34"/>
    </row>
    <row r="93" spans="2:46" x14ac:dyDescent="0.3">
      <c r="B93" s="8"/>
      <c r="C93" s="2" t="s">
        <v>738</v>
      </c>
      <c r="D93" s="26">
        <v>0</v>
      </c>
      <c r="E93" s="26">
        <v>0</v>
      </c>
      <c r="F93" s="27">
        <v>0</v>
      </c>
      <c r="G93" s="26">
        <v>0</v>
      </c>
      <c r="H93" s="26">
        <v>0</v>
      </c>
      <c r="I93" s="27">
        <v>0</v>
      </c>
      <c r="J93" s="26">
        <v>0</v>
      </c>
      <c r="K93" s="26">
        <v>0</v>
      </c>
      <c r="L93" s="67">
        <v>1</v>
      </c>
      <c r="N93" s="8"/>
      <c r="O93" s="2" t="s">
        <v>674</v>
      </c>
      <c r="P93" s="26">
        <v>0</v>
      </c>
      <c r="Q93" s="27">
        <v>0</v>
      </c>
      <c r="R93" s="30">
        <v>0</v>
      </c>
      <c r="S93" s="27">
        <v>0</v>
      </c>
      <c r="T93" s="30">
        <v>0</v>
      </c>
      <c r="U93" s="34">
        <v>1</v>
      </c>
      <c r="V93" s="34">
        <v>1</v>
      </c>
      <c r="X93" s="8"/>
      <c r="Y93" s="2"/>
      <c r="Z93" s="26"/>
      <c r="AA93" s="26"/>
      <c r="AB93" s="26"/>
      <c r="AC93" s="26"/>
      <c r="AD93" s="27"/>
      <c r="AE93" s="30"/>
      <c r="AF93" s="26"/>
      <c r="AG93" s="26"/>
      <c r="AH93" s="32"/>
      <c r="AJ93" s="8"/>
      <c r="AK93" s="2"/>
      <c r="AL93" s="26"/>
      <c r="AM93" s="26"/>
      <c r="AN93" s="26"/>
      <c r="AO93" s="27"/>
      <c r="AP93" s="30"/>
      <c r="AQ93" s="26"/>
      <c r="AR93" s="26"/>
      <c r="AS93" s="32"/>
      <c r="AT93" s="34"/>
    </row>
    <row r="94" spans="2:46" x14ac:dyDescent="0.3">
      <c r="B94" s="8"/>
      <c r="C94" s="2" t="s">
        <v>739</v>
      </c>
      <c r="D94" s="26">
        <v>0</v>
      </c>
      <c r="E94" s="26">
        <v>0</v>
      </c>
      <c r="F94" s="27">
        <v>0</v>
      </c>
      <c r="G94" s="26">
        <v>0</v>
      </c>
      <c r="H94" s="26">
        <v>0</v>
      </c>
      <c r="I94" s="27">
        <v>0</v>
      </c>
      <c r="J94" s="26">
        <v>0</v>
      </c>
      <c r="K94" s="26">
        <v>0</v>
      </c>
      <c r="L94" s="67">
        <v>1</v>
      </c>
      <c r="N94" s="8"/>
      <c r="O94" s="2" t="s">
        <v>675</v>
      </c>
      <c r="P94" s="26">
        <v>0</v>
      </c>
      <c r="Q94" s="27">
        <v>0</v>
      </c>
      <c r="R94" s="30">
        <v>0</v>
      </c>
      <c r="S94" s="27">
        <v>0</v>
      </c>
      <c r="T94" s="30">
        <v>0</v>
      </c>
      <c r="U94" s="34">
        <v>1</v>
      </c>
      <c r="V94" s="34">
        <v>1</v>
      </c>
      <c r="X94" s="8"/>
      <c r="Y94" s="2"/>
      <c r="Z94" s="26"/>
      <c r="AA94" s="26"/>
      <c r="AB94" s="26"/>
      <c r="AC94" s="26"/>
      <c r="AD94" s="27"/>
      <c r="AE94" s="30"/>
      <c r="AF94" s="26"/>
      <c r="AG94" s="26"/>
      <c r="AH94" s="32"/>
      <c r="AJ94" s="8"/>
      <c r="AK94" s="2"/>
      <c r="AL94" s="26"/>
      <c r="AM94" s="26"/>
      <c r="AN94" s="26"/>
      <c r="AO94" s="27"/>
      <c r="AP94" s="30"/>
      <c r="AQ94" s="26"/>
      <c r="AR94" s="26"/>
      <c r="AS94" s="32"/>
      <c r="AT94" s="34"/>
    </row>
    <row r="95" spans="2:46" x14ac:dyDescent="0.3">
      <c r="B95" s="8"/>
      <c r="C95" s="2" t="s">
        <v>740</v>
      </c>
      <c r="D95" s="26">
        <v>0</v>
      </c>
      <c r="E95" s="26">
        <v>0</v>
      </c>
      <c r="F95" s="27">
        <v>0</v>
      </c>
      <c r="G95" s="26">
        <v>0</v>
      </c>
      <c r="H95" s="26">
        <v>0</v>
      </c>
      <c r="I95" s="27">
        <v>0</v>
      </c>
      <c r="J95" s="26">
        <v>0</v>
      </c>
      <c r="K95" s="26">
        <v>0</v>
      </c>
      <c r="L95" s="67">
        <v>1</v>
      </c>
      <c r="N95" s="8"/>
      <c r="O95" s="2" t="s">
        <v>676</v>
      </c>
      <c r="P95" s="26">
        <v>0</v>
      </c>
      <c r="Q95" s="27">
        <v>0</v>
      </c>
      <c r="R95" s="30">
        <v>0</v>
      </c>
      <c r="S95" s="27">
        <v>0</v>
      </c>
      <c r="T95" s="30">
        <v>0</v>
      </c>
      <c r="U95" s="34">
        <v>1</v>
      </c>
      <c r="V95" s="34">
        <v>1</v>
      </c>
      <c r="X95" s="8"/>
      <c r="Y95" s="2"/>
      <c r="Z95" s="26"/>
      <c r="AA95" s="26"/>
      <c r="AB95" s="26"/>
      <c r="AC95" s="26"/>
      <c r="AD95" s="27"/>
      <c r="AE95" s="30"/>
      <c r="AF95" s="26"/>
      <c r="AG95" s="26"/>
      <c r="AH95" s="32"/>
      <c r="AJ95" s="8"/>
      <c r="AK95" s="2"/>
      <c r="AL95" s="26"/>
      <c r="AM95" s="26"/>
      <c r="AN95" s="26"/>
      <c r="AO95" s="27"/>
      <c r="AP95" s="30"/>
      <c r="AQ95" s="26"/>
      <c r="AR95" s="26"/>
      <c r="AS95" s="32"/>
      <c r="AT95" s="34"/>
    </row>
    <row r="96" spans="2:46" x14ac:dyDescent="0.3">
      <c r="B96" s="8"/>
      <c r="C96" s="2" t="s">
        <v>741</v>
      </c>
      <c r="D96" s="26">
        <v>0</v>
      </c>
      <c r="E96" s="26">
        <v>0</v>
      </c>
      <c r="F96" s="27">
        <v>0</v>
      </c>
      <c r="G96" s="26">
        <v>0</v>
      </c>
      <c r="H96" s="26">
        <v>0</v>
      </c>
      <c r="I96" s="27">
        <v>0</v>
      </c>
      <c r="J96" s="26">
        <v>0</v>
      </c>
      <c r="K96" s="26">
        <v>0</v>
      </c>
      <c r="L96" s="67">
        <v>1</v>
      </c>
      <c r="N96" s="8"/>
      <c r="O96" s="2" t="s">
        <v>677</v>
      </c>
      <c r="P96" s="26">
        <v>0</v>
      </c>
      <c r="Q96" s="27">
        <v>0</v>
      </c>
      <c r="R96" s="30">
        <v>0</v>
      </c>
      <c r="S96" s="27">
        <v>0</v>
      </c>
      <c r="T96" s="30">
        <v>0</v>
      </c>
      <c r="U96" s="34">
        <v>1</v>
      </c>
      <c r="V96" s="34">
        <v>1</v>
      </c>
      <c r="X96" s="8"/>
      <c r="Y96" s="2"/>
      <c r="Z96" s="26"/>
      <c r="AA96" s="26"/>
      <c r="AB96" s="26"/>
      <c r="AC96" s="26"/>
      <c r="AD96" s="27"/>
      <c r="AE96" s="30"/>
      <c r="AF96" s="26"/>
      <c r="AG96" s="26"/>
      <c r="AH96" s="32"/>
      <c r="AJ96" s="8"/>
      <c r="AK96" s="2"/>
      <c r="AL96" s="26"/>
      <c r="AM96" s="26"/>
      <c r="AN96" s="26"/>
      <c r="AO96" s="27"/>
      <c r="AP96" s="30"/>
      <c r="AQ96" s="26"/>
      <c r="AR96" s="26"/>
      <c r="AS96" s="32"/>
      <c r="AT96" s="34"/>
    </row>
    <row r="97" spans="2:46" x14ac:dyDescent="0.3">
      <c r="B97" s="8"/>
      <c r="C97" s="2" t="s">
        <v>742</v>
      </c>
      <c r="D97" s="26">
        <v>0</v>
      </c>
      <c r="E97" s="26">
        <v>0</v>
      </c>
      <c r="F97" s="27">
        <v>0</v>
      </c>
      <c r="G97" s="26">
        <v>0</v>
      </c>
      <c r="H97" s="26">
        <v>0</v>
      </c>
      <c r="I97" s="27">
        <v>0</v>
      </c>
      <c r="J97" s="26">
        <v>0</v>
      </c>
      <c r="K97" s="26">
        <v>0</v>
      </c>
      <c r="L97" s="67">
        <v>1</v>
      </c>
      <c r="N97" s="8"/>
      <c r="O97" s="2" t="s">
        <v>678</v>
      </c>
      <c r="P97" s="26">
        <v>0</v>
      </c>
      <c r="Q97" s="27">
        <v>0</v>
      </c>
      <c r="R97" s="30">
        <v>0</v>
      </c>
      <c r="S97" s="27">
        <v>0</v>
      </c>
      <c r="T97" s="30">
        <v>0</v>
      </c>
      <c r="U97" s="34">
        <v>1</v>
      </c>
      <c r="V97" s="34">
        <v>1</v>
      </c>
      <c r="X97" s="8"/>
      <c r="Y97" s="2"/>
      <c r="Z97" s="26"/>
      <c r="AA97" s="26"/>
      <c r="AB97" s="26"/>
      <c r="AC97" s="26"/>
      <c r="AD97" s="27"/>
      <c r="AE97" s="30"/>
      <c r="AF97" s="26"/>
      <c r="AG97" s="26"/>
      <c r="AH97" s="32"/>
      <c r="AJ97" s="8"/>
      <c r="AK97" s="2"/>
      <c r="AL97" s="26"/>
      <c r="AM97" s="26"/>
      <c r="AN97" s="26"/>
      <c r="AO97" s="27"/>
      <c r="AP97" s="30"/>
      <c r="AQ97" s="26"/>
      <c r="AR97" s="26"/>
      <c r="AS97" s="32"/>
      <c r="AT97" s="34"/>
    </row>
    <row r="98" spans="2:46" x14ac:dyDescent="0.3">
      <c r="B98" s="8"/>
      <c r="C98" s="2" t="s">
        <v>743</v>
      </c>
      <c r="D98" s="26">
        <v>0</v>
      </c>
      <c r="E98" s="26">
        <v>0</v>
      </c>
      <c r="F98" s="27">
        <v>0</v>
      </c>
      <c r="G98" s="26">
        <v>0</v>
      </c>
      <c r="H98" s="26">
        <v>0</v>
      </c>
      <c r="I98" s="27">
        <v>0</v>
      </c>
      <c r="J98" s="26">
        <v>0</v>
      </c>
      <c r="K98" s="26">
        <v>0</v>
      </c>
      <c r="L98" s="67">
        <v>1</v>
      </c>
      <c r="N98" s="8"/>
      <c r="O98" s="2" t="s">
        <v>679</v>
      </c>
      <c r="P98" s="26">
        <v>0</v>
      </c>
      <c r="Q98" s="27">
        <v>0</v>
      </c>
      <c r="R98" s="30">
        <v>0</v>
      </c>
      <c r="S98" s="27">
        <v>0</v>
      </c>
      <c r="T98" s="30">
        <v>0</v>
      </c>
      <c r="U98" s="34">
        <v>1</v>
      </c>
      <c r="V98" s="34">
        <v>1</v>
      </c>
      <c r="X98" s="8"/>
      <c r="Y98" s="2"/>
      <c r="Z98" s="26"/>
      <c r="AA98" s="26"/>
      <c r="AB98" s="26"/>
      <c r="AC98" s="26"/>
      <c r="AD98" s="27"/>
      <c r="AE98" s="30"/>
      <c r="AF98" s="26"/>
      <c r="AG98" s="26"/>
      <c r="AH98" s="32"/>
      <c r="AJ98" s="8"/>
      <c r="AK98" s="2"/>
      <c r="AL98" s="26"/>
      <c r="AM98" s="26"/>
      <c r="AN98" s="26"/>
      <c r="AO98" s="27"/>
      <c r="AP98" s="30"/>
      <c r="AQ98" s="26"/>
      <c r="AR98" s="26"/>
      <c r="AS98" s="32"/>
      <c r="AT98" s="34"/>
    </row>
    <row r="99" spans="2:46" x14ac:dyDescent="0.3">
      <c r="B99" s="8"/>
      <c r="C99" s="2" t="s">
        <v>744</v>
      </c>
      <c r="D99" s="26">
        <v>0</v>
      </c>
      <c r="E99" s="26">
        <v>0</v>
      </c>
      <c r="F99" s="27">
        <v>0</v>
      </c>
      <c r="G99" s="26">
        <v>0</v>
      </c>
      <c r="H99" s="26">
        <v>0</v>
      </c>
      <c r="I99" s="27">
        <v>0</v>
      </c>
      <c r="J99" s="26">
        <v>0</v>
      </c>
      <c r="K99" s="26">
        <v>0</v>
      </c>
      <c r="L99" s="67">
        <v>1</v>
      </c>
      <c r="N99" s="8"/>
      <c r="O99" s="2" t="s">
        <v>680</v>
      </c>
      <c r="P99" s="26">
        <v>0</v>
      </c>
      <c r="Q99" s="27">
        <v>0</v>
      </c>
      <c r="R99" s="30">
        <v>0</v>
      </c>
      <c r="S99" s="27">
        <v>0</v>
      </c>
      <c r="T99" s="30">
        <v>0</v>
      </c>
      <c r="U99" s="34">
        <v>1</v>
      </c>
      <c r="V99" s="34">
        <v>1</v>
      </c>
      <c r="X99" s="8"/>
      <c r="Y99" s="2"/>
      <c r="Z99" s="26"/>
      <c r="AA99" s="26"/>
      <c r="AB99" s="26"/>
      <c r="AC99" s="26"/>
      <c r="AD99" s="27"/>
      <c r="AE99" s="30"/>
      <c r="AF99" s="26"/>
      <c r="AG99" s="26"/>
      <c r="AH99" s="32"/>
      <c r="AJ99" s="8"/>
      <c r="AK99" s="2"/>
      <c r="AL99" s="26"/>
      <c r="AM99" s="26"/>
      <c r="AN99" s="26"/>
      <c r="AO99" s="27"/>
      <c r="AP99" s="30"/>
      <c r="AQ99" s="26"/>
      <c r="AR99" s="26"/>
      <c r="AS99" s="32"/>
      <c r="AT99" s="34"/>
    </row>
    <row r="100" spans="2:46" x14ac:dyDescent="0.3">
      <c r="B100" s="8"/>
      <c r="C100" s="2" t="s">
        <v>808</v>
      </c>
      <c r="D100" s="26">
        <v>0</v>
      </c>
      <c r="E100" s="26">
        <v>0</v>
      </c>
      <c r="F100" s="27">
        <v>0</v>
      </c>
      <c r="G100" s="26">
        <v>0</v>
      </c>
      <c r="H100" s="26">
        <v>0</v>
      </c>
      <c r="I100" s="27">
        <v>0</v>
      </c>
      <c r="J100" s="26">
        <v>0</v>
      </c>
      <c r="K100" s="26">
        <v>0</v>
      </c>
      <c r="L100" s="67">
        <v>1</v>
      </c>
      <c r="N100" s="8"/>
      <c r="O100" s="2" t="s">
        <v>851</v>
      </c>
      <c r="P100" s="26">
        <v>0</v>
      </c>
      <c r="Q100" s="27">
        <v>0</v>
      </c>
      <c r="R100" s="30">
        <v>0</v>
      </c>
      <c r="S100" s="27">
        <v>0</v>
      </c>
      <c r="T100" s="30">
        <v>0</v>
      </c>
      <c r="U100" s="34">
        <v>1</v>
      </c>
      <c r="V100" s="34">
        <v>1</v>
      </c>
      <c r="X100" s="8"/>
      <c r="Y100" s="2"/>
      <c r="Z100" s="26"/>
      <c r="AA100" s="26"/>
      <c r="AB100" s="26"/>
      <c r="AC100" s="26"/>
      <c r="AD100" s="27"/>
      <c r="AE100" s="30"/>
      <c r="AF100" s="26"/>
      <c r="AG100" s="26"/>
      <c r="AH100" s="32"/>
      <c r="AJ100" s="8"/>
      <c r="AK100" s="2"/>
      <c r="AL100" s="26"/>
      <c r="AM100" s="26"/>
      <c r="AN100" s="26"/>
      <c r="AO100" s="27"/>
      <c r="AP100" s="30"/>
      <c r="AQ100" s="26"/>
      <c r="AR100" s="26"/>
      <c r="AS100" s="32"/>
      <c r="AT100" s="34"/>
    </row>
    <row r="101" spans="2:46" x14ac:dyDescent="0.3">
      <c r="B101" s="8"/>
      <c r="C101" s="2" t="s">
        <v>745</v>
      </c>
      <c r="D101" s="26">
        <v>0</v>
      </c>
      <c r="E101" s="26">
        <v>0</v>
      </c>
      <c r="F101" s="27">
        <v>0</v>
      </c>
      <c r="G101" s="26">
        <v>0</v>
      </c>
      <c r="H101" s="26">
        <v>0</v>
      </c>
      <c r="I101" s="27">
        <v>0</v>
      </c>
      <c r="J101" s="26">
        <v>0</v>
      </c>
      <c r="K101" s="26">
        <v>0</v>
      </c>
      <c r="L101" s="67">
        <v>1</v>
      </c>
      <c r="N101" s="8"/>
      <c r="O101" s="2" t="s">
        <v>681</v>
      </c>
      <c r="P101" s="26">
        <v>0</v>
      </c>
      <c r="Q101" s="27">
        <v>0</v>
      </c>
      <c r="R101" s="30">
        <v>0</v>
      </c>
      <c r="S101" s="27">
        <v>0</v>
      </c>
      <c r="T101" s="30">
        <v>0</v>
      </c>
      <c r="U101" s="34">
        <v>1</v>
      </c>
      <c r="V101" s="34">
        <v>1</v>
      </c>
      <c r="X101" s="8"/>
      <c r="Y101" s="2"/>
      <c r="Z101" s="26"/>
      <c r="AA101" s="26"/>
      <c r="AB101" s="26"/>
      <c r="AC101" s="26"/>
      <c r="AD101" s="27"/>
      <c r="AE101" s="30"/>
      <c r="AF101" s="26"/>
      <c r="AG101" s="26"/>
      <c r="AH101" s="32"/>
      <c r="AJ101" s="8"/>
      <c r="AK101" s="2"/>
      <c r="AL101" s="26"/>
      <c r="AM101" s="26"/>
      <c r="AN101" s="26"/>
      <c r="AO101" s="27"/>
      <c r="AP101" s="30"/>
      <c r="AQ101" s="26"/>
      <c r="AR101" s="26"/>
      <c r="AS101" s="32"/>
      <c r="AT101" s="34"/>
    </row>
    <row r="102" spans="2:46" x14ac:dyDescent="0.3">
      <c r="B102" s="8"/>
      <c r="C102" s="2" t="s">
        <v>746</v>
      </c>
      <c r="D102" s="26">
        <v>0</v>
      </c>
      <c r="E102" s="26">
        <v>0</v>
      </c>
      <c r="F102" s="27">
        <v>0</v>
      </c>
      <c r="G102" s="26">
        <v>0</v>
      </c>
      <c r="H102" s="26">
        <v>0</v>
      </c>
      <c r="I102" s="27">
        <v>0</v>
      </c>
      <c r="J102" s="26">
        <v>0</v>
      </c>
      <c r="K102" s="26">
        <v>0</v>
      </c>
      <c r="L102" s="67">
        <v>1</v>
      </c>
      <c r="N102" s="8"/>
      <c r="O102" s="2" t="s">
        <v>682</v>
      </c>
      <c r="P102" s="26">
        <v>0</v>
      </c>
      <c r="Q102" s="27">
        <v>0</v>
      </c>
      <c r="R102" s="30">
        <v>0</v>
      </c>
      <c r="S102" s="27">
        <v>0</v>
      </c>
      <c r="T102" s="30">
        <v>0</v>
      </c>
      <c r="U102" s="34">
        <v>1</v>
      </c>
      <c r="V102" s="34">
        <v>1</v>
      </c>
      <c r="X102" s="8"/>
      <c r="Y102" s="2"/>
      <c r="Z102" s="26"/>
      <c r="AA102" s="26"/>
      <c r="AB102" s="26"/>
      <c r="AC102" s="26"/>
      <c r="AD102" s="27"/>
      <c r="AE102" s="30"/>
      <c r="AF102" s="26"/>
      <c r="AG102" s="26"/>
      <c r="AH102" s="32"/>
      <c r="AJ102" s="8"/>
      <c r="AK102" s="2"/>
      <c r="AL102" s="26"/>
      <c r="AM102" s="26"/>
      <c r="AN102" s="26"/>
      <c r="AO102" s="27"/>
      <c r="AP102" s="30"/>
      <c r="AQ102" s="26"/>
      <c r="AR102" s="26"/>
      <c r="AS102" s="32"/>
      <c r="AT102" s="34"/>
    </row>
    <row r="103" spans="2:46" x14ac:dyDescent="0.3">
      <c r="B103" s="8"/>
      <c r="C103" s="2" t="s">
        <v>747</v>
      </c>
      <c r="D103" s="26">
        <v>0</v>
      </c>
      <c r="E103" s="26">
        <v>0</v>
      </c>
      <c r="F103" s="27">
        <v>0</v>
      </c>
      <c r="G103" s="26">
        <v>0</v>
      </c>
      <c r="H103" s="26">
        <v>0</v>
      </c>
      <c r="I103" s="27">
        <v>0</v>
      </c>
      <c r="J103" s="26">
        <v>0</v>
      </c>
      <c r="K103" s="26">
        <v>0</v>
      </c>
      <c r="L103" s="67">
        <v>1</v>
      </c>
      <c r="N103" s="8"/>
      <c r="O103" s="2" t="s">
        <v>683</v>
      </c>
      <c r="P103" s="26">
        <v>0</v>
      </c>
      <c r="Q103" s="27">
        <v>0</v>
      </c>
      <c r="R103" s="30">
        <v>0</v>
      </c>
      <c r="S103" s="27">
        <v>0</v>
      </c>
      <c r="T103" s="30">
        <v>0</v>
      </c>
      <c r="U103" s="34">
        <v>1</v>
      </c>
      <c r="V103" s="34">
        <v>1</v>
      </c>
      <c r="X103" s="8"/>
      <c r="Y103" s="2"/>
      <c r="Z103" s="26"/>
      <c r="AA103" s="26"/>
      <c r="AB103" s="26"/>
      <c r="AC103" s="26"/>
      <c r="AD103" s="27"/>
      <c r="AE103" s="30"/>
      <c r="AF103" s="26"/>
      <c r="AG103" s="26"/>
      <c r="AH103" s="32"/>
      <c r="AJ103" s="8"/>
      <c r="AK103" s="2"/>
      <c r="AL103" s="26"/>
      <c r="AM103" s="26"/>
      <c r="AN103" s="26"/>
      <c r="AO103" s="27"/>
      <c r="AP103" s="30"/>
      <c r="AQ103" s="26"/>
      <c r="AR103" s="26"/>
      <c r="AS103" s="32"/>
      <c r="AT103" s="34"/>
    </row>
    <row r="104" spans="2:46" x14ac:dyDescent="0.3">
      <c r="B104" s="8"/>
      <c r="C104" s="2" t="s">
        <v>748</v>
      </c>
      <c r="D104" s="26">
        <v>0</v>
      </c>
      <c r="E104" s="26">
        <v>0</v>
      </c>
      <c r="F104" s="27">
        <v>0</v>
      </c>
      <c r="G104" s="26">
        <v>0</v>
      </c>
      <c r="H104" s="26">
        <v>0</v>
      </c>
      <c r="I104" s="27">
        <v>0</v>
      </c>
      <c r="J104" s="26">
        <v>0</v>
      </c>
      <c r="K104" s="26">
        <v>0</v>
      </c>
      <c r="L104" s="67">
        <v>1</v>
      </c>
      <c r="N104" s="8"/>
      <c r="O104" s="2" t="s">
        <v>684</v>
      </c>
      <c r="P104" s="26">
        <v>0</v>
      </c>
      <c r="Q104" s="27">
        <v>0</v>
      </c>
      <c r="R104" s="30">
        <v>0</v>
      </c>
      <c r="S104" s="27">
        <v>0</v>
      </c>
      <c r="T104" s="30">
        <v>0</v>
      </c>
      <c r="U104" s="34">
        <v>1</v>
      </c>
      <c r="V104" s="34">
        <v>1</v>
      </c>
      <c r="X104" s="8"/>
      <c r="Y104" s="2"/>
      <c r="Z104" s="26"/>
      <c r="AA104" s="26"/>
      <c r="AB104" s="26"/>
      <c r="AC104" s="26"/>
      <c r="AD104" s="27"/>
      <c r="AE104" s="30"/>
      <c r="AF104" s="26"/>
      <c r="AG104" s="26"/>
      <c r="AH104" s="32"/>
      <c r="AJ104" s="8"/>
      <c r="AK104" s="2"/>
      <c r="AL104" s="26"/>
      <c r="AM104" s="26"/>
      <c r="AN104" s="26"/>
      <c r="AO104" s="27"/>
      <c r="AP104" s="30"/>
      <c r="AQ104" s="26"/>
      <c r="AR104" s="26"/>
      <c r="AS104" s="32"/>
      <c r="AT104" s="34"/>
    </row>
    <row r="105" spans="2:46" x14ac:dyDescent="0.3">
      <c r="B105" s="8"/>
      <c r="C105" s="2" t="s">
        <v>749</v>
      </c>
      <c r="D105" s="26">
        <v>0</v>
      </c>
      <c r="E105" s="26">
        <v>0</v>
      </c>
      <c r="F105" s="27">
        <v>0</v>
      </c>
      <c r="G105" s="26">
        <v>0</v>
      </c>
      <c r="H105" s="26">
        <v>0</v>
      </c>
      <c r="I105" s="27">
        <v>0</v>
      </c>
      <c r="J105" s="26">
        <v>0</v>
      </c>
      <c r="K105" s="26">
        <v>0</v>
      </c>
      <c r="L105" s="67">
        <v>1</v>
      </c>
      <c r="N105" s="8"/>
      <c r="O105" s="2" t="s">
        <v>685</v>
      </c>
      <c r="P105" s="26">
        <v>0</v>
      </c>
      <c r="Q105" s="27">
        <v>0</v>
      </c>
      <c r="R105" s="30">
        <v>0</v>
      </c>
      <c r="S105" s="27">
        <v>0</v>
      </c>
      <c r="T105" s="30">
        <v>0</v>
      </c>
      <c r="U105" s="34">
        <v>1</v>
      </c>
      <c r="V105" s="34">
        <v>1</v>
      </c>
      <c r="X105" s="8"/>
      <c r="Y105" s="2"/>
      <c r="Z105" s="26"/>
      <c r="AA105" s="26"/>
      <c r="AB105" s="26"/>
      <c r="AC105" s="26"/>
      <c r="AD105" s="27"/>
      <c r="AE105" s="30"/>
      <c r="AF105" s="26"/>
      <c r="AG105" s="26"/>
      <c r="AH105" s="32"/>
      <c r="AJ105" s="8"/>
      <c r="AK105" s="2"/>
      <c r="AL105" s="26"/>
      <c r="AM105" s="26"/>
      <c r="AN105" s="26"/>
      <c r="AO105" s="27"/>
      <c r="AP105" s="30"/>
      <c r="AQ105" s="26"/>
      <c r="AR105" s="26"/>
      <c r="AS105" s="32"/>
      <c r="AT105" s="34"/>
    </row>
    <row r="106" spans="2:46" x14ac:dyDescent="0.3">
      <c r="B106" s="8"/>
      <c r="C106" s="2" t="s">
        <v>750</v>
      </c>
      <c r="D106" s="26">
        <v>0</v>
      </c>
      <c r="E106" s="26">
        <v>0</v>
      </c>
      <c r="F106" s="27">
        <v>0</v>
      </c>
      <c r="G106" s="26">
        <v>0</v>
      </c>
      <c r="H106" s="26">
        <v>0</v>
      </c>
      <c r="I106" s="27">
        <v>0</v>
      </c>
      <c r="J106" s="26">
        <v>0</v>
      </c>
      <c r="K106" s="26">
        <v>0</v>
      </c>
      <c r="L106" s="67">
        <v>1</v>
      </c>
      <c r="N106" s="8"/>
      <c r="O106" s="2" t="s">
        <v>686</v>
      </c>
      <c r="P106" s="26">
        <v>0</v>
      </c>
      <c r="Q106" s="27">
        <v>0</v>
      </c>
      <c r="R106" s="30">
        <v>0</v>
      </c>
      <c r="S106" s="27">
        <v>0</v>
      </c>
      <c r="T106" s="30">
        <v>0</v>
      </c>
      <c r="U106" s="34">
        <v>1</v>
      </c>
      <c r="V106" s="34">
        <v>1</v>
      </c>
      <c r="X106" s="8"/>
      <c r="Y106" s="2"/>
      <c r="Z106" s="26"/>
      <c r="AA106" s="26"/>
      <c r="AB106" s="26"/>
      <c r="AC106" s="26"/>
      <c r="AD106" s="27"/>
      <c r="AE106" s="30"/>
      <c r="AF106" s="26"/>
      <c r="AG106" s="26"/>
      <c r="AH106" s="32"/>
      <c r="AJ106" s="8"/>
      <c r="AK106" s="2"/>
      <c r="AL106" s="26"/>
      <c r="AM106" s="26"/>
      <c r="AN106" s="26"/>
      <c r="AO106" s="27"/>
      <c r="AP106" s="30"/>
      <c r="AQ106" s="26"/>
      <c r="AR106" s="26"/>
      <c r="AS106" s="32"/>
      <c r="AT106" s="34"/>
    </row>
    <row r="107" spans="2:46" x14ac:dyDescent="0.3">
      <c r="B107" s="8"/>
      <c r="C107" s="2" t="s">
        <v>751</v>
      </c>
      <c r="D107" s="26">
        <v>0</v>
      </c>
      <c r="E107" s="26">
        <v>0</v>
      </c>
      <c r="F107" s="27">
        <v>0</v>
      </c>
      <c r="G107" s="26">
        <v>0</v>
      </c>
      <c r="H107" s="26">
        <v>0</v>
      </c>
      <c r="I107" s="27">
        <v>0</v>
      </c>
      <c r="J107" s="26">
        <v>0</v>
      </c>
      <c r="K107" s="26">
        <v>0</v>
      </c>
      <c r="L107" s="67">
        <v>1</v>
      </c>
      <c r="N107" s="8"/>
      <c r="O107" s="2" t="s">
        <v>687</v>
      </c>
      <c r="P107" s="26">
        <v>0</v>
      </c>
      <c r="Q107" s="27">
        <v>0</v>
      </c>
      <c r="R107" s="30">
        <v>0</v>
      </c>
      <c r="S107" s="27">
        <v>0</v>
      </c>
      <c r="T107" s="30">
        <v>0</v>
      </c>
      <c r="U107" s="34">
        <v>1</v>
      </c>
      <c r="V107" s="34">
        <v>1</v>
      </c>
      <c r="X107" s="8"/>
      <c r="Y107" s="2"/>
      <c r="Z107" s="26"/>
      <c r="AA107" s="26"/>
      <c r="AB107" s="26"/>
      <c r="AC107" s="26"/>
      <c r="AD107" s="27"/>
      <c r="AE107" s="30"/>
      <c r="AF107" s="26"/>
      <c r="AG107" s="26"/>
      <c r="AH107" s="32"/>
      <c r="AJ107" s="8"/>
      <c r="AK107" s="2"/>
      <c r="AL107" s="26"/>
      <c r="AM107" s="26"/>
      <c r="AN107" s="26"/>
      <c r="AO107" s="27"/>
      <c r="AP107" s="30"/>
      <c r="AQ107" s="26"/>
      <c r="AR107" s="26"/>
      <c r="AS107" s="32"/>
      <c r="AT107" s="34"/>
    </row>
    <row r="108" spans="2:46" x14ac:dyDescent="0.3">
      <c r="B108" s="8"/>
      <c r="C108" s="2" t="s">
        <v>752</v>
      </c>
      <c r="D108" s="26">
        <v>0</v>
      </c>
      <c r="E108" s="26">
        <v>0</v>
      </c>
      <c r="F108" s="27">
        <v>0</v>
      </c>
      <c r="G108" s="26">
        <v>0</v>
      </c>
      <c r="H108" s="26">
        <v>0</v>
      </c>
      <c r="I108" s="27">
        <v>0</v>
      </c>
      <c r="J108" s="26">
        <v>0</v>
      </c>
      <c r="K108" s="26">
        <v>0</v>
      </c>
      <c r="L108" s="67">
        <v>1</v>
      </c>
      <c r="N108" s="8"/>
      <c r="O108" s="2" t="s">
        <v>688</v>
      </c>
      <c r="P108" s="26">
        <v>0</v>
      </c>
      <c r="Q108" s="27">
        <v>0</v>
      </c>
      <c r="R108" s="30">
        <v>0</v>
      </c>
      <c r="S108" s="27">
        <v>0</v>
      </c>
      <c r="T108" s="30">
        <v>0</v>
      </c>
      <c r="U108" s="34">
        <v>1</v>
      </c>
      <c r="V108" s="34">
        <v>1</v>
      </c>
      <c r="X108" s="8"/>
      <c r="Y108" s="2"/>
      <c r="Z108" s="26"/>
      <c r="AA108" s="26"/>
      <c r="AB108" s="26"/>
      <c r="AC108" s="26"/>
      <c r="AD108" s="27"/>
      <c r="AE108" s="30"/>
      <c r="AF108" s="26"/>
      <c r="AG108" s="26"/>
      <c r="AH108" s="32"/>
      <c r="AJ108" s="8"/>
      <c r="AK108" s="2"/>
      <c r="AL108" s="26"/>
      <c r="AM108" s="26"/>
      <c r="AN108" s="26"/>
      <c r="AO108" s="27"/>
      <c r="AP108" s="30"/>
      <c r="AQ108" s="26"/>
      <c r="AR108" s="26"/>
      <c r="AS108" s="32"/>
      <c r="AT108" s="34"/>
    </row>
    <row r="109" spans="2:46" x14ac:dyDescent="0.3">
      <c r="B109" s="8"/>
      <c r="C109" s="2"/>
      <c r="D109" s="26"/>
      <c r="E109" s="26"/>
      <c r="F109" s="27"/>
      <c r="G109" s="26"/>
      <c r="H109" s="26"/>
      <c r="I109" s="27"/>
      <c r="J109" s="26"/>
      <c r="K109" s="26"/>
      <c r="L109" s="67"/>
      <c r="N109" s="8"/>
      <c r="O109" s="2"/>
      <c r="P109" s="26"/>
      <c r="Q109" s="27"/>
      <c r="R109" s="30"/>
      <c r="S109" s="27"/>
      <c r="T109" s="30"/>
      <c r="U109" s="34"/>
      <c r="V109" s="34"/>
      <c r="X109" s="8"/>
      <c r="Y109" s="2"/>
      <c r="Z109" s="26"/>
      <c r="AA109" s="26"/>
      <c r="AB109" s="26"/>
      <c r="AC109" s="26"/>
      <c r="AD109" s="27"/>
      <c r="AE109" s="30"/>
      <c r="AF109" s="26"/>
      <c r="AG109" s="26"/>
      <c r="AH109" s="32"/>
      <c r="AJ109" s="8"/>
      <c r="AK109" s="2"/>
      <c r="AL109" s="26"/>
      <c r="AM109" s="26"/>
      <c r="AN109" s="26"/>
      <c r="AO109" s="27"/>
      <c r="AP109" s="30"/>
      <c r="AQ109" s="26"/>
      <c r="AR109" s="26"/>
      <c r="AS109" s="32"/>
      <c r="AT109" s="34"/>
    </row>
    <row r="110" spans="2:46" x14ac:dyDescent="0.3">
      <c r="B110" s="8"/>
      <c r="C110" s="2"/>
      <c r="D110" s="26"/>
      <c r="E110" s="26"/>
      <c r="F110" s="27"/>
      <c r="G110" s="26"/>
      <c r="H110" s="26"/>
      <c r="I110" s="27"/>
      <c r="J110" s="26"/>
      <c r="K110" s="26"/>
      <c r="L110" s="67"/>
      <c r="N110" s="8"/>
      <c r="O110" s="2"/>
      <c r="P110" s="26"/>
      <c r="Q110" s="27"/>
      <c r="R110" s="30"/>
      <c r="S110" s="27"/>
      <c r="T110" s="30"/>
      <c r="U110" s="34"/>
      <c r="V110" s="34"/>
      <c r="X110" s="8"/>
      <c r="Y110" s="2"/>
      <c r="Z110" s="26"/>
      <c r="AA110" s="26"/>
      <c r="AB110" s="26"/>
      <c r="AC110" s="26"/>
      <c r="AD110" s="27"/>
      <c r="AE110" s="30"/>
      <c r="AF110" s="26"/>
      <c r="AG110" s="26"/>
      <c r="AH110" s="32"/>
      <c r="AJ110" s="8"/>
      <c r="AK110" s="2"/>
      <c r="AL110" s="26"/>
      <c r="AM110" s="26"/>
      <c r="AN110" s="26"/>
      <c r="AO110" s="27"/>
      <c r="AP110" s="30"/>
      <c r="AQ110" s="26"/>
      <c r="AR110" s="26"/>
      <c r="AS110" s="32"/>
      <c r="AT110" s="34"/>
    </row>
    <row r="111" spans="2:46" x14ac:dyDescent="0.3">
      <c r="B111" s="8"/>
      <c r="C111" s="2"/>
      <c r="D111" s="26"/>
      <c r="E111" s="26"/>
      <c r="F111" s="27"/>
      <c r="G111" s="26"/>
      <c r="H111" s="26"/>
      <c r="I111" s="27"/>
      <c r="J111" s="26"/>
      <c r="K111" s="26"/>
      <c r="L111" s="67"/>
      <c r="N111" s="8"/>
      <c r="O111" s="2"/>
      <c r="P111" s="26"/>
      <c r="Q111" s="27"/>
      <c r="R111" s="30"/>
      <c r="S111" s="27"/>
      <c r="T111" s="30"/>
      <c r="U111" s="34"/>
      <c r="V111" s="34"/>
      <c r="X111" s="8"/>
      <c r="Y111" s="2"/>
      <c r="Z111" s="26"/>
      <c r="AA111" s="26"/>
      <c r="AB111" s="26"/>
      <c r="AC111" s="26"/>
      <c r="AD111" s="27"/>
      <c r="AE111" s="30"/>
      <c r="AF111" s="26"/>
      <c r="AG111" s="26"/>
      <c r="AH111" s="32"/>
      <c r="AJ111" s="8"/>
      <c r="AK111" s="2"/>
      <c r="AL111" s="26"/>
      <c r="AM111" s="26"/>
      <c r="AN111" s="26"/>
      <c r="AO111" s="27"/>
      <c r="AP111" s="30"/>
      <c r="AQ111" s="26"/>
      <c r="AR111" s="26"/>
      <c r="AS111" s="32"/>
      <c r="AT111" s="34"/>
    </row>
    <row r="112" spans="2:46" x14ac:dyDescent="0.3">
      <c r="B112" s="8"/>
      <c r="C112" s="2"/>
      <c r="D112" s="26"/>
      <c r="E112" s="26"/>
      <c r="F112" s="27"/>
      <c r="G112" s="26"/>
      <c r="H112" s="26"/>
      <c r="I112" s="27"/>
      <c r="J112" s="26"/>
      <c r="K112" s="26"/>
      <c r="L112" s="67"/>
      <c r="N112" s="8"/>
      <c r="O112" s="2"/>
      <c r="P112" s="26"/>
      <c r="Q112" s="27"/>
      <c r="R112" s="30"/>
      <c r="S112" s="27"/>
      <c r="T112" s="30"/>
      <c r="U112" s="34"/>
      <c r="V112" s="34"/>
      <c r="X112" s="8"/>
      <c r="Y112" s="2"/>
      <c r="Z112" s="26"/>
      <c r="AA112" s="26"/>
      <c r="AB112" s="26"/>
      <c r="AC112" s="26"/>
      <c r="AD112" s="27"/>
      <c r="AE112" s="30"/>
      <c r="AF112" s="26"/>
      <c r="AG112" s="26"/>
      <c r="AH112" s="32"/>
      <c r="AJ112" s="8"/>
      <c r="AK112" s="2"/>
      <c r="AL112" s="26"/>
      <c r="AM112" s="26"/>
      <c r="AN112" s="26"/>
      <c r="AO112" s="27"/>
      <c r="AP112" s="30"/>
      <c r="AQ112" s="26"/>
      <c r="AR112" s="26"/>
      <c r="AS112" s="32"/>
      <c r="AT112" s="34"/>
    </row>
    <row r="113" spans="2:46" x14ac:dyDescent="0.3">
      <c r="B113" s="8"/>
      <c r="C113" s="2"/>
      <c r="D113" s="26"/>
      <c r="E113" s="26"/>
      <c r="F113" s="27"/>
      <c r="G113" s="26"/>
      <c r="H113" s="26"/>
      <c r="I113" s="27"/>
      <c r="J113" s="26"/>
      <c r="K113" s="26"/>
      <c r="L113" s="67"/>
      <c r="N113" s="8"/>
      <c r="O113" s="2"/>
      <c r="P113" s="26"/>
      <c r="Q113" s="27"/>
      <c r="R113" s="30"/>
      <c r="S113" s="27"/>
      <c r="T113" s="30"/>
      <c r="U113" s="34"/>
      <c r="V113" s="34"/>
      <c r="X113" s="8"/>
      <c r="Y113" s="2"/>
      <c r="Z113" s="26"/>
      <c r="AA113" s="26"/>
      <c r="AB113" s="26"/>
      <c r="AC113" s="26"/>
      <c r="AD113" s="27"/>
      <c r="AE113" s="30"/>
      <c r="AF113" s="26"/>
      <c r="AG113" s="26"/>
      <c r="AH113" s="32"/>
      <c r="AJ113" s="8"/>
      <c r="AK113" s="2"/>
      <c r="AL113" s="26"/>
      <c r="AM113" s="26"/>
      <c r="AN113" s="26"/>
      <c r="AO113" s="27"/>
      <c r="AP113" s="30"/>
      <c r="AQ113" s="26"/>
      <c r="AR113" s="26"/>
      <c r="AS113" s="32"/>
      <c r="AT113" s="34"/>
    </row>
    <row r="114" spans="2:46" x14ac:dyDescent="0.3">
      <c r="B114" s="8"/>
      <c r="C114" s="2"/>
      <c r="D114" s="26"/>
      <c r="E114" s="26"/>
      <c r="F114" s="27"/>
      <c r="G114" s="26"/>
      <c r="H114" s="26"/>
      <c r="I114" s="27"/>
      <c r="J114" s="26"/>
      <c r="K114" s="26"/>
      <c r="L114" s="67"/>
      <c r="N114" s="8"/>
      <c r="O114" s="2"/>
      <c r="P114" s="26"/>
      <c r="Q114" s="27"/>
      <c r="R114" s="30"/>
      <c r="S114" s="27"/>
      <c r="T114" s="30"/>
      <c r="U114" s="34"/>
      <c r="V114" s="34"/>
      <c r="X114" s="8"/>
      <c r="Y114" s="2"/>
      <c r="Z114" s="26"/>
      <c r="AA114" s="26"/>
      <c r="AB114" s="26"/>
      <c r="AC114" s="26"/>
      <c r="AD114" s="27"/>
      <c r="AE114" s="30"/>
      <c r="AF114" s="26"/>
      <c r="AG114" s="26"/>
      <c r="AH114" s="32"/>
      <c r="AJ114" s="8"/>
      <c r="AK114" s="2"/>
      <c r="AL114" s="26"/>
      <c r="AM114" s="26"/>
      <c r="AN114" s="26"/>
      <c r="AO114" s="27"/>
      <c r="AP114" s="30"/>
      <c r="AQ114" s="26"/>
      <c r="AR114" s="26"/>
      <c r="AS114" s="32"/>
      <c r="AT114" s="34"/>
    </row>
    <row r="115" spans="2:46" x14ac:dyDescent="0.3">
      <c r="B115" s="8"/>
      <c r="C115" s="2"/>
      <c r="D115" s="26"/>
      <c r="E115" s="26"/>
      <c r="F115" s="27"/>
      <c r="G115" s="26"/>
      <c r="H115" s="26"/>
      <c r="I115" s="27"/>
      <c r="J115" s="26"/>
      <c r="K115" s="26"/>
      <c r="L115" s="67"/>
      <c r="N115" s="8"/>
      <c r="O115" s="2"/>
      <c r="P115" s="26"/>
      <c r="Q115" s="27"/>
      <c r="R115" s="30"/>
      <c r="S115" s="27"/>
      <c r="T115" s="30"/>
      <c r="U115" s="34"/>
      <c r="V115" s="34"/>
      <c r="X115" s="8"/>
      <c r="Y115" s="2"/>
      <c r="Z115" s="26"/>
      <c r="AA115" s="26"/>
      <c r="AB115" s="26"/>
      <c r="AC115" s="26"/>
      <c r="AD115" s="27"/>
      <c r="AE115" s="30"/>
      <c r="AF115" s="26"/>
      <c r="AG115" s="26"/>
      <c r="AH115" s="32"/>
      <c r="AJ115" s="8"/>
      <c r="AK115" s="2"/>
      <c r="AL115" s="26"/>
      <c r="AM115" s="26"/>
      <c r="AN115" s="26"/>
      <c r="AO115" s="27"/>
      <c r="AP115" s="30"/>
      <c r="AQ115" s="26"/>
      <c r="AR115" s="26"/>
      <c r="AS115" s="32"/>
      <c r="AT115" s="34"/>
    </row>
    <row r="116" spans="2:46" x14ac:dyDescent="0.3">
      <c r="B116" s="8"/>
      <c r="C116" s="2"/>
      <c r="D116" s="26"/>
      <c r="E116" s="26"/>
      <c r="F116" s="27"/>
      <c r="G116" s="26"/>
      <c r="H116" s="26"/>
      <c r="I116" s="27"/>
      <c r="J116" s="26"/>
      <c r="K116" s="26"/>
      <c r="L116" s="67"/>
      <c r="N116" s="8"/>
      <c r="O116" s="2"/>
      <c r="P116" s="26"/>
      <c r="Q116" s="27"/>
      <c r="R116" s="30"/>
      <c r="S116" s="27"/>
      <c r="T116" s="30"/>
      <c r="U116" s="34"/>
      <c r="V116" s="34"/>
      <c r="X116" s="8"/>
      <c r="Y116" s="2"/>
      <c r="Z116" s="26"/>
      <c r="AA116" s="26"/>
      <c r="AB116" s="26"/>
      <c r="AC116" s="26"/>
      <c r="AD116" s="27"/>
      <c r="AE116" s="30"/>
      <c r="AF116" s="26"/>
      <c r="AG116" s="26"/>
      <c r="AH116" s="32"/>
      <c r="AJ116" s="8"/>
      <c r="AK116" s="2"/>
      <c r="AL116" s="26"/>
      <c r="AM116" s="26"/>
      <c r="AN116" s="26"/>
      <c r="AO116" s="27"/>
      <c r="AP116" s="30"/>
      <c r="AQ116" s="26"/>
      <c r="AR116" s="26"/>
      <c r="AS116" s="32"/>
      <c r="AT116" s="34"/>
    </row>
    <row r="117" spans="2:46" x14ac:dyDescent="0.3">
      <c r="B117" s="8"/>
      <c r="C117" s="2"/>
      <c r="D117" s="26"/>
      <c r="E117" s="26"/>
      <c r="F117" s="27"/>
      <c r="G117" s="26"/>
      <c r="H117" s="26"/>
      <c r="I117" s="27"/>
      <c r="J117" s="26"/>
      <c r="K117" s="26"/>
      <c r="L117" s="67"/>
      <c r="N117" s="8"/>
      <c r="O117" s="2"/>
      <c r="P117" s="26"/>
      <c r="Q117" s="27"/>
      <c r="R117" s="30"/>
      <c r="S117" s="27"/>
      <c r="T117" s="30"/>
      <c r="U117" s="34"/>
      <c r="V117" s="34"/>
      <c r="X117" s="8"/>
      <c r="Y117" s="2"/>
      <c r="Z117" s="26"/>
      <c r="AA117" s="26"/>
      <c r="AB117" s="26"/>
      <c r="AC117" s="26"/>
      <c r="AD117" s="27"/>
      <c r="AE117" s="30"/>
      <c r="AF117" s="26"/>
      <c r="AG117" s="26"/>
      <c r="AH117" s="32"/>
      <c r="AJ117" s="8"/>
      <c r="AK117" s="2"/>
      <c r="AL117" s="26"/>
      <c r="AM117" s="26"/>
      <c r="AN117" s="26"/>
      <c r="AO117" s="27"/>
      <c r="AP117" s="30"/>
      <c r="AQ117" s="26"/>
      <c r="AR117" s="26"/>
      <c r="AS117" s="32"/>
      <c r="AT117" s="34"/>
    </row>
    <row r="118" spans="2:46" x14ac:dyDescent="0.3">
      <c r="B118" s="8"/>
      <c r="C118" s="2"/>
      <c r="D118" s="26"/>
      <c r="E118" s="26"/>
      <c r="F118" s="27"/>
      <c r="G118" s="26"/>
      <c r="H118" s="26"/>
      <c r="I118" s="27"/>
      <c r="J118" s="26"/>
      <c r="K118" s="26"/>
      <c r="L118" s="67"/>
      <c r="N118" s="8"/>
      <c r="O118" s="2"/>
      <c r="P118" s="26"/>
      <c r="Q118" s="27"/>
      <c r="R118" s="30"/>
      <c r="S118" s="27"/>
      <c r="T118" s="30"/>
      <c r="U118" s="34"/>
      <c r="V118" s="34"/>
      <c r="X118" s="8"/>
      <c r="Y118" s="2"/>
      <c r="Z118" s="26"/>
      <c r="AA118" s="26"/>
      <c r="AB118" s="26"/>
      <c r="AC118" s="26"/>
      <c r="AD118" s="27"/>
      <c r="AE118" s="30"/>
      <c r="AF118" s="26"/>
      <c r="AG118" s="26"/>
      <c r="AH118" s="32"/>
      <c r="AJ118" s="8"/>
      <c r="AK118" s="2"/>
      <c r="AL118" s="26"/>
      <c r="AM118" s="26"/>
      <c r="AN118" s="26"/>
      <c r="AO118" s="27"/>
      <c r="AP118" s="30"/>
      <c r="AQ118" s="26"/>
      <c r="AR118" s="26"/>
      <c r="AS118" s="32"/>
      <c r="AT118" s="34"/>
    </row>
    <row r="119" spans="2:46" x14ac:dyDescent="0.3">
      <c r="B119" s="8"/>
      <c r="C119" s="2"/>
      <c r="D119" s="26"/>
      <c r="E119" s="26"/>
      <c r="F119" s="27"/>
      <c r="G119" s="26"/>
      <c r="H119" s="26"/>
      <c r="I119" s="27"/>
      <c r="J119" s="26"/>
      <c r="K119" s="26"/>
      <c r="L119" s="67"/>
      <c r="N119" s="8"/>
      <c r="O119" s="2"/>
      <c r="P119" s="26"/>
      <c r="Q119" s="27"/>
      <c r="R119" s="30"/>
      <c r="S119" s="27"/>
      <c r="T119" s="30"/>
      <c r="U119" s="34"/>
      <c r="V119" s="34"/>
      <c r="X119" s="8"/>
      <c r="Y119" s="2"/>
      <c r="Z119" s="26"/>
      <c r="AA119" s="26"/>
      <c r="AB119" s="26"/>
      <c r="AC119" s="26"/>
      <c r="AD119" s="27"/>
      <c r="AE119" s="30"/>
      <c r="AF119" s="26"/>
      <c r="AG119" s="26"/>
      <c r="AH119" s="32"/>
      <c r="AJ119" s="8"/>
      <c r="AK119" s="2"/>
      <c r="AL119" s="26"/>
      <c r="AM119" s="26"/>
      <c r="AN119" s="26"/>
      <c r="AO119" s="27"/>
      <c r="AP119" s="30"/>
      <c r="AQ119" s="26"/>
      <c r="AR119" s="26"/>
      <c r="AS119" s="32"/>
      <c r="AT119" s="34"/>
    </row>
    <row r="120" spans="2:46" x14ac:dyDescent="0.3">
      <c r="B120" s="8"/>
      <c r="C120" s="2"/>
      <c r="D120" s="26"/>
      <c r="E120" s="26"/>
      <c r="F120" s="27"/>
      <c r="G120" s="26"/>
      <c r="H120" s="26"/>
      <c r="I120" s="27"/>
      <c r="J120" s="26"/>
      <c r="K120" s="26"/>
      <c r="L120" s="67"/>
      <c r="N120" s="8"/>
      <c r="O120" s="2"/>
      <c r="P120" s="26"/>
      <c r="Q120" s="27"/>
      <c r="R120" s="30"/>
      <c r="S120" s="27"/>
      <c r="T120" s="30"/>
      <c r="U120" s="34"/>
      <c r="V120" s="34"/>
      <c r="X120" s="8"/>
      <c r="Y120" s="2"/>
      <c r="Z120" s="26"/>
      <c r="AA120" s="26"/>
      <c r="AB120" s="26"/>
      <c r="AC120" s="26"/>
      <c r="AD120" s="27"/>
      <c r="AE120" s="30"/>
      <c r="AF120" s="26"/>
      <c r="AG120" s="26"/>
      <c r="AH120" s="32"/>
      <c r="AJ120" s="8"/>
      <c r="AK120" s="2"/>
      <c r="AL120" s="26"/>
      <c r="AM120" s="26"/>
      <c r="AN120" s="26"/>
      <c r="AO120" s="27"/>
      <c r="AP120" s="30"/>
      <c r="AQ120" s="26"/>
      <c r="AR120" s="26"/>
      <c r="AS120" s="32"/>
      <c r="AT120" s="34"/>
    </row>
    <row r="121" spans="2:46" x14ac:dyDescent="0.3">
      <c r="B121" s="8"/>
      <c r="C121" s="2"/>
      <c r="D121" s="26"/>
      <c r="E121" s="26"/>
      <c r="F121" s="27"/>
      <c r="G121" s="26"/>
      <c r="H121" s="26"/>
      <c r="I121" s="27"/>
      <c r="J121" s="26"/>
      <c r="K121" s="26"/>
      <c r="L121" s="67"/>
      <c r="N121" s="8"/>
      <c r="O121" s="2"/>
      <c r="P121" s="26"/>
      <c r="Q121" s="27"/>
      <c r="R121" s="30"/>
      <c r="S121" s="27"/>
      <c r="T121" s="30"/>
      <c r="U121" s="34"/>
      <c r="V121" s="34"/>
      <c r="X121" s="8"/>
      <c r="Y121" s="2"/>
      <c r="Z121" s="26"/>
      <c r="AA121" s="26"/>
      <c r="AB121" s="26"/>
      <c r="AC121" s="26"/>
      <c r="AD121" s="27"/>
      <c r="AE121" s="30"/>
      <c r="AF121" s="26"/>
      <c r="AG121" s="26"/>
      <c r="AH121" s="32"/>
      <c r="AJ121" s="8"/>
      <c r="AK121" s="2"/>
      <c r="AL121" s="26"/>
      <c r="AM121" s="26"/>
      <c r="AN121" s="26"/>
      <c r="AO121" s="27"/>
      <c r="AP121" s="30"/>
      <c r="AQ121" s="26"/>
      <c r="AR121" s="26"/>
      <c r="AS121" s="32"/>
      <c r="AT121" s="34"/>
    </row>
    <row r="122" spans="2:46" x14ac:dyDescent="0.3">
      <c r="B122" s="8"/>
      <c r="C122" s="2"/>
      <c r="D122" s="26"/>
      <c r="E122" s="26"/>
      <c r="F122" s="27"/>
      <c r="G122" s="26"/>
      <c r="H122" s="26"/>
      <c r="I122" s="27"/>
      <c r="J122" s="26"/>
      <c r="K122" s="26"/>
      <c r="L122" s="67"/>
      <c r="N122" s="8"/>
      <c r="O122" s="2"/>
      <c r="P122" s="26"/>
      <c r="Q122" s="27"/>
      <c r="R122" s="30"/>
      <c r="S122" s="27"/>
      <c r="T122" s="30"/>
      <c r="U122" s="34"/>
      <c r="V122" s="34"/>
      <c r="X122" s="8"/>
      <c r="Y122" s="2"/>
      <c r="Z122" s="26"/>
      <c r="AA122" s="26"/>
      <c r="AB122" s="26"/>
      <c r="AC122" s="26"/>
      <c r="AD122" s="27"/>
      <c r="AE122" s="30"/>
      <c r="AF122" s="26"/>
      <c r="AG122" s="26"/>
      <c r="AH122" s="32"/>
      <c r="AJ122" s="8"/>
      <c r="AK122" s="2"/>
      <c r="AL122" s="26"/>
      <c r="AM122" s="26"/>
      <c r="AN122" s="26"/>
      <c r="AO122" s="27"/>
      <c r="AP122" s="30"/>
      <c r="AQ122" s="26"/>
      <c r="AR122" s="26"/>
      <c r="AS122" s="32"/>
      <c r="AT122" s="34"/>
    </row>
    <row r="123" spans="2:46" x14ac:dyDescent="0.3">
      <c r="B123" s="8"/>
      <c r="C123" s="2"/>
      <c r="D123" s="26"/>
      <c r="E123" s="26"/>
      <c r="F123" s="27"/>
      <c r="G123" s="26"/>
      <c r="H123" s="26"/>
      <c r="I123" s="27"/>
      <c r="J123" s="26"/>
      <c r="K123" s="26"/>
      <c r="L123" s="67"/>
      <c r="N123" s="8"/>
      <c r="O123" s="2"/>
      <c r="P123" s="26"/>
      <c r="Q123" s="27"/>
      <c r="R123" s="30"/>
      <c r="S123" s="27"/>
      <c r="T123" s="30"/>
      <c r="U123" s="34"/>
      <c r="V123" s="34"/>
      <c r="X123" s="8"/>
      <c r="Y123" s="2"/>
      <c r="Z123" s="26"/>
      <c r="AA123" s="26"/>
      <c r="AB123" s="26"/>
      <c r="AC123" s="26"/>
      <c r="AD123" s="27"/>
      <c r="AE123" s="30"/>
      <c r="AF123" s="26"/>
      <c r="AG123" s="26"/>
      <c r="AH123" s="32"/>
      <c r="AJ123" s="8"/>
      <c r="AK123" s="2"/>
      <c r="AL123" s="26"/>
      <c r="AM123" s="26"/>
      <c r="AN123" s="26"/>
      <c r="AO123" s="27"/>
      <c r="AP123" s="30"/>
      <c r="AQ123" s="26"/>
      <c r="AR123" s="26"/>
      <c r="AS123" s="32"/>
      <c r="AT123" s="34"/>
    </row>
    <row r="124" spans="2:46" x14ac:dyDescent="0.3">
      <c r="B124" s="8"/>
      <c r="C124" s="2"/>
      <c r="D124" s="26"/>
      <c r="E124" s="26"/>
      <c r="F124" s="27"/>
      <c r="G124" s="26"/>
      <c r="H124" s="26"/>
      <c r="I124" s="27"/>
      <c r="J124" s="26"/>
      <c r="K124" s="26"/>
      <c r="L124" s="67"/>
      <c r="N124" s="8"/>
      <c r="O124" s="2"/>
      <c r="P124" s="26"/>
      <c r="Q124" s="27"/>
      <c r="R124" s="30"/>
      <c r="S124" s="27"/>
      <c r="T124" s="30"/>
      <c r="U124" s="34"/>
      <c r="V124" s="34"/>
      <c r="X124" s="8"/>
      <c r="Y124" s="2"/>
      <c r="Z124" s="26"/>
      <c r="AA124" s="26"/>
      <c r="AB124" s="26"/>
      <c r="AC124" s="26"/>
      <c r="AD124" s="27"/>
      <c r="AE124" s="30"/>
      <c r="AF124" s="26"/>
      <c r="AG124" s="26"/>
      <c r="AH124" s="32"/>
      <c r="AJ124" s="8"/>
      <c r="AK124" s="2"/>
      <c r="AL124" s="26"/>
      <c r="AM124" s="26"/>
      <c r="AN124" s="26"/>
      <c r="AO124" s="27"/>
      <c r="AP124" s="30"/>
      <c r="AQ124" s="26"/>
      <c r="AR124" s="26"/>
      <c r="AS124" s="32"/>
      <c r="AT124" s="34"/>
    </row>
    <row r="125" spans="2:46" x14ac:dyDescent="0.3">
      <c r="B125" s="8"/>
      <c r="C125" s="2"/>
      <c r="D125" s="26"/>
      <c r="E125" s="26"/>
      <c r="F125" s="27"/>
      <c r="G125" s="26"/>
      <c r="H125" s="26"/>
      <c r="I125" s="27"/>
      <c r="J125" s="26"/>
      <c r="K125" s="26"/>
      <c r="L125" s="67"/>
      <c r="N125" s="8"/>
      <c r="O125" s="2"/>
      <c r="P125" s="26"/>
      <c r="Q125" s="27"/>
      <c r="R125" s="30"/>
      <c r="S125" s="27"/>
      <c r="T125" s="30"/>
      <c r="U125" s="34"/>
      <c r="V125" s="34"/>
      <c r="X125" s="8"/>
      <c r="Y125" s="2"/>
      <c r="Z125" s="26"/>
      <c r="AA125" s="26"/>
      <c r="AB125" s="26"/>
      <c r="AC125" s="26"/>
      <c r="AD125" s="27"/>
      <c r="AE125" s="30"/>
      <c r="AF125" s="26"/>
      <c r="AG125" s="26"/>
      <c r="AH125" s="32"/>
      <c r="AJ125" s="8"/>
      <c r="AK125" s="2"/>
      <c r="AL125" s="26"/>
      <c r="AM125" s="26"/>
      <c r="AN125" s="26"/>
      <c r="AO125" s="27"/>
      <c r="AP125" s="30"/>
      <c r="AQ125" s="26"/>
      <c r="AR125" s="26"/>
      <c r="AS125" s="32"/>
      <c r="AT125" s="34"/>
    </row>
    <row r="126" spans="2:46" x14ac:dyDescent="0.3">
      <c r="B126" s="8"/>
      <c r="C126" s="2"/>
      <c r="D126" s="26"/>
      <c r="E126" s="26"/>
      <c r="F126" s="27"/>
      <c r="G126" s="26"/>
      <c r="H126" s="26"/>
      <c r="I126" s="27"/>
      <c r="J126" s="26"/>
      <c r="K126" s="26"/>
      <c r="L126" s="67"/>
      <c r="N126" s="8"/>
      <c r="O126" s="2"/>
      <c r="P126" s="26"/>
      <c r="Q126" s="27"/>
      <c r="R126" s="30"/>
      <c r="S126" s="27"/>
      <c r="T126" s="30"/>
      <c r="U126" s="34"/>
      <c r="V126" s="34"/>
      <c r="X126" s="8"/>
      <c r="Y126" s="2"/>
      <c r="Z126" s="26"/>
      <c r="AA126" s="26"/>
      <c r="AB126" s="26"/>
      <c r="AC126" s="26"/>
      <c r="AD126" s="27"/>
      <c r="AE126" s="30"/>
      <c r="AF126" s="26"/>
      <c r="AG126" s="26"/>
      <c r="AH126" s="32"/>
      <c r="AJ126" s="8"/>
      <c r="AK126" s="2"/>
      <c r="AL126" s="26"/>
      <c r="AM126" s="26"/>
      <c r="AN126" s="26"/>
      <c r="AO126" s="27"/>
      <c r="AP126" s="30"/>
      <c r="AQ126" s="26"/>
      <c r="AR126" s="26"/>
      <c r="AS126" s="32"/>
      <c r="AT126" s="34"/>
    </row>
    <row r="127" spans="2:46" x14ac:dyDescent="0.3">
      <c r="B127" s="8"/>
      <c r="C127" s="2"/>
      <c r="D127" s="26"/>
      <c r="E127" s="26"/>
      <c r="F127" s="27"/>
      <c r="G127" s="26"/>
      <c r="H127" s="26"/>
      <c r="I127" s="27"/>
      <c r="J127" s="26"/>
      <c r="K127" s="26"/>
      <c r="L127" s="67"/>
      <c r="N127" s="8"/>
      <c r="O127" s="2"/>
      <c r="P127" s="26"/>
      <c r="Q127" s="27"/>
      <c r="R127" s="30"/>
      <c r="S127" s="27"/>
      <c r="T127" s="30"/>
      <c r="U127" s="34"/>
      <c r="V127" s="34"/>
      <c r="X127" s="8"/>
      <c r="Y127" s="2"/>
      <c r="Z127" s="26"/>
      <c r="AA127" s="26"/>
      <c r="AB127" s="26"/>
      <c r="AC127" s="26"/>
      <c r="AD127" s="27"/>
      <c r="AE127" s="30"/>
      <c r="AF127" s="26"/>
      <c r="AG127" s="26"/>
      <c r="AH127" s="32"/>
      <c r="AJ127" s="8"/>
      <c r="AK127" s="2"/>
      <c r="AL127" s="26"/>
      <c r="AM127" s="26"/>
      <c r="AN127" s="26"/>
      <c r="AO127" s="27"/>
      <c r="AP127" s="30"/>
      <c r="AQ127" s="26"/>
      <c r="AR127" s="26"/>
      <c r="AS127" s="32"/>
      <c r="AT127" s="34"/>
    </row>
    <row r="128" spans="2:46" x14ac:dyDescent="0.3">
      <c r="B128" s="8"/>
      <c r="C128" s="2"/>
      <c r="D128" s="26"/>
      <c r="E128" s="26"/>
      <c r="F128" s="27"/>
      <c r="G128" s="26"/>
      <c r="H128" s="26"/>
      <c r="I128" s="27"/>
      <c r="J128" s="26"/>
      <c r="K128" s="26"/>
      <c r="L128" s="67"/>
      <c r="N128" s="8"/>
      <c r="O128" s="2"/>
      <c r="P128" s="26"/>
      <c r="Q128" s="27"/>
      <c r="R128" s="30"/>
      <c r="S128" s="27"/>
      <c r="T128" s="30"/>
      <c r="U128" s="34"/>
      <c r="V128" s="34"/>
      <c r="X128" s="8"/>
      <c r="Y128" s="2"/>
      <c r="Z128" s="26"/>
      <c r="AA128" s="26"/>
      <c r="AB128" s="26"/>
      <c r="AC128" s="26"/>
      <c r="AD128" s="27"/>
      <c r="AE128" s="30"/>
      <c r="AF128" s="26"/>
      <c r="AG128" s="26"/>
      <c r="AH128" s="32"/>
      <c r="AJ128" s="8"/>
      <c r="AK128" s="2"/>
      <c r="AL128" s="26"/>
      <c r="AM128" s="26"/>
      <c r="AN128" s="26"/>
      <c r="AO128" s="27"/>
      <c r="AP128" s="30"/>
      <c r="AQ128" s="26"/>
      <c r="AR128" s="26"/>
      <c r="AS128" s="32"/>
      <c r="AT128" s="34"/>
    </row>
    <row r="129" spans="2:46" x14ac:dyDescent="0.3">
      <c r="B129" s="8"/>
      <c r="C129" s="2"/>
      <c r="D129" s="26"/>
      <c r="E129" s="26"/>
      <c r="F129" s="27"/>
      <c r="G129" s="26"/>
      <c r="H129" s="26"/>
      <c r="I129" s="27"/>
      <c r="J129" s="26"/>
      <c r="K129" s="26"/>
      <c r="L129" s="67"/>
      <c r="N129" s="8"/>
      <c r="O129" s="2"/>
      <c r="P129" s="26"/>
      <c r="Q129" s="27"/>
      <c r="R129" s="30"/>
      <c r="S129" s="27"/>
      <c r="T129" s="30"/>
      <c r="U129" s="34"/>
      <c r="V129" s="34"/>
      <c r="X129" s="8"/>
      <c r="Y129" s="2"/>
      <c r="Z129" s="26"/>
      <c r="AA129" s="26"/>
      <c r="AB129" s="26"/>
      <c r="AC129" s="26"/>
      <c r="AD129" s="27"/>
      <c r="AE129" s="30"/>
      <c r="AF129" s="26"/>
      <c r="AG129" s="26"/>
      <c r="AH129" s="32"/>
      <c r="AJ129" s="8"/>
      <c r="AK129" s="2"/>
      <c r="AL129" s="26"/>
      <c r="AM129" s="26"/>
      <c r="AN129" s="26"/>
      <c r="AO129" s="27"/>
      <c r="AP129" s="30"/>
      <c r="AQ129" s="26"/>
      <c r="AR129" s="26"/>
      <c r="AS129" s="32"/>
      <c r="AT129" s="34"/>
    </row>
    <row r="130" spans="2:46" x14ac:dyDescent="0.3">
      <c r="B130" s="8"/>
      <c r="C130" s="2"/>
      <c r="D130" s="26"/>
      <c r="E130" s="26"/>
      <c r="F130" s="27"/>
      <c r="G130" s="26"/>
      <c r="H130" s="26"/>
      <c r="I130" s="27"/>
      <c r="J130" s="26"/>
      <c r="K130" s="26"/>
      <c r="L130" s="67"/>
      <c r="N130" s="8"/>
      <c r="O130" s="2"/>
      <c r="P130" s="26"/>
      <c r="Q130" s="27"/>
      <c r="R130" s="30"/>
      <c r="S130" s="27"/>
      <c r="T130" s="30"/>
      <c r="U130" s="34"/>
      <c r="V130" s="34"/>
      <c r="X130" s="8"/>
      <c r="Y130" s="2"/>
      <c r="Z130" s="26"/>
      <c r="AA130" s="26"/>
      <c r="AB130" s="26"/>
      <c r="AC130" s="26"/>
      <c r="AD130" s="27"/>
      <c r="AE130" s="30"/>
      <c r="AF130" s="26"/>
      <c r="AG130" s="26"/>
      <c r="AH130" s="32"/>
      <c r="AJ130" s="8"/>
      <c r="AK130" s="2"/>
      <c r="AL130" s="26"/>
      <c r="AM130" s="26"/>
      <c r="AN130" s="26"/>
      <c r="AO130" s="27"/>
      <c r="AP130" s="30"/>
      <c r="AQ130" s="26"/>
      <c r="AR130" s="26"/>
      <c r="AS130" s="32"/>
      <c r="AT130" s="34"/>
    </row>
    <row r="131" spans="2:46" x14ac:dyDescent="0.3">
      <c r="B131" s="8"/>
      <c r="C131" s="2"/>
      <c r="D131" s="26"/>
      <c r="E131" s="26"/>
      <c r="F131" s="27"/>
      <c r="G131" s="26"/>
      <c r="H131" s="26"/>
      <c r="I131" s="27"/>
      <c r="J131" s="26"/>
      <c r="K131" s="26"/>
      <c r="L131" s="67"/>
      <c r="N131" s="8"/>
      <c r="O131" s="2"/>
      <c r="P131" s="26"/>
      <c r="Q131" s="27"/>
      <c r="R131" s="30"/>
      <c r="S131" s="27"/>
      <c r="T131" s="30"/>
      <c r="U131" s="34"/>
      <c r="V131" s="34"/>
      <c r="X131" s="8"/>
      <c r="Y131" s="2"/>
      <c r="Z131" s="26"/>
      <c r="AA131" s="26"/>
      <c r="AB131" s="26"/>
      <c r="AC131" s="26"/>
      <c r="AD131" s="27"/>
      <c r="AE131" s="30"/>
      <c r="AF131" s="26"/>
      <c r="AG131" s="26"/>
      <c r="AH131" s="32"/>
      <c r="AJ131" s="8"/>
      <c r="AK131" s="2"/>
      <c r="AL131" s="26"/>
      <c r="AM131" s="26"/>
      <c r="AN131" s="26"/>
      <c r="AO131" s="27"/>
      <c r="AP131" s="30"/>
      <c r="AQ131" s="26"/>
      <c r="AR131" s="26"/>
      <c r="AS131" s="32"/>
      <c r="AT131" s="34"/>
    </row>
    <row r="132" spans="2:46" x14ac:dyDescent="0.3">
      <c r="B132" s="8"/>
      <c r="C132" s="2"/>
      <c r="D132" s="26"/>
      <c r="E132" s="26"/>
      <c r="F132" s="27"/>
      <c r="G132" s="26"/>
      <c r="H132" s="26"/>
      <c r="I132" s="27"/>
      <c r="J132" s="26"/>
      <c r="K132" s="26"/>
      <c r="L132" s="67"/>
      <c r="N132" s="8"/>
      <c r="O132" s="2"/>
      <c r="P132" s="26"/>
      <c r="Q132" s="27"/>
      <c r="R132" s="30"/>
      <c r="S132" s="27"/>
      <c r="T132" s="30"/>
      <c r="U132" s="34"/>
      <c r="V132" s="34"/>
      <c r="X132" s="8"/>
      <c r="Y132" s="2"/>
      <c r="Z132" s="26"/>
      <c r="AA132" s="26"/>
      <c r="AB132" s="26"/>
      <c r="AC132" s="26"/>
      <c r="AD132" s="27"/>
      <c r="AE132" s="30"/>
      <c r="AF132" s="26"/>
      <c r="AG132" s="26"/>
      <c r="AH132" s="32"/>
      <c r="AJ132" s="8"/>
      <c r="AK132" s="2"/>
      <c r="AL132" s="26"/>
      <c r="AM132" s="26"/>
      <c r="AN132" s="26"/>
      <c r="AO132" s="27"/>
      <c r="AP132" s="30"/>
      <c r="AQ132" s="26"/>
      <c r="AR132" s="26"/>
      <c r="AS132" s="32"/>
      <c r="AT132" s="34"/>
    </row>
    <row r="133" spans="2:46" x14ac:dyDescent="0.3">
      <c r="B133" s="8"/>
      <c r="C133" s="2"/>
      <c r="D133" s="26"/>
      <c r="E133" s="26"/>
      <c r="F133" s="27"/>
      <c r="G133" s="26"/>
      <c r="H133" s="26"/>
      <c r="I133" s="27"/>
      <c r="J133" s="26"/>
      <c r="K133" s="26"/>
      <c r="L133" s="67"/>
      <c r="N133" s="8"/>
      <c r="O133" s="2"/>
      <c r="P133" s="26"/>
      <c r="Q133" s="27"/>
      <c r="R133" s="30"/>
      <c r="S133" s="27"/>
      <c r="T133" s="30"/>
      <c r="U133" s="34"/>
      <c r="V133" s="34"/>
      <c r="X133" s="8"/>
      <c r="Y133" s="2"/>
      <c r="Z133" s="26"/>
      <c r="AA133" s="26"/>
      <c r="AB133" s="26"/>
      <c r="AC133" s="26"/>
      <c r="AD133" s="27"/>
      <c r="AE133" s="30"/>
      <c r="AF133" s="26"/>
      <c r="AG133" s="26"/>
      <c r="AH133" s="32"/>
      <c r="AJ133" s="8"/>
      <c r="AK133" s="2"/>
      <c r="AL133" s="26"/>
      <c r="AM133" s="26"/>
      <c r="AN133" s="26"/>
      <c r="AO133" s="27"/>
      <c r="AP133" s="30"/>
      <c r="AQ133" s="26"/>
      <c r="AR133" s="26"/>
      <c r="AS133" s="32"/>
      <c r="AT133" s="34"/>
    </row>
    <row r="134" spans="2:46" x14ac:dyDescent="0.3">
      <c r="B134" s="8"/>
      <c r="C134" s="2"/>
      <c r="D134" s="26"/>
      <c r="E134" s="26"/>
      <c r="F134" s="27"/>
      <c r="G134" s="26"/>
      <c r="H134" s="26"/>
      <c r="I134" s="27"/>
      <c r="J134" s="26"/>
      <c r="K134" s="26"/>
      <c r="L134" s="67"/>
      <c r="N134" s="8"/>
      <c r="O134" s="2"/>
      <c r="P134" s="26"/>
      <c r="Q134" s="27"/>
      <c r="R134" s="30"/>
      <c r="S134" s="27"/>
      <c r="T134" s="30"/>
      <c r="U134" s="34"/>
      <c r="V134" s="34"/>
      <c r="X134" s="8"/>
      <c r="Y134" s="2"/>
      <c r="Z134" s="26"/>
      <c r="AA134" s="26"/>
      <c r="AB134" s="26"/>
      <c r="AC134" s="26"/>
      <c r="AD134" s="27"/>
      <c r="AE134" s="30"/>
      <c r="AF134" s="26"/>
      <c r="AG134" s="26"/>
      <c r="AH134" s="32"/>
      <c r="AJ134" s="8"/>
      <c r="AK134" s="2"/>
      <c r="AL134" s="26"/>
      <c r="AM134" s="26"/>
      <c r="AN134" s="26"/>
      <c r="AO134" s="27"/>
      <c r="AP134" s="30"/>
      <c r="AQ134" s="26"/>
      <c r="AR134" s="26"/>
      <c r="AS134" s="32"/>
      <c r="AT134" s="34"/>
    </row>
    <row r="135" spans="2:46" x14ac:dyDescent="0.3">
      <c r="B135" s="8"/>
      <c r="C135" s="2"/>
      <c r="D135" s="26"/>
      <c r="E135" s="26"/>
      <c r="F135" s="27"/>
      <c r="G135" s="26"/>
      <c r="H135" s="26"/>
      <c r="I135" s="27"/>
      <c r="J135" s="26"/>
      <c r="K135" s="26"/>
      <c r="L135" s="67"/>
      <c r="N135" s="8"/>
      <c r="O135" s="2"/>
      <c r="P135" s="26"/>
      <c r="Q135" s="27"/>
      <c r="R135" s="30"/>
      <c r="S135" s="27"/>
      <c r="T135" s="30"/>
      <c r="U135" s="34"/>
      <c r="V135" s="34"/>
      <c r="X135" s="8"/>
      <c r="Y135" s="2"/>
      <c r="Z135" s="26"/>
      <c r="AA135" s="26"/>
      <c r="AB135" s="26"/>
      <c r="AC135" s="26"/>
      <c r="AD135" s="27"/>
      <c r="AE135" s="30"/>
      <c r="AF135" s="26"/>
      <c r="AG135" s="26"/>
      <c r="AH135" s="32"/>
      <c r="AJ135" s="8"/>
      <c r="AK135" s="2"/>
      <c r="AL135" s="26"/>
      <c r="AM135" s="26"/>
      <c r="AN135" s="26"/>
      <c r="AO135" s="27"/>
      <c r="AP135" s="30"/>
      <c r="AQ135" s="26"/>
      <c r="AR135" s="26"/>
      <c r="AS135" s="32"/>
      <c r="AT135" s="34"/>
    </row>
    <row r="136" spans="2:46" x14ac:dyDescent="0.3">
      <c r="B136" s="8"/>
      <c r="C136" s="2"/>
      <c r="D136" s="26"/>
      <c r="E136" s="26"/>
      <c r="F136" s="27"/>
      <c r="G136" s="26"/>
      <c r="H136" s="26"/>
      <c r="I136" s="27"/>
      <c r="J136" s="26"/>
      <c r="K136" s="26"/>
      <c r="L136" s="67"/>
      <c r="N136" s="8"/>
      <c r="O136" s="2"/>
      <c r="P136" s="26"/>
      <c r="Q136" s="27"/>
      <c r="R136" s="30"/>
      <c r="S136" s="27"/>
      <c r="T136" s="30"/>
      <c r="U136" s="34"/>
      <c r="V136" s="34"/>
      <c r="X136" s="8"/>
      <c r="Y136" s="2"/>
      <c r="Z136" s="26"/>
      <c r="AA136" s="26"/>
      <c r="AB136" s="26"/>
      <c r="AC136" s="26"/>
      <c r="AD136" s="27"/>
      <c r="AE136" s="30"/>
      <c r="AF136" s="26"/>
      <c r="AG136" s="26"/>
      <c r="AH136" s="32"/>
      <c r="AJ136" s="8"/>
      <c r="AK136" s="2"/>
      <c r="AL136" s="26"/>
      <c r="AM136" s="26"/>
      <c r="AN136" s="26"/>
      <c r="AO136" s="27"/>
      <c r="AP136" s="30"/>
      <c r="AQ136" s="26"/>
      <c r="AR136" s="26"/>
      <c r="AS136" s="32"/>
      <c r="AT136" s="34"/>
    </row>
    <row r="137" spans="2:46" x14ac:dyDescent="0.3">
      <c r="B137" s="8"/>
      <c r="C137" s="2"/>
      <c r="D137" s="26"/>
      <c r="E137" s="26"/>
      <c r="F137" s="27"/>
      <c r="G137" s="26"/>
      <c r="H137" s="26"/>
      <c r="I137" s="27"/>
      <c r="J137" s="26"/>
      <c r="K137" s="26"/>
      <c r="L137" s="67"/>
      <c r="N137" s="8"/>
      <c r="O137" s="2"/>
      <c r="P137" s="26"/>
      <c r="Q137" s="27"/>
      <c r="R137" s="30"/>
      <c r="S137" s="27"/>
      <c r="T137" s="30"/>
      <c r="U137" s="34"/>
      <c r="V137" s="34"/>
      <c r="X137" s="8"/>
      <c r="Y137" s="2"/>
      <c r="Z137" s="26"/>
      <c r="AA137" s="26"/>
      <c r="AB137" s="26"/>
      <c r="AC137" s="26"/>
      <c r="AD137" s="27"/>
      <c r="AE137" s="30"/>
      <c r="AF137" s="26"/>
      <c r="AG137" s="26"/>
      <c r="AH137" s="32"/>
      <c r="AJ137" s="8"/>
      <c r="AK137" s="2"/>
      <c r="AL137" s="26"/>
      <c r="AM137" s="26"/>
      <c r="AN137" s="26"/>
      <c r="AO137" s="27"/>
      <c r="AP137" s="30"/>
      <c r="AQ137" s="26"/>
      <c r="AR137" s="26"/>
      <c r="AS137" s="32"/>
      <c r="AT137" s="34"/>
    </row>
    <row r="138" spans="2:46" x14ac:dyDescent="0.3">
      <c r="B138" s="8"/>
      <c r="C138" s="2"/>
      <c r="D138" s="26"/>
      <c r="E138" s="26"/>
      <c r="F138" s="27"/>
      <c r="G138" s="26"/>
      <c r="H138" s="26"/>
      <c r="I138" s="27"/>
      <c r="J138" s="26"/>
      <c r="K138" s="26"/>
      <c r="L138" s="67"/>
      <c r="N138" s="8"/>
      <c r="O138" s="2"/>
      <c r="P138" s="26"/>
      <c r="Q138" s="27"/>
      <c r="R138" s="30"/>
      <c r="S138" s="27"/>
      <c r="T138" s="30"/>
      <c r="U138" s="34"/>
      <c r="V138" s="34"/>
      <c r="X138" s="8"/>
      <c r="Y138" s="2"/>
      <c r="Z138" s="26"/>
      <c r="AA138" s="26"/>
      <c r="AB138" s="26"/>
      <c r="AC138" s="26"/>
      <c r="AD138" s="27"/>
      <c r="AE138" s="30"/>
      <c r="AF138" s="26"/>
      <c r="AG138" s="26"/>
      <c r="AH138" s="32"/>
      <c r="AJ138" s="8"/>
      <c r="AK138" s="2"/>
      <c r="AL138" s="26"/>
      <c r="AM138" s="26"/>
      <c r="AN138" s="26"/>
      <c r="AO138" s="27"/>
      <c r="AP138" s="30"/>
      <c r="AQ138" s="26"/>
      <c r="AR138" s="26"/>
      <c r="AS138" s="32"/>
      <c r="AT138" s="34"/>
    </row>
    <row r="139" spans="2:46" x14ac:dyDescent="0.3">
      <c r="B139" s="8"/>
      <c r="C139" s="2"/>
      <c r="D139" s="26"/>
      <c r="E139" s="26"/>
      <c r="F139" s="27"/>
      <c r="G139" s="26"/>
      <c r="H139" s="26"/>
      <c r="I139" s="27"/>
      <c r="J139" s="26"/>
      <c r="K139" s="26"/>
      <c r="L139" s="67"/>
      <c r="N139" s="8"/>
      <c r="O139" s="2"/>
      <c r="P139" s="26"/>
      <c r="Q139" s="27"/>
      <c r="R139" s="30"/>
      <c r="S139" s="27"/>
      <c r="T139" s="30"/>
      <c r="U139" s="34"/>
      <c r="V139" s="34"/>
      <c r="X139" s="8"/>
      <c r="Y139" s="2"/>
      <c r="Z139" s="26"/>
      <c r="AA139" s="26"/>
      <c r="AB139" s="26"/>
      <c r="AC139" s="26"/>
      <c r="AD139" s="27"/>
      <c r="AE139" s="30"/>
      <c r="AF139" s="26"/>
      <c r="AG139" s="26"/>
      <c r="AH139" s="32"/>
      <c r="AJ139" s="8"/>
      <c r="AK139" s="2"/>
      <c r="AL139" s="26"/>
      <c r="AM139" s="26"/>
      <c r="AN139" s="26"/>
      <c r="AO139" s="27"/>
      <c r="AP139" s="30"/>
      <c r="AQ139" s="26"/>
      <c r="AR139" s="26"/>
      <c r="AS139" s="32"/>
      <c r="AT139" s="34"/>
    </row>
    <row r="140" spans="2:46" x14ac:dyDescent="0.3">
      <c r="B140" s="8"/>
      <c r="C140" s="2"/>
      <c r="D140" s="26"/>
      <c r="E140" s="26"/>
      <c r="F140" s="27"/>
      <c r="G140" s="26"/>
      <c r="H140" s="26"/>
      <c r="I140" s="27"/>
      <c r="J140" s="26"/>
      <c r="K140" s="26"/>
      <c r="L140" s="67"/>
      <c r="N140" s="8"/>
      <c r="O140" s="2"/>
      <c r="P140" s="26"/>
      <c r="Q140" s="27"/>
      <c r="R140" s="30"/>
      <c r="S140" s="27"/>
      <c r="T140" s="30"/>
      <c r="U140" s="34"/>
      <c r="V140" s="34"/>
      <c r="X140" s="8"/>
      <c r="Y140" s="2"/>
      <c r="Z140" s="26"/>
      <c r="AA140" s="26"/>
      <c r="AB140" s="26"/>
      <c r="AC140" s="26"/>
      <c r="AD140" s="27"/>
      <c r="AE140" s="30"/>
      <c r="AF140" s="26"/>
      <c r="AG140" s="26"/>
      <c r="AH140" s="32"/>
      <c r="AJ140" s="8"/>
      <c r="AK140" s="2"/>
      <c r="AL140" s="26"/>
      <c r="AM140" s="26"/>
      <c r="AN140" s="26"/>
      <c r="AO140" s="27"/>
      <c r="AP140" s="30"/>
      <c r="AQ140" s="26"/>
      <c r="AR140" s="26"/>
      <c r="AS140" s="32"/>
      <c r="AT140" s="34"/>
    </row>
    <row r="141" spans="2:46" x14ac:dyDescent="0.3">
      <c r="B141" s="8"/>
      <c r="C141" s="2"/>
      <c r="D141" s="26"/>
      <c r="E141" s="26"/>
      <c r="F141" s="27"/>
      <c r="G141" s="26"/>
      <c r="H141" s="26"/>
      <c r="I141" s="27"/>
      <c r="J141" s="26"/>
      <c r="K141" s="26"/>
      <c r="L141" s="67"/>
      <c r="N141" s="8"/>
      <c r="O141" s="2"/>
      <c r="P141" s="26"/>
      <c r="Q141" s="27"/>
      <c r="R141" s="30"/>
      <c r="S141" s="27"/>
      <c r="T141" s="30"/>
      <c r="U141" s="34"/>
      <c r="V141" s="34"/>
      <c r="X141" s="8"/>
      <c r="Y141" s="2"/>
      <c r="Z141" s="26"/>
      <c r="AA141" s="26"/>
      <c r="AB141" s="26"/>
      <c r="AC141" s="26"/>
      <c r="AD141" s="27"/>
      <c r="AE141" s="30"/>
      <c r="AF141" s="26"/>
      <c r="AG141" s="26"/>
      <c r="AH141" s="32"/>
      <c r="AJ141" s="8"/>
      <c r="AK141" s="2"/>
      <c r="AL141" s="26"/>
      <c r="AM141" s="26"/>
      <c r="AN141" s="26"/>
      <c r="AO141" s="27"/>
      <c r="AP141" s="30"/>
      <c r="AQ141" s="26"/>
      <c r="AR141" s="26"/>
      <c r="AS141" s="32"/>
      <c r="AT141" s="34"/>
    </row>
    <row r="142" spans="2:46" x14ac:dyDescent="0.3">
      <c r="B142" s="8"/>
      <c r="C142" s="2"/>
      <c r="D142" s="26"/>
      <c r="E142" s="26"/>
      <c r="F142" s="27"/>
      <c r="G142" s="26"/>
      <c r="H142" s="26"/>
      <c r="I142" s="27"/>
      <c r="J142" s="26"/>
      <c r="K142" s="26"/>
      <c r="L142" s="67"/>
      <c r="N142" s="8"/>
      <c r="O142" s="2"/>
      <c r="P142" s="26"/>
      <c r="Q142" s="27"/>
      <c r="R142" s="30"/>
      <c r="S142" s="27"/>
      <c r="T142" s="30"/>
      <c r="U142" s="34"/>
      <c r="V142" s="34"/>
      <c r="X142" s="8"/>
      <c r="Y142" s="2"/>
      <c r="Z142" s="26"/>
      <c r="AA142" s="26"/>
      <c r="AB142" s="26"/>
      <c r="AC142" s="26"/>
      <c r="AD142" s="27"/>
      <c r="AE142" s="30"/>
      <c r="AF142" s="26"/>
      <c r="AG142" s="26"/>
      <c r="AH142" s="32"/>
      <c r="AJ142" s="8"/>
      <c r="AK142" s="2"/>
      <c r="AL142" s="26"/>
      <c r="AM142" s="26"/>
      <c r="AN142" s="26"/>
      <c r="AO142" s="27"/>
      <c r="AP142" s="30"/>
      <c r="AQ142" s="26"/>
      <c r="AR142" s="26"/>
      <c r="AS142" s="32"/>
      <c r="AT142" s="34"/>
    </row>
    <row r="143" spans="2:46" x14ac:dyDescent="0.3">
      <c r="B143" s="8"/>
      <c r="C143" s="2"/>
      <c r="D143" s="26"/>
      <c r="E143" s="26"/>
      <c r="F143" s="27"/>
      <c r="G143" s="26"/>
      <c r="H143" s="26"/>
      <c r="I143" s="27"/>
      <c r="J143" s="26"/>
      <c r="K143" s="26"/>
      <c r="L143" s="67"/>
      <c r="N143" s="8"/>
      <c r="O143" s="2"/>
      <c r="P143" s="26"/>
      <c r="Q143" s="27"/>
      <c r="R143" s="30"/>
      <c r="S143" s="27"/>
      <c r="T143" s="30"/>
      <c r="U143" s="34"/>
      <c r="V143" s="34"/>
      <c r="X143" s="8"/>
      <c r="Y143" s="2"/>
      <c r="Z143" s="26"/>
      <c r="AA143" s="26"/>
      <c r="AB143" s="26"/>
      <c r="AC143" s="26"/>
      <c r="AD143" s="27"/>
      <c r="AE143" s="30"/>
      <c r="AF143" s="26"/>
      <c r="AG143" s="26"/>
      <c r="AH143" s="32"/>
      <c r="AJ143" s="8"/>
      <c r="AK143" s="2"/>
      <c r="AL143" s="26"/>
      <c r="AM143" s="26"/>
      <c r="AN143" s="26"/>
      <c r="AO143" s="27"/>
      <c r="AP143" s="30"/>
      <c r="AQ143" s="26"/>
      <c r="AR143" s="26"/>
      <c r="AS143" s="32"/>
      <c r="AT143" s="34"/>
    </row>
    <row r="144" spans="2:46" x14ac:dyDescent="0.3">
      <c r="B144" s="8"/>
      <c r="C144" s="2"/>
      <c r="D144" s="26"/>
      <c r="E144" s="26"/>
      <c r="F144" s="27"/>
      <c r="G144" s="26"/>
      <c r="H144" s="26"/>
      <c r="I144" s="27"/>
      <c r="J144" s="26"/>
      <c r="K144" s="26"/>
      <c r="L144" s="67"/>
      <c r="N144" s="8"/>
      <c r="O144" s="2"/>
      <c r="P144" s="26"/>
      <c r="Q144" s="27"/>
      <c r="R144" s="30"/>
      <c r="S144" s="27"/>
      <c r="T144" s="30"/>
      <c r="U144" s="34"/>
      <c r="V144" s="34"/>
      <c r="X144" s="8"/>
      <c r="Y144" s="2"/>
      <c r="Z144" s="26"/>
      <c r="AA144" s="26"/>
      <c r="AB144" s="26"/>
      <c r="AC144" s="26"/>
      <c r="AD144" s="27"/>
      <c r="AE144" s="30"/>
      <c r="AF144" s="26"/>
      <c r="AG144" s="26"/>
      <c r="AH144" s="32"/>
      <c r="AJ144" s="8"/>
      <c r="AK144" s="2"/>
      <c r="AL144" s="26"/>
      <c r="AM144" s="26"/>
      <c r="AN144" s="26"/>
      <c r="AO144" s="27"/>
      <c r="AP144" s="30"/>
      <c r="AQ144" s="26"/>
      <c r="AR144" s="26"/>
      <c r="AS144" s="32"/>
      <c r="AT144" s="34"/>
    </row>
    <row r="145" spans="2:46" x14ac:dyDescent="0.3">
      <c r="B145" s="8"/>
      <c r="C145" s="2"/>
      <c r="D145" s="26"/>
      <c r="E145" s="26"/>
      <c r="F145" s="27"/>
      <c r="G145" s="26"/>
      <c r="H145" s="26"/>
      <c r="I145" s="27"/>
      <c r="J145" s="26"/>
      <c r="K145" s="26"/>
      <c r="L145" s="67"/>
      <c r="N145" s="8"/>
      <c r="O145" s="2"/>
      <c r="P145" s="26"/>
      <c r="Q145" s="27"/>
      <c r="R145" s="30"/>
      <c r="S145" s="27"/>
      <c r="T145" s="30"/>
      <c r="U145" s="34"/>
      <c r="V145" s="34"/>
      <c r="X145" s="8"/>
      <c r="Y145" s="2"/>
      <c r="Z145" s="26"/>
      <c r="AA145" s="26"/>
      <c r="AB145" s="26"/>
      <c r="AC145" s="26"/>
      <c r="AD145" s="27"/>
      <c r="AE145" s="30"/>
      <c r="AF145" s="26"/>
      <c r="AG145" s="26"/>
      <c r="AH145" s="32"/>
      <c r="AJ145" s="8"/>
      <c r="AK145" s="2"/>
      <c r="AL145" s="26"/>
      <c r="AM145" s="26"/>
      <c r="AN145" s="26"/>
      <c r="AO145" s="27"/>
      <c r="AP145" s="30"/>
      <c r="AQ145" s="26"/>
      <c r="AR145" s="26"/>
      <c r="AS145" s="32"/>
      <c r="AT145" s="34"/>
    </row>
    <row r="146" spans="2:46" x14ac:dyDescent="0.3">
      <c r="B146" s="8"/>
      <c r="C146" s="2"/>
      <c r="D146" s="26"/>
      <c r="E146" s="26"/>
      <c r="F146" s="27"/>
      <c r="G146" s="26"/>
      <c r="H146" s="26"/>
      <c r="I146" s="27"/>
      <c r="J146" s="26"/>
      <c r="K146" s="26"/>
      <c r="L146" s="67"/>
      <c r="N146" s="8"/>
      <c r="O146" s="2"/>
      <c r="P146" s="26"/>
      <c r="Q146" s="27"/>
      <c r="R146" s="30"/>
      <c r="S146" s="27"/>
      <c r="T146" s="30"/>
      <c r="U146" s="34"/>
      <c r="V146" s="34"/>
      <c r="X146" s="8"/>
      <c r="Y146" s="2"/>
      <c r="Z146" s="26"/>
      <c r="AA146" s="26"/>
      <c r="AB146" s="26"/>
      <c r="AC146" s="26"/>
      <c r="AD146" s="27"/>
      <c r="AE146" s="30"/>
      <c r="AF146" s="26"/>
      <c r="AG146" s="26"/>
      <c r="AH146" s="32"/>
      <c r="AJ146" s="8"/>
      <c r="AK146" s="2"/>
      <c r="AL146" s="26"/>
      <c r="AM146" s="26"/>
      <c r="AN146" s="26"/>
      <c r="AO146" s="27"/>
      <c r="AP146" s="30"/>
      <c r="AQ146" s="26"/>
      <c r="AR146" s="26"/>
      <c r="AS146" s="32"/>
      <c r="AT146" s="34"/>
    </row>
    <row r="147" spans="2:46" x14ac:dyDescent="0.3">
      <c r="B147" s="8"/>
      <c r="C147" s="2"/>
      <c r="D147" s="26"/>
      <c r="E147" s="26"/>
      <c r="F147" s="27"/>
      <c r="G147" s="26"/>
      <c r="H147" s="26"/>
      <c r="I147" s="27"/>
      <c r="J147" s="26"/>
      <c r="K147" s="26"/>
      <c r="L147" s="67"/>
      <c r="N147" s="8"/>
      <c r="O147" s="2"/>
      <c r="P147" s="26"/>
      <c r="Q147" s="27"/>
      <c r="R147" s="30"/>
      <c r="S147" s="27"/>
      <c r="T147" s="30"/>
      <c r="U147" s="34"/>
      <c r="V147" s="34"/>
      <c r="X147" s="8"/>
      <c r="Y147" s="2"/>
      <c r="Z147" s="26"/>
      <c r="AA147" s="26"/>
      <c r="AB147" s="26"/>
      <c r="AC147" s="26"/>
      <c r="AD147" s="27"/>
      <c r="AE147" s="30"/>
      <c r="AF147" s="26"/>
      <c r="AG147" s="26"/>
      <c r="AH147" s="32"/>
      <c r="AJ147" s="8"/>
      <c r="AK147" s="2"/>
      <c r="AL147" s="26"/>
      <c r="AM147" s="26"/>
      <c r="AN147" s="26"/>
      <c r="AO147" s="27"/>
      <c r="AP147" s="30"/>
      <c r="AQ147" s="26"/>
      <c r="AR147" s="26"/>
      <c r="AS147" s="32"/>
      <c r="AT147" s="34"/>
    </row>
    <row r="148" spans="2:46" x14ac:dyDescent="0.3">
      <c r="B148" s="8"/>
      <c r="C148" s="2"/>
      <c r="D148" s="26"/>
      <c r="E148" s="26"/>
      <c r="F148" s="27"/>
      <c r="G148" s="26"/>
      <c r="H148" s="26"/>
      <c r="I148" s="27"/>
      <c r="J148" s="26"/>
      <c r="K148" s="26"/>
      <c r="L148" s="67"/>
      <c r="N148" s="8"/>
      <c r="O148" s="2"/>
      <c r="P148" s="26"/>
      <c r="Q148" s="27"/>
      <c r="R148" s="30"/>
      <c r="S148" s="27"/>
      <c r="T148" s="30"/>
      <c r="U148" s="34"/>
      <c r="V148" s="34"/>
      <c r="X148" s="8"/>
      <c r="Y148" s="2"/>
      <c r="Z148" s="26"/>
      <c r="AA148" s="26"/>
      <c r="AB148" s="26"/>
      <c r="AC148" s="26"/>
      <c r="AD148" s="27"/>
      <c r="AE148" s="30"/>
      <c r="AF148" s="26"/>
      <c r="AG148" s="26"/>
      <c r="AH148" s="32"/>
      <c r="AJ148" s="8"/>
      <c r="AK148" s="2"/>
      <c r="AL148" s="26"/>
      <c r="AM148" s="26"/>
      <c r="AN148" s="26"/>
      <c r="AO148" s="27"/>
      <c r="AP148" s="30"/>
      <c r="AQ148" s="26"/>
      <c r="AR148" s="26"/>
      <c r="AS148" s="32"/>
      <c r="AT148" s="34"/>
    </row>
    <row r="149" spans="2:46" x14ac:dyDescent="0.3">
      <c r="B149" s="8"/>
      <c r="C149" s="2"/>
      <c r="D149" s="26"/>
      <c r="E149" s="26"/>
      <c r="F149" s="27"/>
      <c r="G149" s="26"/>
      <c r="H149" s="26"/>
      <c r="I149" s="27"/>
      <c r="J149" s="26"/>
      <c r="K149" s="26"/>
      <c r="L149" s="67"/>
      <c r="N149" s="8"/>
      <c r="O149" s="2"/>
      <c r="P149" s="26"/>
      <c r="Q149" s="27"/>
      <c r="R149" s="30"/>
      <c r="S149" s="27"/>
      <c r="T149" s="30"/>
      <c r="U149" s="34"/>
      <c r="V149" s="34"/>
      <c r="X149" s="8"/>
      <c r="Y149" s="2"/>
      <c r="Z149" s="26"/>
      <c r="AA149" s="26"/>
      <c r="AB149" s="26"/>
      <c r="AC149" s="26"/>
      <c r="AD149" s="27"/>
      <c r="AE149" s="30"/>
      <c r="AF149" s="26"/>
      <c r="AG149" s="26"/>
      <c r="AH149" s="32"/>
      <c r="AJ149" s="8"/>
      <c r="AK149" s="2"/>
      <c r="AL149" s="26"/>
      <c r="AM149" s="26"/>
      <c r="AN149" s="26"/>
      <c r="AO149" s="27"/>
      <c r="AP149" s="30"/>
      <c r="AQ149" s="26"/>
      <c r="AR149" s="26"/>
      <c r="AS149" s="32"/>
      <c r="AT149" s="34"/>
    </row>
    <row r="150" spans="2:46" x14ac:dyDescent="0.3">
      <c r="B150" s="8"/>
      <c r="C150" s="2"/>
      <c r="D150" s="26"/>
      <c r="E150" s="26"/>
      <c r="F150" s="27"/>
      <c r="G150" s="26"/>
      <c r="H150" s="26"/>
      <c r="I150" s="27"/>
      <c r="J150" s="26"/>
      <c r="K150" s="26"/>
      <c r="L150" s="67"/>
      <c r="N150" s="8"/>
      <c r="O150" s="2"/>
      <c r="P150" s="26"/>
      <c r="Q150" s="27"/>
      <c r="R150" s="30"/>
      <c r="S150" s="27"/>
      <c r="T150" s="30"/>
      <c r="U150" s="34"/>
      <c r="V150" s="34"/>
      <c r="X150" s="8"/>
      <c r="Y150" s="2"/>
      <c r="Z150" s="26"/>
      <c r="AA150" s="26"/>
      <c r="AB150" s="26"/>
      <c r="AC150" s="26"/>
      <c r="AD150" s="27"/>
      <c r="AE150" s="30"/>
      <c r="AF150" s="26"/>
      <c r="AG150" s="26"/>
      <c r="AH150" s="32"/>
      <c r="AJ150" s="8"/>
      <c r="AK150" s="2"/>
      <c r="AL150" s="26"/>
      <c r="AM150" s="26"/>
      <c r="AN150" s="26"/>
      <c r="AO150" s="27"/>
      <c r="AP150" s="30"/>
      <c r="AQ150" s="26"/>
      <c r="AR150" s="26"/>
      <c r="AS150" s="32"/>
      <c r="AT150" s="34"/>
    </row>
    <row r="151" spans="2:46" x14ac:dyDescent="0.3">
      <c r="B151" s="8"/>
      <c r="C151" s="2"/>
      <c r="D151" s="26"/>
      <c r="E151" s="26"/>
      <c r="F151" s="27"/>
      <c r="G151" s="26"/>
      <c r="H151" s="26"/>
      <c r="I151" s="27"/>
      <c r="J151" s="26"/>
      <c r="K151" s="26"/>
      <c r="L151" s="67"/>
      <c r="N151" s="8"/>
      <c r="O151" s="2"/>
      <c r="P151" s="26"/>
      <c r="Q151" s="27"/>
      <c r="R151" s="30"/>
      <c r="S151" s="27"/>
      <c r="T151" s="30"/>
      <c r="U151" s="34"/>
      <c r="V151" s="34"/>
      <c r="X151" s="8"/>
      <c r="Y151" s="2"/>
      <c r="Z151" s="26"/>
      <c r="AA151" s="26"/>
      <c r="AB151" s="26"/>
      <c r="AC151" s="26"/>
      <c r="AD151" s="27"/>
      <c r="AE151" s="30"/>
      <c r="AF151" s="26"/>
      <c r="AG151" s="26"/>
      <c r="AH151" s="32"/>
      <c r="AJ151" s="8"/>
      <c r="AK151" s="2"/>
      <c r="AL151" s="26"/>
      <c r="AM151" s="26"/>
      <c r="AN151" s="26"/>
      <c r="AO151" s="27"/>
      <c r="AP151" s="30"/>
      <c r="AQ151" s="26"/>
      <c r="AR151" s="26"/>
      <c r="AS151" s="32"/>
      <c r="AT151" s="34"/>
    </row>
    <row r="152" spans="2:46" x14ac:dyDescent="0.3">
      <c r="B152" s="8"/>
      <c r="C152" s="2"/>
      <c r="D152" s="26"/>
      <c r="E152" s="26"/>
      <c r="F152" s="27"/>
      <c r="G152" s="26"/>
      <c r="H152" s="26"/>
      <c r="I152" s="27"/>
      <c r="J152" s="26"/>
      <c r="K152" s="26"/>
      <c r="L152" s="67"/>
      <c r="N152" s="8"/>
      <c r="O152" s="2"/>
      <c r="P152" s="26"/>
      <c r="Q152" s="27"/>
      <c r="R152" s="30"/>
      <c r="S152" s="27"/>
      <c r="T152" s="30"/>
      <c r="U152" s="34"/>
      <c r="V152" s="34"/>
      <c r="X152" s="8"/>
      <c r="Y152" s="2"/>
      <c r="Z152" s="26"/>
      <c r="AA152" s="26"/>
      <c r="AB152" s="26"/>
      <c r="AC152" s="26"/>
      <c r="AD152" s="27"/>
      <c r="AE152" s="30"/>
      <c r="AF152" s="26"/>
      <c r="AG152" s="26"/>
      <c r="AH152" s="32"/>
      <c r="AJ152" s="8"/>
      <c r="AK152" s="2"/>
      <c r="AL152" s="26"/>
      <c r="AM152" s="26"/>
      <c r="AN152" s="26"/>
      <c r="AO152" s="27"/>
      <c r="AP152" s="30"/>
      <c r="AQ152" s="26"/>
      <c r="AR152" s="26"/>
      <c r="AS152" s="32"/>
      <c r="AT152" s="34"/>
    </row>
    <row r="153" spans="2:46" x14ac:dyDescent="0.3">
      <c r="B153" s="8"/>
      <c r="C153" s="2"/>
      <c r="D153" s="26"/>
      <c r="E153" s="26"/>
      <c r="F153" s="27"/>
      <c r="G153" s="26"/>
      <c r="H153" s="26"/>
      <c r="I153" s="27"/>
      <c r="J153" s="26"/>
      <c r="K153" s="26"/>
      <c r="L153" s="67"/>
      <c r="N153" s="8"/>
      <c r="O153" s="2"/>
      <c r="P153" s="26"/>
      <c r="Q153" s="27"/>
      <c r="R153" s="30"/>
      <c r="S153" s="27"/>
      <c r="T153" s="30"/>
      <c r="U153" s="34"/>
      <c r="V153" s="34"/>
      <c r="X153" s="8"/>
      <c r="Y153" s="2"/>
      <c r="Z153" s="26"/>
      <c r="AA153" s="26"/>
      <c r="AB153" s="26"/>
      <c r="AC153" s="26"/>
      <c r="AD153" s="27"/>
      <c r="AE153" s="30"/>
      <c r="AF153" s="26"/>
      <c r="AG153" s="26"/>
      <c r="AH153" s="32"/>
      <c r="AJ153" s="8"/>
      <c r="AK153" s="2"/>
      <c r="AL153" s="26"/>
      <c r="AM153" s="26"/>
      <c r="AN153" s="26"/>
      <c r="AO153" s="27"/>
      <c r="AP153" s="30"/>
      <c r="AQ153" s="26"/>
      <c r="AR153" s="26"/>
      <c r="AS153" s="32"/>
      <c r="AT153" s="34"/>
    </row>
    <row r="154" spans="2:46" x14ac:dyDescent="0.3">
      <c r="B154" s="8"/>
      <c r="C154" s="2"/>
      <c r="D154" s="26"/>
      <c r="E154" s="26"/>
      <c r="F154" s="27"/>
      <c r="G154" s="26"/>
      <c r="H154" s="26"/>
      <c r="I154" s="27"/>
      <c r="J154" s="26"/>
      <c r="K154" s="26"/>
      <c r="L154" s="67"/>
      <c r="N154" s="8"/>
      <c r="O154" s="2"/>
      <c r="P154" s="26"/>
      <c r="Q154" s="27"/>
      <c r="R154" s="30"/>
      <c r="S154" s="27"/>
      <c r="T154" s="30"/>
      <c r="U154" s="34"/>
      <c r="V154" s="34"/>
      <c r="X154" s="8"/>
      <c r="Y154" s="2"/>
      <c r="Z154" s="26"/>
      <c r="AA154" s="26"/>
      <c r="AB154" s="26"/>
      <c r="AC154" s="26"/>
      <c r="AD154" s="27"/>
      <c r="AE154" s="30"/>
      <c r="AF154" s="26"/>
      <c r="AG154" s="26"/>
      <c r="AH154" s="32"/>
      <c r="AJ154" s="8"/>
      <c r="AK154" s="2"/>
      <c r="AL154" s="26"/>
      <c r="AM154" s="26"/>
      <c r="AN154" s="26"/>
      <c r="AO154" s="27"/>
      <c r="AP154" s="30"/>
      <c r="AQ154" s="26"/>
      <c r="AR154" s="26"/>
      <c r="AS154" s="32"/>
      <c r="AT154" s="34"/>
    </row>
    <row r="155" spans="2:46" x14ac:dyDescent="0.3">
      <c r="B155" s="8"/>
      <c r="C155" s="2"/>
      <c r="D155" s="26"/>
      <c r="E155" s="26"/>
      <c r="F155" s="27"/>
      <c r="G155" s="26"/>
      <c r="H155" s="26"/>
      <c r="I155" s="27"/>
      <c r="J155" s="26"/>
      <c r="K155" s="26"/>
      <c r="L155" s="67"/>
      <c r="N155" s="8"/>
      <c r="O155" s="2"/>
      <c r="P155" s="26"/>
      <c r="Q155" s="27"/>
      <c r="R155" s="30"/>
      <c r="S155" s="27"/>
      <c r="T155" s="30"/>
      <c r="U155" s="34"/>
      <c r="V155" s="34"/>
      <c r="X155" s="8"/>
      <c r="Y155" s="2"/>
      <c r="Z155" s="26"/>
      <c r="AA155" s="26"/>
      <c r="AB155" s="26"/>
      <c r="AC155" s="26"/>
      <c r="AD155" s="27"/>
      <c r="AE155" s="30"/>
      <c r="AF155" s="26"/>
      <c r="AG155" s="26"/>
      <c r="AH155" s="32"/>
      <c r="AJ155" s="8"/>
      <c r="AK155" s="2"/>
      <c r="AL155" s="26"/>
      <c r="AM155" s="26"/>
      <c r="AN155" s="26"/>
      <c r="AO155" s="27"/>
      <c r="AP155" s="30"/>
      <c r="AQ155" s="26"/>
      <c r="AR155" s="26"/>
      <c r="AS155" s="32"/>
      <c r="AT155" s="34"/>
    </row>
    <row r="156" spans="2:46" x14ac:dyDescent="0.3">
      <c r="B156" s="8"/>
      <c r="C156" s="2"/>
      <c r="D156" s="26"/>
      <c r="E156" s="26"/>
      <c r="F156" s="27"/>
      <c r="G156" s="26"/>
      <c r="H156" s="26"/>
      <c r="I156" s="27"/>
      <c r="J156" s="26"/>
      <c r="K156" s="26"/>
      <c r="L156" s="67"/>
      <c r="N156" s="8"/>
      <c r="O156" s="2"/>
      <c r="P156" s="26"/>
      <c r="Q156" s="27"/>
      <c r="R156" s="30"/>
      <c r="S156" s="27"/>
      <c r="T156" s="30"/>
      <c r="U156" s="34"/>
      <c r="V156" s="34"/>
      <c r="X156" s="8"/>
      <c r="Y156" s="2"/>
      <c r="Z156" s="26"/>
      <c r="AA156" s="26"/>
      <c r="AB156" s="26"/>
      <c r="AC156" s="26"/>
      <c r="AD156" s="27"/>
      <c r="AE156" s="30"/>
      <c r="AF156" s="26"/>
      <c r="AG156" s="26"/>
      <c r="AH156" s="32"/>
      <c r="AJ156" s="8"/>
      <c r="AK156" s="2"/>
      <c r="AL156" s="26"/>
      <c r="AM156" s="26"/>
      <c r="AN156" s="26"/>
      <c r="AO156" s="27"/>
      <c r="AP156" s="30"/>
      <c r="AQ156" s="26"/>
      <c r="AR156" s="26"/>
      <c r="AS156" s="32"/>
      <c r="AT156" s="34"/>
    </row>
    <row r="157" spans="2:46" x14ac:dyDescent="0.3">
      <c r="B157" s="8"/>
      <c r="C157" s="2"/>
      <c r="D157" s="26"/>
      <c r="E157" s="26"/>
      <c r="F157" s="27"/>
      <c r="G157" s="26"/>
      <c r="H157" s="26"/>
      <c r="I157" s="27"/>
      <c r="J157" s="26"/>
      <c r="K157" s="26"/>
      <c r="L157" s="67"/>
      <c r="N157" s="8"/>
      <c r="O157" s="2"/>
      <c r="P157" s="26"/>
      <c r="Q157" s="27"/>
      <c r="R157" s="30"/>
      <c r="S157" s="27"/>
      <c r="T157" s="30"/>
      <c r="U157" s="34"/>
      <c r="V157" s="34"/>
      <c r="X157" s="8"/>
      <c r="Y157" s="2"/>
      <c r="Z157" s="26"/>
      <c r="AA157" s="26"/>
      <c r="AB157" s="26"/>
      <c r="AC157" s="26"/>
      <c r="AD157" s="27"/>
      <c r="AE157" s="30"/>
      <c r="AF157" s="26"/>
      <c r="AG157" s="26"/>
      <c r="AH157" s="32"/>
      <c r="AJ157" s="8"/>
      <c r="AK157" s="2"/>
      <c r="AL157" s="26"/>
      <c r="AM157" s="26"/>
      <c r="AN157" s="26"/>
      <c r="AO157" s="27"/>
      <c r="AP157" s="30"/>
      <c r="AQ157" s="26"/>
      <c r="AR157" s="26"/>
      <c r="AS157" s="32"/>
      <c r="AT157" s="34"/>
    </row>
    <row r="158" spans="2:46" x14ac:dyDescent="0.3">
      <c r="B158" s="8"/>
      <c r="C158" s="2"/>
      <c r="D158" s="26"/>
      <c r="E158" s="26"/>
      <c r="F158" s="27"/>
      <c r="G158" s="26"/>
      <c r="H158" s="26"/>
      <c r="I158" s="27"/>
      <c r="J158" s="26"/>
      <c r="K158" s="26"/>
      <c r="L158" s="67"/>
      <c r="N158" s="8"/>
      <c r="O158" s="2"/>
      <c r="P158" s="26"/>
      <c r="Q158" s="27"/>
      <c r="R158" s="30"/>
      <c r="S158" s="27"/>
      <c r="T158" s="30"/>
      <c r="U158" s="34"/>
      <c r="V158" s="34"/>
      <c r="X158" s="8"/>
      <c r="Y158" s="2"/>
      <c r="Z158" s="26"/>
      <c r="AA158" s="26"/>
      <c r="AB158" s="26"/>
      <c r="AC158" s="26"/>
      <c r="AD158" s="27"/>
      <c r="AE158" s="30"/>
      <c r="AF158" s="26"/>
      <c r="AG158" s="26"/>
      <c r="AH158" s="32"/>
      <c r="AJ158" s="8"/>
      <c r="AK158" s="2"/>
      <c r="AL158" s="26"/>
      <c r="AM158" s="26"/>
      <c r="AN158" s="26"/>
      <c r="AO158" s="27"/>
      <c r="AP158" s="30"/>
      <c r="AQ158" s="26"/>
      <c r="AR158" s="26"/>
      <c r="AS158" s="32"/>
      <c r="AT158" s="34"/>
    </row>
    <row r="159" spans="2:46" x14ac:dyDescent="0.3">
      <c r="B159" s="8"/>
      <c r="C159" s="2"/>
      <c r="D159" s="26"/>
      <c r="E159" s="26"/>
      <c r="F159" s="27"/>
      <c r="G159" s="26"/>
      <c r="H159" s="26"/>
      <c r="I159" s="27"/>
      <c r="J159" s="26"/>
      <c r="K159" s="26"/>
      <c r="L159" s="67"/>
      <c r="N159" s="8"/>
      <c r="O159" s="2"/>
      <c r="P159" s="26"/>
      <c r="Q159" s="27"/>
      <c r="R159" s="30"/>
      <c r="S159" s="27"/>
      <c r="T159" s="30"/>
      <c r="U159" s="34"/>
      <c r="V159" s="34"/>
      <c r="X159" s="8"/>
      <c r="Y159" s="2"/>
      <c r="Z159" s="26"/>
      <c r="AA159" s="26"/>
      <c r="AB159" s="26"/>
      <c r="AC159" s="26"/>
      <c r="AD159" s="27"/>
      <c r="AE159" s="30"/>
      <c r="AF159" s="26"/>
      <c r="AG159" s="26"/>
      <c r="AH159" s="32"/>
      <c r="AJ159" s="8"/>
      <c r="AK159" s="2"/>
      <c r="AL159" s="26"/>
      <c r="AM159" s="26"/>
      <c r="AN159" s="26"/>
      <c r="AO159" s="27"/>
      <c r="AP159" s="30"/>
      <c r="AQ159" s="26"/>
      <c r="AR159" s="26"/>
      <c r="AS159" s="32"/>
      <c r="AT159" s="34"/>
    </row>
    <row r="160" spans="2:46" x14ac:dyDescent="0.3">
      <c r="B160" s="8"/>
      <c r="C160" s="2"/>
      <c r="D160" s="26"/>
      <c r="E160" s="26"/>
      <c r="F160" s="27"/>
      <c r="G160" s="26"/>
      <c r="H160" s="26"/>
      <c r="I160" s="27"/>
      <c r="J160" s="26"/>
      <c r="K160" s="26"/>
      <c r="L160" s="67"/>
      <c r="N160" s="8"/>
      <c r="O160" s="2"/>
      <c r="P160" s="26"/>
      <c r="Q160" s="27"/>
      <c r="R160" s="30"/>
      <c r="S160" s="27"/>
      <c r="T160" s="30"/>
      <c r="U160" s="34"/>
      <c r="V160" s="34"/>
      <c r="X160" s="8"/>
      <c r="Y160" s="2"/>
      <c r="Z160" s="26"/>
      <c r="AA160" s="26"/>
      <c r="AB160" s="26"/>
      <c r="AC160" s="26"/>
      <c r="AD160" s="27"/>
      <c r="AE160" s="30"/>
      <c r="AF160" s="26"/>
      <c r="AG160" s="26"/>
      <c r="AH160" s="32"/>
      <c r="AJ160" s="8"/>
      <c r="AK160" s="2"/>
      <c r="AL160" s="26"/>
      <c r="AM160" s="26"/>
      <c r="AN160" s="26"/>
      <c r="AO160" s="27"/>
      <c r="AP160" s="30"/>
      <c r="AQ160" s="26"/>
      <c r="AR160" s="26"/>
      <c r="AS160" s="32"/>
      <c r="AT160" s="34"/>
    </row>
    <row r="161" spans="2:46" x14ac:dyDescent="0.3">
      <c r="B161" s="8"/>
      <c r="C161" s="2"/>
      <c r="D161" s="26"/>
      <c r="E161" s="26"/>
      <c r="F161" s="27"/>
      <c r="G161" s="26"/>
      <c r="H161" s="26"/>
      <c r="I161" s="27"/>
      <c r="J161" s="26"/>
      <c r="K161" s="26"/>
      <c r="L161" s="67"/>
      <c r="N161" s="8"/>
      <c r="O161" s="2"/>
      <c r="P161" s="26"/>
      <c r="Q161" s="27"/>
      <c r="R161" s="30"/>
      <c r="S161" s="27"/>
      <c r="T161" s="30"/>
      <c r="U161" s="34"/>
      <c r="V161" s="34"/>
      <c r="X161" s="8"/>
      <c r="Y161" s="2"/>
      <c r="Z161" s="26"/>
      <c r="AA161" s="26"/>
      <c r="AB161" s="26"/>
      <c r="AC161" s="26"/>
      <c r="AD161" s="27"/>
      <c r="AE161" s="30"/>
      <c r="AF161" s="26"/>
      <c r="AG161" s="26"/>
      <c r="AH161" s="32"/>
      <c r="AJ161" s="8"/>
      <c r="AK161" s="2"/>
      <c r="AL161" s="26"/>
      <c r="AM161" s="26"/>
      <c r="AN161" s="26"/>
      <c r="AO161" s="27"/>
      <c r="AP161" s="30"/>
      <c r="AQ161" s="26"/>
      <c r="AR161" s="26"/>
      <c r="AS161" s="32"/>
      <c r="AT161" s="34"/>
    </row>
    <row r="162" spans="2:46" x14ac:dyDescent="0.3">
      <c r="B162" s="8"/>
      <c r="C162" s="2"/>
      <c r="D162" s="26"/>
      <c r="E162" s="26"/>
      <c r="F162" s="27"/>
      <c r="G162" s="26"/>
      <c r="H162" s="26"/>
      <c r="I162" s="27"/>
      <c r="J162" s="26"/>
      <c r="K162" s="26"/>
      <c r="L162" s="67"/>
      <c r="N162" s="8"/>
      <c r="O162" s="2"/>
      <c r="P162" s="26"/>
      <c r="Q162" s="27"/>
      <c r="R162" s="30"/>
      <c r="S162" s="27"/>
      <c r="T162" s="30"/>
      <c r="U162" s="34"/>
      <c r="V162" s="34"/>
      <c r="X162" s="8"/>
      <c r="Y162" s="2"/>
      <c r="Z162" s="26"/>
      <c r="AA162" s="26"/>
      <c r="AB162" s="26"/>
      <c r="AC162" s="26"/>
      <c r="AD162" s="27"/>
      <c r="AE162" s="30"/>
      <c r="AF162" s="26"/>
      <c r="AG162" s="26"/>
      <c r="AH162" s="32"/>
      <c r="AJ162" s="8"/>
      <c r="AK162" s="2"/>
      <c r="AL162" s="26"/>
      <c r="AM162" s="26"/>
      <c r="AN162" s="26"/>
      <c r="AO162" s="27"/>
      <c r="AP162" s="30"/>
      <c r="AQ162" s="26"/>
      <c r="AR162" s="26"/>
      <c r="AS162" s="32"/>
      <c r="AT162" s="34"/>
    </row>
    <row r="163" spans="2:46" x14ac:dyDescent="0.3">
      <c r="B163" s="8"/>
      <c r="C163" s="2"/>
      <c r="D163" s="26"/>
      <c r="E163" s="26"/>
      <c r="F163" s="27"/>
      <c r="G163" s="26"/>
      <c r="H163" s="26"/>
      <c r="I163" s="27"/>
      <c r="J163" s="26"/>
      <c r="K163" s="26"/>
      <c r="L163" s="67"/>
      <c r="N163" s="8"/>
      <c r="O163" s="2"/>
      <c r="P163" s="26"/>
      <c r="Q163" s="27"/>
      <c r="R163" s="30"/>
      <c r="S163" s="27"/>
      <c r="T163" s="30"/>
      <c r="U163" s="34"/>
      <c r="V163" s="34"/>
      <c r="X163" s="8"/>
      <c r="Y163" s="2"/>
      <c r="Z163" s="26"/>
      <c r="AA163" s="26"/>
      <c r="AB163" s="26"/>
      <c r="AC163" s="26"/>
      <c r="AD163" s="27"/>
      <c r="AE163" s="30"/>
      <c r="AF163" s="26"/>
      <c r="AG163" s="26"/>
      <c r="AH163" s="32"/>
      <c r="AJ163" s="8"/>
      <c r="AK163" s="2"/>
      <c r="AL163" s="26"/>
      <c r="AM163" s="26"/>
      <c r="AN163" s="26"/>
      <c r="AO163" s="27"/>
      <c r="AP163" s="30"/>
      <c r="AQ163" s="26"/>
      <c r="AR163" s="26"/>
      <c r="AS163" s="32"/>
      <c r="AT163" s="34"/>
    </row>
    <row r="164" spans="2:46" x14ac:dyDescent="0.3">
      <c r="B164" s="8"/>
      <c r="C164" s="2"/>
      <c r="D164" s="26"/>
      <c r="E164" s="26"/>
      <c r="F164" s="27"/>
      <c r="G164" s="26"/>
      <c r="H164" s="26"/>
      <c r="I164" s="27"/>
      <c r="J164" s="26"/>
      <c r="K164" s="26"/>
      <c r="L164" s="67"/>
      <c r="N164" s="8"/>
      <c r="O164" s="2"/>
      <c r="P164" s="26"/>
      <c r="Q164" s="27"/>
      <c r="R164" s="30"/>
      <c r="S164" s="27"/>
      <c r="T164" s="30"/>
      <c r="U164" s="34"/>
      <c r="V164" s="34"/>
      <c r="X164" s="8"/>
      <c r="Y164" s="2"/>
      <c r="Z164" s="26"/>
      <c r="AA164" s="26"/>
      <c r="AB164" s="26"/>
      <c r="AC164" s="26"/>
      <c r="AD164" s="27"/>
      <c r="AE164" s="30"/>
      <c r="AF164" s="26"/>
      <c r="AG164" s="26"/>
      <c r="AH164" s="32"/>
      <c r="AJ164" s="8"/>
      <c r="AK164" s="2"/>
      <c r="AL164" s="26"/>
      <c r="AM164" s="26"/>
      <c r="AN164" s="26"/>
      <c r="AO164" s="27"/>
      <c r="AP164" s="30"/>
      <c r="AQ164" s="26"/>
      <c r="AR164" s="26"/>
      <c r="AS164" s="32"/>
      <c r="AT164" s="34"/>
    </row>
    <row r="165" spans="2:46" x14ac:dyDescent="0.3">
      <c r="B165" s="8"/>
      <c r="C165" s="2"/>
      <c r="D165" s="26"/>
      <c r="E165" s="26"/>
      <c r="F165" s="27"/>
      <c r="G165" s="26"/>
      <c r="H165" s="26"/>
      <c r="I165" s="27"/>
      <c r="J165" s="26"/>
      <c r="K165" s="26"/>
      <c r="L165" s="67"/>
      <c r="N165" s="8"/>
      <c r="O165" s="2"/>
      <c r="P165" s="26"/>
      <c r="Q165" s="27"/>
      <c r="R165" s="30"/>
      <c r="S165" s="27"/>
      <c r="T165" s="30"/>
      <c r="U165" s="34"/>
      <c r="V165" s="34"/>
      <c r="X165" s="8"/>
      <c r="Y165" s="2"/>
      <c r="Z165" s="26"/>
      <c r="AA165" s="26"/>
      <c r="AB165" s="26"/>
      <c r="AC165" s="26"/>
      <c r="AD165" s="27"/>
      <c r="AE165" s="30"/>
      <c r="AF165" s="26"/>
      <c r="AG165" s="26"/>
      <c r="AH165" s="32"/>
      <c r="AJ165" s="8"/>
      <c r="AK165" s="2"/>
      <c r="AL165" s="26"/>
      <c r="AM165" s="26"/>
      <c r="AN165" s="26"/>
      <c r="AO165" s="27"/>
      <c r="AP165" s="30"/>
      <c r="AQ165" s="26"/>
      <c r="AR165" s="26"/>
      <c r="AS165" s="32"/>
      <c r="AT165" s="34"/>
    </row>
    <row r="166" spans="2:46" x14ac:dyDescent="0.3">
      <c r="B166" s="8"/>
      <c r="C166" s="2"/>
      <c r="D166" s="26"/>
      <c r="E166" s="26"/>
      <c r="F166" s="28"/>
      <c r="G166" s="29"/>
      <c r="H166" s="29"/>
      <c r="I166" s="28"/>
      <c r="J166" s="29"/>
      <c r="K166" s="29"/>
      <c r="L166" s="68"/>
      <c r="N166" s="8"/>
      <c r="O166" s="2"/>
      <c r="P166" s="26"/>
      <c r="Q166" s="28"/>
      <c r="R166" s="31"/>
      <c r="S166" s="28"/>
      <c r="T166" s="31"/>
      <c r="U166" s="34"/>
      <c r="V166" s="34"/>
      <c r="X166" s="8"/>
      <c r="Y166" s="2"/>
      <c r="Z166" s="26"/>
      <c r="AA166" s="26"/>
      <c r="AB166" s="26"/>
      <c r="AC166" s="26"/>
      <c r="AD166" s="28"/>
      <c r="AE166" s="31"/>
      <c r="AF166" s="26"/>
      <c r="AG166" s="26"/>
      <c r="AH166" s="33"/>
      <c r="AJ166" s="8"/>
      <c r="AK166" s="2"/>
      <c r="AL166" s="26"/>
      <c r="AM166" s="26"/>
      <c r="AN166" s="26"/>
      <c r="AO166" s="28"/>
      <c r="AP166" s="31"/>
      <c r="AQ166" s="26"/>
      <c r="AR166" s="26"/>
      <c r="AS166" s="32"/>
      <c r="AT166" s="34"/>
    </row>
    <row r="167" spans="2:46" x14ac:dyDescent="0.3">
      <c r="B167" s="22"/>
      <c r="C167" s="22"/>
      <c r="D167" s="22"/>
      <c r="E167" s="22"/>
      <c r="F167" s="22"/>
      <c r="G167" s="22"/>
      <c r="H167" s="22"/>
      <c r="I167" s="22"/>
      <c r="J167" s="22"/>
      <c r="K167" s="22"/>
      <c r="L167" s="22"/>
      <c r="N167" s="22"/>
      <c r="O167" s="22"/>
      <c r="P167" s="22"/>
      <c r="Q167" s="22"/>
      <c r="R167" s="22"/>
      <c r="S167" s="22"/>
      <c r="T167" s="22"/>
      <c r="U167" s="22"/>
      <c r="V167" s="22"/>
      <c r="X167" s="22"/>
      <c r="Y167" s="22"/>
      <c r="Z167" s="22"/>
      <c r="AA167" s="22"/>
      <c r="AB167" s="22"/>
      <c r="AC167" s="22"/>
      <c r="AD167" s="22"/>
      <c r="AE167" s="22"/>
      <c r="AF167" s="22"/>
      <c r="AG167" s="22"/>
      <c r="AH167" s="22"/>
      <c r="AJ167" s="22"/>
      <c r="AK167" s="22"/>
      <c r="AL167" s="22"/>
      <c r="AM167" s="22"/>
      <c r="AN167" s="22"/>
      <c r="AO167" s="22"/>
      <c r="AP167" s="22"/>
      <c r="AQ167" s="22"/>
      <c r="AR167" s="22"/>
      <c r="AS167" s="22"/>
      <c r="AT167" s="22"/>
    </row>
  </sheetData>
  <mergeCells count="11">
    <mergeCell ref="AF4:AG4"/>
    <mergeCell ref="AO4:AP4"/>
    <mergeCell ref="AQ4:AR4"/>
    <mergeCell ref="AS4:AT4"/>
    <mergeCell ref="D4:E4"/>
    <mergeCell ref="F4:H4"/>
    <mergeCell ref="I4:K4"/>
    <mergeCell ref="Q4:R4"/>
    <mergeCell ref="AD4:AE4"/>
    <mergeCell ref="S4:T4"/>
    <mergeCell ref="U4:V4"/>
  </mergeCells>
  <conditionalFormatting sqref="D13:K13 P13:R13 Z13:AG13 AL13:AR13">
    <cfRule type="cellIs" dxfId="32" priority="11" operator="greaterThan">
      <formula>1</formula>
    </cfRule>
  </conditionalFormatting>
  <conditionalFormatting sqref="D17:K166 Z17:AG166 AL17:AR166">
    <cfRule type="cellIs" dxfId="31" priority="12" operator="lessThan">
      <formula>0</formula>
    </cfRule>
    <cfRule type="cellIs" dxfId="30" priority="13" operator="greaterThan">
      <formula>0</formula>
    </cfRule>
  </conditionalFormatting>
  <conditionalFormatting sqref="U17:V166">
    <cfRule type="cellIs" dxfId="29" priority="9" operator="greaterThan">
      <formula>1</formula>
    </cfRule>
  </conditionalFormatting>
  <conditionalFormatting sqref="AH17:AH166">
    <cfRule type="cellIs" dxfId="28" priority="8" operator="greaterThan">
      <formula>1</formula>
    </cfRule>
  </conditionalFormatting>
  <conditionalFormatting sqref="AS17:AT166">
    <cfRule type="cellIs" dxfId="27" priority="6" operator="greaterThan">
      <formula>1</formula>
    </cfRule>
  </conditionalFormatting>
  <conditionalFormatting sqref="BA7:BA24 P17:T166">
    <cfRule type="cellIs" dxfId="24" priority="3" operator="lessThan">
      <formula>0</formula>
    </cfRule>
    <cfRule type="cellIs" dxfId="23" priority="4" operator="greaterThan">
      <formula>0</formula>
    </cfRule>
  </conditionalFormatting>
  <conditionalFormatting sqref="BB7:BB24 L17:L166">
    <cfRule type="cellIs" dxfId="22" priority="5" operator="greaterThan">
      <formula>1</formula>
    </cfRule>
  </conditionalFormatting>
  <dataValidations count="4">
    <dataValidation type="whole" errorStyle="information" allowBlank="1" showInputMessage="1" showErrorMessage="1" errorTitle="Must select 1 or 2" error="1 = Included in closure_x000a_2 = Excluded" sqref="V17:V166 AH17:AH166 L17:L166 AS17:AT166" xr:uid="{6ACA7F8B-9741-43BF-8D87-12C9EEC9A7B9}">
      <formula1>1</formula1>
      <formula2>2</formula2>
    </dataValidation>
    <dataValidation type="whole" errorStyle="information" allowBlank="1" showInputMessage="1" showErrorMessage="1" errorTitle="Must select 1 or 2" error="1 = Included in shock_x000a_2 = Excluded" sqref="U17:U166" xr:uid="{BCD7D1ED-BC3A-4373-A1E5-9770567CA0AA}">
      <formula1>1</formula1>
      <formula2>2</formula2>
    </dataValidation>
    <dataValidation type="decimal" errorStyle="information" allowBlank="1" showInputMessage="1" showErrorMessage="1" errorTitle="Must select a number" error="Cannot choose letters or special characters." sqref="D17:K166 BA7:BA24 AL17:AN37 P17:T166 Z17:AG166 AO17:AR166" xr:uid="{E8F98C94-9C17-4DA9-8328-8DCBA1B525DF}">
      <formula1>-1000000000</formula1>
      <formula2>1000000000</formula2>
    </dataValidation>
    <dataValidation type="whole" errorStyle="information" allowBlank="1" showInputMessage="1" showErrorMessage="1" errorTitle="Must select 1 or 2" error="1 = Multiplicative_x000a_2 = Additive" sqref="AL13:AR13 Z13:AG13 P13:R13 D13:K13 BB7:BB24" xr:uid="{AB706731-DA6A-455A-8E9F-7432E448A0F4}">
      <formula1>1</formula1>
      <formula2>2</formula2>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ellIs" priority="15" operator="equal" id="{A166FBC0-B189-4DAD-B7BB-9C8A421FDDA4}">
            <xm:f>Notes!$L$4</xm:f>
            <x14:dxf>
              <font>
                <b val="0"/>
                <i val="0"/>
                <strike val="0"/>
                <color theme="0" tint="-0.34998626667073579"/>
              </font>
              <fill>
                <patternFill patternType="none">
                  <bgColor auto="1"/>
                </patternFill>
              </fill>
            </x14:dxf>
          </x14:cfRule>
          <xm:sqref>AY7:AY24 D8:K8 P8:T8 Z8:AG8 AL8:AR8</xm:sqref>
        </x14:conditionalFormatting>
        <x14:conditionalFormatting xmlns:xm="http://schemas.microsoft.com/office/excel/2006/main">
          <x14:cfRule type="cellIs" priority="14" operator="equal" id="{5A2133A5-90C6-4379-8BBD-E6FB1F6EF7C5}">
            <xm:f>Notes!$L$5</xm:f>
            <x14:dxf>
              <font>
                <b val="0"/>
                <i val="0"/>
                <strike val="0"/>
                <color theme="0" tint="-0.34998626667073579"/>
              </font>
              <fill>
                <patternFill patternType="none">
                  <bgColor auto="1"/>
                </patternFill>
              </fill>
            </x14:dxf>
          </x14:cfRule>
          <xm:sqref>AZ7:AZ24 D9:K9 P9:T9 Z9:AG9 AL9:AR9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Out of range" error="Time periods must fall within the range specified on the &quot;Base&quot; worksheet." xr:uid="{B58A201A-7F32-470F-9ACF-CB5FCB4AE309}">
          <x14:formula1>
            <xm:f>Main!$H$5:$H$58</xm:f>
          </x14:formula1>
          <xm:sqref>D8:K9 AY7:AZ24 AL8:AR9 P8:T9</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278C2-8CC0-4C1D-AB1C-D96A9F1FCA17}">
  <sheetPr>
    <tabColor theme="8" tint="-0.499984740745262"/>
  </sheetPr>
  <dimension ref="A1:BE167"/>
  <sheetViews>
    <sheetView zoomScale="55" zoomScaleNormal="55" workbookViewId="0">
      <pane ySplit="16" topLeftCell="A17" activePane="bottomLeft" state="frozen"/>
      <selection activeCell="V17" sqref="V17"/>
      <selection pane="bottomLeft" activeCell="V17" sqref="V17"/>
    </sheetView>
  </sheetViews>
  <sheetFormatPr defaultColWidth="0" defaultRowHeight="14.4" zeroHeight="1" x14ac:dyDescent="0.3"/>
  <cols>
    <col min="1" max="2" width="2.44140625" customWidth="1"/>
    <col min="3" max="12" width="9.109375" customWidth="1"/>
    <col min="13" max="14" width="2.44140625" customWidth="1"/>
    <col min="15" max="22" width="9.109375" customWidth="1"/>
    <col min="23" max="24" width="2.44140625" customWidth="1"/>
    <col min="25" max="34" width="9.109375" customWidth="1"/>
    <col min="35" max="36" width="2.44140625" customWidth="1"/>
    <col min="37" max="37" width="11.77734375" customWidth="1"/>
    <col min="38" max="46" width="9.109375" customWidth="1"/>
    <col min="47" max="48" width="2.44140625" customWidth="1"/>
    <col min="49" max="49" width="18.88671875" bestFit="1" customWidth="1"/>
    <col min="50" max="54" width="9.109375" customWidth="1"/>
    <col min="55" max="55" width="2.44140625" customWidth="1"/>
    <col min="56" max="57" width="0" hidden="1" customWidth="1"/>
    <col min="58" max="16384" width="9.109375" hidden="1"/>
  </cols>
  <sheetData>
    <row r="1" spans="1:55" ht="18" x14ac:dyDescent="0.35">
      <c r="A1" s="6" t="str">
        <f>"Simulation "&amp;AC1&amp;IF(AD1&lt;&gt;""," : "&amp;AD1,"")</f>
        <v>Simulation sim14</v>
      </c>
      <c r="B1" s="6"/>
      <c r="C1" s="4"/>
      <c r="D1" s="4"/>
      <c r="E1" s="4"/>
      <c r="F1" s="4"/>
      <c r="G1" s="4"/>
      <c r="H1" s="4"/>
      <c r="I1" s="4"/>
      <c r="J1" s="4"/>
      <c r="K1" s="4"/>
      <c r="L1" s="4"/>
      <c r="M1" s="4"/>
      <c r="N1" s="4"/>
      <c r="O1" s="4"/>
      <c r="P1" s="4"/>
      <c r="Q1" s="4"/>
      <c r="R1" s="4"/>
      <c r="S1" s="4"/>
      <c r="T1" s="4"/>
      <c r="U1" s="4"/>
      <c r="V1" s="4"/>
      <c r="W1" s="4"/>
      <c r="X1" s="4"/>
      <c r="Y1" s="4"/>
      <c r="Z1" s="4"/>
      <c r="AA1" s="4"/>
      <c r="AB1" s="4"/>
      <c r="AC1" s="4" t="str">
        <f>Main!C20</f>
        <v>sim14</v>
      </c>
      <c r="AD1" s="4" t="str">
        <f>IF(Main!E20&lt;&gt;"",Main!E20,"")</f>
        <v/>
      </c>
      <c r="AE1" s="4"/>
      <c r="AF1" s="4"/>
      <c r="AG1" s="4"/>
      <c r="AH1" s="4"/>
      <c r="AI1" s="4"/>
      <c r="AJ1" s="4"/>
      <c r="AK1" s="4"/>
      <c r="AL1" s="4"/>
      <c r="AM1" s="4"/>
      <c r="AN1" s="4"/>
      <c r="AO1" s="4"/>
      <c r="AP1" s="4"/>
      <c r="AQ1" s="4"/>
      <c r="AR1" s="4"/>
      <c r="AS1" s="4"/>
      <c r="AT1" s="4"/>
      <c r="AU1" s="4"/>
      <c r="AV1" s="4"/>
      <c r="AW1" s="4"/>
      <c r="AX1" s="4"/>
      <c r="AY1" s="4"/>
      <c r="AZ1" s="4"/>
      <c r="BA1" s="4"/>
      <c r="BB1" s="4"/>
      <c r="BC1" s="4"/>
    </row>
    <row r="2" spans="1:55" x14ac:dyDescent="0.3"/>
    <row r="3" spans="1:55" ht="15.6" x14ac:dyDescent="0.3">
      <c r="B3" s="7"/>
      <c r="C3" s="17" t="s">
        <v>55</v>
      </c>
      <c r="D3" s="36"/>
      <c r="E3" s="36"/>
      <c r="F3" s="36"/>
      <c r="G3" s="36"/>
      <c r="H3" s="36"/>
      <c r="I3" s="36"/>
      <c r="J3" s="36"/>
      <c r="K3" s="36"/>
      <c r="L3" s="36"/>
      <c r="N3" s="7"/>
      <c r="O3" s="17" t="s">
        <v>56</v>
      </c>
      <c r="P3" s="36"/>
      <c r="Q3" s="36"/>
      <c r="R3" s="36"/>
      <c r="S3" s="36"/>
      <c r="T3" s="36"/>
      <c r="U3" s="36"/>
      <c r="V3" s="36"/>
      <c r="X3" s="7"/>
      <c r="Y3" s="17" t="s">
        <v>57</v>
      </c>
      <c r="Z3" s="36"/>
      <c r="AA3" s="36"/>
      <c r="AB3" s="36"/>
      <c r="AC3" s="36"/>
      <c r="AD3" s="36"/>
      <c r="AE3" s="36"/>
      <c r="AF3" s="36"/>
      <c r="AG3" s="36"/>
      <c r="AH3" s="36"/>
      <c r="AJ3" s="7"/>
      <c r="AK3" s="17" t="s">
        <v>283</v>
      </c>
      <c r="AL3" s="36"/>
      <c r="AM3" s="36"/>
      <c r="AN3" s="36"/>
      <c r="AO3" s="36"/>
      <c r="AP3" s="36"/>
      <c r="AQ3" s="36"/>
      <c r="AR3" s="36"/>
      <c r="AS3" s="36"/>
      <c r="AT3" s="36"/>
      <c r="AV3" s="7"/>
      <c r="AW3" s="17" t="s">
        <v>125</v>
      </c>
      <c r="AX3" s="36"/>
      <c r="AY3" s="36"/>
      <c r="AZ3" s="36"/>
      <c r="BA3" s="36"/>
      <c r="BB3" s="36"/>
    </row>
    <row r="4" spans="1:55" x14ac:dyDescent="0.3">
      <c r="B4" s="14"/>
      <c r="C4" s="9"/>
      <c r="D4" s="74" t="s">
        <v>58</v>
      </c>
      <c r="E4" s="74"/>
      <c r="F4" s="75" t="s">
        <v>59</v>
      </c>
      <c r="G4" s="74"/>
      <c r="H4" s="74"/>
      <c r="I4" s="75" t="s">
        <v>7</v>
      </c>
      <c r="J4" s="74"/>
      <c r="K4" s="74"/>
      <c r="L4" s="37" t="s">
        <v>103</v>
      </c>
      <c r="N4" s="14"/>
      <c r="O4" s="9"/>
      <c r="P4" s="38" t="s">
        <v>60</v>
      </c>
      <c r="Q4" s="75" t="s">
        <v>61</v>
      </c>
      <c r="R4" s="76"/>
      <c r="S4" s="75" t="s">
        <v>646</v>
      </c>
      <c r="T4" s="74"/>
      <c r="U4" s="75" t="s">
        <v>103</v>
      </c>
      <c r="V4" s="74"/>
      <c r="X4" s="14"/>
      <c r="Y4" s="9"/>
      <c r="Z4" s="38" t="s">
        <v>63</v>
      </c>
      <c r="AA4" s="38" t="s">
        <v>62</v>
      </c>
      <c r="AB4" s="38" t="s">
        <v>311</v>
      </c>
      <c r="AC4" s="38" t="s">
        <v>62</v>
      </c>
      <c r="AD4" s="75" t="s">
        <v>126</v>
      </c>
      <c r="AE4" s="76"/>
      <c r="AF4" s="74" t="s">
        <v>127</v>
      </c>
      <c r="AG4" s="74"/>
      <c r="AH4" s="37" t="s">
        <v>103</v>
      </c>
      <c r="AJ4" s="14"/>
      <c r="AK4" s="9"/>
      <c r="AL4" s="38" t="s">
        <v>132</v>
      </c>
      <c r="AM4" s="38" t="s">
        <v>99</v>
      </c>
      <c r="AN4" s="38" t="s">
        <v>289</v>
      </c>
      <c r="AO4" s="75" t="s">
        <v>126</v>
      </c>
      <c r="AP4" s="76"/>
      <c r="AQ4" s="74" t="s">
        <v>127</v>
      </c>
      <c r="AR4" s="74"/>
      <c r="AS4" s="75" t="s">
        <v>103</v>
      </c>
      <c r="AT4" s="74"/>
      <c r="AV4" s="8"/>
      <c r="AY4" s="39" t="s">
        <v>335</v>
      </c>
      <c r="AZ4" s="39" t="s">
        <v>336</v>
      </c>
      <c r="BA4" s="39" t="s">
        <v>300</v>
      </c>
      <c r="BB4" s="39" t="s">
        <v>304</v>
      </c>
    </row>
    <row r="5" spans="1:55" x14ac:dyDescent="0.3">
      <c r="B5" s="14"/>
      <c r="C5" s="9"/>
      <c r="D5" s="40" t="s">
        <v>64</v>
      </c>
      <c r="E5" s="40" t="s">
        <v>65</v>
      </c>
      <c r="F5" s="41" t="s">
        <v>64</v>
      </c>
      <c r="G5" s="40" t="s">
        <v>65</v>
      </c>
      <c r="H5" s="40" t="s">
        <v>66</v>
      </c>
      <c r="I5" s="41" t="s">
        <v>64</v>
      </c>
      <c r="J5" s="40" t="s">
        <v>65</v>
      </c>
      <c r="K5" s="40" t="s">
        <v>67</v>
      </c>
      <c r="L5" s="41" t="s">
        <v>100</v>
      </c>
      <c r="N5" s="14"/>
      <c r="O5" s="9"/>
      <c r="P5" s="40"/>
      <c r="Q5" s="41" t="s">
        <v>68</v>
      </c>
      <c r="R5" s="42" t="s">
        <v>124</v>
      </c>
      <c r="S5" s="40" t="s">
        <v>284</v>
      </c>
      <c r="T5" s="40" t="s">
        <v>286</v>
      </c>
      <c r="U5" s="69" t="s">
        <v>313</v>
      </c>
      <c r="V5" s="40" t="s">
        <v>100</v>
      </c>
      <c r="X5" s="14"/>
      <c r="Y5" s="9"/>
      <c r="Z5" s="38" t="s">
        <v>70</v>
      </c>
      <c r="AA5" s="38" t="s">
        <v>71</v>
      </c>
      <c r="AB5" s="38" t="s">
        <v>312</v>
      </c>
      <c r="AC5" s="38" t="s">
        <v>69</v>
      </c>
      <c r="AD5" s="41" t="s">
        <v>86</v>
      </c>
      <c r="AE5" s="42" t="s">
        <v>87</v>
      </c>
      <c r="AF5" s="40" t="s">
        <v>86</v>
      </c>
      <c r="AG5" s="40" t="s">
        <v>87</v>
      </c>
      <c r="AH5" s="41" t="s">
        <v>100</v>
      </c>
      <c r="AJ5" s="14"/>
      <c r="AK5" s="9"/>
      <c r="AL5" s="38" t="s">
        <v>134</v>
      </c>
      <c r="AM5" s="38" t="s">
        <v>70</v>
      </c>
      <c r="AN5" s="38" t="s">
        <v>123</v>
      </c>
      <c r="AO5" s="41" t="s">
        <v>86</v>
      </c>
      <c r="AP5" s="42" t="s">
        <v>87</v>
      </c>
      <c r="AQ5" s="40" t="s">
        <v>86</v>
      </c>
      <c r="AR5" s="40" t="s">
        <v>87</v>
      </c>
      <c r="AS5" s="41" t="s">
        <v>99</v>
      </c>
      <c r="AT5" s="40" t="s">
        <v>100</v>
      </c>
      <c r="AV5" s="8"/>
      <c r="BA5" s="43"/>
      <c r="BB5" s="44" t="s">
        <v>305</v>
      </c>
    </row>
    <row r="6" spans="1:55" x14ac:dyDescent="0.3">
      <c r="B6" s="8"/>
      <c r="F6" s="45"/>
      <c r="I6" s="45"/>
      <c r="L6" s="45"/>
      <c r="N6" s="8"/>
      <c r="Q6" s="45"/>
      <c r="R6" s="46"/>
      <c r="U6" s="70"/>
      <c r="X6" s="8"/>
      <c r="AD6" s="45"/>
      <c r="AE6" s="46"/>
      <c r="AH6" s="45"/>
      <c r="AJ6" s="8"/>
      <c r="AO6" s="45"/>
      <c r="AP6" s="46"/>
      <c r="AS6" s="45"/>
      <c r="AV6" s="8"/>
      <c r="AW6" s="47" t="s">
        <v>303</v>
      </c>
      <c r="AX6" s="48"/>
      <c r="AY6" s="49" t="s">
        <v>337</v>
      </c>
      <c r="AZ6" s="49" t="s">
        <v>338</v>
      </c>
      <c r="BA6" s="49" t="s">
        <v>206</v>
      </c>
      <c r="BB6" s="49" t="s">
        <v>207</v>
      </c>
    </row>
    <row r="7" spans="1:55" x14ac:dyDescent="0.3">
      <c r="B7" s="8"/>
      <c r="D7" s="50" t="s">
        <v>72</v>
      </c>
      <c r="E7" s="50" t="s">
        <v>73</v>
      </c>
      <c r="F7" s="51" t="s">
        <v>74</v>
      </c>
      <c r="G7" s="50" t="s">
        <v>75</v>
      </c>
      <c r="H7" s="50" t="s">
        <v>76</v>
      </c>
      <c r="I7" s="51" t="s">
        <v>77</v>
      </c>
      <c r="J7" s="50" t="s">
        <v>78</v>
      </c>
      <c r="K7" s="50" t="s">
        <v>79</v>
      </c>
      <c r="L7" s="45"/>
      <c r="N7" s="8"/>
      <c r="P7" s="50" t="s">
        <v>81</v>
      </c>
      <c r="Q7" s="51" t="s">
        <v>82</v>
      </c>
      <c r="R7" s="52" t="s">
        <v>621</v>
      </c>
      <c r="S7" s="50" t="s">
        <v>80</v>
      </c>
      <c r="T7" s="50" t="s">
        <v>285</v>
      </c>
      <c r="U7" s="70"/>
      <c r="X7" s="8"/>
      <c r="Z7" s="50" t="s">
        <v>84</v>
      </c>
      <c r="AA7" s="50" t="s">
        <v>85</v>
      </c>
      <c r="AB7" s="50" t="s">
        <v>310</v>
      </c>
      <c r="AC7" s="50" t="s">
        <v>83</v>
      </c>
      <c r="AD7" s="51" t="s">
        <v>130</v>
      </c>
      <c r="AE7" s="52" t="s">
        <v>131</v>
      </c>
      <c r="AF7" s="50" t="s">
        <v>128</v>
      </c>
      <c r="AG7" s="50" t="s">
        <v>129</v>
      </c>
      <c r="AH7" s="45"/>
      <c r="AJ7" s="8"/>
      <c r="AL7" s="50" t="s">
        <v>133</v>
      </c>
      <c r="AM7" s="50" t="s">
        <v>101</v>
      </c>
      <c r="AN7" s="50" t="s">
        <v>622</v>
      </c>
      <c r="AO7" s="51" t="s">
        <v>130</v>
      </c>
      <c r="AP7" s="52" t="s">
        <v>131</v>
      </c>
      <c r="AQ7" s="50" t="s">
        <v>128</v>
      </c>
      <c r="AR7" s="50" t="s">
        <v>129</v>
      </c>
      <c r="AS7" s="45"/>
      <c r="AV7" s="8"/>
      <c r="AW7" s="9" t="s">
        <v>88</v>
      </c>
      <c r="AX7" s="53" t="s">
        <v>89</v>
      </c>
      <c r="AY7" s="63">
        <f>Notes!$L$4</f>
        <v>2024</v>
      </c>
      <c r="AZ7" s="63">
        <f>Notes!$L$5</f>
        <v>2040</v>
      </c>
      <c r="BA7" s="26">
        <v>0</v>
      </c>
      <c r="BB7" s="34">
        <v>1</v>
      </c>
    </row>
    <row r="8" spans="1:55" x14ac:dyDescent="0.3">
      <c r="B8" s="8"/>
      <c r="C8" s="1" t="s">
        <v>339</v>
      </c>
      <c r="D8" s="63">
        <f>Notes!$L4</f>
        <v>2024</v>
      </c>
      <c r="E8" s="63">
        <f>Notes!$L4</f>
        <v>2024</v>
      </c>
      <c r="F8" s="64">
        <f>Notes!$L4</f>
        <v>2024</v>
      </c>
      <c r="G8" s="63">
        <f>Notes!$L4</f>
        <v>2024</v>
      </c>
      <c r="H8" s="63">
        <f>Notes!$L4</f>
        <v>2024</v>
      </c>
      <c r="I8" s="64">
        <f>Notes!$L4</f>
        <v>2024</v>
      </c>
      <c r="J8" s="63">
        <f>Notes!$L4</f>
        <v>2024</v>
      </c>
      <c r="K8" s="63">
        <f>Notes!$L4</f>
        <v>2024</v>
      </c>
      <c r="L8" s="45"/>
      <c r="N8" s="8"/>
      <c r="O8" s="1" t="s">
        <v>339</v>
      </c>
      <c r="P8" s="63">
        <f>Notes!$L4</f>
        <v>2024</v>
      </c>
      <c r="Q8" s="64">
        <f>Notes!$L4</f>
        <v>2024</v>
      </c>
      <c r="R8" s="63">
        <f>Notes!$L4</f>
        <v>2024</v>
      </c>
      <c r="S8" s="64">
        <f>Notes!$L4</f>
        <v>2024</v>
      </c>
      <c r="T8" s="63">
        <f>Notes!$L4</f>
        <v>2024</v>
      </c>
      <c r="U8" s="70"/>
      <c r="X8" s="8"/>
      <c r="Y8" s="1" t="s">
        <v>339</v>
      </c>
      <c r="Z8" s="63">
        <f>Notes!$L4</f>
        <v>2024</v>
      </c>
      <c r="AA8" s="63">
        <f>Notes!$L4</f>
        <v>2024</v>
      </c>
      <c r="AB8" s="63">
        <f>Notes!$L4</f>
        <v>2024</v>
      </c>
      <c r="AC8" s="63">
        <f>Notes!$L4</f>
        <v>2024</v>
      </c>
      <c r="AD8" s="64">
        <f>Notes!$L4</f>
        <v>2024</v>
      </c>
      <c r="AE8" s="63">
        <f>Notes!$L4</f>
        <v>2024</v>
      </c>
      <c r="AF8" s="64">
        <f>Notes!$L4</f>
        <v>2024</v>
      </c>
      <c r="AG8" s="63">
        <f>Notes!$L4</f>
        <v>2024</v>
      </c>
      <c r="AH8" s="45"/>
      <c r="AJ8" s="8"/>
      <c r="AK8" s="1" t="s">
        <v>339</v>
      </c>
      <c r="AL8" s="63">
        <f>Notes!$L4</f>
        <v>2024</v>
      </c>
      <c r="AM8" s="63">
        <f>Notes!$L4</f>
        <v>2024</v>
      </c>
      <c r="AN8" s="63">
        <f>Notes!$L4</f>
        <v>2024</v>
      </c>
      <c r="AO8" s="64">
        <f>Notes!$L4</f>
        <v>2024</v>
      </c>
      <c r="AP8" s="63">
        <f>Notes!$L4</f>
        <v>2024</v>
      </c>
      <c r="AQ8" s="64">
        <f>Notes!$L$4</f>
        <v>2024</v>
      </c>
      <c r="AR8" s="63">
        <f>Notes!$L4</f>
        <v>2024</v>
      </c>
      <c r="AS8" s="45"/>
      <c r="AV8" s="8"/>
      <c r="AW8" s="9" t="s">
        <v>92</v>
      </c>
      <c r="AX8" s="53" t="s">
        <v>93</v>
      </c>
      <c r="AY8" s="63">
        <f>Notes!$L$4</f>
        <v>2024</v>
      </c>
      <c r="AZ8" s="63">
        <f>Notes!$L$5</f>
        <v>2040</v>
      </c>
      <c r="BA8" s="26">
        <v>0</v>
      </c>
      <c r="BB8" s="34">
        <v>1</v>
      </c>
    </row>
    <row r="9" spans="1:55" x14ac:dyDescent="0.3">
      <c r="B9" s="8"/>
      <c r="C9" s="1" t="s">
        <v>340</v>
      </c>
      <c r="D9" s="63">
        <f>Notes!$L5</f>
        <v>2040</v>
      </c>
      <c r="E9" s="63">
        <f>Notes!$L5</f>
        <v>2040</v>
      </c>
      <c r="F9" s="64">
        <f>Notes!$L5</f>
        <v>2040</v>
      </c>
      <c r="G9" s="63">
        <f>Notes!$L5</f>
        <v>2040</v>
      </c>
      <c r="H9" s="63">
        <f>Notes!$L5</f>
        <v>2040</v>
      </c>
      <c r="I9" s="64">
        <f>Notes!$L5</f>
        <v>2040</v>
      </c>
      <c r="J9" s="63">
        <f>Notes!$L5</f>
        <v>2040</v>
      </c>
      <c r="K9" s="63">
        <f>Notes!$L5</f>
        <v>2040</v>
      </c>
      <c r="L9" s="45"/>
      <c r="N9" s="8"/>
      <c r="O9" s="1" t="s">
        <v>340</v>
      </c>
      <c r="P9" s="63">
        <f>Notes!$L5</f>
        <v>2040</v>
      </c>
      <c r="Q9" s="64">
        <f>Notes!$L5</f>
        <v>2040</v>
      </c>
      <c r="R9" s="63">
        <f>Notes!$L5</f>
        <v>2040</v>
      </c>
      <c r="S9" s="64">
        <f>Notes!$L5</f>
        <v>2040</v>
      </c>
      <c r="T9" s="63">
        <f>Notes!$L5</f>
        <v>2040</v>
      </c>
      <c r="U9" s="70"/>
      <c r="X9" s="8"/>
      <c r="Y9" s="1" t="s">
        <v>340</v>
      </c>
      <c r="Z9" s="63">
        <f>Notes!$L5</f>
        <v>2040</v>
      </c>
      <c r="AA9" s="63">
        <f>Notes!$L5</f>
        <v>2040</v>
      </c>
      <c r="AB9" s="63">
        <f>Notes!$L5</f>
        <v>2040</v>
      </c>
      <c r="AC9" s="63">
        <f>Notes!$L5</f>
        <v>2040</v>
      </c>
      <c r="AD9" s="64">
        <f>Notes!$L5</f>
        <v>2040</v>
      </c>
      <c r="AE9" s="63">
        <f>Notes!$L5</f>
        <v>2040</v>
      </c>
      <c r="AF9" s="64">
        <f>Notes!$L5</f>
        <v>2040</v>
      </c>
      <c r="AG9" s="63">
        <f>Notes!$L5</f>
        <v>2040</v>
      </c>
      <c r="AH9" s="45"/>
      <c r="AJ9" s="8"/>
      <c r="AK9" s="1" t="s">
        <v>340</v>
      </c>
      <c r="AL9" s="63">
        <f>Notes!$L5</f>
        <v>2040</v>
      </c>
      <c r="AM9" s="63">
        <f>Notes!$L5</f>
        <v>2040</v>
      </c>
      <c r="AN9" s="63">
        <f>Notes!$L5</f>
        <v>2040</v>
      </c>
      <c r="AO9" s="64">
        <f>Notes!$L5</f>
        <v>2040</v>
      </c>
      <c r="AP9" s="63">
        <f>Notes!$L5</f>
        <v>2040</v>
      </c>
      <c r="AQ9" s="64">
        <f>Notes!$L5</f>
        <v>2040</v>
      </c>
      <c r="AR9" s="63">
        <f>Notes!$L5</f>
        <v>2040</v>
      </c>
      <c r="AS9" s="45"/>
      <c r="AV9" s="8"/>
      <c r="AW9" s="9" t="s">
        <v>90</v>
      </c>
      <c r="AX9" s="53" t="s">
        <v>91</v>
      </c>
      <c r="AY9" s="63">
        <f>Notes!$L$4</f>
        <v>2024</v>
      </c>
      <c r="AZ9" s="63">
        <f>Notes!$L$5</f>
        <v>2040</v>
      </c>
      <c r="BA9" s="26">
        <v>0</v>
      </c>
      <c r="BB9" s="34">
        <v>1</v>
      </c>
    </row>
    <row r="10" spans="1:55" x14ac:dyDescent="0.3">
      <c r="B10" s="8"/>
      <c r="F10" s="45"/>
      <c r="I10" s="45"/>
      <c r="L10" s="45"/>
      <c r="N10" s="8"/>
      <c r="Q10" s="45"/>
      <c r="R10" s="46"/>
      <c r="U10" s="70"/>
      <c r="X10" s="8"/>
      <c r="AD10" s="45"/>
      <c r="AE10" s="46"/>
      <c r="AH10" s="45"/>
      <c r="AJ10" s="8"/>
      <c r="AO10" s="45"/>
      <c r="AP10" s="46"/>
      <c r="AS10" s="45"/>
      <c r="AV10" s="8"/>
      <c r="AW10" s="9" t="s">
        <v>298</v>
      </c>
      <c r="AX10" s="53" t="s">
        <v>299</v>
      </c>
      <c r="AY10" s="63">
        <f>Notes!$L$4</f>
        <v>2024</v>
      </c>
      <c r="AZ10" s="63">
        <f>Notes!$L$5</f>
        <v>2040</v>
      </c>
      <c r="BA10" s="26">
        <v>0</v>
      </c>
      <c r="BB10" s="34">
        <v>1</v>
      </c>
    </row>
    <row r="11" spans="1:55" x14ac:dyDescent="0.3">
      <c r="B11" s="8"/>
      <c r="C11" s="54" t="s">
        <v>302</v>
      </c>
      <c r="D11" s="55"/>
      <c r="E11" s="55"/>
      <c r="F11" s="56"/>
      <c r="G11" s="55"/>
      <c r="H11" s="55"/>
      <c r="I11" s="56"/>
      <c r="J11" s="55"/>
      <c r="K11" s="55"/>
      <c r="L11" s="56"/>
      <c r="N11" s="8"/>
      <c r="O11" s="54" t="s">
        <v>302</v>
      </c>
      <c r="P11" s="53"/>
      <c r="Q11" s="57"/>
      <c r="R11" s="58"/>
      <c r="S11" s="53"/>
      <c r="T11" s="53"/>
      <c r="U11" s="71"/>
      <c r="V11" s="53"/>
      <c r="X11" s="8"/>
      <c r="Y11" s="54" t="s">
        <v>302</v>
      </c>
      <c r="Z11" s="53"/>
      <c r="AA11" s="53"/>
      <c r="AB11" s="53"/>
      <c r="AC11" s="53"/>
      <c r="AD11" s="57"/>
      <c r="AE11" s="58"/>
      <c r="AF11" s="53"/>
      <c r="AG11" s="53"/>
      <c r="AH11" s="56"/>
      <c r="AJ11" s="8"/>
      <c r="AK11" s="54" t="s">
        <v>302</v>
      </c>
      <c r="AL11" s="54"/>
      <c r="AM11" s="59"/>
      <c r="AN11" s="53"/>
      <c r="AO11" s="57"/>
      <c r="AP11" s="58"/>
      <c r="AQ11" s="53"/>
      <c r="AR11" s="53"/>
      <c r="AS11" s="57"/>
      <c r="AT11" s="53"/>
      <c r="AV11" s="8"/>
      <c r="AW11" s="9" t="s">
        <v>98</v>
      </c>
      <c r="AX11" s="53" t="s">
        <v>101</v>
      </c>
      <c r="AY11" s="63">
        <f>Notes!$L$4</f>
        <v>2024</v>
      </c>
      <c r="AZ11" s="63">
        <f>Notes!$L$5</f>
        <v>2040</v>
      </c>
      <c r="BA11" s="26">
        <v>0</v>
      </c>
      <c r="BB11" s="34">
        <v>1</v>
      </c>
    </row>
    <row r="12" spans="1:55" x14ac:dyDescent="0.3">
      <c r="B12" s="8"/>
      <c r="C12" s="54"/>
      <c r="D12" s="50" t="s">
        <v>72</v>
      </c>
      <c r="E12" s="50" t="s">
        <v>73</v>
      </c>
      <c r="F12" s="51" t="s">
        <v>74</v>
      </c>
      <c r="G12" s="50" t="s">
        <v>75</v>
      </c>
      <c r="H12" s="50" t="s">
        <v>76</v>
      </c>
      <c r="I12" s="51" t="s">
        <v>77</v>
      </c>
      <c r="J12" s="50" t="s">
        <v>78</v>
      </c>
      <c r="K12" s="50" t="s">
        <v>79</v>
      </c>
      <c r="L12" s="56"/>
      <c r="N12" s="8"/>
      <c r="O12" s="54"/>
      <c r="P12" s="50" t="s">
        <v>81</v>
      </c>
      <c r="Q12" s="51" t="s">
        <v>82</v>
      </c>
      <c r="R12" s="52" t="s">
        <v>621</v>
      </c>
      <c r="S12" s="53"/>
      <c r="T12" s="53"/>
      <c r="U12" s="71"/>
      <c r="V12" s="53"/>
      <c r="X12" s="8"/>
      <c r="Y12" s="54"/>
      <c r="Z12" s="50" t="s">
        <v>84</v>
      </c>
      <c r="AA12" s="50" t="s">
        <v>85</v>
      </c>
      <c r="AB12" s="50" t="s">
        <v>310</v>
      </c>
      <c r="AC12" s="50" t="s">
        <v>83</v>
      </c>
      <c r="AD12" s="51" t="s">
        <v>130</v>
      </c>
      <c r="AE12" s="52" t="s">
        <v>131</v>
      </c>
      <c r="AF12" s="50" t="s">
        <v>128</v>
      </c>
      <c r="AG12" s="50" t="s">
        <v>129</v>
      </c>
      <c r="AH12" s="56"/>
      <c r="AJ12" s="8"/>
      <c r="AK12" s="54"/>
      <c r="AL12" s="50" t="s">
        <v>133</v>
      </c>
      <c r="AM12" s="50" t="s">
        <v>101</v>
      </c>
      <c r="AN12" s="50" t="s">
        <v>622</v>
      </c>
      <c r="AO12" s="51" t="s">
        <v>130</v>
      </c>
      <c r="AP12" s="52" t="s">
        <v>131</v>
      </c>
      <c r="AQ12" s="50" t="s">
        <v>128</v>
      </c>
      <c r="AR12" s="50" t="s">
        <v>129</v>
      </c>
      <c r="AS12" s="57"/>
      <c r="AT12" s="53"/>
      <c r="AV12" s="8"/>
      <c r="AW12" s="9" t="s">
        <v>94</v>
      </c>
      <c r="AX12" s="53" t="s">
        <v>95</v>
      </c>
      <c r="AY12" s="63">
        <f>Notes!$L$4</f>
        <v>2024</v>
      </c>
      <c r="AZ12" s="63">
        <f>Notes!$L$5</f>
        <v>2040</v>
      </c>
      <c r="BA12" s="26">
        <v>0</v>
      </c>
      <c r="BB12" s="34">
        <v>1</v>
      </c>
    </row>
    <row r="13" spans="1:55" x14ac:dyDescent="0.3">
      <c r="B13" s="8"/>
      <c r="C13" s="55"/>
      <c r="D13" s="34">
        <v>1</v>
      </c>
      <c r="E13" s="34">
        <v>1</v>
      </c>
      <c r="F13" s="32">
        <v>1</v>
      </c>
      <c r="G13" s="34">
        <v>1</v>
      </c>
      <c r="H13" s="34">
        <v>1</v>
      </c>
      <c r="I13" s="32">
        <v>1</v>
      </c>
      <c r="J13" s="34">
        <v>1</v>
      </c>
      <c r="K13" s="34">
        <v>1</v>
      </c>
      <c r="L13" s="56"/>
      <c r="N13" s="8"/>
      <c r="O13" s="55"/>
      <c r="P13" s="34">
        <v>1</v>
      </c>
      <c r="Q13" s="32">
        <v>1</v>
      </c>
      <c r="R13" s="35">
        <v>1</v>
      </c>
      <c r="S13" s="55"/>
      <c r="T13" s="55"/>
      <c r="U13" s="72"/>
      <c r="V13" s="55"/>
      <c r="X13" s="8"/>
      <c r="Y13" s="55"/>
      <c r="Z13" s="34">
        <v>1</v>
      </c>
      <c r="AA13" s="34">
        <v>1</v>
      </c>
      <c r="AB13" s="34">
        <v>1</v>
      </c>
      <c r="AC13" s="34">
        <v>1</v>
      </c>
      <c r="AD13" s="32">
        <v>1</v>
      </c>
      <c r="AE13" s="35">
        <v>1</v>
      </c>
      <c r="AF13" s="34">
        <v>1</v>
      </c>
      <c r="AG13" s="34">
        <v>1</v>
      </c>
      <c r="AH13" s="56"/>
      <c r="AJ13" s="8"/>
      <c r="AK13" s="55"/>
      <c r="AL13" s="34">
        <v>1</v>
      </c>
      <c r="AM13" s="34">
        <v>1</v>
      </c>
      <c r="AN13" s="34">
        <v>1</v>
      </c>
      <c r="AO13" s="32">
        <v>1</v>
      </c>
      <c r="AP13" s="35">
        <v>1</v>
      </c>
      <c r="AQ13" s="34">
        <v>1</v>
      </c>
      <c r="AR13" s="34">
        <v>1</v>
      </c>
      <c r="AS13" s="56"/>
      <c r="AT13" s="55"/>
      <c r="AV13" s="8"/>
      <c r="AW13" s="9" t="s">
        <v>96</v>
      </c>
      <c r="AX13" s="53" t="s">
        <v>97</v>
      </c>
      <c r="AY13" s="63">
        <f>Notes!$L$4</f>
        <v>2024</v>
      </c>
      <c r="AZ13" s="63">
        <f>Notes!$L$5</f>
        <v>2040</v>
      </c>
      <c r="BA13" s="26">
        <v>0</v>
      </c>
      <c r="BB13" s="34">
        <v>1</v>
      </c>
    </row>
    <row r="14" spans="1:55" x14ac:dyDescent="0.3">
      <c r="B14" s="8"/>
      <c r="C14" s="55"/>
      <c r="F14" s="45"/>
      <c r="I14" s="45"/>
      <c r="L14" s="45"/>
      <c r="N14" s="8"/>
      <c r="O14" s="55"/>
      <c r="Q14" s="45"/>
      <c r="R14" s="46"/>
      <c r="U14" s="70"/>
      <c r="X14" s="8"/>
      <c r="Y14" s="55"/>
      <c r="AD14" s="45"/>
      <c r="AE14" s="46"/>
      <c r="AH14" s="45"/>
      <c r="AJ14" s="8"/>
      <c r="AK14" s="55"/>
      <c r="AL14" s="55"/>
      <c r="AO14" s="45"/>
      <c r="AP14" s="46"/>
      <c r="AS14" s="45"/>
      <c r="AV14" s="8"/>
      <c r="AW14" s="9" t="s">
        <v>297</v>
      </c>
      <c r="AX14" s="53" t="s">
        <v>296</v>
      </c>
      <c r="AY14" s="63">
        <f>Notes!$L$4</f>
        <v>2024</v>
      </c>
      <c r="AZ14" s="63">
        <f>Notes!$L$5</f>
        <v>2040</v>
      </c>
      <c r="BA14" s="26">
        <v>0</v>
      </c>
      <c r="BB14" s="34">
        <v>1</v>
      </c>
    </row>
    <row r="15" spans="1:55" x14ac:dyDescent="0.3">
      <c r="B15" s="8"/>
      <c r="C15" s="54" t="s">
        <v>301</v>
      </c>
      <c r="F15" s="45"/>
      <c r="I15" s="45"/>
      <c r="L15" s="45"/>
      <c r="N15" s="8"/>
      <c r="O15" s="54" t="s">
        <v>301</v>
      </c>
      <c r="P15" s="60"/>
      <c r="Q15" s="45"/>
      <c r="R15" s="46"/>
      <c r="U15" s="70"/>
      <c r="X15" s="8"/>
      <c r="Y15" s="54" t="s">
        <v>301</v>
      </c>
      <c r="Z15" s="60"/>
      <c r="AD15" s="45"/>
      <c r="AE15" s="46"/>
      <c r="AH15" s="45"/>
      <c r="AJ15" s="8"/>
      <c r="AK15" s="54" t="s">
        <v>301</v>
      </c>
      <c r="AL15" s="54"/>
      <c r="AO15" s="45"/>
      <c r="AP15" s="46"/>
      <c r="AS15" s="45"/>
      <c r="AV15" s="8"/>
      <c r="AW15" s="9" t="s">
        <v>762</v>
      </c>
      <c r="AX15" s="53" t="s">
        <v>131</v>
      </c>
      <c r="AY15" s="63">
        <f>Notes!$L$4</f>
        <v>2024</v>
      </c>
      <c r="AZ15" s="63">
        <f>Notes!$L$5</f>
        <v>2040</v>
      </c>
      <c r="BA15" s="26">
        <v>0</v>
      </c>
      <c r="BB15" s="34">
        <v>1</v>
      </c>
    </row>
    <row r="16" spans="1:55" x14ac:dyDescent="0.3">
      <c r="B16" s="8"/>
      <c r="D16" s="50" t="s">
        <v>72</v>
      </c>
      <c r="E16" s="50" t="s">
        <v>73</v>
      </c>
      <c r="F16" s="51" t="s">
        <v>74</v>
      </c>
      <c r="G16" s="50" t="s">
        <v>75</v>
      </c>
      <c r="H16" s="50" t="s">
        <v>76</v>
      </c>
      <c r="I16" s="51" t="s">
        <v>77</v>
      </c>
      <c r="J16" s="50" t="s">
        <v>78</v>
      </c>
      <c r="K16" s="50" t="s">
        <v>79</v>
      </c>
      <c r="L16" s="51" t="s">
        <v>123</v>
      </c>
      <c r="N16" s="8"/>
      <c r="P16" s="50" t="s">
        <v>81</v>
      </c>
      <c r="Q16" s="51" t="s">
        <v>82</v>
      </c>
      <c r="R16" s="52" t="s">
        <v>621</v>
      </c>
      <c r="S16" s="50" t="s">
        <v>80</v>
      </c>
      <c r="T16" s="50" t="s">
        <v>285</v>
      </c>
      <c r="U16" s="73" t="s">
        <v>310</v>
      </c>
      <c r="V16" s="50" t="s">
        <v>123</v>
      </c>
      <c r="X16" s="8"/>
      <c r="Z16" s="50" t="s">
        <v>84</v>
      </c>
      <c r="AA16" s="50" t="s">
        <v>85</v>
      </c>
      <c r="AB16" s="50" t="s">
        <v>310</v>
      </c>
      <c r="AC16" s="50" t="s">
        <v>83</v>
      </c>
      <c r="AD16" s="51" t="s">
        <v>130</v>
      </c>
      <c r="AE16" s="52" t="s">
        <v>131</v>
      </c>
      <c r="AF16" s="50" t="s">
        <v>128</v>
      </c>
      <c r="AG16" s="61" t="s">
        <v>129</v>
      </c>
      <c r="AH16" s="51" t="s">
        <v>123</v>
      </c>
      <c r="AJ16" s="8"/>
      <c r="AL16" s="50" t="s">
        <v>133</v>
      </c>
      <c r="AM16" s="50" t="s">
        <v>101</v>
      </c>
      <c r="AN16" s="50" t="s">
        <v>622</v>
      </c>
      <c r="AO16" s="51" t="s">
        <v>130</v>
      </c>
      <c r="AP16" s="62" t="s">
        <v>131</v>
      </c>
      <c r="AQ16" s="50" t="s">
        <v>128</v>
      </c>
      <c r="AR16" s="61" t="s">
        <v>129</v>
      </c>
      <c r="AS16" s="51" t="s">
        <v>288</v>
      </c>
      <c r="AT16" s="50" t="s">
        <v>123</v>
      </c>
      <c r="AV16" s="8"/>
      <c r="AW16" s="9" t="s">
        <v>763</v>
      </c>
      <c r="AX16" s="53" t="s">
        <v>129</v>
      </c>
      <c r="AY16" s="63">
        <f>Notes!$L$4</f>
        <v>2024</v>
      </c>
      <c r="AZ16" s="63">
        <f>Notes!$L$5</f>
        <v>2040</v>
      </c>
      <c r="BA16" s="26">
        <v>0</v>
      </c>
      <c r="BB16" s="34">
        <v>1</v>
      </c>
    </row>
    <row r="17" spans="2:54" x14ac:dyDescent="0.3">
      <c r="B17" s="8"/>
      <c r="C17" s="2" t="s">
        <v>713</v>
      </c>
      <c r="D17" s="26">
        <v>0</v>
      </c>
      <c r="E17" s="26">
        <v>0</v>
      </c>
      <c r="F17" s="27">
        <v>0</v>
      </c>
      <c r="G17" s="26">
        <v>0</v>
      </c>
      <c r="H17" s="26">
        <v>0</v>
      </c>
      <c r="I17" s="27">
        <v>0</v>
      </c>
      <c r="J17" s="26">
        <v>0</v>
      </c>
      <c r="K17" s="26">
        <v>0</v>
      </c>
      <c r="L17" s="67">
        <v>1</v>
      </c>
      <c r="N17" s="8"/>
      <c r="O17" s="2" t="s">
        <v>649</v>
      </c>
      <c r="P17" s="26">
        <v>0</v>
      </c>
      <c r="Q17" s="27">
        <v>0</v>
      </c>
      <c r="R17" s="30">
        <v>0</v>
      </c>
      <c r="S17" s="27">
        <v>0</v>
      </c>
      <c r="T17" s="30">
        <v>0</v>
      </c>
      <c r="U17" s="34">
        <v>1</v>
      </c>
      <c r="V17" s="34">
        <v>1</v>
      </c>
      <c r="X17" s="8"/>
      <c r="Y17" s="2" t="s">
        <v>852</v>
      </c>
      <c r="Z17" s="26">
        <v>0</v>
      </c>
      <c r="AA17" s="26">
        <v>0</v>
      </c>
      <c r="AB17" s="26">
        <v>0</v>
      </c>
      <c r="AC17" s="26">
        <v>0</v>
      </c>
      <c r="AD17" s="27">
        <v>0</v>
      </c>
      <c r="AE17" s="30">
        <v>0</v>
      </c>
      <c r="AF17" s="26">
        <v>0</v>
      </c>
      <c r="AG17" s="26">
        <v>0</v>
      </c>
      <c r="AH17" s="32">
        <v>1</v>
      </c>
      <c r="AJ17" s="8"/>
      <c r="AK17" s="2" t="s">
        <v>8</v>
      </c>
      <c r="AL17" s="26">
        <v>0</v>
      </c>
      <c r="AM17" s="26">
        <v>0</v>
      </c>
      <c r="AN17" s="26">
        <v>0</v>
      </c>
      <c r="AO17" s="27">
        <v>0</v>
      </c>
      <c r="AP17" s="30">
        <v>0</v>
      </c>
      <c r="AQ17" s="26">
        <v>0</v>
      </c>
      <c r="AR17" s="26">
        <v>0</v>
      </c>
      <c r="AS17" s="32">
        <v>1</v>
      </c>
      <c r="AT17" s="34">
        <v>1</v>
      </c>
      <c r="AV17" s="8"/>
      <c r="AW17" s="9" t="s">
        <v>290</v>
      </c>
      <c r="AX17" s="53" t="s">
        <v>74</v>
      </c>
      <c r="AY17" s="63">
        <f>Notes!$L$4</f>
        <v>2024</v>
      </c>
      <c r="AZ17" s="63">
        <f>Notes!$L$5</f>
        <v>2040</v>
      </c>
      <c r="BA17" s="26">
        <v>0</v>
      </c>
      <c r="BB17" s="34">
        <v>1</v>
      </c>
    </row>
    <row r="18" spans="2:54" x14ac:dyDescent="0.3">
      <c r="B18" s="8"/>
      <c r="C18" s="2" t="s">
        <v>766</v>
      </c>
      <c r="D18" s="26">
        <v>0</v>
      </c>
      <c r="E18" s="26">
        <v>0</v>
      </c>
      <c r="F18" s="27">
        <v>0</v>
      </c>
      <c r="G18" s="26">
        <v>0</v>
      </c>
      <c r="H18" s="26">
        <v>0</v>
      </c>
      <c r="I18" s="27">
        <v>0</v>
      </c>
      <c r="J18" s="26">
        <v>0</v>
      </c>
      <c r="K18" s="26">
        <v>0</v>
      </c>
      <c r="L18" s="67">
        <v>1</v>
      </c>
      <c r="N18" s="8"/>
      <c r="O18" s="2" t="s">
        <v>809</v>
      </c>
      <c r="P18" s="26">
        <v>0</v>
      </c>
      <c r="Q18" s="27">
        <v>0</v>
      </c>
      <c r="R18" s="30">
        <v>0</v>
      </c>
      <c r="S18" s="27">
        <v>0</v>
      </c>
      <c r="T18" s="30">
        <v>0</v>
      </c>
      <c r="U18" s="34">
        <v>1</v>
      </c>
      <c r="V18" s="34">
        <v>1</v>
      </c>
      <c r="X18" s="8"/>
      <c r="Y18" s="2" t="s">
        <v>853</v>
      </c>
      <c r="Z18" s="26">
        <v>0</v>
      </c>
      <c r="AA18" s="26">
        <v>0</v>
      </c>
      <c r="AB18" s="26">
        <v>0</v>
      </c>
      <c r="AC18" s="26">
        <v>0</v>
      </c>
      <c r="AD18" s="27">
        <v>0</v>
      </c>
      <c r="AE18" s="30">
        <v>0</v>
      </c>
      <c r="AF18" s="26">
        <v>0</v>
      </c>
      <c r="AG18" s="26">
        <v>0</v>
      </c>
      <c r="AH18" s="32">
        <v>1</v>
      </c>
      <c r="AJ18" s="8"/>
      <c r="AK18" s="2" t="s">
        <v>985</v>
      </c>
      <c r="AL18" s="26">
        <v>0</v>
      </c>
      <c r="AM18" s="26">
        <v>0</v>
      </c>
      <c r="AN18" s="26">
        <v>0</v>
      </c>
      <c r="AO18" s="27">
        <v>0</v>
      </c>
      <c r="AP18" s="30">
        <v>0</v>
      </c>
      <c r="AQ18" s="26">
        <v>0</v>
      </c>
      <c r="AR18" s="26">
        <v>0</v>
      </c>
      <c r="AS18" s="32">
        <v>1</v>
      </c>
      <c r="AT18" s="34">
        <v>1</v>
      </c>
      <c r="AV18" s="8"/>
      <c r="AW18" s="9" t="s">
        <v>291</v>
      </c>
      <c r="AX18" s="53" t="s">
        <v>75</v>
      </c>
      <c r="AY18" s="63">
        <f>Notes!$L$4</f>
        <v>2024</v>
      </c>
      <c r="AZ18" s="63">
        <f>Notes!$L$5</f>
        <v>2040</v>
      </c>
      <c r="BA18" s="26">
        <v>0</v>
      </c>
      <c r="BB18" s="34">
        <v>1</v>
      </c>
    </row>
    <row r="19" spans="2:54" x14ac:dyDescent="0.3">
      <c r="B19" s="8"/>
      <c r="C19" s="2" t="s">
        <v>976</v>
      </c>
      <c r="D19" s="26">
        <v>0</v>
      </c>
      <c r="E19" s="26">
        <v>0</v>
      </c>
      <c r="F19" s="27">
        <v>0</v>
      </c>
      <c r="G19" s="26">
        <v>0</v>
      </c>
      <c r="H19" s="26">
        <v>0</v>
      </c>
      <c r="I19" s="27">
        <v>0</v>
      </c>
      <c r="J19" s="26">
        <v>0</v>
      </c>
      <c r="K19" s="26">
        <v>0</v>
      </c>
      <c r="L19" s="67">
        <v>1</v>
      </c>
      <c r="N19" s="8"/>
      <c r="O19" s="2" t="s">
        <v>946</v>
      </c>
      <c r="P19" s="26">
        <v>0</v>
      </c>
      <c r="Q19" s="27">
        <v>0</v>
      </c>
      <c r="R19" s="30">
        <v>0</v>
      </c>
      <c r="S19" s="27">
        <v>0</v>
      </c>
      <c r="T19" s="30">
        <v>0</v>
      </c>
      <c r="U19" s="34">
        <v>1</v>
      </c>
      <c r="V19" s="34">
        <v>1</v>
      </c>
      <c r="X19" s="8"/>
      <c r="Y19" s="2" t="s">
        <v>854</v>
      </c>
      <c r="Z19" s="26">
        <v>0</v>
      </c>
      <c r="AA19" s="26">
        <v>0</v>
      </c>
      <c r="AB19" s="26">
        <v>0</v>
      </c>
      <c r="AC19" s="26">
        <v>0</v>
      </c>
      <c r="AD19" s="27">
        <v>0</v>
      </c>
      <c r="AE19" s="30">
        <v>0</v>
      </c>
      <c r="AF19" s="26">
        <v>0</v>
      </c>
      <c r="AG19" s="26">
        <v>0</v>
      </c>
      <c r="AH19" s="32">
        <v>1</v>
      </c>
      <c r="AJ19" s="8"/>
      <c r="AK19" s="2" t="s">
        <v>986</v>
      </c>
      <c r="AL19" s="26">
        <v>0</v>
      </c>
      <c r="AM19" s="26">
        <v>0</v>
      </c>
      <c r="AN19" s="26">
        <v>0</v>
      </c>
      <c r="AO19" s="27">
        <v>0</v>
      </c>
      <c r="AP19" s="30">
        <v>0</v>
      </c>
      <c r="AQ19" s="26">
        <v>0</v>
      </c>
      <c r="AR19" s="26">
        <v>0</v>
      </c>
      <c r="AS19" s="32">
        <v>1</v>
      </c>
      <c r="AT19" s="34">
        <v>1</v>
      </c>
      <c r="AV19" s="8"/>
      <c r="AW19" s="9" t="s">
        <v>292</v>
      </c>
      <c r="AX19" s="53" t="s">
        <v>76</v>
      </c>
      <c r="AY19" s="63">
        <f>Notes!$L$4</f>
        <v>2024</v>
      </c>
      <c r="AZ19" s="63">
        <f>Notes!$L$5</f>
        <v>2040</v>
      </c>
      <c r="BA19" s="26">
        <v>0</v>
      </c>
      <c r="BB19" s="34">
        <v>1</v>
      </c>
    </row>
    <row r="20" spans="2:54" x14ac:dyDescent="0.3">
      <c r="B20" s="8"/>
      <c r="C20" s="2" t="s">
        <v>977</v>
      </c>
      <c r="D20" s="26">
        <v>0</v>
      </c>
      <c r="E20" s="26">
        <v>0</v>
      </c>
      <c r="F20" s="27">
        <v>0</v>
      </c>
      <c r="G20" s="26">
        <v>0</v>
      </c>
      <c r="H20" s="26">
        <v>0</v>
      </c>
      <c r="I20" s="27">
        <v>0</v>
      </c>
      <c r="J20" s="26">
        <v>0</v>
      </c>
      <c r="K20" s="26">
        <v>0</v>
      </c>
      <c r="L20" s="67">
        <v>1</v>
      </c>
      <c r="N20" s="8"/>
      <c r="O20" s="2" t="s">
        <v>947</v>
      </c>
      <c r="P20" s="26">
        <v>0</v>
      </c>
      <c r="Q20" s="27">
        <v>0</v>
      </c>
      <c r="R20" s="30">
        <v>0</v>
      </c>
      <c r="S20" s="27">
        <v>0</v>
      </c>
      <c r="T20" s="30">
        <v>0</v>
      </c>
      <c r="U20" s="34">
        <v>1</v>
      </c>
      <c r="V20" s="34">
        <v>1</v>
      </c>
      <c r="X20" s="8"/>
      <c r="Y20" s="2" t="s">
        <v>855</v>
      </c>
      <c r="Z20" s="26">
        <v>0</v>
      </c>
      <c r="AA20" s="26">
        <v>0</v>
      </c>
      <c r="AB20" s="26">
        <v>0</v>
      </c>
      <c r="AC20" s="26">
        <v>0</v>
      </c>
      <c r="AD20" s="27">
        <v>0</v>
      </c>
      <c r="AE20" s="30">
        <v>0</v>
      </c>
      <c r="AF20" s="26">
        <v>0</v>
      </c>
      <c r="AG20" s="26">
        <v>0</v>
      </c>
      <c r="AH20" s="32">
        <v>1</v>
      </c>
      <c r="AJ20" s="8"/>
      <c r="AK20" s="2" t="s">
        <v>987</v>
      </c>
      <c r="AL20" s="26">
        <v>0</v>
      </c>
      <c r="AM20" s="26">
        <v>0</v>
      </c>
      <c r="AN20" s="26">
        <v>0</v>
      </c>
      <c r="AO20" s="27">
        <v>0</v>
      </c>
      <c r="AP20" s="30">
        <v>0</v>
      </c>
      <c r="AQ20" s="26">
        <v>0</v>
      </c>
      <c r="AR20" s="26">
        <v>0</v>
      </c>
      <c r="AS20" s="32">
        <v>1</v>
      </c>
      <c r="AT20" s="34">
        <v>1</v>
      </c>
      <c r="AV20" s="8"/>
      <c r="AW20" s="9" t="s">
        <v>61</v>
      </c>
      <c r="AX20" s="53" t="s">
        <v>82</v>
      </c>
      <c r="AY20" s="63">
        <f>Notes!$L$4</f>
        <v>2024</v>
      </c>
      <c r="AZ20" s="63">
        <f>Notes!$L$5</f>
        <v>2040</v>
      </c>
      <c r="BA20" s="26">
        <v>0</v>
      </c>
      <c r="BB20" s="34">
        <v>1</v>
      </c>
    </row>
    <row r="21" spans="2:54" x14ac:dyDescent="0.3">
      <c r="B21" s="8"/>
      <c r="C21" s="2" t="s">
        <v>767</v>
      </c>
      <c r="D21" s="26">
        <v>0</v>
      </c>
      <c r="E21" s="26">
        <v>0</v>
      </c>
      <c r="F21" s="27">
        <v>0</v>
      </c>
      <c r="G21" s="26">
        <v>0</v>
      </c>
      <c r="H21" s="26">
        <v>0</v>
      </c>
      <c r="I21" s="27">
        <v>0</v>
      </c>
      <c r="J21" s="26">
        <v>0</v>
      </c>
      <c r="K21" s="26">
        <v>0</v>
      </c>
      <c r="L21" s="67">
        <v>1</v>
      </c>
      <c r="N21" s="8"/>
      <c r="O21" s="2" t="s">
        <v>810</v>
      </c>
      <c r="P21" s="26">
        <v>0</v>
      </c>
      <c r="Q21" s="27">
        <v>0</v>
      </c>
      <c r="R21" s="30">
        <v>0</v>
      </c>
      <c r="S21" s="27">
        <v>0</v>
      </c>
      <c r="T21" s="30">
        <v>0</v>
      </c>
      <c r="U21" s="34">
        <v>1</v>
      </c>
      <c r="V21" s="34">
        <v>1</v>
      </c>
      <c r="X21" s="8"/>
      <c r="Y21" s="2" t="s">
        <v>856</v>
      </c>
      <c r="Z21" s="26">
        <v>0</v>
      </c>
      <c r="AA21" s="26">
        <v>0</v>
      </c>
      <c r="AB21" s="26">
        <v>0</v>
      </c>
      <c r="AC21" s="26">
        <v>0</v>
      </c>
      <c r="AD21" s="27">
        <v>0</v>
      </c>
      <c r="AE21" s="30">
        <v>0</v>
      </c>
      <c r="AF21" s="26">
        <v>0</v>
      </c>
      <c r="AG21" s="26">
        <v>0</v>
      </c>
      <c r="AH21" s="32">
        <v>1</v>
      </c>
      <c r="AJ21" s="8"/>
      <c r="AK21" s="2" t="s">
        <v>988</v>
      </c>
      <c r="AL21" s="26">
        <v>0</v>
      </c>
      <c r="AM21" s="26">
        <v>0</v>
      </c>
      <c r="AN21" s="26">
        <v>0</v>
      </c>
      <c r="AO21" s="27">
        <v>0</v>
      </c>
      <c r="AP21" s="30">
        <v>0</v>
      </c>
      <c r="AQ21" s="26">
        <v>0</v>
      </c>
      <c r="AR21" s="26">
        <v>0</v>
      </c>
      <c r="AS21" s="32">
        <v>1</v>
      </c>
      <c r="AT21" s="34">
        <v>1</v>
      </c>
      <c r="AV21" s="8"/>
      <c r="AW21" s="9" t="s">
        <v>293</v>
      </c>
      <c r="AX21" s="53" t="s">
        <v>621</v>
      </c>
      <c r="AY21" s="63">
        <f>Notes!$L$4</f>
        <v>2024</v>
      </c>
      <c r="AZ21" s="63">
        <f>Notes!$L$5</f>
        <v>2040</v>
      </c>
      <c r="BA21" s="26">
        <v>0</v>
      </c>
      <c r="BB21" s="34">
        <v>1</v>
      </c>
    </row>
    <row r="22" spans="2:54" x14ac:dyDescent="0.3">
      <c r="B22" s="8"/>
      <c r="C22" s="2" t="s">
        <v>714</v>
      </c>
      <c r="D22" s="26">
        <v>0</v>
      </c>
      <c r="E22" s="26">
        <v>0</v>
      </c>
      <c r="F22" s="27">
        <v>0</v>
      </c>
      <c r="G22" s="26">
        <v>0</v>
      </c>
      <c r="H22" s="26">
        <v>0</v>
      </c>
      <c r="I22" s="27">
        <v>0</v>
      </c>
      <c r="J22" s="26">
        <v>0</v>
      </c>
      <c r="K22" s="26">
        <v>0</v>
      </c>
      <c r="L22" s="67">
        <v>1</v>
      </c>
      <c r="N22" s="8"/>
      <c r="O22" s="2" t="s">
        <v>650</v>
      </c>
      <c r="P22" s="26">
        <v>0</v>
      </c>
      <c r="Q22" s="27">
        <v>0</v>
      </c>
      <c r="R22" s="30">
        <v>0</v>
      </c>
      <c r="S22" s="27">
        <v>0</v>
      </c>
      <c r="T22" s="30">
        <v>0</v>
      </c>
      <c r="U22" s="34">
        <v>1</v>
      </c>
      <c r="V22" s="34">
        <v>1</v>
      </c>
      <c r="X22" s="8"/>
      <c r="Y22" s="2" t="s">
        <v>857</v>
      </c>
      <c r="Z22" s="26">
        <v>0</v>
      </c>
      <c r="AA22" s="26">
        <v>0</v>
      </c>
      <c r="AB22" s="26">
        <v>0</v>
      </c>
      <c r="AC22" s="26">
        <v>0</v>
      </c>
      <c r="AD22" s="27">
        <v>0</v>
      </c>
      <c r="AE22" s="30">
        <v>0</v>
      </c>
      <c r="AF22" s="26">
        <v>0</v>
      </c>
      <c r="AG22" s="26">
        <v>0</v>
      </c>
      <c r="AH22" s="32">
        <v>1</v>
      </c>
      <c r="AJ22" s="8"/>
      <c r="AK22" s="2" t="s">
        <v>989</v>
      </c>
      <c r="AL22" s="26">
        <v>0</v>
      </c>
      <c r="AM22" s="26">
        <v>0</v>
      </c>
      <c r="AN22" s="26">
        <v>0</v>
      </c>
      <c r="AO22" s="27">
        <v>0</v>
      </c>
      <c r="AP22" s="30">
        <v>0</v>
      </c>
      <c r="AQ22" s="26">
        <v>0</v>
      </c>
      <c r="AR22" s="26">
        <v>0</v>
      </c>
      <c r="AS22" s="32">
        <v>1</v>
      </c>
      <c r="AT22" s="34">
        <v>1</v>
      </c>
      <c r="AV22" s="8"/>
      <c r="AW22" s="9" t="s">
        <v>294</v>
      </c>
      <c r="AX22" s="53" t="s">
        <v>83</v>
      </c>
      <c r="AY22" s="63">
        <f>Notes!$L$4</f>
        <v>2024</v>
      </c>
      <c r="AZ22" s="63">
        <f>Notes!$L$5</f>
        <v>2040</v>
      </c>
      <c r="BA22" s="26">
        <v>0</v>
      </c>
      <c r="BB22" s="34">
        <v>1</v>
      </c>
    </row>
    <row r="23" spans="2:54" x14ac:dyDescent="0.3">
      <c r="B23" s="8"/>
      <c r="C23" s="2" t="s">
        <v>715</v>
      </c>
      <c r="D23" s="26">
        <v>0</v>
      </c>
      <c r="E23" s="26">
        <v>0</v>
      </c>
      <c r="F23" s="27">
        <v>0</v>
      </c>
      <c r="G23" s="26">
        <v>0</v>
      </c>
      <c r="H23" s="26">
        <v>0</v>
      </c>
      <c r="I23" s="27">
        <v>0</v>
      </c>
      <c r="J23" s="26">
        <v>0</v>
      </c>
      <c r="K23" s="26">
        <v>0</v>
      </c>
      <c r="L23" s="67">
        <v>1</v>
      </c>
      <c r="N23" s="8"/>
      <c r="O23" s="2" t="s">
        <v>651</v>
      </c>
      <c r="P23" s="26">
        <v>0</v>
      </c>
      <c r="Q23" s="27">
        <v>0</v>
      </c>
      <c r="R23" s="30">
        <v>0</v>
      </c>
      <c r="S23" s="27">
        <v>0</v>
      </c>
      <c r="T23" s="30">
        <v>0</v>
      </c>
      <c r="U23" s="34">
        <v>1</v>
      </c>
      <c r="V23" s="34">
        <v>1</v>
      </c>
      <c r="X23" s="8"/>
      <c r="Y23" s="2" t="s">
        <v>858</v>
      </c>
      <c r="Z23" s="26">
        <v>0</v>
      </c>
      <c r="AA23" s="26">
        <v>0</v>
      </c>
      <c r="AB23" s="26">
        <v>0</v>
      </c>
      <c r="AC23" s="26">
        <v>0</v>
      </c>
      <c r="AD23" s="27">
        <v>0</v>
      </c>
      <c r="AE23" s="30">
        <v>0</v>
      </c>
      <c r="AF23" s="26">
        <v>0</v>
      </c>
      <c r="AG23" s="26">
        <v>0</v>
      </c>
      <c r="AH23" s="32">
        <v>1</v>
      </c>
      <c r="AJ23" s="8"/>
      <c r="AK23" s="2" t="s">
        <v>990</v>
      </c>
      <c r="AL23" s="26">
        <v>0</v>
      </c>
      <c r="AM23" s="26">
        <v>0</v>
      </c>
      <c r="AN23" s="26">
        <v>0</v>
      </c>
      <c r="AO23" s="27">
        <v>0</v>
      </c>
      <c r="AP23" s="30">
        <v>0</v>
      </c>
      <c r="AQ23" s="26">
        <v>0</v>
      </c>
      <c r="AR23" s="26">
        <v>0</v>
      </c>
      <c r="AS23" s="32">
        <v>1</v>
      </c>
      <c r="AT23" s="34">
        <v>1</v>
      </c>
      <c r="AV23" s="8"/>
      <c r="AW23" s="9" t="s">
        <v>295</v>
      </c>
      <c r="AX23" s="53" t="s">
        <v>622</v>
      </c>
      <c r="AY23" s="63">
        <f>Notes!$L$4</f>
        <v>2024</v>
      </c>
      <c r="AZ23" s="63">
        <f>Notes!$L$5</f>
        <v>2040</v>
      </c>
      <c r="BA23" s="26">
        <v>0</v>
      </c>
      <c r="BB23" s="34">
        <v>1</v>
      </c>
    </row>
    <row r="24" spans="2:54" x14ac:dyDescent="0.3">
      <c r="B24" s="8"/>
      <c r="C24" s="2" t="s">
        <v>768</v>
      </c>
      <c r="D24" s="26">
        <v>0</v>
      </c>
      <c r="E24" s="26">
        <v>0</v>
      </c>
      <c r="F24" s="27">
        <v>0</v>
      </c>
      <c r="G24" s="26">
        <v>0</v>
      </c>
      <c r="H24" s="26">
        <v>0</v>
      </c>
      <c r="I24" s="27">
        <v>0</v>
      </c>
      <c r="J24" s="26">
        <v>0</v>
      </c>
      <c r="K24" s="26">
        <v>0</v>
      </c>
      <c r="L24" s="67">
        <v>1</v>
      </c>
      <c r="N24" s="8"/>
      <c r="O24" s="2" t="s">
        <v>811</v>
      </c>
      <c r="P24" s="26">
        <v>0</v>
      </c>
      <c r="Q24" s="27">
        <v>0</v>
      </c>
      <c r="R24" s="30">
        <v>0</v>
      </c>
      <c r="S24" s="27">
        <v>0</v>
      </c>
      <c r="T24" s="30">
        <v>0</v>
      </c>
      <c r="U24" s="34">
        <v>1</v>
      </c>
      <c r="V24" s="34">
        <v>1</v>
      </c>
      <c r="X24" s="8"/>
      <c r="Y24" s="2" t="s">
        <v>859</v>
      </c>
      <c r="Z24" s="26">
        <v>0</v>
      </c>
      <c r="AA24" s="26">
        <v>0</v>
      </c>
      <c r="AB24" s="26">
        <v>0</v>
      </c>
      <c r="AC24" s="26">
        <v>0</v>
      </c>
      <c r="AD24" s="27">
        <v>0</v>
      </c>
      <c r="AE24" s="30">
        <v>0</v>
      </c>
      <c r="AF24" s="26">
        <v>0</v>
      </c>
      <c r="AG24" s="26">
        <v>0</v>
      </c>
      <c r="AH24" s="32">
        <v>1</v>
      </c>
      <c r="AJ24" s="8"/>
      <c r="AK24" s="2" t="s">
        <v>991</v>
      </c>
      <c r="AL24" s="26">
        <v>0</v>
      </c>
      <c r="AM24" s="26">
        <v>0</v>
      </c>
      <c r="AN24" s="26">
        <v>0</v>
      </c>
      <c r="AO24" s="27">
        <v>0</v>
      </c>
      <c r="AP24" s="30">
        <v>0</v>
      </c>
      <c r="AQ24" s="26">
        <v>0</v>
      </c>
      <c r="AR24" s="26">
        <v>0</v>
      </c>
      <c r="AS24" s="32">
        <v>1</v>
      </c>
      <c r="AT24" s="34">
        <v>1</v>
      </c>
      <c r="AV24" s="8"/>
      <c r="AW24" s="9" t="s">
        <v>647</v>
      </c>
      <c r="AX24" s="53" t="s">
        <v>648</v>
      </c>
      <c r="AY24" s="63">
        <f>Notes!$L$4</f>
        <v>2024</v>
      </c>
      <c r="AZ24" s="63">
        <f>Notes!$L$5</f>
        <v>2040</v>
      </c>
      <c r="BA24" s="26">
        <v>0</v>
      </c>
      <c r="BB24" s="34">
        <v>1</v>
      </c>
    </row>
    <row r="25" spans="2:54" x14ac:dyDescent="0.3">
      <c r="B25" s="8"/>
      <c r="C25" s="2" t="s">
        <v>716</v>
      </c>
      <c r="D25" s="26">
        <v>0</v>
      </c>
      <c r="E25" s="26">
        <v>0</v>
      </c>
      <c r="F25" s="27">
        <v>0</v>
      </c>
      <c r="G25" s="26">
        <v>0</v>
      </c>
      <c r="H25" s="26">
        <v>0</v>
      </c>
      <c r="I25" s="27">
        <v>0</v>
      </c>
      <c r="J25" s="26">
        <v>0</v>
      </c>
      <c r="K25" s="26">
        <v>0</v>
      </c>
      <c r="L25" s="67">
        <v>1</v>
      </c>
      <c r="N25" s="8"/>
      <c r="O25" s="2" t="s">
        <v>652</v>
      </c>
      <c r="P25" s="26">
        <v>0</v>
      </c>
      <c r="Q25" s="27">
        <v>0</v>
      </c>
      <c r="R25" s="30">
        <v>0</v>
      </c>
      <c r="S25" s="27">
        <v>0</v>
      </c>
      <c r="T25" s="30">
        <v>0</v>
      </c>
      <c r="U25" s="34">
        <v>1</v>
      </c>
      <c r="V25" s="34">
        <v>1</v>
      </c>
      <c r="X25" s="8"/>
      <c r="Y25" s="2" t="s">
        <v>10</v>
      </c>
      <c r="Z25" s="26">
        <v>0</v>
      </c>
      <c r="AA25" s="26">
        <v>0</v>
      </c>
      <c r="AB25" s="26">
        <v>0</v>
      </c>
      <c r="AC25" s="26">
        <v>0</v>
      </c>
      <c r="AD25" s="27">
        <v>0</v>
      </c>
      <c r="AE25" s="30">
        <v>0</v>
      </c>
      <c r="AF25" s="26">
        <v>0</v>
      </c>
      <c r="AG25" s="26">
        <v>0</v>
      </c>
      <c r="AH25" s="32">
        <v>1</v>
      </c>
      <c r="AJ25" s="8"/>
      <c r="AK25" s="2" t="s">
        <v>992</v>
      </c>
      <c r="AL25" s="26">
        <v>0</v>
      </c>
      <c r="AM25" s="26">
        <v>0</v>
      </c>
      <c r="AN25" s="26">
        <v>0</v>
      </c>
      <c r="AO25" s="27">
        <v>0</v>
      </c>
      <c r="AP25" s="30">
        <v>0</v>
      </c>
      <c r="AQ25" s="26">
        <v>0</v>
      </c>
      <c r="AR25" s="26">
        <v>0</v>
      </c>
      <c r="AS25" s="32">
        <v>1</v>
      </c>
      <c r="AT25" s="34">
        <v>1</v>
      </c>
      <c r="AV25" s="8"/>
    </row>
    <row r="26" spans="2:54" x14ac:dyDescent="0.3">
      <c r="B26" s="8"/>
      <c r="C26" s="2" t="s">
        <v>769</v>
      </c>
      <c r="D26" s="26">
        <v>0</v>
      </c>
      <c r="E26" s="26">
        <v>0</v>
      </c>
      <c r="F26" s="27">
        <v>0</v>
      </c>
      <c r="G26" s="26">
        <v>0</v>
      </c>
      <c r="H26" s="26">
        <v>0</v>
      </c>
      <c r="I26" s="27">
        <v>0</v>
      </c>
      <c r="J26" s="26">
        <v>0</v>
      </c>
      <c r="K26" s="26">
        <v>0</v>
      </c>
      <c r="L26" s="67">
        <v>1</v>
      </c>
      <c r="N26" s="8"/>
      <c r="O26" s="2" t="s">
        <v>812</v>
      </c>
      <c r="P26" s="26">
        <v>0</v>
      </c>
      <c r="Q26" s="27">
        <v>0</v>
      </c>
      <c r="R26" s="30">
        <v>0</v>
      </c>
      <c r="S26" s="27">
        <v>0</v>
      </c>
      <c r="T26" s="30">
        <v>0</v>
      </c>
      <c r="U26" s="34">
        <v>1</v>
      </c>
      <c r="V26" s="34">
        <v>1</v>
      </c>
      <c r="X26" s="8"/>
      <c r="Y26" s="2" t="s">
        <v>860</v>
      </c>
      <c r="Z26" s="26">
        <v>0</v>
      </c>
      <c r="AA26" s="26">
        <v>0</v>
      </c>
      <c r="AB26" s="26">
        <v>0</v>
      </c>
      <c r="AC26" s="26">
        <v>0</v>
      </c>
      <c r="AD26" s="27">
        <v>0</v>
      </c>
      <c r="AE26" s="30">
        <v>0</v>
      </c>
      <c r="AF26" s="26">
        <v>0</v>
      </c>
      <c r="AG26" s="26">
        <v>0</v>
      </c>
      <c r="AH26" s="32">
        <v>1</v>
      </c>
      <c r="AJ26" s="8"/>
      <c r="AK26" s="2" t="s">
        <v>993</v>
      </c>
      <c r="AL26" s="26">
        <v>0</v>
      </c>
      <c r="AM26" s="26">
        <v>0</v>
      </c>
      <c r="AN26" s="26">
        <v>0</v>
      </c>
      <c r="AO26" s="27">
        <v>0</v>
      </c>
      <c r="AP26" s="30">
        <v>0</v>
      </c>
      <c r="AQ26" s="26">
        <v>0</v>
      </c>
      <c r="AR26" s="26">
        <v>0</v>
      </c>
      <c r="AS26" s="32">
        <v>1</v>
      </c>
      <c r="AT26" s="34">
        <v>1</v>
      </c>
    </row>
    <row r="27" spans="2:54" x14ac:dyDescent="0.3">
      <c r="B27" s="8"/>
      <c r="C27" s="2" t="s">
        <v>770</v>
      </c>
      <c r="D27" s="26">
        <v>0</v>
      </c>
      <c r="E27" s="26">
        <v>0</v>
      </c>
      <c r="F27" s="27">
        <v>0</v>
      </c>
      <c r="G27" s="26">
        <v>0</v>
      </c>
      <c r="H27" s="26">
        <v>0</v>
      </c>
      <c r="I27" s="27">
        <v>0</v>
      </c>
      <c r="J27" s="26">
        <v>0</v>
      </c>
      <c r="K27" s="26">
        <v>0</v>
      </c>
      <c r="L27" s="67">
        <v>1</v>
      </c>
      <c r="N27" s="8"/>
      <c r="O27" s="2" t="s">
        <v>813</v>
      </c>
      <c r="P27" s="26">
        <v>0</v>
      </c>
      <c r="Q27" s="27">
        <v>0</v>
      </c>
      <c r="R27" s="30">
        <v>0</v>
      </c>
      <c r="S27" s="27">
        <v>0</v>
      </c>
      <c r="T27" s="30">
        <v>0</v>
      </c>
      <c r="U27" s="34">
        <v>1</v>
      </c>
      <c r="V27" s="34">
        <v>1</v>
      </c>
      <c r="X27" s="8"/>
      <c r="Y27" s="2" t="s">
        <v>861</v>
      </c>
      <c r="Z27" s="26">
        <v>0</v>
      </c>
      <c r="AA27" s="26">
        <v>0</v>
      </c>
      <c r="AB27" s="26">
        <v>0</v>
      </c>
      <c r="AC27" s="26">
        <v>0</v>
      </c>
      <c r="AD27" s="27">
        <v>0</v>
      </c>
      <c r="AE27" s="30">
        <v>0</v>
      </c>
      <c r="AF27" s="26">
        <v>0</v>
      </c>
      <c r="AG27" s="26">
        <v>0</v>
      </c>
      <c r="AH27" s="32">
        <v>1</v>
      </c>
      <c r="AJ27" s="8"/>
      <c r="AK27" s="2" t="s">
        <v>994</v>
      </c>
      <c r="AL27" s="26">
        <v>0</v>
      </c>
      <c r="AM27" s="26">
        <v>0</v>
      </c>
      <c r="AN27" s="26">
        <v>0</v>
      </c>
      <c r="AO27" s="27">
        <v>0</v>
      </c>
      <c r="AP27" s="30">
        <v>0</v>
      </c>
      <c r="AQ27" s="26">
        <v>0</v>
      </c>
      <c r="AR27" s="26">
        <v>0</v>
      </c>
      <c r="AS27" s="32">
        <v>1</v>
      </c>
      <c r="AT27" s="34">
        <v>1</v>
      </c>
    </row>
    <row r="28" spans="2:54" x14ac:dyDescent="0.3">
      <c r="B28" s="8"/>
      <c r="C28" s="2" t="s">
        <v>771</v>
      </c>
      <c r="D28" s="26">
        <v>0</v>
      </c>
      <c r="E28" s="26">
        <v>0</v>
      </c>
      <c r="F28" s="27">
        <v>0</v>
      </c>
      <c r="G28" s="26">
        <v>0</v>
      </c>
      <c r="H28" s="26">
        <v>0</v>
      </c>
      <c r="I28" s="27">
        <v>0</v>
      </c>
      <c r="J28" s="26">
        <v>0</v>
      </c>
      <c r="K28" s="26">
        <v>0</v>
      </c>
      <c r="L28" s="67">
        <v>1</v>
      </c>
      <c r="N28" s="8"/>
      <c r="O28" s="2" t="s">
        <v>814</v>
      </c>
      <c r="P28" s="26">
        <v>0</v>
      </c>
      <c r="Q28" s="27">
        <v>0</v>
      </c>
      <c r="R28" s="30">
        <v>0</v>
      </c>
      <c r="S28" s="27">
        <v>0</v>
      </c>
      <c r="T28" s="30">
        <v>0</v>
      </c>
      <c r="U28" s="34">
        <v>1</v>
      </c>
      <c r="V28" s="34">
        <v>1</v>
      </c>
      <c r="X28" s="8"/>
      <c r="Y28" s="2" t="s">
        <v>862</v>
      </c>
      <c r="Z28" s="26">
        <v>0</v>
      </c>
      <c r="AA28" s="26">
        <v>0</v>
      </c>
      <c r="AB28" s="26">
        <v>0</v>
      </c>
      <c r="AC28" s="26">
        <v>0</v>
      </c>
      <c r="AD28" s="27">
        <v>0</v>
      </c>
      <c r="AE28" s="30">
        <v>0</v>
      </c>
      <c r="AF28" s="26">
        <v>0</v>
      </c>
      <c r="AG28" s="26">
        <v>0</v>
      </c>
      <c r="AH28" s="32">
        <v>1</v>
      </c>
      <c r="AJ28" s="8"/>
      <c r="AK28" s="2" t="s">
        <v>995</v>
      </c>
      <c r="AL28" s="26">
        <v>0</v>
      </c>
      <c r="AM28" s="26">
        <v>0</v>
      </c>
      <c r="AN28" s="26">
        <v>0</v>
      </c>
      <c r="AO28" s="27">
        <v>0</v>
      </c>
      <c r="AP28" s="30">
        <v>0</v>
      </c>
      <c r="AQ28" s="26">
        <v>0</v>
      </c>
      <c r="AR28" s="26">
        <v>0</v>
      </c>
      <c r="AS28" s="32">
        <v>1</v>
      </c>
      <c r="AT28" s="34">
        <v>1</v>
      </c>
    </row>
    <row r="29" spans="2:54" x14ac:dyDescent="0.3">
      <c r="B29" s="8"/>
      <c r="C29" s="2" t="s">
        <v>717</v>
      </c>
      <c r="D29" s="26">
        <v>0</v>
      </c>
      <c r="E29" s="26">
        <v>0</v>
      </c>
      <c r="F29" s="27">
        <v>0</v>
      </c>
      <c r="G29" s="26">
        <v>0</v>
      </c>
      <c r="H29" s="26">
        <v>0</v>
      </c>
      <c r="I29" s="27">
        <v>0</v>
      </c>
      <c r="J29" s="26">
        <v>0</v>
      </c>
      <c r="K29" s="26">
        <v>0</v>
      </c>
      <c r="L29" s="67">
        <v>1</v>
      </c>
      <c r="N29" s="8"/>
      <c r="O29" s="2" t="s">
        <v>653</v>
      </c>
      <c r="P29" s="26">
        <v>0</v>
      </c>
      <c r="Q29" s="27">
        <v>0</v>
      </c>
      <c r="R29" s="30">
        <v>0</v>
      </c>
      <c r="S29" s="27">
        <v>0</v>
      </c>
      <c r="T29" s="30">
        <v>0</v>
      </c>
      <c r="U29" s="34">
        <v>1</v>
      </c>
      <c r="V29" s="34">
        <v>1</v>
      </c>
      <c r="X29" s="8"/>
      <c r="Y29" s="2" t="s">
        <v>863</v>
      </c>
      <c r="Z29" s="26">
        <v>0</v>
      </c>
      <c r="AA29" s="26">
        <v>0</v>
      </c>
      <c r="AB29" s="26">
        <v>0</v>
      </c>
      <c r="AC29" s="26">
        <v>0</v>
      </c>
      <c r="AD29" s="27">
        <v>0</v>
      </c>
      <c r="AE29" s="30">
        <v>0</v>
      </c>
      <c r="AF29" s="26">
        <v>0</v>
      </c>
      <c r="AG29" s="26">
        <v>0</v>
      </c>
      <c r="AH29" s="32">
        <v>1</v>
      </c>
      <c r="AJ29" s="8"/>
      <c r="AK29" s="2" t="s">
        <v>996</v>
      </c>
      <c r="AL29" s="26">
        <v>0</v>
      </c>
      <c r="AM29" s="26">
        <v>0</v>
      </c>
      <c r="AN29" s="26">
        <v>0</v>
      </c>
      <c r="AO29" s="27">
        <v>0</v>
      </c>
      <c r="AP29" s="30">
        <v>0</v>
      </c>
      <c r="AQ29" s="26">
        <v>0</v>
      </c>
      <c r="AR29" s="26">
        <v>0</v>
      </c>
      <c r="AS29" s="32">
        <v>1</v>
      </c>
      <c r="AT29" s="34">
        <v>1</v>
      </c>
    </row>
    <row r="30" spans="2:54" x14ac:dyDescent="0.3">
      <c r="B30" s="8"/>
      <c r="C30" s="2" t="s">
        <v>978</v>
      </c>
      <c r="D30" s="26">
        <v>0</v>
      </c>
      <c r="E30" s="26">
        <v>0</v>
      </c>
      <c r="F30" s="27">
        <v>0</v>
      </c>
      <c r="G30" s="26">
        <v>0</v>
      </c>
      <c r="H30" s="26">
        <v>0</v>
      </c>
      <c r="I30" s="27">
        <v>0</v>
      </c>
      <c r="J30" s="26">
        <v>0</v>
      </c>
      <c r="K30" s="26">
        <v>0</v>
      </c>
      <c r="L30" s="67">
        <v>1</v>
      </c>
      <c r="N30" s="8"/>
      <c r="O30" s="2" t="s">
        <v>948</v>
      </c>
      <c r="P30" s="26">
        <v>0</v>
      </c>
      <c r="Q30" s="27">
        <v>0</v>
      </c>
      <c r="R30" s="30">
        <v>0</v>
      </c>
      <c r="S30" s="27">
        <v>0</v>
      </c>
      <c r="T30" s="30">
        <v>0</v>
      </c>
      <c r="U30" s="34">
        <v>1</v>
      </c>
      <c r="V30" s="34">
        <v>1</v>
      </c>
      <c r="X30" s="8"/>
      <c r="Y30" s="2"/>
      <c r="Z30" s="26"/>
      <c r="AA30" s="26"/>
      <c r="AB30" s="26"/>
      <c r="AC30" s="26"/>
      <c r="AD30" s="27"/>
      <c r="AE30" s="30"/>
      <c r="AF30" s="26"/>
      <c r="AG30" s="26"/>
      <c r="AH30" s="32"/>
      <c r="AJ30" s="8"/>
      <c r="AK30" s="2" t="s">
        <v>997</v>
      </c>
      <c r="AL30" s="26">
        <v>0</v>
      </c>
      <c r="AM30" s="26">
        <v>0</v>
      </c>
      <c r="AN30" s="26">
        <v>0</v>
      </c>
      <c r="AO30" s="27">
        <v>0</v>
      </c>
      <c r="AP30" s="30">
        <v>0</v>
      </c>
      <c r="AQ30" s="26">
        <v>0</v>
      </c>
      <c r="AR30" s="26">
        <v>0</v>
      </c>
      <c r="AS30" s="32">
        <v>1</v>
      </c>
      <c r="AT30" s="34">
        <v>1</v>
      </c>
    </row>
    <row r="31" spans="2:54" x14ac:dyDescent="0.3">
      <c r="B31" s="8"/>
      <c r="C31" s="2" t="s">
        <v>718</v>
      </c>
      <c r="D31" s="26">
        <v>0</v>
      </c>
      <c r="E31" s="26">
        <v>0</v>
      </c>
      <c r="F31" s="27">
        <v>0</v>
      </c>
      <c r="G31" s="26">
        <v>0</v>
      </c>
      <c r="H31" s="26">
        <v>0</v>
      </c>
      <c r="I31" s="27">
        <v>0</v>
      </c>
      <c r="J31" s="26">
        <v>0</v>
      </c>
      <c r="K31" s="26">
        <v>0</v>
      </c>
      <c r="L31" s="67">
        <v>1</v>
      </c>
      <c r="N31" s="8"/>
      <c r="O31" s="2" t="s">
        <v>654</v>
      </c>
      <c r="P31" s="26">
        <v>0</v>
      </c>
      <c r="Q31" s="27">
        <v>0</v>
      </c>
      <c r="R31" s="30">
        <v>0</v>
      </c>
      <c r="S31" s="27">
        <v>0</v>
      </c>
      <c r="T31" s="30">
        <v>0</v>
      </c>
      <c r="U31" s="34">
        <v>1</v>
      </c>
      <c r="V31" s="34">
        <v>1</v>
      </c>
      <c r="X31" s="8"/>
      <c r="Y31" s="2"/>
      <c r="Z31" s="26"/>
      <c r="AA31" s="26"/>
      <c r="AB31" s="26"/>
      <c r="AC31" s="26"/>
      <c r="AD31" s="27"/>
      <c r="AE31" s="30"/>
      <c r="AF31" s="26"/>
      <c r="AG31" s="26"/>
      <c r="AH31" s="32"/>
      <c r="AJ31" s="8"/>
      <c r="AK31" s="2" t="s">
        <v>998</v>
      </c>
      <c r="AL31" s="26">
        <v>0</v>
      </c>
      <c r="AM31" s="26">
        <v>0</v>
      </c>
      <c r="AN31" s="26">
        <v>0</v>
      </c>
      <c r="AO31" s="27">
        <v>0</v>
      </c>
      <c r="AP31" s="30">
        <v>0</v>
      </c>
      <c r="AQ31" s="26">
        <v>0</v>
      </c>
      <c r="AR31" s="26">
        <v>0</v>
      </c>
      <c r="AS31" s="32">
        <v>1</v>
      </c>
      <c r="AT31" s="34">
        <v>1</v>
      </c>
    </row>
    <row r="32" spans="2:54" x14ac:dyDescent="0.3">
      <c r="B32" s="8"/>
      <c r="C32" s="2" t="s">
        <v>719</v>
      </c>
      <c r="D32" s="26">
        <v>0</v>
      </c>
      <c r="E32" s="26">
        <v>0</v>
      </c>
      <c r="F32" s="27">
        <v>0</v>
      </c>
      <c r="G32" s="26">
        <v>0</v>
      </c>
      <c r="H32" s="26">
        <v>0</v>
      </c>
      <c r="I32" s="27">
        <v>0</v>
      </c>
      <c r="J32" s="26">
        <v>0</v>
      </c>
      <c r="K32" s="26">
        <v>0</v>
      </c>
      <c r="L32" s="67">
        <v>1</v>
      </c>
      <c r="N32" s="8"/>
      <c r="O32" s="2" t="s">
        <v>655</v>
      </c>
      <c r="P32" s="26">
        <v>0</v>
      </c>
      <c r="Q32" s="27">
        <v>0</v>
      </c>
      <c r="R32" s="30">
        <v>0</v>
      </c>
      <c r="S32" s="27">
        <v>0</v>
      </c>
      <c r="T32" s="30">
        <v>0</v>
      </c>
      <c r="U32" s="34">
        <v>1</v>
      </c>
      <c r="V32" s="34">
        <v>1</v>
      </c>
      <c r="X32" s="8"/>
      <c r="Y32" s="2"/>
      <c r="Z32" s="26"/>
      <c r="AA32" s="26"/>
      <c r="AB32" s="26"/>
      <c r="AC32" s="26"/>
      <c r="AD32" s="27"/>
      <c r="AE32" s="30"/>
      <c r="AF32" s="26"/>
      <c r="AG32" s="26"/>
      <c r="AH32" s="32"/>
      <c r="AJ32" s="8"/>
      <c r="AK32" s="2" t="s">
        <v>999</v>
      </c>
      <c r="AL32" s="26">
        <v>0</v>
      </c>
      <c r="AM32" s="26">
        <v>0</v>
      </c>
      <c r="AN32" s="26">
        <v>0</v>
      </c>
      <c r="AO32" s="27">
        <v>0</v>
      </c>
      <c r="AP32" s="30">
        <v>0</v>
      </c>
      <c r="AQ32" s="26">
        <v>0</v>
      </c>
      <c r="AR32" s="26">
        <v>0</v>
      </c>
      <c r="AS32" s="32">
        <v>1</v>
      </c>
      <c r="AT32" s="34">
        <v>1</v>
      </c>
    </row>
    <row r="33" spans="2:46" x14ac:dyDescent="0.3">
      <c r="B33" s="8"/>
      <c r="C33" s="2" t="s">
        <v>720</v>
      </c>
      <c r="D33" s="26">
        <v>0</v>
      </c>
      <c r="E33" s="26">
        <v>0</v>
      </c>
      <c r="F33" s="27">
        <v>0</v>
      </c>
      <c r="G33" s="26">
        <v>0</v>
      </c>
      <c r="H33" s="26">
        <v>0</v>
      </c>
      <c r="I33" s="27">
        <v>0</v>
      </c>
      <c r="J33" s="26">
        <v>0</v>
      </c>
      <c r="K33" s="26">
        <v>0</v>
      </c>
      <c r="L33" s="67">
        <v>1</v>
      </c>
      <c r="N33" s="8"/>
      <c r="O33" s="2" t="s">
        <v>656</v>
      </c>
      <c r="P33" s="26">
        <v>0</v>
      </c>
      <c r="Q33" s="27">
        <v>0</v>
      </c>
      <c r="R33" s="30">
        <v>0</v>
      </c>
      <c r="S33" s="27">
        <v>0</v>
      </c>
      <c r="T33" s="30">
        <v>0</v>
      </c>
      <c r="U33" s="34">
        <v>1</v>
      </c>
      <c r="V33" s="34">
        <v>1</v>
      </c>
      <c r="X33" s="8"/>
      <c r="Y33" s="2"/>
      <c r="Z33" s="26"/>
      <c r="AA33" s="26"/>
      <c r="AB33" s="26"/>
      <c r="AC33" s="26"/>
      <c r="AD33" s="27"/>
      <c r="AE33" s="30"/>
      <c r="AF33" s="26"/>
      <c r="AG33" s="26"/>
      <c r="AH33" s="32"/>
      <c r="AJ33" s="8"/>
      <c r="AK33" s="2" t="s">
        <v>1000</v>
      </c>
      <c r="AL33" s="26">
        <v>0</v>
      </c>
      <c r="AM33" s="26">
        <v>0</v>
      </c>
      <c r="AN33" s="26">
        <v>0</v>
      </c>
      <c r="AO33" s="27">
        <v>0</v>
      </c>
      <c r="AP33" s="30">
        <v>0</v>
      </c>
      <c r="AQ33" s="26">
        <v>0</v>
      </c>
      <c r="AR33" s="26">
        <v>0</v>
      </c>
      <c r="AS33" s="32">
        <v>1</v>
      </c>
      <c r="AT33" s="34">
        <v>1</v>
      </c>
    </row>
    <row r="34" spans="2:46" x14ac:dyDescent="0.3">
      <c r="B34" s="8"/>
      <c r="C34" s="2" t="s">
        <v>721</v>
      </c>
      <c r="D34" s="26">
        <v>0</v>
      </c>
      <c r="E34" s="26">
        <v>0</v>
      </c>
      <c r="F34" s="27">
        <v>0</v>
      </c>
      <c r="G34" s="26">
        <v>0</v>
      </c>
      <c r="H34" s="26">
        <v>0</v>
      </c>
      <c r="I34" s="27">
        <v>0</v>
      </c>
      <c r="J34" s="26">
        <v>0</v>
      </c>
      <c r="K34" s="26">
        <v>0</v>
      </c>
      <c r="L34" s="67">
        <v>1</v>
      </c>
      <c r="N34" s="8"/>
      <c r="O34" s="2" t="s">
        <v>657</v>
      </c>
      <c r="P34" s="26">
        <v>0</v>
      </c>
      <c r="Q34" s="27">
        <v>0</v>
      </c>
      <c r="R34" s="30">
        <v>0</v>
      </c>
      <c r="S34" s="27">
        <v>0</v>
      </c>
      <c r="T34" s="30">
        <v>0</v>
      </c>
      <c r="U34" s="34">
        <v>1</v>
      </c>
      <c r="V34" s="34">
        <v>1</v>
      </c>
      <c r="X34" s="8"/>
      <c r="Y34" s="2"/>
      <c r="Z34" s="26"/>
      <c r="AA34" s="26"/>
      <c r="AB34" s="26"/>
      <c r="AC34" s="26"/>
      <c r="AD34" s="27"/>
      <c r="AE34" s="30"/>
      <c r="AF34" s="26"/>
      <c r="AG34" s="26"/>
      <c r="AH34" s="32"/>
      <c r="AJ34" s="8"/>
      <c r="AK34" s="2" t="s">
        <v>1001</v>
      </c>
      <c r="AL34" s="26">
        <v>0</v>
      </c>
      <c r="AM34" s="26">
        <v>0</v>
      </c>
      <c r="AN34" s="26">
        <v>0</v>
      </c>
      <c r="AO34" s="27">
        <v>0</v>
      </c>
      <c r="AP34" s="30">
        <v>0</v>
      </c>
      <c r="AQ34" s="26">
        <v>0</v>
      </c>
      <c r="AR34" s="26">
        <v>0</v>
      </c>
      <c r="AS34" s="32">
        <v>1</v>
      </c>
      <c r="AT34" s="34">
        <v>1</v>
      </c>
    </row>
    <row r="35" spans="2:46" x14ac:dyDescent="0.3">
      <c r="B35" s="8"/>
      <c r="C35" s="2" t="s">
        <v>979</v>
      </c>
      <c r="D35" s="26">
        <v>0</v>
      </c>
      <c r="E35" s="26">
        <v>0</v>
      </c>
      <c r="F35" s="27">
        <v>0</v>
      </c>
      <c r="G35" s="26">
        <v>0</v>
      </c>
      <c r="H35" s="26">
        <v>0</v>
      </c>
      <c r="I35" s="27">
        <v>0</v>
      </c>
      <c r="J35" s="26">
        <v>0</v>
      </c>
      <c r="K35" s="26">
        <v>0</v>
      </c>
      <c r="L35" s="67">
        <v>1</v>
      </c>
      <c r="N35" s="8"/>
      <c r="O35" s="2" t="s">
        <v>949</v>
      </c>
      <c r="P35" s="26">
        <v>0</v>
      </c>
      <c r="Q35" s="27">
        <v>0</v>
      </c>
      <c r="R35" s="30">
        <v>0</v>
      </c>
      <c r="S35" s="27">
        <v>0</v>
      </c>
      <c r="T35" s="30">
        <v>0</v>
      </c>
      <c r="U35" s="34">
        <v>1</v>
      </c>
      <c r="V35" s="34">
        <v>1</v>
      </c>
      <c r="X35" s="8"/>
      <c r="Y35" s="2"/>
      <c r="Z35" s="26"/>
      <c r="AA35" s="26"/>
      <c r="AB35" s="26"/>
      <c r="AC35" s="26"/>
      <c r="AD35" s="27"/>
      <c r="AE35" s="30"/>
      <c r="AF35" s="26"/>
      <c r="AG35" s="26"/>
      <c r="AH35" s="32"/>
      <c r="AJ35" s="8"/>
      <c r="AK35" s="2" t="s">
        <v>1002</v>
      </c>
      <c r="AL35" s="26">
        <v>0</v>
      </c>
      <c r="AM35" s="26">
        <v>0</v>
      </c>
      <c r="AN35" s="26">
        <v>0</v>
      </c>
      <c r="AO35" s="27">
        <v>0</v>
      </c>
      <c r="AP35" s="30">
        <v>0</v>
      </c>
      <c r="AQ35" s="26">
        <v>0</v>
      </c>
      <c r="AR35" s="26">
        <v>0</v>
      </c>
      <c r="AS35" s="32">
        <v>1</v>
      </c>
      <c r="AT35" s="34">
        <v>1</v>
      </c>
    </row>
    <row r="36" spans="2:46" x14ac:dyDescent="0.3">
      <c r="B36" s="8"/>
      <c r="C36" s="2" t="s">
        <v>772</v>
      </c>
      <c r="D36" s="26">
        <v>0</v>
      </c>
      <c r="E36" s="26">
        <v>0</v>
      </c>
      <c r="F36" s="27">
        <v>0</v>
      </c>
      <c r="G36" s="26">
        <v>0</v>
      </c>
      <c r="H36" s="26">
        <v>0</v>
      </c>
      <c r="I36" s="27">
        <v>0</v>
      </c>
      <c r="J36" s="26">
        <v>0</v>
      </c>
      <c r="K36" s="26">
        <v>0</v>
      </c>
      <c r="L36" s="67">
        <v>1</v>
      </c>
      <c r="N36" s="8"/>
      <c r="O36" s="2" t="s">
        <v>815</v>
      </c>
      <c r="P36" s="26">
        <v>0</v>
      </c>
      <c r="Q36" s="27">
        <v>0</v>
      </c>
      <c r="R36" s="30">
        <v>0</v>
      </c>
      <c r="S36" s="27">
        <v>0</v>
      </c>
      <c r="T36" s="30">
        <v>0</v>
      </c>
      <c r="U36" s="34">
        <v>1</v>
      </c>
      <c r="V36" s="34">
        <v>1</v>
      </c>
      <c r="X36" s="8"/>
      <c r="Y36" s="2"/>
      <c r="Z36" s="26"/>
      <c r="AA36" s="26"/>
      <c r="AB36" s="26"/>
      <c r="AC36" s="26"/>
      <c r="AD36" s="27"/>
      <c r="AE36" s="30"/>
      <c r="AF36" s="26"/>
      <c r="AG36" s="26"/>
      <c r="AH36" s="32"/>
      <c r="AJ36" s="8"/>
      <c r="AK36" s="2" t="s">
        <v>1003</v>
      </c>
      <c r="AL36" s="26">
        <v>0</v>
      </c>
      <c r="AM36" s="26">
        <v>0</v>
      </c>
      <c r="AN36" s="26">
        <v>0</v>
      </c>
      <c r="AO36" s="27">
        <v>0</v>
      </c>
      <c r="AP36" s="30">
        <v>0</v>
      </c>
      <c r="AQ36" s="26">
        <v>0</v>
      </c>
      <c r="AR36" s="26">
        <v>0</v>
      </c>
      <c r="AS36" s="32">
        <v>1</v>
      </c>
      <c r="AT36" s="34">
        <v>1</v>
      </c>
    </row>
    <row r="37" spans="2:46" x14ac:dyDescent="0.3">
      <c r="B37" s="8"/>
      <c r="C37" s="2" t="s">
        <v>773</v>
      </c>
      <c r="D37" s="26">
        <v>0</v>
      </c>
      <c r="E37" s="26">
        <v>0</v>
      </c>
      <c r="F37" s="27">
        <v>0</v>
      </c>
      <c r="G37" s="26">
        <v>0</v>
      </c>
      <c r="H37" s="26">
        <v>0</v>
      </c>
      <c r="I37" s="27">
        <v>0</v>
      </c>
      <c r="J37" s="26">
        <v>0</v>
      </c>
      <c r="K37" s="26">
        <v>0</v>
      </c>
      <c r="L37" s="67">
        <v>1</v>
      </c>
      <c r="N37" s="8"/>
      <c r="O37" s="2" t="s">
        <v>816</v>
      </c>
      <c r="P37" s="26">
        <v>0</v>
      </c>
      <c r="Q37" s="27">
        <v>0</v>
      </c>
      <c r="R37" s="30">
        <v>0</v>
      </c>
      <c r="S37" s="27">
        <v>0</v>
      </c>
      <c r="T37" s="30">
        <v>0</v>
      </c>
      <c r="U37" s="34">
        <v>1</v>
      </c>
      <c r="V37" s="34">
        <v>1</v>
      </c>
      <c r="X37" s="8"/>
      <c r="Y37" s="2"/>
      <c r="Z37" s="26"/>
      <c r="AA37" s="26"/>
      <c r="AB37" s="26"/>
      <c r="AC37" s="26"/>
      <c r="AD37" s="27"/>
      <c r="AE37" s="30"/>
      <c r="AF37" s="26"/>
      <c r="AG37" s="26"/>
      <c r="AH37" s="32"/>
      <c r="AJ37" s="8"/>
      <c r="AK37" s="2" t="s">
        <v>1004</v>
      </c>
      <c r="AL37" s="26">
        <v>0</v>
      </c>
      <c r="AM37" s="26">
        <v>0</v>
      </c>
      <c r="AN37" s="26">
        <v>0</v>
      </c>
      <c r="AO37" s="27">
        <v>0</v>
      </c>
      <c r="AP37" s="30">
        <v>0</v>
      </c>
      <c r="AQ37" s="26">
        <v>0</v>
      </c>
      <c r="AR37" s="26">
        <v>0</v>
      </c>
      <c r="AS37" s="32">
        <v>1</v>
      </c>
      <c r="AT37" s="34">
        <v>1</v>
      </c>
    </row>
    <row r="38" spans="2:46" x14ac:dyDescent="0.3">
      <c r="B38" s="8"/>
      <c r="C38" s="2" t="s">
        <v>722</v>
      </c>
      <c r="D38" s="26">
        <v>0</v>
      </c>
      <c r="E38" s="26">
        <v>0</v>
      </c>
      <c r="F38" s="27">
        <v>0</v>
      </c>
      <c r="G38" s="26">
        <v>0</v>
      </c>
      <c r="H38" s="26">
        <v>0</v>
      </c>
      <c r="I38" s="27">
        <v>0</v>
      </c>
      <c r="J38" s="26">
        <v>0</v>
      </c>
      <c r="K38" s="26">
        <v>0</v>
      </c>
      <c r="L38" s="67">
        <v>1</v>
      </c>
      <c r="N38" s="8"/>
      <c r="O38" s="2" t="s">
        <v>658</v>
      </c>
      <c r="P38" s="26">
        <v>0</v>
      </c>
      <c r="Q38" s="27">
        <v>0</v>
      </c>
      <c r="R38" s="30">
        <v>0</v>
      </c>
      <c r="S38" s="27">
        <v>0</v>
      </c>
      <c r="T38" s="30">
        <v>0</v>
      </c>
      <c r="U38" s="34">
        <v>1</v>
      </c>
      <c r="V38" s="34">
        <v>1</v>
      </c>
      <c r="X38" s="8"/>
      <c r="Y38" s="2"/>
      <c r="Z38" s="26"/>
      <c r="AA38" s="26"/>
      <c r="AB38" s="26"/>
      <c r="AC38" s="26"/>
      <c r="AD38" s="27"/>
      <c r="AE38" s="30"/>
      <c r="AF38" s="26"/>
      <c r="AG38" s="26"/>
      <c r="AH38" s="32"/>
      <c r="AJ38" s="8"/>
      <c r="AK38" s="2"/>
      <c r="AL38" s="26"/>
      <c r="AM38" s="26"/>
      <c r="AN38" s="26"/>
      <c r="AO38" s="27"/>
      <c r="AP38" s="30"/>
      <c r="AQ38" s="26"/>
      <c r="AR38" s="26"/>
      <c r="AS38" s="32"/>
      <c r="AT38" s="34"/>
    </row>
    <row r="39" spans="2:46" x14ac:dyDescent="0.3">
      <c r="B39" s="8"/>
      <c r="C39" s="2" t="s">
        <v>774</v>
      </c>
      <c r="D39" s="26">
        <v>0</v>
      </c>
      <c r="E39" s="26">
        <v>0</v>
      </c>
      <c r="F39" s="27">
        <v>0</v>
      </c>
      <c r="G39" s="26">
        <v>0</v>
      </c>
      <c r="H39" s="26">
        <v>0</v>
      </c>
      <c r="I39" s="27">
        <v>0</v>
      </c>
      <c r="J39" s="26">
        <v>0</v>
      </c>
      <c r="K39" s="26">
        <v>0</v>
      </c>
      <c r="L39" s="67">
        <v>1</v>
      </c>
      <c r="N39" s="8"/>
      <c r="O39" s="2" t="s">
        <v>817</v>
      </c>
      <c r="P39" s="26">
        <v>0</v>
      </c>
      <c r="Q39" s="27">
        <v>0</v>
      </c>
      <c r="R39" s="30">
        <v>0</v>
      </c>
      <c r="S39" s="27">
        <v>0</v>
      </c>
      <c r="T39" s="30">
        <v>0</v>
      </c>
      <c r="U39" s="34">
        <v>1</v>
      </c>
      <c r="V39" s="34">
        <v>1</v>
      </c>
      <c r="X39" s="8"/>
      <c r="Y39" s="2"/>
      <c r="Z39" s="26"/>
      <c r="AA39" s="26"/>
      <c r="AB39" s="26"/>
      <c r="AC39" s="26"/>
      <c r="AD39" s="27"/>
      <c r="AE39" s="30"/>
      <c r="AF39" s="26"/>
      <c r="AG39" s="26"/>
      <c r="AH39" s="32"/>
      <c r="AJ39" s="8"/>
      <c r="AK39" s="2"/>
      <c r="AL39" s="26"/>
      <c r="AM39" s="26"/>
      <c r="AN39" s="26"/>
      <c r="AO39" s="27"/>
      <c r="AP39" s="30"/>
      <c r="AQ39" s="26"/>
      <c r="AR39" s="26"/>
      <c r="AS39" s="32"/>
      <c r="AT39" s="34"/>
    </row>
    <row r="40" spans="2:46" x14ac:dyDescent="0.3">
      <c r="B40" s="8"/>
      <c r="C40" s="2" t="s">
        <v>723</v>
      </c>
      <c r="D40" s="26">
        <v>0</v>
      </c>
      <c r="E40" s="26">
        <v>0</v>
      </c>
      <c r="F40" s="27">
        <v>0</v>
      </c>
      <c r="G40" s="26">
        <v>0</v>
      </c>
      <c r="H40" s="26">
        <v>0</v>
      </c>
      <c r="I40" s="27">
        <v>0</v>
      </c>
      <c r="J40" s="26">
        <v>0</v>
      </c>
      <c r="K40" s="26">
        <v>0</v>
      </c>
      <c r="L40" s="67">
        <v>1</v>
      </c>
      <c r="N40" s="8"/>
      <c r="O40" s="2" t="s">
        <v>659</v>
      </c>
      <c r="P40" s="26">
        <v>0</v>
      </c>
      <c r="Q40" s="27">
        <v>0</v>
      </c>
      <c r="R40" s="30">
        <v>0</v>
      </c>
      <c r="S40" s="27">
        <v>0</v>
      </c>
      <c r="T40" s="30">
        <v>0</v>
      </c>
      <c r="U40" s="34">
        <v>1</v>
      </c>
      <c r="V40" s="34">
        <v>1</v>
      </c>
      <c r="X40" s="8"/>
      <c r="Y40" s="2"/>
      <c r="Z40" s="26"/>
      <c r="AA40" s="26"/>
      <c r="AB40" s="26"/>
      <c r="AC40" s="26"/>
      <c r="AD40" s="27"/>
      <c r="AE40" s="30"/>
      <c r="AF40" s="26"/>
      <c r="AG40" s="26"/>
      <c r="AH40" s="32"/>
      <c r="AJ40" s="8"/>
      <c r="AK40" s="2"/>
      <c r="AL40" s="26"/>
      <c r="AM40" s="26"/>
      <c r="AN40" s="26"/>
      <c r="AO40" s="27"/>
      <c r="AP40" s="30"/>
      <c r="AQ40" s="26"/>
      <c r="AR40" s="26"/>
      <c r="AS40" s="32"/>
      <c r="AT40" s="34"/>
    </row>
    <row r="41" spans="2:46" x14ac:dyDescent="0.3">
      <c r="B41" s="8"/>
      <c r="C41" s="2" t="s">
        <v>775</v>
      </c>
      <c r="D41" s="26">
        <v>0</v>
      </c>
      <c r="E41" s="26">
        <v>0</v>
      </c>
      <c r="F41" s="27">
        <v>0</v>
      </c>
      <c r="G41" s="26">
        <v>0</v>
      </c>
      <c r="H41" s="26">
        <v>0</v>
      </c>
      <c r="I41" s="27">
        <v>0</v>
      </c>
      <c r="J41" s="26">
        <v>0</v>
      </c>
      <c r="K41" s="26">
        <v>0</v>
      </c>
      <c r="L41" s="67">
        <v>1</v>
      </c>
      <c r="N41" s="8"/>
      <c r="O41" s="2" t="s">
        <v>818</v>
      </c>
      <c r="P41" s="26">
        <v>0</v>
      </c>
      <c r="Q41" s="27">
        <v>0</v>
      </c>
      <c r="R41" s="30">
        <v>0</v>
      </c>
      <c r="S41" s="27">
        <v>0</v>
      </c>
      <c r="T41" s="30">
        <v>0</v>
      </c>
      <c r="U41" s="34">
        <v>1</v>
      </c>
      <c r="V41" s="34">
        <v>1</v>
      </c>
      <c r="X41" s="8"/>
      <c r="Y41" s="2"/>
      <c r="Z41" s="26"/>
      <c r="AA41" s="26"/>
      <c r="AB41" s="26"/>
      <c r="AC41" s="26"/>
      <c r="AD41" s="27"/>
      <c r="AE41" s="30"/>
      <c r="AF41" s="26"/>
      <c r="AG41" s="26"/>
      <c r="AH41" s="32"/>
      <c r="AJ41" s="8"/>
      <c r="AK41" s="2"/>
      <c r="AL41" s="26"/>
      <c r="AM41" s="26"/>
      <c r="AN41" s="26"/>
      <c r="AO41" s="27"/>
      <c r="AP41" s="30"/>
      <c r="AQ41" s="26"/>
      <c r="AR41" s="26"/>
      <c r="AS41" s="32"/>
      <c r="AT41" s="34"/>
    </row>
    <row r="42" spans="2:46" x14ac:dyDescent="0.3">
      <c r="B42" s="8"/>
      <c r="C42" s="2" t="s">
        <v>776</v>
      </c>
      <c r="D42" s="26">
        <v>0</v>
      </c>
      <c r="E42" s="26">
        <v>0</v>
      </c>
      <c r="F42" s="27">
        <v>0</v>
      </c>
      <c r="G42" s="26">
        <v>0</v>
      </c>
      <c r="H42" s="26">
        <v>0</v>
      </c>
      <c r="I42" s="27">
        <v>0</v>
      </c>
      <c r="J42" s="26">
        <v>0</v>
      </c>
      <c r="K42" s="26">
        <v>0</v>
      </c>
      <c r="L42" s="67">
        <v>1</v>
      </c>
      <c r="N42" s="8"/>
      <c r="O42" s="2" t="s">
        <v>819</v>
      </c>
      <c r="P42" s="26">
        <v>0</v>
      </c>
      <c r="Q42" s="27">
        <v>0</v>
      </c>
      <c r="R42" s="30">
        <v>0</v>
      </c>
      <c r="S42" s="27">
        <v>0</v>
      </c>
      <c r="T42" s="30">
        <v>0</v>
      </c>
      <c r="U42" s="34">
        <v>1</v>
      </c>
      <c r="V42" s="34">
        <v>1</v>
      </c>
      <c r="X42" s="8"/>
      <c r="Y42" s="2"/>
      <c r="Z42" s="26"/>
      <c r="AA42" s="26"/>
      <c r="AB42" s="26"/>
      <c r="AC42" s="26"/>
      <c r="AD42" s="27"/>
      <c r="AE42" s="30"/>
      <c r="AF42" s="26"/>
      <c r="AG42" s="26"/>
      <c r="AH42" s="32"/>
      <c r="AJ42" s="8"/>
      <c r="AK42" s="2"/>
      <c r="AL42" s="26"/>
      <c r="AM42" s="26"/>
      <c r="AN42" s="26"/>
      <c r="AO42" s="27"/>
      <c r="AP42" s="30"/>
      <c r="AQ42" s="26"/>
      <c r="AR42" s="26"/>
      <c r="AS42" s="32"/>
      <c r="AT42" s="34"/>
    </row>
    <row r="43" spans="2:46" x14ac:dyDescent="0.3">
      <c r="B43" s="8"/>
      <c r="C43" s="2" t="s">
        <v>777</v>
      </c>
      <c r="D43" s="26">
        <v>0</v>
      </c>
      <c r="E43" s="26">
        <v>0</v>
      </c>
      <c r="F43" s="27">
        <v>0</v>
      </c>
      <c r="G43" s="26">
        <v>0</v>
      </c>
      <c r="H43" s="26">
        <v>0</v>
      </c>
      <c r="I43" s="27">
        <v>0</v>
      </c>
      <c r="J43" s="26">
        <v>0</v>
      </c>
      <c r="K43" s="26">
        <v>0</v>
      </c>
      <c r="L43" s="67">
        <v>1</v>
      </c>
      <c r="N43" s="8"/>
      <c r="O43" s="2" t="s">
        <v>820</v>
      </c>
      <c r="P43" s="26">
        <v>0</v>
      </c>
      <c r="Q43" s="27">
        <v>0</v>
      </c>
      <c r="R43" s="30">
        <v>0</v>
      </c>
      <c r="S43" s="27">
        <v>0</v>
      </c>
      <c r="T43" s="30">
        <v>0</v>
      </c>
      <c r="U43" s="34">
        <v>1</v>
      </c>
      <c r="V43" s="34">
        <v>1</v>
      </c>
      <c r="X43" s="8"/>
      <c r="Y43" s="2"/>
      <c r="Z43" s="26"/>
      <c r="AA43" s="26"/>
      <c r="AB43" s="26"/>
      <c r="AC43" s="26"/>
      <c r="AD43" s="27"/>
      <c r="AE43" s="30"/>
      <c r="AF43" s="26"/>
      <c r="AG43" s="26"/>
      <c r="AH43" s="32"/>
      <c r="AJ43" s="8"/>
      <c r="AK43" s="2"/>
      <c r="AL43" s="26"/>
      <c r="AM43" s="26"/>
      <c r="AN43" s="26"/>
      <c r="AO43" s="27"/>
      <c r="AP43" s="30"/>
      <c r="AQ43" s="26"/>
      <c r="AR43" s="26"/>
      <c r="AS43" s="32"/>
      <c r="AT43" s="34"/>
    </row>
    <row r="44" spans="2:46" x14ac:dyDescent="0.3">
      <c r="B44" s="8"/>
      <c r="C44" s="2" t="s">
        <v>724</v>
      </c>
      <c r="D44" s="26">
        <v>0</v>
      </c>
      <c r="E44" s="26">
        <v>0</v>
      </c>
      <c r="F44" s="27">
        <v>0</v>
      </c>
      <c r="G44" s="26">
        <v>0</v>
      </c>
      <c r="H44" s="26">
        <v>0</v>
      </c>
      <c r="I44" s="27">
        <v>0</v>
      </c>
      <c r="J44" s="26">
        <v>0</v>
      </c>
      <c r="K44" s="26">
        <v>0</v>
      </c>
      <c r="L44" s="67">
        <v>1</v>
      </c>
      <c r="N44" s="8"/>
      <c r="O44" s="2" t="s">
        <v>660</v>
      </c>
      <c r="P44" s="26">
        <v>0</v>
      </c>
      <c r="Q44" s="27">
        <v>0</v>
      </c>
      <c r="R44" s="30">
        <v>0</v>
      </c>
      <c r="S44" s="27">
        <v>0</v>
      </c>
      <c r="T44" s="30">
        <v>0</v>
      </c>
      <c r="U44" s="34">
        <v>1</v>
      </c>
      <c r="V44" s="34">
        <v>1</v>
      </c>
      <c r="X44" s="8"/>
      <c r="Y44" s="2"/>
      <c r="Z44" s="26"/>
      <c r="AA44" s="26"/>
      <c r="AB44" s="26"/>
      <c r="AC44" s="26"/>
      <c r="AD44" s="27"/>
      <c r="AE44" s="30"/>
      <c r="AF44" s="26"/>
      <c r="AG44" s="26"/>
      <c r="AH44" s="32"/>
      <c r="AJ44" s="8"/>
      <c r="AK44" s="2"/>
      <c r="AL44" s="26"/>
      <c r="AM44" s="26"/>
      <c r="AN44" s="26"/>
      <c r="AO44" s="27"/>
      <c r="AP44" s="30"/>
      <c r="AQ44" s="26"/>
      <c r="AR44" s="26"/>
      <c r="AS44" s="32"/>
      <c r="AT44" s="34"/>
    </row>
    <row r="45" spans="2:46" x14ac:dyDescent="0.3">
      <c r="B45" s="8"/>
      <c r="C45" s="2" t="s">
        <v>725</v>
      </c>
      <c r="D45" s="26">
        <v>0</v>
      </c>
      <c r="E45" s="26">
        <v>0</v>
      </c>
      <c r="F45" s="27">
        <v>0</v>
      </c>
      <c r="G45" s="26">
        <v>0</v>
      </c>
      <c r="H45" s="26">
        <v>0</v>
      </c>
      <c r="I45" s="27">
        <v>0</v>
      </c>
      <c r="J45" s="26">
        <v>0</v>
      </c>
      <c r="K45" s="26">
        <v>0</v>
      </c>
      <c r="L45" s="67">
        <v>1</v>
      </c>
      <c r="N45" s="8"/>
      <c r="O45" s="2" t="s">
        <v>661</v>
      </c>
      <c r="P45" s="26">
        <v>0</v>
      </c>
      <c r="Q45" s="27">
        <v>0</v>
      </c>
      <c r="R45" s="30">
        <v>0</v>
      </c>
      <c r="S45" s="27">
        <v>0</v>
      </c>
      <c r="T45" s="30">
        <v>0</v>
      </c>
      <c r="U45" s="34">
        <v>1</v>
      </c>
      <c r="V45" s="34">
        <v>1</v>
      </c>
      <c r="X45" s="8"/>
      <c r="Y45" s="2"/>
      <c r="Z45" s="26"/>
      <c r="AA45" s="26"/>
      <c r="AB45" s="26"/>
      <c r="AC45" s="26"/>
      <c r="AD45" s="27"/>
      <c r="AE45" s="30"/>
      <c r="AF45" s="26"/>
      <c r="AG45" s="26"/>
      <c r="AH45" s="32"/>
      <c r="AJ45" s="8"/>
      <c r="AK45" s="2"/>
      <c r="AL45" s="26"/>
      <c r="AM45" s="26"/>
      <c r="AN45" s="26"/>
      <c r="AO45" s="27"/>
      <c r="AP45" s="30"/>
      <c r="AQ45" s="26"/>
      <c r="AR45" s="26"/>
      <c r="AS45" s="32"/>
      <c r="AT45" s="34"/>
    </row>
    <row r="46" spans="2:46" x14ac:dyDescent="0.3">
      <c r="B46" s="8"/>
      <c r="C46" s="2" t="s">
        <v>778</v>
      </c>
      <c r="D46" s="26">
        <v>0</v>
      </c>
      <c r="E46" s="26">
        <v>0</v>
      </c>
      <c r="F46" s="27">
        <v>0</v>
      </c>
      <c r="G46" s="26">
        <v>0</v>
      </c>
      <c r="H46" s="26">
        <v>0</v>
      </c>
      <c r="I46" s="27">
        <v>0</v>
      </c>
      <c r="J46" s="26">
        <v>0</v>
      </c>
      <c r="K46" s="26">
        <v>0</v>
      </c>
      <c r="L46" s="67">
        <v>1</v>
      </c>
      <c r="N46" s="8"/>
      <c r="O46" s="2" t="s">
        <v>821</v>
      </c>
      <c r="P46" s="26">
        <v>0</v>
      </c>
      <c r="Q46" s="27">
        <v>0</v>
      </c>
      <c r="R46" s="30">
        <v>0</v>
      </c>
      <c r="S46" s="27">
        <v>0</v>
      </c>
      <c r="T46" s="30">
        <v>0</v>
      </c>
      <c r="U46" s="34">
        <v>1</v>
      </c>
      <c r="V46" s="34">
        <v>1</v>
      </c>
      <c r="X46" s="8"/>
      <c r="Y46" s="2"/>
      <c r="Z46" s="26"/>
      <c r="AA46" s="26"/>
      <c r="AB46" s="26"/>
      <c r="AC46" s="26"/>
      <c r="AD46" s="27"/>
      <c r="AE46" s="30"/>
      <c r="AF46" s="26"/>
      <c r="AG46" s="26"/>
      <c r="AH46" s="32"/>
      <c r="AJ46" s="8"/>
      <c r="AK46" s="2"/>
      <c r="AL46" s="26"/>
      <c r="AM46" s="26"/>
      <c r="AN46" s="26"/>
      <c r="AO46" s="27"/>
      <c r="AP46" s="30"/>
      <c r="AQ46" s="26"/>
      <c r="AR46" s="26"/>
      <c r="AS46" s="32"/>
      <c r="AT46" s="34"/>
    </row>
    <row r="47" spans="2:46" x14ac:dyDescent="0.3">
      <c r="B47" s="8"/>
      <c r="C47" s="2" t="s">
        <v>726</v>
      </c>
      <c r="D47" s="26">
        <v>0</v>
      </c>
      <c r="E47" s="26">
        <v>0</v>
      </c>
      <c r="F47" s="27">
        <v>0</v>
      </c>
      <c r="G47" s="26">
        <v>0</v>
      </c>
      <c r="H47" s="26">
        <v>0</v>
      </c>
      <c r="I47" s="27">
        <v>0</v>
      </c>
      <c r="J47" s="26">
        <v>0</v>
      </c>
      <c r="K47" s="26">
        <v>0</v>
      </c>
      <c r="L47" s="67">
        <v>1</v>
      </c>
      <c r="N47" s="8"/>
      <c r="O47" s="2" t="s">
        <v>662</v>
      </c>
      <c r="P47" s="26">
        <v>0</v>
      </c>
      <c r="Q47" s="27">
        <v>0</v>
      </c>
      <c r="R47" s="30">
        <v>0</v>
      </c>
      <c r="S47" s="27">
        <v>0</v>
      </c>
      <c r="T47" s="30">
        <v>0</v>
      </c>
      <c r="U47" s="34">
        <v>1</v>
      </c>
      <c r="V47" s="34">
        <v>1</v>
      </c>
      <c r="X47" s="8"/>
      <c r="Y47" s="2"/>
      <c r="Z47" s="26"/>
      <c r="AA47" s="26"/>
      <c r="AB47" s="26"/>
      <c r="AC47" s="26"/>
      <c r="AD47" s="27"/>
      <c r="AE47" s="30"/>
      <c r="AF47" s="26"/>
      <c r="AG47" s="26"/>
      <c r="AH47" s="32"/>
      <c r="AJ47" s="8"/>
      <c r="AK47" s="2"/>
      <c r="AL47" s="26"/>
      <c r="AM47" s="26"/>
      <c r="AN47" s="26"/>
      <c r="AO47" s="27"/>
      <c r="AP47" s="30"/>
      <c r="AQ47" s="26"/>
      <c r="AR47" s="26"/>
      <c r="AS47" s="32"/>
      <c r="AT47" s="34"/>
    </row>
    <row r="48" spans="2:46" x14ac:dyDescent="0.3">
      <c r="B48" s="8"/>
      <c r="C48" s="2" t="s">
        <v>779</v>
      </c>
      <c r="D48" s="26">
        <v>0</v>
      </c>
      <c r="E48" s="26">
        <v>0</v>
      </c>
      <c r="F48" s="27">
        <v>0</v>
      </c>
      <c r="G48" s="26">
        <v>0</v>
      </c>
      <c r="H48" s="26">
        <v>0</v>
      </c>
      <c r="I48" s="27">
        <v>0</v>
      </c>
      <c r="J48" s="26">
        <v>0</v>
      </c>
      <c r="K48" s="26">
        <v>0</v>
      </c>
      <c r="L48" s="67">
        <v>1</v>
      </c>
      <c r="N48" s="8"/>
      <c r="O48" s="2" t="s">
        <v>822</v>
      </c>
      <c r="P48" s="26">
        <v>0</v>
      </c>
      <c r="Q48" s="27">
        <v>0</v>
      </c>
      <c r="R48" s="30">
        <v>0</v>
      </c>
      <c r="S48" s="27">
        <v>0</v>
      </c>
      <c r="T48" s="30">
        <v>0</v>
      </c>
      <c r="U48" s="34">
        <v>1</v>
      </c>
      <c r="V48" s="34">
        <v>1</v>
      </c>
      <c r="X48" s="8"/>
      <c r="Y48" s="2"/>
      <c r="Z48" s="26"/>
      <c r="AA48" s="26"/>
      <c r="AB48" s="26"/>
      <c r="AC48" s="26"/>
      <c r="AD48" s="27"/>
      <c r="AE48" s="30"/>
      <c r="AF48" s="26"/>
      <c r="AG48" s="26"/>
      <c r="AH48" s="32"/>
      <c r="AJ48" s="8"/>
      <c r="AK48" s="2"/>
      <c r="AL48" s="26"/>
      <c r="AM48" s="26"/>
      <c r="AN48" s="26"/>
      <c r="AO48" s="27"/>
      <c r="AP48" s="30"/>
      <c r="AQ48" s="26"/>
      <c r="AR48" s="26"/>
      <c r="AS48" s="32"/>
      <c r="AT48" s="34"/>
    </row>
    <row r="49" spans="2:46" x14ac:dyDescent="0.3">
      <c r="B49" s="8"/>
      <c r="C49" s="2" t="s">
        <v>780</v>
      </c>
      <c r="D49" s="26">
        <v>0</v>
      </c>
      <c r="E49" s="26">
        <v>0</v>
      </c>
      <c r="F49" s="27">
        <v>0</v>
      </c>
      <c r="G49" s="26">
        <v>0</v>
      </c>
      <c r="H49" s="26">
        <v>0</v>
      </c>
      <c r="I49" s="27">
        <v>0</v>
      </c>
      <c r="J49" s="26">
        <v>0</v>
      </c>
      <c r="K49" s="26">
        <v>0</v>
      </c>
      <c r="L49" s="67">
        <v>1</v>
      </c>
      <c r="N49" s="8"/>
      <c r="O49" s="2" t="s">
        <v>823</v>
      </c>
      <c r="P49" s="26">
        <v>0</v>
      </c>
      <c r="Q49" s="27">
        <v>0</v>
      </c>
      <c r="R49" s="30">
        <v>0</v>
      </c>
      <c r="S49" s="27">
        <v>0</v>
      </c>
      <c r="T49" s="30">
        <v>0</v>
      </c>
      <c r="U49" s="34">
        <v>1</v>
      </c>
      <c r="V49" s="34">
        <v>1</v>
      </c>
      <c r="X49" s="8"/>
      <c r="Y49" s="2"/>
      <c r="Z49" s="26"/>
      <c r="AA49" s="26"/>
      <c r="AB49" s="26"/>
      <c r="AC49" s="26"/>
      <c r="AD49" s="27"/>
      <c r="AE49" s="30"/>
      <c r="AF49" s="26"/>
      <c r="AG49" s="26"/>
      <c r="AH49" s="32"/>
      <c r="AJ49" s="8"/>
      <c r="AK49" s="2"/>
      <c r="AL49" s="26"/>
      <c r="AM49" s="26"/>
      <c r="AN49" s="26"/>
      <c r="AO49" s="27"/>
      <c r="AP49" s="30"/>
      <c r="AQ49" s="26"/>
      <c r="AR49" s="26"/>
      <c r="AS49" s="32"/>
      <c r="AT49" s="34"/>
    </row>
    <row r="50" spans="2:46" x14ac:dyDescent="0.3">
      <c r="B50" s="8"/>
      <c r="C50" s="2" t="s">
        <v>727</v>
      </c>
      <c r="D50" s="26">
        <v>0</v>
      </c>
      <c r="E50" s="26">
        <v>0</v>
      </c>
      <c r="F50" s="27">
        <v>0</v>
      </c>
      <c r="G50" s="26">
        <v>0</v>
      </c>
      <c r="H50" s="26">
        <v>0</v>
      </c>
      <c r="I50" s="27">
        <v>0</v>
      </c>
      <c r="J50" s="26">
        <v>0</v>
      </c>
      <c r="K50" s="26">
        <v>0</v>
      </c>
      <c r="L50" s="67">
        <v>1</v>
      </c>
      <c r="N50" s="8"/>
      <c r="O50" s="2" t="s">
        <v>663</v>
      </c>
      <c r="P50" s="26">
        <v>0</v>
      </c>
      <c r="Q50" s="27">
        <v>0</v>
      </c>
      <c r="R50" s="30">
        <v>0</v>
      </c>
      <c r="S50" s="27">
        <v>0</v>
      </c>
      <c r="T50" s="30">
        <v>0</v>
      </c>
      <c r="U50" s="34">
        <v>1</v>
      </c>
      <c r="V50" s="34">
        <v>1</v>
      </c>
      <c r="X50" s="8"/>
      <c r="Y50" s="2"/>
      <c r="Z50" s="26"/>
      <c r="AA50" s="26"/>
      <c r="AB50" s="26"/>
      <c r="AC50" s="26"/>
      <c r="AD50" s="27"/>
      <c r="AE50" s="30"/>
      <c r="AF50" s="26"/>
      <c r="AG50" s="26"/>
      <c r="AH50" s="32"/>
      <c r="AJ50" s="8"/>
      <c r="AK50" s="2"/>
      <c r="AL50" s="26"/>
      <c r="AM50" s="26"/>
      <c r="AN50" s="26"/>
      <c r="AO50" s="27"/>
      <c r="AP50" s="30"/>
      <c r="AQ50" s="26"/>
      <c r="AR50" s="26"/>
      <c r="AS50" s="32"/>
      <c r="AT50" s="34"/>
    </row>
    <row r="51" spans="2:46" x14ac:dyDescent="0.3">
      <c r="B51" s="8"/>
      <c r="C51" s="2" t="s">
        <v>728</v>
      </c>
      <c r="D51" s="26">
        <v>0</v>
      </c>
      <c r="E51" s="26">
        <v>0</v>
      </c>
      <c r="F51" s="27">
        <v>0</v>
      </c>
      <c r="G51" s="26">
        <v>0</v>
      </c>
      <c r="H51" s="26">
        <v>0</v>
      </c>
      <c r="I51" s="27">
        <v>0</v>
      </c>
      <c r="J51" s="26">
        <v>0</v>
      </c>
      <c r="K51" s="26">
        <v>0</v>
      </c>
      <c r="L51" s="67">
        <v>1</v>
      </c>
      <c r="N51" s="8"/>
      <c r="O51" s="2" t="s">
        <v>664</v>
      </c>
      <c r="P51" s="26">
        <v>0</v>
      </c>
      <c r="Q51" s="27">
        <v>0</v>
      </c>
      <c r="R51" s="30">
        <v>0</v>
      </c>
      <c r="S51" s="27">
        <v>0</v>
      </c>
      <c r="T51" s="30">
        <v>0</v>
      </c>
      <c r="U51" s="34">
        <v>1</v>
      </c>
      <c r="V51" s="34">
        <v>1</v>
      </c>
      <c r="X51" s="8"/>
      <c r="Y51" s="2"/>
      <c r="Z51" s="26"/>
      <c r="AA51" s="26"/>
      <c r="AB51" s="26"/>
      <c r="AC51" s="26"/>
      <c r="AD51" s="27"/>
      <c r="AE51" s="30"/>
      <c r="AF51" s="26"/>
      <c r="AG51" s="26"/>
      <c r="AH51" s="32"/>
      <c r="AJ51" s="8"/>
      <c r="AK51" s="2"/>
      <c r="AL51" s="26"/>
      <c r="AM51" s="26"/>
      <c r="AN51" s="26"/>
      <c r="AO51" s="27"/>
      <c r="AP51" s="30"/>
      <c r="AQ51" s="26"/>
      <c r="AR51" s="26"/>
      <c r="AS51" s="32"/>
      <c r="AT51" s="34"/>
    </row>
    <row r="52" spans="2:46" x14ac:dyDescent="0.3">
      <c r="B52" s="8"/>
      <c r="C52" s="2" t="s">
        <v>781</v>
      </c>
      <c r="D52" s="26">
        <v>0</v>
      </c>
      <c r="E52" s="26">
        <v>0</v>
      </c>
      <c r="F52" s="27">
        <v>0</v>
      </c>
      <c r="G52" s="26">
        <v>0</v>
      </c>
      <c r="H52" s="26">
        <v>0</v>
      </c>
      <c r="I52" s="27">
        <v>0</v>
      </c>
      <c r="J52" s="26">
        <v>0</v>
      </c>
      <c r="K52" s="26">
        <v>0</v>
      </c>
      <c r="L52" s="67">
        <v>1</v>
      </c>
      <c r="N52" s="8"/>
      <c r="O52" s="2" t="s">
        <v>824</v>
      </c>
      <c r="P52" s="26">
        <v>0</v>
      </c>
      <c r="Q52" s="27">
        <v>0</v>
      </c>
      <c r="R52" s="30">
        <v>0</v>
      </c>
      <c r="S52" s="27">
        <v>0</v>
      </c>
      <c r="T52" s="30">
        <v>0</v>
      </c>
      <c r="U52" s="34">
        <v>1</v>
      </c>
      <c r="V52" s="34">
        <v>1</v>
      </c>
      <c r="X52" s="8"/>
      <c r="Y52" s="2"/>
      <c r="Z52" s="26"/>
      <c r="AA52" s="26"/>
      <c r="AB52" s="26"/>
      <c r="AC52" s="26"/>
      <c r="AD52" s="27"/>
      <c r="AE52" s="30"/>
      <c r="AF52" s="26"/>
      <c r="AG52" s="26"/>
      <c r="AH52" s="32"/>
      <c r="AJ52" s="8"/>
      <c r="AK52" s="2"/>
      <c r="AL52" s="26"/>
      <c r="AM52" s="26"/>
      <c r="AN52" s="26"/>
      <c r="AO52" s="27"/>
      <c r="AP52" s="30"/>
      <c r="AQ52" s="26"/>
      <c r="AR52" s="26"/>
      <c r="AS52" s="32"/>
      <c r="AT52" s="34"/>
    </row>
    <row r="53" spans="2:46" x14ac:dyDescent="0.3">
      <c r="B53" s="8"/>
      <c r="C53" s="2" t="s">
        <v>729</v>
      </c>
      <c r="D53" s="26">
        <v>0</v>
      </c>
      <c r="E53" s="26">
        <v>0</v>
      </c>
      <c r="F53" s="27">
        <v>0</v>
      </c>
      <c r="G53" s="26">
        <v>0</v>
      </c>
      <c r="H53" s="26">
        <v>0</v>
      </c>
      <c r="I53" s="27">
        <v>0</v>
      </c>
      <c r="J53" s="26">
        <v>0</v>
      </c>
      <c r="K53" s="26">
        <v>0</v>
      </c>
      <c r="L53" s="67">
        <v>1</v>
      </c>
      <c r="N53" s="8"/>
      <c r="O53" s="2" t="s">
        <v>665</v>
      </c>
      <c r="P53" s="26">
        <v>0</v>
      </c>
      <c r="Q53" s="27">
        <v>0</v>
      </c>
      <c r="R53" s="30">
        <v>0</v>
      </c>
      <c r="S53" s="27">
        <v>0</v>
      </c>
      <c r="T53" s="30">
        <v>0</v>
      </c>
      <c r="U53" s="34">
        <v>1</v>
      </c>
      <c r="V53" s="34">
        <v>1</v>
      </c>
      <c r="X53" s="8"/>
      <c r="Y53" s="2"/>
      <c r="Z53" s="26"/>
      <c r="AA53" s="26"/>
      <c r="AB53" s="26"/>
      <c r="AC53" s="26"/>
      <c r="AD53" s="27"/>
      <c r="AE53" s="30"/>
      <c r="AF53" s="26"/>
      <c r="AG53" s="26"/>
      <c r="AH53" s="32"/>
      <c r="AJ53" s="8"/>
      <c r="AK53" s="2"/>
      <c r="AL53" s="26"/>
      <c r="AM53" s="26"/>
      <c r="AN53" s="26"/>
      <c r="AO53" s="27"/>
      <c r="AP53" s="30"/>
      <c r="AQ53" s="26"/>
      <c r="AR53" s="26"/>
      <c r="AS53" s="32"/>
      <c r="AT53" s="34"/>
    </row>
    <row r="54" spans="2:46" x14ac:dyDescent="0.3">
      <c r="B54" s="8"/>
      <c r="C54" s="2" t="s">
        <v>782</v>
      </c>
      <c r="D54" s="26">
        <v>0</v>
      </c>
      <c r="E54" s="26">
        <v>0</v>
      </c>
      <c r="F54" s="27">
        <v>0</v>
      </c>
      <c r="G54" s="26">
        <v>0</v>
      </c>
      <c r="H54" s="26">
        <v>0</v>
      </c>
      <c r="I54" s="27">
        <v>0</v>
      </c>
      <c r="J54" s="26">
        <v>0</v>
      </c>
      <c r="K54" s="26">
        <v>0</v>
      </c>
      <c r="L54" s="67">
        <v>1</v>
      </c>
      <c r="N54" s="8"/>
      <c r="O54" s="2" t="s">
        <v>825</v>
      </c>
      <c r="P54" s="26">
        <v>0</v>
      </c>
      <c r="Q54" s="27">
        <v>0</v>
      </c>
      <c r="R54" s="30">
        <v>0</v>
      </c>
      <c r="S54" s="27">
        <v>0</v>
      </c>
      <c r="T54" s="30">
        <v>0</v>
      </c>
      <c r="U54" s="34">
        <v>1</v>
      </c>
      <c r="V54" s="34">
        <v>1</v>
      </c>
      <c r="X54" s="8"/>
      <c r="Y54" s="2"/>
      <c r="Z54" s="26"/>
      <c r="AA54" s="26"/>
      <c r="AB54" s="26"/>
      <c r="AC54" s="26"/>
      <c r="AD54" s="27"/>
      <c r="AE54" s="30"/>
      <c r="AF54" s="26"/>
      <c r="AG54" s="26"/>
      <c r="AH54" s="32"/>
      <c r="AJ54" s="8"/>
      <c r="AK54" s="2"/>
      <c r="AL54" s="26"/>
      <c r="AM54" s="26"/>
      <c r="AN54" s="26"/>
      <c r="AO54" s="27"/>
      <c r="AP54" s="30"/>
      <c r="AQ54" s="26"/>
      <c r="AR54" s="26"/>
      <c r="AS54" s="32"/>
      <c r="AT54" s="34"/>
    </row>
    <row r="55" spans="2:46" x14ac:dyDescent="0.3">
      <c r="B55" s="8"/>
      <c r="C55" s="2" t="s">
        <v>783</v>
      </c>
      <c r="D55" s="26">
        <v>0</v>
      </c>
      <c r="E55" s="26">
        <v>0</v>
      </c>
      <c r="F55" s="27">
        <v>0</v>
      </c>
      <c r="G55" s="26">
        <v>0</v>
      </c>
      <c r="H55" s="26">
        <v>0</v>
      </c>
      <c r="I55" s="27">
        <v>0</v>
      </c>
      <c r="J55" s="26">
        <v>0</v>
      </c>
      <c r="K55" s="26">
        <v>0</v>
      </c>
      <c r="L55" s="67">
        <v>1</v>
      </c>
      <c r="N55" s="8"/>
      <c r="O55" s="2" t="s">
        <v>826</v>
      </c>
      <c r="P55" s="26">
        <v>0</v>
      </c>
      <c r="Q55" s="27">
        <v>0</v>
      </c>
      <c r="R55" s="30">
        <v>0</v>
      </c>
      <c r="S55" s="27">
        <v>0</v>
      </c>
      <c r="T55" s="30">
        <v>0</v>
      </c>
      <c r="U55" s="34">
        <v>1</v>
      </c>
      <c r="V55" s="34">
        <v>1</v>
      </c>
      <c r="X55" s="8"/>
      <c r="Y55" s="2"/>
      <c r="Z55" s="26"/>
      <c r="AA55" s="26"/>
      <c r="AB55" s="26"/>
      <c r="AC55" s="26"/>
      <c r="AD55" s="27"/>
      <c r="AE55" s="30"/>
      <c r="AF55" s="26"/>
      <c r="AG55" s="26"/>
      <c r="AH55" s="32"/>
      <c r="AJ55" s="8"/>
      <c r="AK55" s="2"/>
      <c r="AL55" s="26"/>
      <c r="AM55" s="26"/>
      <c r="AN55" s="26"/>
      <c r="AO55" s="27"/>
      <c r="AP55" s="30"/>
      <c r="AQ55" s="26"/>
      <c r="AR55" s="26"/>
      <c r="AS55" s="32"/>
      <c r="AT55" s="34"/>
    </row>
    <row r="56" spans="2:46" x14ac:dyDescent="0.3">
      <c r="B56" s="8"/>
      <c r="C56" s="2" t="s">
        <v>784</v>
      </c>
      <c r="D56" s="26">
        <v>0</v>
      </c>
      <c r="E56" s="26">
        <v>0</v>
      </c>
      <c r="F56" s="27">
        <v>0</v>
      </c>
      <c r="G56" s="26">
        <v>0</v>
      </c>
      <c r="H56" s="26">
        <v>0</v>
      </c>
      <c r="I56" s="27">
        <v>0</v>
      </c>
      <c r="J56" s="26">
        <v>0</v>
      </c>
      <c r="K56" s="26">
        <v>0</v>
      </c>
      <c r="L56" s="67">
        <v>1</v>
      </c>
      <c r="N56" s="8"/>
      <c r="O56" s="2" t="s">
        <v>827</v>
      </c>
      <c r="P56" s="26">
        <v>0</v>
      </c>
      <c r="Q56" s="27">
        <v>0</v>
      </c>
      <c r="R56" s="30">
        <v>0</v>
      </c>
      <c r="S56" s="27">
        <v>0</v>
      </c>
      <c r="T56" s="30">
        <v>0</v>
      </c>
      <c r="U56" s="34">
        <v>1</v>
      </c>
      <c r="V56" s="34">
        <v>1</v>
      </c>
      <c r="X56" s="8"/>
      <c r="Y56" s="2"/>
      <c r="Z56" s="26"/>
      <c r="AA56" s="26"/>
      <c r="AB56" s="26"/>
      <c r="AC56" s="26"/>
      <c r="AD56" s="27"/>
      <c r="AE56" s="30"/>
      <c r="AF56" s="26"/>
      <c r="AG56" s="26"/>
      <c r="AH56" s="32"/>
      <c r="AJ56" s="8"/>
      <c r="AK56" s="2"/>
      <c r="AL56" s="26"/>
      <c r="AM56" s="26"/>
      <c r="AN56" s="26"/>
      <c r="AO56" s="27"/>
      <c r="AP56" s="30"/>
      <c r="AQ56" s="26"/>
      <c r="AR56" s="26"/>
      <c r="AS56" s="32"/>
      <c r="AT56" s="34"/>
    </row>
    <row r="57" spans="2:46" x14ac:dyDescent="0.3">
      <c r="B57" s="8"/>
      <c r="C57" s="2" t="s">
        <v>785</v>
      </c>
      <c r="D57" s="26">
        <v>0</v>
      </c>
      <c r="E57" s="26">
        <v>0</v>
      </c>
      <c r="F57" s="27">
        <v>0</v>
      </c>
      <c r="G57" s="26">
        <v>0</v>
      </c>
      <c r="H57" s="26">
        <v>0</v>
      </c>
      <c r="I57" s="27">
        <v>0</v>
      </c>
      <c r="J57" s="26">
        <v>0</v>
      </c>
      <c r="K57" s="26">
        <v>0</v>
      </c>
      <c r="L57" s="67">
        <v>1</v>
      </c>
      <c r="N57" s="8"/>
      <c r="O57" s="2" t="s">
        <v>828</v>
      </c>
      <c r="P57" s="26">
        <v>0</v>
      </c>
      <c r="Q57" s="27">
        <v>0</v>
      </c>
      <c r="R57" s="30">
        <v>0</v>
      </c>
      <c r="S57" s="27">
        <v>0</v>
      </c>
      <c r="T57" s="30">
        <v>0</v>
      </c>
      <c r="U57" s="34">
        <v>1</v>
      </c>
      <c r="V57" s="34">
        <v>1</v>
      </c>
      <c r="X57" s="8"/>
      <c r="Y57" s="2"/>
      <c r="Z57" s="26"/>
      <c r="AA57" s="26"/>
      <c r="AB57" s="26"/>
      <c r="AC57" s="26"/>
      <c r="AD57" s="27"/>
      <c r="AE57" s="30"/>
      <c r="AF57" s="26"/>
      <c r="AG57" s="26"/>
      <c r="AH57" s="32"/>
      <c r="AJ57" s="8"/>
      <c r="AK57" s="2"/>
      <c r="AL57" s="26"/>
      <c r="AM57" s="26"/>
      <c r="AN57" s="26"/>
      <c r="AO57" s="27"/>
      <c r="AP57" s="30"/>
      <c r="AQ57" s="26"/>
      <c r="AR57" s="26"/>
      <c r="AS57" s="32"/>
      <c r="AT57" s="34"/>
    </row>
    <row r="58" spans="2:46" x14ac:dyDescent="0.3">
      <c r="B58" s="8"/>
      <c r="C58" s="2" t="s">
        <v>786</v>
      </c>
      <c r="D58" s="26">
        <v>0</v>
      </c>
      <c r="E58" s="26">
        <v>0</v>
      </c>
      <c r="F58" s="27">
        <v>0</v>
      </c>
      <c r="G58" s="26">
        <v>0</v>
      </c>
      <c r="H58" s="26">
        <v>0</v>
      </c>
      <c r="I58" s="27">
        <v>0</v>
      </c>
      <c r="J58" s="26">
        <v>0</v>
      </c>
      <c r="K58" s="26">
        <v>0</v>
      </c>
      <c r="L58" s="67">
        <v>1</v>
      </c>
      <c r="N58" s="8"/>
      <c r="O58" s="2" t="s">
        <v>829</v>
      </c>
      <c r="P58" s="26">
        <v>0</v>
      </c>
      <c r="Q58" s="27">
        <v>0</v>
      </c>
      <c r="R58" s="30">
        <v>0</v>
      </c>
      <c r="S58" s="27">
        <v>0</v>
      </c>
      <c r="T58" s="30">
        <v>0</v>
      </c>
      <c r="U58" s="34">
        <v>1</v>
      </c>
      <c r="V58" s="34">
        <v>1</v>
      </c>
      <c r="X58" s="8"/>
      <c r="Y58" s="2"/>
      <c r="Z58" s="26"/>
      <c r="AA58" s="26"/>
      <c r="AB58" s="26"/>
      <c r="AC58" s="26"/>
      <c r="AD58" s="27"/>
      <c r="AE58" s="30"/>
      <c r="AF58" s="26"/>
      <c r="AG58" s="26"/>
      <c r="AH58" s="32"/>
      <c r="AJ58" s="8"/>
      <c r="AK58" s="2"/>
      <c r="AL58" s="26"/>
      <c r="AM58" s="26"/>
      <c r="AN58" s="26"/>
      <c r="AO58" s="27"/>
      <c r="AP58" s="30"/>
      <c r="AQ58" s="26"/>
      <c r="AR58" s="26"/>
      <c r="AS58" s="32"/>
      <c r="AT58" s="34"/>
    </row>
    <row r="59" spans="2:46" x14ac:dyDescent="0.3">
      <c r="B59" s="8"/>
      <c r="C59" s="2" t="s">
        <v>787</v>
      </c>
      <c r="D59" s="26">
        <v>0</v>
      </c>
      <c r="E59" s="26">
        <v>0</v>
      </c>
      <c r="F59" s="27">
        <v>0</v>
      </c>
      <c r="G59" s="26">
        <v>0</v>
      </c>
      <c r="H59" s="26">
        <v>0</v>
      </c>
      <c r="I59" s="27">
        <v>0</v>
      </c>
      <c r="J59" s="26">
        <v>0</v>
      </c>
      <c r="K59" s="26">
        <v>0</v>
      </c>
      <c r="L59" s="67">
        <v>1</v>
      </c>
      <c r="N59" s="8"/>
      <c r="O59" s="2" t="s">
        <v>830</v>
      </c>
      <c r="P59" s="26">
        <v>0</v>
      </c>
      <c r="Q59" s="27">
        <v>0</v>
      </c>
      <c r="R59" s="30">
        <v>0</v>
      </c>
      <c r="S59" s="27">
        <v>0</v>
      </c>
      <c r="T59" s="30">
        <v>0</v>
      </c>
      <c r="U59" s="34">
        <v>1</v>
      </c>
      <c r="V59" s="34">
        <v>1</v>
      </c>
      <c r="X59" s="8"/>
      <c r="Y59" s="2"/>
      <c r="Z59" s="26"/>
      <c r="AA59" s="26"/>
      <c r="AB59" s="26"/>
      <c r="AC59" s="26"/>
      <c r="AD59" s="27"/>
      <c r="AE59" s="30"/>
      <c r="AF59" s="26"/>
      <c r="AG59" s="26"/>
      <c r="AH59" s="32"/>
      <c r="AJ59" s="8"/>
      <c r="AK59" s="2"/>
      <c r="AL59" s="26"/>
      <c r="AM59" s="26"/>
      <c r="AN59" s="26"/>
      <c r="AO59" s="27"/>
      <c r="AP59" s="30"/>
      <c r="AQ59" s="26"/>
      <c r="AR59" s="26"/>
      <c r="AS59" s="32"/>
      <c r="AT59" s="34"/>
    </row>
    <row r="60" spans="2:46" x14ac:dyDescent="0.3">
      <c r="B60" s="8"/>
      <c r="C60" s="2" t="s">
        <v>788</v>
      </c>
      <c r="D60" s="26">
        <v>0</v>
      </c>
      <c r="E60" s="26">
        <v>0</v>
      </c>
      <c r="F60" s="27">
        <v>0</v>
      </c>
      <c r="G60" s="26">
        <v>0</v>
      </c>
      <c r="H60" s="26">
        <v>0</v>
      </c>
      <c r="I60" s="27">
        <v>0</v>
      </c>
      <c r="J60" s="26">
        <v>0</v>
      </c>
      <c r="K60" s="26">
        <v>0</v>
      </c>
      <c r="L60" s="67">
        <v>1</v>
      </c>
      <c r="N60" s="8"/>
      <c r="O60" s="2" t="s">
        <v>831</v>
      </c>
      <c r="P60" s="26">
        <v>0</v>
      </c>
      <c r="Q60" s="27">
        <v>0</v>
      </c>
      <c r="R60" s="30">
        <v>0</v>
      </c>
      <c r="S60" s="27">
        <v>0</v>
      </c>
      <c r="T60" s="30">
        <v>0</v>
      </c>
      <c r="U60" s="34">
        <v>1</v>
      </c>
      <c r="V60" s="34">
        <v>1</v>
      </c>
      <c r="X60" s="8"/>
      <c r="Y60" s="2"/>
      <c r="Z60" s="26"/>
      <c r="AA60" s="26"/>
      <c r="AB60" s="26"/>
      <c r="AC60" s="26"/>
      <c r="AD60" s="27"/>
      <c r="AE60" s="30"/>
      <c r="AF60" s="26"/>
      <c r="AG60" s="26"/>
      <c r="AH60" s="32"/>
      <c r="AJ60" s="8"/>
      <c r="AK60" s="2"/>
      <c r="AL60" s="26"/>
      <c r="AM60" s="26"/>
      <c r="AN60" s="26"/>
      <c r="AO60" s="27"/>
      <c r="AP60" s="30"/>
      <c r="AQ60" s="26"/>
      <c r="AR60" s="26"/>
      <c r="AS60" s="32"/>
      <c r="AT60" s="34"/>
    </row>
    <row r="61" spans="2:46" x14ac:dyDescent="0.3">
      <c r="B61" s="8"/>
      <c r="C61" s="2" t="s">
        <v>789</v>
      </c>
      <c r="D61" s="26">
        <v>0</v>
      </c>
      <c r="E61" s="26">
        <v>0</v>
      </c>
      <c r="F61" s="27">
        <v>0</v>
      </c>
      <c r="G61" s="26">
        <v>0</v>
      </c>
      <c r="H61" s="26">
        <v>0</v>
      </c>
      <c r="I61" s="27">
        <v>0</v>
      </c>
      <c r="J61" s="26">
        <v>0</v>
      </c>
      <c r="K61" s="26">
        <v>0</v>
      </c>
      <c r="L61" s="67">
        <v>1</v>
      </c>
      <c r="N61" s="8"/>
      <c r="O61" s="2" t="s">
        <v>832</v>
      </c>
      <c r="P61" s="26">
        <v>0</v>
      </c>
      <c r="Q61" s="27">
        <v>0</v>
      </c>
      <c r="R61" s="30">
        <v>0</v>
      </c>
      <c r="S61" s="27">
        <v>0</v>
      </c>
      <c r="T61" s="30">
        <v>0</v>
      </c>
      <c r="U61" s="34">
        <v>1</v>
      </c>
      <c r="V61" s="34">
        <v>1</v>
      </c>
      <c r="X61" s="8"/>
      <c r="Y61" s="2"/>
      <c r="Z61" s="26"/>
      <c r="AA61" s="26"/>
      <c r="AB61" s="26"/>
      <c r="AC61" s="26"/>
      <c r="AD61" s="27"/>
      <c r="AE61" s="30"/>
      <c r="AF61" s="26"/>
      <c r="AG61" s="26"/>
      <c r="AH61" s="32"/>
      <c r="AJ61" s="8"/>
      <c r="AK61" s="2"/>
      <c r="AL61" s="26"/>
      <c r="AM61" s="26"/>
      <c r="AN61" s="26"/>
      <c r="AO61" s="27"/>
      <c r="AP61" s="30"/>
      <c r="AQ61" s="26"/>
      <c r="AR61" s="26"/>
      <c r="AS61" s="32"/>
      <c r="AT61" s="34"/>
    </row>
    <row r="62" spans="2:46" x14ac:dyDescent="0.3">
      <c r="B62" s="8"/>
      <c r="C62" s="2" t="s">
        <v>790</v>
      </c>
      <c r="D62" s="26">
        <v>0</v>
      </c>
      <c r="E62" s="26">
        <v>0</v>
      </c>
      <c r="F62" s="27">
        <v>0</v>
      </c>
      <c r="G62" s="26">
        <v>0</v>
      </c>
      <c r="H62" s="26">
        <v>0</v>
      </c>
      <c r="I62" s="27">
        <v>0</v>
      </c>
      <c r="J62" s="26">
        <v>0</v>
      </c>
      <c r="K62" s="26">
        <v>0</v>
      </c>
      <c r="L62" s="67">
        <v>1</v>
      </c>
      <c r="N62" s="8"/>
      <c r="O62" s="2" t="s">
        <v>833</v>
      </c>
      <c r="P62" s="26">
        <v>0</v>
      </c>
      <c r="Q62" s="27">
        <v>0</v>
      </c>
      <c r="R62" s="30">
        <v>0</v>
      </c>
      <c r="S62" s="27">
        <v>0</v>
      </c>
      <c r="T62" s="30">
        <v>0</v>
      </c>
      <c r="U62" s="34">
        <v>1</v>
      </c>
      <c r="V62" s="34">
        <v>1</v>
      </c>
      <c r="X62" s="8"/>
      <c r="Y62" s="2"/>
      <c r="Z62" s="26"/>
      <c r="AA62" s="26"/>
      <c r="AB62" s="26"/>
      <c r="AC62" s="26"/>
      <c r="AD62" s="27"/>
      <c r="AE62" s="30"/>
      <c r="AF62" s="26"/>
      <c r="AG62" s="26"/>
      <c r="AH62" s="32"/>
      <c r="AJ62" s="8"/>
      <c r="AK62" s="2"/>
      <c r="AL62" s="26"/>
      <c r="AM62" s="26"/>
      <c r="AN62" s="26"/>
      <c r="AO62" s="27"/>
      <c r="AP62" s="30"/>
      <c r="AQ62" s="26"/>
      <c r="AR62" s="26"/>
      <c r="AS62" s="32"/>
      <c r="AT62" s="34"/>
    </row>
    <row r="63" spans="2:46" x14ac:dyDescent="0.3">
      <c r="B63" s="8"/>
      <c r="C63" s="2" t="s">
        <v>791</v>
      </c>
      <c r="D63" s="26">
        <v>0</v>
      </c>
      <c r="E63" s="26">
        <v>0</v>
      </c>
      <c r="F63" s="27">
        <v>0</v>
      </c>
      <c r="G63" s="26">
        <v>0</v>
      </c>
      <c r="H63" s="26">
        <v>0</v>
      </c>
      <c r="I63" s="27">
        <v>0</v>
      </c>
      <c r="J63" s="26">
        <v>0</v>
      </c>
      <c r="K63" s="26">
        <v>0</v>
      </c>
      <c r="L63" s="67">
        <v>1</v>
      </c>
      <c r="N63" s="8"/>
      <c r="O63" s="2" t="s">
        <v>834</v>
      </c>
      <c r="P63" s="26">
        <v>0</v>
      </c>
      <c r="Q63" s="27">
        <v>0</v>
      </c>
      <c r="R63" s="30">
        <v>0</v>
      </c>
      <c r="S63" s="27">
        <v>0</v>
      </c>
      <c r="T63" s="30">
        <v>0</v>
      </c>
      <c r="U63" s="34">
        <v>1</v>
      </c>
      <c r="V63" s="34">
        <v>1</v>
      </c>
      <c r="X63" s="8"/>
      <c r="Y63" s="2"/>
      <c r="Z63" s="26"/>
      <c r="AA63" s="26"/>
      <c r="AB63" s="26"/>
      <c r="AC63" s="26"/>
      <c r="AD63" s="27"/>
      <c r="AE63" s="30"/>
      <c r="AF63" s="26"/>
      <c r="AG63" s="26"/>
      <c r="AH63" s="32"/>
      <c r="AJ63" s="8"/>
      <c r="AK63" s="2"/>
      <c r="AL63" s="26"/>
      <c r="AM63" s="26"/>
      <c r="AN63" s="26"/>
      <c r="AO63" s="27"/>
      <c r="AP63" s="30"/>
      <c r="AQ63" s="26"/>
      <c r="AR63" s="26"/>
      <c r="AS63" s="32"/>
      <c r="AT63" s="34"/>
    </row>
    <row r="64" spans="2:46" x14ac:dyDescent="0.3">
      <c r="B64" s="8"/>
      <c r="C64" s="2" t="s">
        <v>792</v>
      </c>
      <c r="D64" s="26">
        <v>0</v>
      </c>
      <c r="E64" s="26">
        <v>0</v>
      </c>
      <c r="F64" s="27">
        <v>0</v>
      </c>
      <c r="G64" s="26">
        <v>0</v>
      </c>
      <c r="H64" s="26">
        <v>0</v>
      </c>
      <c r="I64" s="27">
        <v>0</v>
      </c>
      <c r="J64" s="26">
        <v>0</v>
      </c>
      <c r="K64" s="26">
        <v>0</v>
      </c>
      <c r="L64" s="67">
        <v>1</v>
      </c>
      <c r="N64" s="8"/>
      <c r="O64" s="2" t="s">
        <v>835</v>
      </c>
      <c r="P64" s="26">
        <v>0</v>
      </c>
      <c r="Q64" s="27">
        <v>0</v>
      </c>
      <c r="R64" s="30">
        <v>0</v>
      </c>
      <c r="S64" s="27">
        <v>0</v>
      </c>
      <c r="T64" s="30">
        <v>0</v>
      </c>
      <c r="U64" s="34">
        <v>1</v>
      </c>
      <c r="V64" s="34">
        <v>1</v>
      </c>
      <c r="X64" s="8"/>
      <c r="Y64" s="2"/>
      <c r="Z64" s="26"/>
      <c r="AA64" s="26"/>
      <c r="AB64" s="26"/>
      <c r="AC64" s="26"/>
      <c r="AD64" s="27"/>
      <c r="AE64" s="30"/>
      <c r="AF64" s="26"/>
      <c r="AG64" s="26"/>
      <c r="AH64" s="32"/>
      <c r="AJ64" s="8"/>
      <c r="AK64" s="2"/>
      <c r="AL64" s="26"/>
      <c r="AM64" s="26"/>
      <c r="AN64" s="26"/>
      <c r="AO64" s="27"/>
      <c r="AP64" s="30"/>
      <c r="AQ64" s="26"/>
      <c r="AR64" s="26"/>
      <c r="AS64" s="32"/>
      <c r="AT64" s="34"/>
    </row>
    <row r="65" spans="2:46" x14ac:dyDescent="0.3">
      <c r="B65" s="8"/>
      <c r="C65" s="2" t="s">
        <v>793</v>
      </c>
      <c r="D65" s="26">
        <v>0</v>
      </c>
      <c r="E65" s="26">
        <v>0</v>
      </c>
      <c r="F65" s="27">
        <v>0</v>
      </c>
      <c r="G65" s="26">
        <v>0</v>
      </c>
      <c r="H65" s="26">
        <v>0</v>
      </c>
      <c r="I65" s="27">
        <v>0</v>
      </c>
      <c r="J65" s="26">
        <v>0</v>
      </c>
      <c r="K65" s="26">
        <v>0</v>
      </c>
      <c r="L65" s="67">
        <v>1</v>
      </c>
      <c r="N65" s="8"/>
      <c r="O65" s="2" t="s">
        <v>836</v>
      </c>
      <c r="P65" s="26">
        <v>0</v>
      </c>
      <c r="Q65" s="27">
        <v>0</v>
      </c>
      <c r="R65" s="30">
        <v>0</v>
      </c>
      <c r="S65" s="27">
        <v>0</v>
      </c>
      <c r="T65" s="30">
        <v>0</v>
      </c>
      <c r="U65" s="34">
        <v>1</v>
      </c>
      <c r="V65" s="34">
        <v>1</v>
      </c>
      <c r="X65" s="8"/>
      <c r="Y65" s="2"/>
      <c r="Z65" s="26"/>
      <c r="AA65" s="26"/>
      <c r="AB65" s="26"/>
      <c r="AC65" s="26"/>
      <c r="AD65" s="27"/>
      <c r="AE65" s="30"/>
      <c r="AF65" s="26"/>
      <c r="AG65" s="26"/>
      <c r="AH65" s="32"/>
      <c r="AJ65" s="8"/>
      <c r="AK65" s="2"/>
      <c r="AL65" s="26"/>
      <c r="AM65" s="26"/>
      <c r="AN65" s="26"/>
      <c r="AO65" s="27"/>
      <c r="AP65" s="30"/>
      <c r="AQ65" s="26"/>
      <c r="AR65" s="26"/>
      <c r="AS65" s="32"/>
      <c r="AT65" s="34"/>
    </row>
    <row r="66" spans="2:46" x14ac:dyDescent="0.3">
      <c r="B66" s="8"/>
      <c r="C66" s="2" t="s">
        <v>980</v>
      </c>
      <c r="D66" s="26">
        <v>0</v>
      </c>
      <c r="E66" s="26">
        <v>0</v>
      </c>
      <c r="F66" s="27">
        <v>0</v>
      </c>
      <c r="G66" s="26">
        <v>0</v>
      </c>
      <c r="H66" s="26">
        <v>0</v>
      </c>
      <c r="I66" s="27">
        <v>0</v>
      </c>
      <c r="J66" s="26">
        <v>0</v>
      </c>
      <c r="K66" s="26">
        <v>0</v>
      </c>
      <c r="L66" s="67">
        <v>1</v>
      </c>
      <c r="N66" s="8"/>
      <c r="O66" s="2" t="s">
        <v>950</v>
      </c>
      <c r="P66" s="26">
        <v>0</v>
      </c>
      <c r="Q66" s="27">
        <v>0</v>
      </c>
      <c r="R66" s="30">
        <v>0</v>
      </c>
      <c r="S66" s="27">
        <v>0</v>
      </c>
      <c r="T66" s="30">
        <v>0</v>
      </c>
      <c r="U66" s="34">
        <v>1</v>
      </c>
      <c r="V66" s="34">
        <v>1</v>
      </c>
      <c r="X66" s="8"/>
      <c r="Y66" s="2"/>
      <c r="Z66" s="26"/>
      <c r="AA66" s="26"/>
      <c r="AB66" s="26"/>
      <c r="AC66" s="26"/>
      <c r="AD66" s="27"/>
      <c r="AE66" s="30"/>
      <c r="AF66" s="26"/>
      <c r="AG66" s="26"/>
      <c r="AH66" s="32"/>
      <c r="AJ66" s="8"/>
      <c r="AK66" s="2"/>
      <c r="AL66" s="26"/>
      <c r="AM66" s="26"/>
      <c r="AN66" s="26"/>
      <c r="AO66" s="27"/>
      <c r="AP66" s="30"/>
      <c r="AQ66" s="26"/>
      <c r="AR66" s="26"/>
      <c r="AS66" s="32"/>
      <c r="AT66" s="34"/>
    </row>
    <row r="67" spans="2:46" x14ac:dyDescent="0.3">
      <c r="B67" s="8"/>
      <c r="C67" s="2" t="s">
        <v>981</v>
      </c>
      <c r="D67" s="26">
        <v>0</v>
      </c>
      <c r="E67" s="26">
        <v>0</v>
      </c>
      <c r="F67" s="27">
        <v>0</v>
      </c>
      <c r="G67" s="26">
        <v>0</v>
      </c>
      <c r="H67" s="26">
        <v>0</v>
      </c>
      <c r="I67" s="27">
        <v>0</v>
      </c>
      <c r="J67" s="26">
        <v>0</v>
      </c>
      <c r="K67" s="26">
        <v>0</v>
      </c>
      <c r="L67" s="67">
        <v>1</v>
      </c>
      <c r="N67" s="8"/>
      <c r="O67" s="2" t="s">
        <v>951</v>
      </c>
      <c r="P67" s="26">
        <v>0</v>
      </c>
      <c r="Q67" s="27">
        <v>0</v>
      </c>
      <c r="R67" s="30">
        <v>0</v>
      </c>
      <c r="S67" s="27">
        <v>0</v>
      </c>
      <c r="T67" s="30">
        <v>0</v>
      </c>
      <c r="U67" s="34">
        <v>1</v>
      </c>
      <c r="V67" s="34">
        <v>1</v>
      </c>
      <c r="X67" s="8"/>
      <c r="Y67" s="2"/>
      <c r="Z67" s="26"/>
      <c r="AA67" s="26"/>
      <c r="AB67" s="26"/>
      <c r="AC67" s="26"/>
      <c r="AD67" s="27"/>
      <c r="AE67" s="30"/>
      <c r="AF67" s="26"/>
      <c r="AG67" s="26"/>
      <c r="AH67" s="32"/>
      <c r="AJ67" s="8"/>
      <c r="AK67" s="2"/>
      <c r="AL67" s="26"/>
      <c r="AM67" s="26"/>
      <c r="AN67" s="26"/>
      <c r="AO67" s="27"/>
      <c r="AP67" s="30"/>
      <c r="AQ67" s="26"/>
      <c r="AR67" s="26"/>
      <c r="AS67" s="32"/>
      <c r="AT67" s="34"/>
    </row>
    <row r="68" spans="2:46" x14ac:dyDescent="0.3">
      <c r="B68" s="8"/>
      <c r="C68" s="2" t="s">
        <v>794</v>
      </c>
      <c r="D68" s="26">
        <v>0</v>
      </c>
      <c r="E68" s="26">
        <v>0</v>
      </c>
      <c r="F68" s="27">
        <v>0</v>
      </c>
      <c r="G68" s="26">
        <v>0</v>
      </c>
      <c r="H68" s="26">
        <v>0</v>
      </c>
      <c r="I68" s="27">
        <v>0</v>
      </c>
      <c r="J68" s="26">
        <v>0</v>
      </c>
      <c r="K68" s="26">
        <v>0</v>
      </c>
      <c r="L68" s="67">
        <v>1</v>
      </c>
      <c r="N68" s="8"/>
      <c r="O68" s="2" t="s">
        <v>837</v>
      </c>
      <c r="P68" s="26">
        <v>0</v>
      </c>
      <c r="Q68" s="27">
        <v>0</v>
      </c>
      <c r="R68" s="30">
        <v>0</v>
      </c>
      <c r="S68" s="27">
        <v>0</v>
      </c>
      <c r="T68" s="30">
        <v>0</v>
      </c>
      <c r="U68" s="34">
        <v>1</v>
      </c>
      <c r="V68" s="34">
        <v>1</v>
      </c>
      <c r="X68" s="8"/>
      <c r="Y68" s="2"/>
      <c r="Z68" s="26"/>
      <c r="AA68" s="26"/>
      <c r="AB68" s="26"/>
      <c r="AC68" s="26"/>
      <c r="AD68" s="27"/>
      <c r="AE68" s="30"/>
      <c r="AF68" s="26"/>
      <c r="AG68" s="26"/>
      <c r="AH68" s="32"/>
      <c r="AJ68" s="8"/>
      <c r="AK68" s="2"/>
      <c r="AL68" s="26"/>
      <c r="AM68" s="26"/>
      <c r="AN68" s="26"/>
      <c r="AO68" s="27"/>
      <c r="AP68" s="30"/>
      <c r="AQ68" s="26"/>
      <c r="AR68" s="26"/>
      <c r="AS68" s="32"/>
      <c r="AT68" s="34"/>
    </row>
    <row r="69" spans="2:46" x14ac:dyDescent="0.3">
      <c r="B69" s="8"/>
      <c r="C69" s="2" t="s">
        <v>795</v>
      </c>
      <c r="D69" s="26">
        <v>0</v>
      </c>
      <c r="E69" s="26">
        <v>0</v>
      </c>
      <c r="F69" s="27">
        <v>0</v>
      </c>
      <c r="G69" s="26">
        <v>0</v>
      </c>
      <c r="H69" s="26">
        <v>0</v>
      </c>
      <c r="I69" s="27">
        <v>0</v>
      </c>
      <c r="J69" s="26">
        <v>0</v>
      </c>
      <c r="K69" s="26">
        <v>0</v>
      </c>
      <c r="L69" s="67">
        <v>1</v>
      </c>
      <c r="N69" s="8"/>
      <c r="O69" s="2" t="s">
        <v>838</v>
      </c>
      <c r="P69" s="26">
        <v>0</v>
      </c>
      <c r="Q69" s="27">
        <v>0</v>
      </c>
      <c r="R69" s="30">
        <v>0</v>
      </c>
      <c r="S69" s="27">
        <v>0</v>
      </c>
      <c r="T69" s="30">
        <v>0</v>
      </c>
      <c r="U69" s="34">
        <v>1</v>
      </c>
      <c r="V69" s="34">
        <v>1</v>
      </c>
      <c r="X69" s="8"/>
      <c r="Y69" s="2"/>
      <c r="Z69" s="26"/>
      <c r="AA69" s="26"/>
      <c r="AB69" s="26"/>
      <c r="AC69" s="26"/>
      <c r="AD69" s="27"/>
      <c r="AE69" s="30"/>
      <c r="AF69" s="26"/>
      <c r="AG69" s="26"/>
      <c r="AH69" s="32"/>
      <c r="AJ69" s="8"/>
      <c r="AK69" s="2"/>
      <c r="AL69" s="26"/>
      <c r="AM69" s="26"/>
      <c r="AN69" s="26"/>
      <c r="AO69" s="27"/>
      <c r="AP69" s="30"/>
      <c r="AQ69" s="26"/>
      <c r="AR69" s="26"/>
      <c r="AS69" s="32"/>
      <c r="AT69" s="34"/>
    </row>
    <row r="70" spans="2:46" x14ac:dyDescent="0.3">
      <c r="B70" s="8"/>
      <c r="C70" s="2" t="s">
        <v>796</v>
      </c>
      <c r="D70" s="26">
        <v>0</v>
      </c>
      <c r="E70" s="26">
        <v>0</v>
      </c>
      <c r="F70" s="27">
        <v>0</v>
      </c>
      <c r="G70" s="26">
        <v>0</v>
      </c>
      <c r="H70" s="26">
        <v>0</v>
      </c>
      <c r="I70" s="27">
        <v>0</v>
      </c>
      <c r="J70" s="26">
        <v>0</v>
      </c>
      <c r="K70" s="26">
        <v>0</v>
      </c>
      <c r="L70" s="67">
        <v>1</v>
      </c>
      <c r="N70" s="8"/>
      <c r="O70" s="2" t="s">
        <v>839</v>
      </c>
      <c r="P70" s="26">
        <v>0</v>
      </c>
      <c r="Q70" s="27">
        <v>0</v>
      </c>
      <c r="R70" s="30">
        <v>0</v>
      </c>
      <c r="S70" s="27">
        <v>0</v>
      </c>
      <c r="T70" s="30">
        <v>0</v>
      </c>
      <c r="U70" s="34">
        <v>1</v>
      </c>
      <c r="V70" s="34">
        <v>1</v>
      </c>
      <c r="X70" s="8"/>
      <c r="Y70" s="2"/>
      <c r="Z70" s="26"/>
      <c r="AA70" s="26"/>
      <c r="AB70" s="26"/>
      <c r="AC70" s="26"/>
      <c r="AD70" s="27"/>
      <c r="AE70" s="30"/>
      <c r="AF70" s="26"/>
      <c r="AG70" s="26"/>
      <c r="AH70" s="32"/>
      <c r="AJ70" s="8"/>
      <c r="AK70" s="2"/>
      <c r="AL70" s="26"/>
      <c r="AM70" s="26"/>
      <c r="AN70" s="26"/>
      <c r="AO70" s="27"/>
      <c r="AP70" s="30"/>
      <c r="AQ70" s="26"/>
      <c r="AR70" s="26"/>
      <c r="AS70" s="32"/>
      <c r="AT70" s="34"/>
    </row>
    <row r="71" spans="2:46" x14ac:dyDescent="0.3">
      <c r="B71" s="8"/>
      <c r="C71" s="2" t="s">
        <v>797</v>
      </c>
      <c r="D71" s="26">
        <v>0</v>
      </c>
      <c r="E71" s="26">
        <v>0</v>
      </c>
      <c r="F71" s="27">
        <v>0</v>
      </c>
      <c r="G71" s="26">
        <v>0</v>
      </c>
      <c r="H71" s="26">
        <v>0</v>
      </c>
      <c r="I71" s="27">
        <v>0</v>
      </c>
      <c r="J71" s="26">
        <v>0</v>
      </c>
      <c r="K71" s="26">
        <v>0</v>
      </c>
      <c r="L71" s="67">
        <v>1</v>
      </c>
      <c r="N71" s="8"/>
      <c r="O71" s="2" t="s">
        <v>840</v>
      </c>
      <c r="P71" s="26">
        <v>0</v>
      </c>
      <c r="Q71" s="27">
        <v>0</v>
      </c>
      <c r="R71" s="30">
        <v>0</v>
      </c>
      <c r="S71" s="27">
        <v>0</v>
      </c>
      <c r="T71" s="30">
        <v>0</v>
      </c>
      <c r="U71" s="34">
        <v>1</v>
      </c>
      <c r="V71" s="34">
        <v>1</v>
      </c>
      <c r="X71" s="8"/>
      <c r="Y71" s="2"/>
      <c r="Z71" s="26"/>
      <c r="AA71" s="26"/>
      <c r="AB71" s="26"/>
      <c r="AC71" s="26"/>
      <c r="AD71" s="27"/>
      <c r="AE71" s="30"/>
      <c r="AF71" s="26"/>
      <c r="AG71" s="26"/>
      <c r="AH71" s="32"/>
      <c r="AJ71" s="8"/>
      <c r="AK71" s="2"/>
      <c r="AL71" s="26"/>
      <c r="AM71" s="26"/>
      <c r="AN71" s="26"/>
      <c r="AO71" s="27"/>
      <c r="AP71" s="30"/>
      <c r="AQ71" s="26"/>
      <c r="AR71" s="26"/>
      <c r="AS71" s="32"/>
      <c r="AT71" s="34"/>
    </row>
    <row r="72" spans="2:46" x14ac:dyDescent="0.3">
      <c r="B72" s="8"/>
      <c r="C72" s="2" t="s">
        <v>798</v>
      </c>
      <c r="D72" s="26">
        <v>0</v>
      </c>
      <c r="E72" s="26">
        <v>0</v>
      </c>
      <c r="F72" s="27">
        <v>0</v>
      </c>
      <c r="G72" s="26">
        <v>0</v>
      </c>
      <c r="H72" s="26">
        <v>0</v>
      </c>
      <c r="I72" s="27">
        <v>0</v>
      </c>
      <c r="J72" s="26">
        <v>0</v>
      </c>
      <c r="K72" s="26">
        <v>0</v>
      </c>
      <c r="L72" s="67">
        <v>1</v>
      </c>
      <c r="N72" s="8"/>
      <c r="O72" s="2" t="s">
        <v>841</v>
      </c>
      <c r="P72" s="26">
        <v>0</v>
      </c>
      <c r="Q72" s="27">
        <v>0</v>
      </c>
      <c r="R72" s="30">
        <v>0</v>
      </c>
      <c r="S72" s="27">
        <v>0</v>
      </c>
      <c r="T72" s="30">
        <v>0</v>
      </c>
      <c r="U72" s="34">
        <v>1</v>
      </c>
      <c r="V72" s="34">
        <v>1</v>
      </c>
      <c r="X72" s="8"/>
      <c r="Y72" s="2"/>
      <c r="Z72" s="26"/>
      <c r="AA72" s="26"/>
      <c r="AB72" s="26"/>
      <c r="AC72" s="26"/>
      <c r="AD72" s="27"/>
      <c r="AE72" s="30"/>
      <c r="AF72" s="26"/>
      <c r="AG72" s="26"/>
      <c r="AH72" s="32"/>
      <c r="AJ72" s="8"/>
      <c r="AK72" s="2"/>
      <c r="AL72" s="26"/>
      <c r="AM72" s="26"/>
      <c r="AN72" s="26"/>
      <c r="AO72" s="27"/>
      <c r="AP72" s="30"/>
      <c r="AQ72" s="26"/>
      <c r="AR72" s="26"/>
      <c r="AS72" s="32"/>
      <c r="AT72" s="34"/>
    </row>
    <row r="73" spans="2:46" x14ac:dyDescent="0.3">
      <c r="B73" s="8"/>
      <c r="C73" s="2" t="s">
        <v>730</v>
      </c>
      <c r="D73" s="26">
        <v>0</v>
      </c>
      <c r="E73" s="26">
        <v>0</v>
      </c>
      <c r="F73" s="27">
        <v>0</v>
      </c>
      <c r="G73" s="26">
        <v>0</v>
      </c>
      <c r="H73" s="26">
        <v>0</v>
      </c>
      <c r="I73" s="27">
        <v>0</v>
      </c>
      <c r="J73" s="26">
        <v>0</v>
      </c>
      <c r="K73" s="26">
        <v>0</v>
      </c>
      <c r="L73" s="67">
        <v>1</v>
      </c>
      <c r="N73" s="8"/>
      <c r="O73" s="2" t="s">
        <v>666</v>
      </c>
      <c r="P73" s="26">
        <v>0</v>
      </c>
      <c r="Q73" s="27">
        <v>0</v>
      </c>
      <c r="R73" s="30">
        <v>0</v>
      </c>
      <c r="S73" s="27">
        <v>0</v>
      </c>
      <c r="T73" s="30">
        <v>0</v>
      </c>
      <c r="U73" s="34">
        <v>1</v>
      </c>
      <c r="V73" s="34">
        <v>1</v>
      </c>
      <c r="X73" s="8"/>
      <c r="Y73" s="2"/>
      <c r="Z73" s="26"/>
      <c r="AA73" s="26"/>
      <c r="AB73" s="26"/>
      <c r="AC73" s="26"/>
      <c r="AD73" s="27"/>
      <c r="AE73" s="30"/>
      <c r="AF73" s="26"/>
      <c r="AG73" s="26"/>
      <c r="AH73" s="32"/>
      <c r="AJ73" s="8"/>
      <c r="AK73" s="2"/>
      <c r="AL73" s="26"/>
      <c r="AM73" s="26"/>
      <c r="AN73" s="26"/>
      <c r="AO73" s="27"/>
      <c r="AP73" s="30"/>
      <c r="AQ73" s="26"/>
      <c r="AR73" s="26"/>
      <c r="AS73" s="32"/>
      <c r="AT73" s="34"/>
    </row>
    <row r="74" spans="2:46" x14ac:dyDescent="0.3">
      <c r="B74" s="8"/>
      <c r="C74" s="2" t="s">
        <v>799</v>
      </c>
      <c r="D74" s="26">
        <v>0</v>
      </c>
      <c r="E74" s="26">
        <v>0</v>
      </c>
      <c r="F74" s="27">
        <v>0</v>
      </c>
      <c r="G74" s="26">
        <v>0</v>
      </c>
      <c r="H74" s="26">
        <v>0</v>
      </c>
      <c r="I74" s="27">
        <v>0</v>
      </c>
      <c r="J74" s="26">
        <v>0</v>
      </c>
      <c r="K74" s="26">
        <v>0</v>
      </c>
      <c r="L74" s="67">
        <v>1</v>
      </c>
      <c r="N74" s="8"/>
      <c r="O74" s="2" t="s">
        <v>842</v>
      </c>
      <c r="P74" s="26">
        <v>0</v>
      </c>
      <c r="Q74" s="27">
        <v>0</v>
      </c>
      <c r="R74" s="30">
        <v>0</v>
      </c>
      <c r="S74" s="27">
        <v>0</v>
      </c>
      <c r="T74" s="30">
        <v>0</v>
      </c>
      <c r="U74" s="34">
        <v>1</v>
      </c>
      <c r="V74" s="34">
        <v>1</v>
      </c>
      <c r="X74" s="8"/>
      <c r="Y74" s="2"/>
      <c r="Z74" s="26"/>
      <c r="AA74" s="26"/>
      <c r="AB74" s="26"/>
      <c r="AC74" s="26"/>
      <c r="AD74" s="27"/>
      <c r="AE74" s="30"/>
      <c r="AF74" s="26"/>
      <c r="AG74" s="26"/>
      <c r="AH74" s="32"/>
      <c r="AJ74" s="8"/>
      <c r="AK74" s="2"/>
      <c r="AL74" s="26"/>
      <c r="AM74" s="26"/>
      <c r="AN74" s="26"/>
      <c r="AO74" s="27"/>
      <c r="AP74" s="30"/>
      <c r="AQ74" s="26"/>
      <c r="AR74" s="26"/>
      <c r="AS74" s="32"/>
      <c r="AT74" s="34"/>
    </row>
    <row r="75" spans="2:46" x14ac:dyDescent="0.3">
      <c r="B75" s="8"/>
      <c r="C75" s="2" t="s">
        <v>731</v>
      </c>
      <c r="D75" s="26">
        <v>0</v>
      </c>
      <c r="E75" s="26">
        <v>0</v>
      </c>
      <c r="F75" s="27">
        <v>0</v>
      </c>
      <c r="G75" s="26">
        <v>0</v>
      </c>
      <c r="H75" s="26">
        <v>0</v>
      </c>
      <c r="I75" s="27">
        <v>0</v>
      </c>
      <c r="J75" s="26">
        <v>0</v>
      </c>
      <c r="K75" s="26">
        <v>0</v>
      </c>
      <c r="L75" s="67">
        <v>1</v>
      </c>
      <c r="N75" s="8"/>
      <c r="O75" s="2" t="s">
        <v>667</v>
      </c>
      <c r="P75" s="26">
        <v>0</v>
      </c>
      <c r="Q75" s="27">
        <v>0</v>
      </c>
      <c r="R75" s="30">
        <v>0</v>
      </c>
      <c r="S75" s="27">
        <v>0</v>
      </c>
      <c r="T75" s="30">
        <v>0</v>
      </c>
      <c r="U75" s="34">
        <v>1</v>
      </c>
      <c r="V75" s="34">
        <v>1</v>
      </c>
      <c r="X75" s="8"/>
      <c r="Y75" s="2"/>
      <c r="Z75" s="26"/>
      <c r="AA75" s="26"/>
      <c r="AB75" s="26"/>
      <c r="AC75" s="26"/>
      <c r="AD75" s="27"/>
      <c r="AE75" s="30"/>
      <c r="AF75" s="26"/>
      <c r="AG75" s="26"/>
      <c r="AH75" s="32"/>
      <c r="AJ75" s="8"/>
      <c r="AK75" s="2"/>
      <c r="AL75" s="26"/>
      <c r="AM75" s="26"/>
      <c r="AN75" s="26"/>
      <c r="AO75" s="27"/>
      <c r="AP75" s="30"/>
      <c r="AQ75" s="26"/>
      <c r="AR75" s="26"/>
      <c r="AS75" s="32"/>
      <c r="AT75" s="34"/>
    </row>
    <row r="76" spans="2:46" x14ac:dyDescent="0.3">
      <c r="B76" s="8"/>
      <c r="C76" s="2" t="s">
        <v>800</v>
      </c>
      <c r="D76" s="26">
        <v>0</v>
      </c>
      <c r="E76" s="26">
        <v>0</v>
      </c>
      <c r="F76" s="27">
        <v>0</v>
      </c>
      <c r="G76" s="26">
        <v>0</v>
      </c>
      <c r="H76" s="26">
        <v>0</v>
      </c>
      <c r="I76" s="27">
        <v>0</v>
      </c>
      <c r="J76" s="26">
        <v>0</v>
      </c>
      <c r="K76" s="26">
        <v>0</v>
      </c>
      <c r="L76" s="67">
        <v>1</v>
      </c>
      <c r="N76" s="8"/>
      <c r="O76" s="2" t="s">
        <v>843</v>
      </c>
      <c r="P76" s="26">
        <v>0</v>
      </c>
      <c r="Q76" s="27">
        <v>0</v>
      </c>
      <c r="R76" s="30">
        <v>0</v>
      </c>
      <c r="S76" s="27">
        <v>0</v>
      </c>
      <c r="T76" s="30">
        <v>0</v>
      </c>
      <c r="U76" s="34">
        <v>1</v>
      </c>
      <c r="V76" s="34">
        <v>1</v>
      </c>
      <c r="X76" s="8"/>
      <c r="Y76" s="2"/>
      <c r="Z76" s="26"/>
      <c r="AA76" s="26"/>
      <c r="AB76" s="26"/>
      <c r="AC76" s="26"/>
      <c r="AD76" s="27"/>
      <c r="AE76" s="30"/>
      <c r="AF76" s="26"/>
      <c r="AG76" s="26"/>
      <c r="AH76" s="32"/>
      <c r="AJ76" s="8"/>
      <c r="AK76" s="2"/>
      <c r="AL76" s="26"/>
      <c r="AM76" s="26"/>
      <c r="AN76" s="26"/>
      <c r="AO76" s="27"/>
      <c r="AP76" s="30"/>
      <c r="AQ76" s="26"/>
      <c r="AR76" s="26"/>
      <c r="AS76" s="32"/>
      <c r="AT76" s="34"/>
    </row>
    <row r="77" spans="2:46" x14ac:dyDescent="0.3">
      <c r="B77" s="8"/>
      <c r="C77" s="2" t="s">
        <v>982</v>
      </c>
      <c r="D77" s="26">
        <v>0</v>
      </c>
      <c r="E77" s="26">
        <v>0</v>
      </c>
      <c r="F77" s="27">
        <v>0</v>
      </c>
      <c r="G77" s="26">
        <v>0</v>
      </c>
      <c r="H77" s="26">
        <v>0</v>
      </c>
      <c r="I77" s="27">
        <v>0</v>
      </c>
      <c r="J77" s="26">
        <v>0</v>
      </c>
      <c r="K77" s="26">
        <v>0</v>
      </c>
      <c r="L77" s="67">
        <v>1</v>
      </c>
      <c r="N77" s="8"/>
      <c r="O77" s="2" t="s">
        <v>952</v>
      </c>
      <c r="P77" s="26">
        <v>0</v>
      </c>
      <c r="Q77" s="27">
        <v>0</v>
      </c>
      <c r="R77" s="30">
        <v>0</v>
      </c>
      <c r="S77" s="27">
        <v>0</v>
      </c>
      <c r="T77" s="30">
        <v>0</v>
      </c>
      <c r="U77" s="34">
        <v>1</v>
      </c>
      <c r="V77" s="34">
        <v>1</v>
      </c>
      <c r="X77" s="8"/>
      <c r="Y77" s="2"/>
      <c r="Z77" s="26"/>
      <c r="AA77" s="26"/>
      <c r="AB77" s="26"/>
      <c r="AC77" s="26"/>
      <c r="AD77" s="27"/>
      <c r="AE77" s="30"/>
      <c r="AF77" s="26"/>
      <c r="AG77" s="26"/>
      <c r="AH77" s="32"/>
      <c r="AJ77" s="8"/>
      <c r="AK77" s="2"/>
      <c r="AL77" s="26"/>
      <c r="AM77" s="26"/>
      <c r="AN77" s="26"/>
      <c r="AO77" s="27"/>
      <c r="AP77" s="30"/>
      <c r="AQ77" s="26"/>
      <c r="AR77" s="26"/>
      <c r="AS77" s="32"/>
      <c r="AT77" s="34"/>
    </row>
    <row r="78" spans="2:46" x14ac:dyDescent="0.3">
      <c r="B78" s="8"/>
      <c r="C78" s="2" t="s">
        <v>983</v>
      </c>
      <c r="D78" s="26">
        <v>0</v>
      </c>
      <c r="E78" s="26">
        <v>0</v>
      </c>
      <c r="F78" s="27">
        <v>0</v>
      </c>
      <c r="G78" s="26">
        <v>0</v>
      </c>
      <c r="H78" s="26">
        <v>0</v>
      </c>
      <c r="I78" s="27">
        <v>0</v>
      </c>
      <c r="J78" s="26">
        <v>0</v>
      </c>
      <c r="K78" s="26">
        <v>0</v>
      </c>
      <c r="L78" s="67">
        <v>1</v>
      </c>
      <c r="N78" s="8"/>
      <c r="O78" s="2" t="s">
        <v>953</v>
      </c>
      <c r="P78" s="26">
        <v>0</v>
      </c>
      <c r="Q78" s="27">
        <v>0</v>
      </c>
      <c r="R78" s="30">
        <v>0</v>
      </c>
      <c r="S78" s="27">
        <v>0</v>
      </c>
      <c r="T78" s="30">
        <v>0</v>
      </c>
      <c r="U78" s="34">
        <v>1</v>
      </c>
      <c r="V78" s="34">
        <v>1</v>
      </c>
      <c r="X78" s="8"/>
      <c r="Y78" s="2"/>
      <c r="Z78" s="26"/>
      <c r="AA78" s="26"/>
      <c r="AB78" s="26"/>
      <c r="AC78" s="26"/>
      <c r="AD78" s="27"/>
      <c r="AE78" s="30"/>
      <c r="AF78" s="26"/>
      <c r="AG78" s="26"/>
      <c r="AH78" s="32"/>
      <c r="AJ78" s="8"/>
      <c r="AK78" s="2"/>
      <c r="AL78" s="26"/>
      <c r="AM78" s="26"/>
      <c r="AN78" s="26"/>
      <c r="AO78" s="27"/>
      <c r="AP78" s="30"/>
      <c r="AQ78" s="26"/>
      <c r="AR78" s="26"/>
      <c r="AS78" s="32"/>
      <c r="AT78" s="34"/>
    </row>
    <row r="79" spans="2:46" x14ac:dyDescent="0.3">
      <c r="B79" s="8"/>
      <c r="C79" s="2" t="s">
        <v>984</v>
      </c>
      <c r="D79" s="26">
        <v>0</v>
      </c>
      <c r="E79" s="26">
        <v>0</v>
      </c>
      <c r="F79" s="27">
        <v>0</v>
      </c>
      <c r="G79" s="26">
        <v>0</v>
      </c>
      <c r="H79" s="26">
        <v>0</v>
      </c>
      <c r="I79" s="27">
        <v>0</v>
      </c>
      <c r="J79" s="26">
        <v>0</v>
      </c>
      <c r="K79" s="26">
        <v>0</v>
      </c>
      <c r="L79" s="67">
        <v>1</v>
      </c>
      <c r="N79" s="8"/>
      <c r="O79" s="2" t="s">
        <v>954</v>
      </c>
      <c r="P79" s="26">
        <v>0</v>
      </c>
      <c r="Q79" s="27">
        <v>0</v>
      </c>
      <c r="R79" s="30">
        <v>0</v>
      </c>
      <c r="S79" s="27">
        <v>0</v>
      </c>
      <c r="T79" s="30">
        <v>0</v>
      </c>
      <c r="U79" s="34">
        <v>1</v>
      </c>
      <c r="V79" s="34">
        <v>1</v>
      </c>
      <c r="X79" s="8"/>
      <c r="Y79" s="2"/>
      <c r="Z79" s="26"/>
      <c r="AA79" s="26"/>
      <c r="AB79" s="26"/>
      <c r="AC79" s="26"/>
      <c r="AD79" s="27"/>
      <c r="AE79" s="30"/>
      <c r="AF79" s="26"/>
      <c r="AG79" s="26"/>
      <c r="AH79" s="32"/>
      <c r="AJ79" s="8"/>
      <c r="AK79" s="2"/>
      <c r="AL79" s="26"/>
      <c r="AM79" s="26"/>
      <c r="AN79" s="26"/>
      <c r="AO79" s="27"/>
      <c r="AP79" s="30"/>
      <c r="AQ79" s="26"/>
      <c r="AR79" s="26"/>
      <c r="AS79" s="32"/>
      <c r="AT79" s="34"/>
    </row>
    <row r="80" spans="2:46" x14ac:dyDescent="0.3">
      <c r="B80" s="8"/>
      <c r="C80" s="2" t="s">
        <v>732</v>
      </c>
      <c r="D80" s="26">
        <v>0</v>
      </c>
      <c r="E80" s="26">
        <v>0</v>
      </c>
      <c r="F80" s="27">
        <v>0</v>
      </c>
      <c r="G80" s="26">
        <v>0</v>
      </c>
      <c r="H80" s="26">
        <v>0</v>
      </c>
      <c r="I80" s="27">
        <v>0</v>
      </c>
      <c r="J80" s="26">
        <v>0</v>
      </c>
      <c r="K80" s="26">
        <v>0</v>
      </c>
      <c r="L80" s="67">
        <v>1</v>
      </c>
      <c r="N80" s="8"/>
      <c r="O80" s="2" t="s">
        <v>668</v>
      </c>
      <c r="P80" s="26">
        <v>0</v>
      </c>
      <c r="Q80" s="27">
        <v>0</v>
      </c>
      <c r="R80" s="30">
        <v>0</v>
      </c>
      <c r="S80" s="27">
        <v>0</v>
      </c>
      <c r="T80" s="30">
        <v>0</v>
      </c>
      <c r="U80" s="34">
        <v>1</v>
      </c>
      <c r="V80" s="34">
        <v>1</v>
      </c>
      <c r="X80" s="8"/>
      <c r="Y80" s="2"/>
      <c r="Z80" s="26"/>
      <c r="AA80" s="26"/>
      <c r="AB80" s="26"/>
      <c r="AC80" s="26"/>
      <c r="AD80" s="27"/>
      <c r="AE80" s="30"/>
      <c r="AF80" s="26"/>
      <c r="AG80" s="26"/>
      <c r="AH80" s="32"/>
      <c r="AJ80" s="8"/>
      <c r="AK80" s="2"/>
      <c r="AL80" s="26"/>
      <c r="AM80" s="26"/>
      <c r="AN80" s="26"/>
      <c r="AO80" s="27"/>
      <c r="AP80" s="30"/>
      <c r="AQ80" s="26"/>
      <c r="AR80" s="26"/>
      <c r="AS80" s="32"/>
      <c r="AT80" s="34"/>
    </row>
    <row r="81" spans="2:46" x14ac:dyDescent="0.3">
      <c r="B81" s="8"/>
      <c r="C81" s="2" t="s">
        <v>801</v>
      </c>
      <c r="D81" s="26">
        <v>0</v>
      </c>
      <c r="E81" s="26">
        <v>0</v>
      </c>
      <c r="F81" s="27">
        <v>0</v>
      </c>
      <c r="G81" s="26">
        <v>0</v>
      </c>
      <c r="H81" s="26">
        <v>0</v>
      </c>
      <c r="I81" s="27">
        <v>0</v>
      </c>
      <c r="J81" s="26">
        <v>0</v>
      </c>
      <c r="K81" s="26">
        <v>0</v>
      </c>
      <c r="L81" s="67">
        <v>1</v>
      </c>
      <c r="N81" s="8"/>
      <c r="O81" s="2" t="s">
        <v>844</v>
      </c>
      <c r="P81" s="26">
        <v>0</v>
      </c>
      <c r="Q81" s="27">
        <v>0</v>
      </c>
      <c r="R81" s="30">
        <v>0</v>
      </c>
      <c r="S81" s="27">
        <v>0</v>
      </c>
      <c r="T81" s="30">
        <v>0</v>
      </c>
      <c r="U81" s="34">
        <v>1</v>
      </c>
      <c r="V81" s="34">
        <v>1</v>
      </c>
      <c r="X81" s="8"/>
      <c r="Y81" s="2"/>
      <c r="Z81" s="26"/>
      <c r="AA81" s="26"/>
      <c r="AB81" s="26"/>
      <c r="AC81" s="26"/>
      <c r="AD81" s="27"/>
      <c r="AE81" s="30"/>
      <c r="AF81" s="26"/>
      <c r="AG81" s="26"/>
      <c r="AH81" s="32"/>
      <c r="AJ81" s="8"/>
      <c r="AK81" s="2"/>
      <c r="AL81" s="26"/>
      <c r="AM81" s="26"/>
      <c r="AN81" s="26"/>
      <c r="AO81" s="27"/>
      <c r="AP81" s="30"/>
      <c r="AQ81" s="26"/>
      <c r="AR81" s="26"/>
      <c r="AS81" s="32"/>
      <c r="AT81" s="34"/>
    </row>
    <row r="82" spans="2:46" x14ac:dyDescent="0.3">
      <c r="B82" s="8"/>
      <c r="C82" s="2" t="s">
        <v>802</v>
      </c>
      <c r="D82" s="26">
        <v>0</v>
      </c>
      <c r="E82" s="26">
        <v>0</v>
      </c>
      <c r="F82" s="27">
        <v>0</v>
      </c>
      <c r="G82" s="26">
        <v>0</v>
      </c>
      <c r="H82" s="26">
        <v>0</v>
      </c>
      <c r="I82" s="27">
        <v>0</v>
      </c>
      <c r="J82" s="26">
        <v>0</v>
      </c>
      <c r="K82" s="26">
        <v>0</v>
      </c>
      <c r="L82" s="67">
        <v>1</v>
      </c>
      <c r="N82" s="8"/>
      <c r="O82" s="2" t="s">
        <v>845</v>
      </c>
      <c r="P82" s="26">
        <v>0</v>
      </c>
      <c r="Q82" s="27">
        <v>0</v>
      </c>
      <c r="R82" s="30">
        <v>0</v>
      </c>
      <c r="S82" s="27">
        <v>0</v>
      </c>
      <c r="T82" s="30">
        <v>0</v>
      </c>
      <c r="U82" s="34">
        <v>1</v>
      </c>
      <c r="V82" s="34">
        <v>1</v>
      </c>
      <c r="X82" s="8"/>
      <c r="Y82" s="2"/>
      <c r="Z82" s="26"/>
      <c r="AA82" s="26"/>
      <c r="AB82" s="26"/>
      <c r="AC82" s="26"/>
      <c r="AD82" s="27"/>
      <c r="AE82" s="30"/>
      <c r="AF82" s="26"/>
      <c r="AG82" s="26"/>
      <c r="AH82" s="32"/>
      <c r="AJ82" s="8"/>
      <c r="AK82" s="2"/>
      <c r="AL82" s="26"/>
      <c r="AM82" s="26"/>
      <c r="AN82" s="26"/>
      <c r="AO82" s="27"/>
      <c r="AP82" s="30"/>
      <c r="AQ82" s="26"/>
      <c r="AR82" s="26"/>
      <c r="AS82" s="32"/>
      <c r="AT82" s="34"/>
    </row>
    <row r="83" spans="2:46" x14ac:dyDescent="0.3">
      <c r="B83" s="8"/>
      <c r="C83" s="2" t="s">
        <v>733</v>
      </c>
      <c r="D83" s="26">
        <v>0</v>
      </c>
      <c r="E83" s="26">
        <v>0</v>
      </c>
      <c r="F83" s="27">
        <v>0</v>
      </c>
      <c r="G83" s="26">
        <v>0</v>
      </c>
      <c r="H83" s="26">
        <v>0</v>
      </c>
      <c r="I83" s="27">
        <v>0</v>
      </c>
      <c r="J83" s="26">
        <v>0</v>
      </c>
      <c r="K83" s="26">
        <v>0</v>
      </c>
      <c r="L83" s="67">
        <v>1</v>
      </c>
      <c r="N83" s="8"/>
      <c r="O83" s="2" t="s">
        <v>669</v>
      </c>
      <c r="P83" s="26">
        <v>0</v>
      </c>
      <c r="Q83" s="27">
        <v>0</v>
      </c>
      <c r="R83" s="30">
        <v>0</v>
      </c>
      <c r="S83" s="27">
        <v>0</v>
      </c>
      <c r="T83" s="30">
        <v>0</v>
      </c>
      <c r="U83" s="34">
        <v>1</v>
      </c>
      <c r="V83" s="34">
        <v>1</v>
      </c>
      <c r="X83" s="8"/>
      <c r="Y83" s="2"/>
      <c r="Z83" s="26"/>
      <c r="AA83" s="26"/>
      <c r="AB83" s="26"/>
      <c r="AC83" s="26"/>
      <c r="AD83" s="27"/>
      <c r="AE83" s="30"/>
      <c r="AF83" s="26"/>
      <c r="AG83" s="26"/>
      <c r="AH83" s="32"/>
      <c r="AJ83" s="8"/>
      <c r="AK83" s="2"/>
      <c r="AL83" s="26"/>
      <c r="AM83" s="26"/>
      <c r="AN83" s="26"/>
      <c r="AO83" s="27"/>
      <c r="AP83" s="30"/>
      <c r="AQ83" s="26"/>
      <c r="AR83" s="26"/>
      <c r="AS83" s="32"/>
      <c r="AT83" s="34"/>
    </row>
    <row r="84" spans="2:46" x14ac:dyDescent="0.3">
      <c r="B84" s="8"/>
      <c r="C84" s="2" t="s">
        <v>803</v>
      </c>
      <c r="D84" s="26">
        <v>0</v>
      </c>
      <c r="E84" s="26">
        <v>0</v>
      </c>
      <c r="F84" s="27">
        <v>0</v>
      </c>
      <c r="G84" s="26">
        <v>0</v>
      </c>
      <c r="H84" s="26">
        <v>0</v>
      </c>
      <c r="I84" s="27">
        <v>0</v>
      </c>
      <c r="J84" s="26">
        <v>0</v>
      </c>
      <c r="K84" s="26">
        <v>0</v>
      </c>
      <c r="L84" s="67">
        <v>1</v>
      </c>
      <c r="N84" s="8"/>
      <c r="O84" s="2" t="s">
        <v>846</v>
      </c>
      <c r="P84" s="26">
        <v>0</v>
      </c>
      <c r="Q84" s="27">
        <v>0</v>
      </c>
      <c r="R84" s="30">
        <v>0</v>
      </c>
      <c r="S84" s="27">
        <v>0</v>
      </c>
      <c r="T84" s="30">
        <v>0</v>
      </c>
      <c r="U84" s="34">
        <v>1</v>
      </c>
      <c r="V84" s="34">
        <v>1</v>
      </c>
      <c r="X84" s="8"/>
      <c r="Y84" s="2"/>
      <c r="Z84" s="26"/>
      <c r="AA84" s="26"/>
      <c r="AB84" s="26"/>
      <c r="AC84" s="26"/>
      <c r="AD84" s="27"/>
      <c r="AE84" s="30"/>
      <c r="AF84" s="26"/>
      <c r="AG84" s="26"/>
      <c r="AH84" s="32"/>
      <c r="AJ84" s="8"/>
      <c r="AK84" s="2"/>
      <c r="AL84" s="26"/>
      <c r="AM84" s="26"/>
      <c r="AN84" s="26"/>
      <c r="AO84" s="27"/>
      <c r="AP84" s="30"/>
      <c r="AQ84" s="26"/>
      <c r="AR84" s="26"/>
      <c r="AS84" s="32"/>
      <c r="AT84" s="34"/>
    </row>
    <row r="85" spans="2:46" x14ac:dyDescent="0.3">
      <c r="B85" s="8"/>
      <c r="C85" s="2" t="s">
        <v>804</v>
      </c>
      <c r="D85" s="26">
        <v>0</v>
      </c>
      <c r="E85" s="26">
        <v>0</v>
      </c>
      <c r="F85" s="27">
        <v>0</v>
      </c>
      <c r="G85" s="26">
        <v>0</v>
      </c>
      <c r="H85" s="26">
        <v>0</v>
      </c>
      <c r="I85" s="27">
        <v>0</v>
      </c>
      <c r="J85" s="26">
        <v>0</v>
      </c>
      <c r="K85" s="26">
        <v>0</v>
      </c>
      <c r="L85" s="67">
        <v>1</v>
      </c>
      <c r="N85" s="8"/>
      <c r="O85" s="2" t="s">
        <v>847</v>
      </c>
      <c r="P85" s="26">
        <v>0</v>
      </c>
      <c r="Q85" s="27">
        <v>0</v>
      </c>
      <c r="R85" s="30">
        <v>0</v>
      </c>
      <c r="S85" s="27">
        <v>0</v>
      </c>
      <c r="T85" s="30">
        <v>0</v>
      </c>
      <c r="U85" s="34">
        <v>1</v>
      </c>
      <c r="V85" s="34">
        <v>1</v>
      </c>
      <c r="X85" s="8"/>
      <c r="Y85" s="2"/>
      <c r="Z85" s="26"/>
      <c r="AA85" s="26"/>
      <c r="AB85" s="26"/>
      <c r="AC85" s="26"/>
      <c r="AD85" s="27"/>
      <c r="AE85" s="30"/>
      <c r="AF85" s="26"/>
      <c r="AG85" s="26"/>
      <c r="AH85" s="32"/>
      <c r="AJ85" s="8"/>
      <c r="AK85" s="2"/>
      <c r="AL85" s="26"/>
      <c r="AM85" s="26"/>
      <c r="AN85" s="26"/>
      <c r="AO85" s="27"/>
      <c r="AP85" s="30"/>
      <c r="AQ85" s="26"/>
      <c r="AR85" s="26"/>
      <c r="AS85" s="32"/>
      <c r="AT85" s="34"/>
    </row>
    <row r="86" spans="2:46" x14ac:dyDescent="0.3">
      <c r="B86" s="8"/>
      <c r="C86" s="2" t="s">
        <v>805</v>
      </c>
      <c r="D86" s="26">
        <v>0</v>
      </c>
      <c r="E86" s="26">
        <v>0</v>
      </c>
      <c r="F86" s="27">
        <v>0</v>
      </c>
      <c r="G86" s="26">
        <v>0</v>
      </c>
      <c r="H86" s="26">
        <v>0</v>
      </c>
      <c r="I86" s="27">
        <v>0</v>
      </c>
      <c r="J86" s="26">
        <v>0</v>
      </c>
      <c r="K86" s="26">
        <v>0</v>
      </c>
      <c r="L86" s="67">
        <v>1</v>
      </c>
      <c r="N86" s="8"/>
      <c r="O86" s="2" t="s">
        <v>848</v>
      </c>
      <c r="P86" s="26">
        <v>0</v>
      </c>
      <c r="Q86" s="27">
        <v>0</v>
      </c>
      <c r="R86" s="30">
        <v>0</v>
      </c>
      <c r="S86" s="27">
        <v>0</v>
      </c>
      <c r="T86" s="30">
        <v>0</v>
      </c>
      <c r="U86" s="34">
        <v>1</v>
      </c>
      <c r="V86" s="34">
        <v>1</v>
      </c>
      <c r="X86" s="8"/>
      <c r="Y86" s="2"/>
      <c r="Z86" s="26"/>
      <c r="AA86" s="26"/>
      <c r="AB86" s="26"/>
      <c r="AC86" s="26"/>
      <c r="AD86" s="27"/>
      <c r="AE86" s="30"/>
      <c r="AF86" s="26"/>
      <c r="AG86" s="26"/>
      <c r="AH86" s="32"/>
      <c r="AJ86" s="8"/>
      <c r="AK86" s="2"/>
      <c r="AL86" s="26"/>
      <c r="AM86" s="26"/>
      <c r="AN86" s="26"/>
      <c r="AO86" s="27"/>
      <c r="AP86" s="30"/>
      <c r="AQ86" s="26"/>
      <c r="AR86" s="26"/>
      <c r="AS86" s="32"/>
      <c r="AT86" s="34"/>
    </row>
    <row r="87" spans="2:46" x14ac:dyDescent="0.3">
      <c r="B87" s="8"/>
      <c r="C87" s="2" t="s">
        <v>734</v>
      </c>
      <c r="D87" s="26">
        <v>0</v>
      </c>
      <c r="E87" s="26">
        <v>0</v>
      </c>
      <c r="F87" s="27">
        <v>0</v>
      </c>
      <c r="G87" s="26">
        <v>0</v>
      </c>
      <c r="H87" s="26">
        <v>0</v>
      </c>
      <c r="I87" s="27">
        <v>0</v>
      </c>
      <c r="J87" s="26">
        <v>0</v>
      </c>
      <c r="K87" s="26">
        <v>0</v>
      </c>
      <c r="L87" s="67">
        <v>1</v>
      </c>
      <c r="N87" s="8"/>
      <c r="O87" s="2" t="s">
        <v>670</v>
      </c>
      <c r="P87" s="26">
        <v>0</v>
      </c>
      <c r="Q87" s="27">
        <v>0</v>
      </c>
      <c r="R87" s="30">
        <v>0</v>
      </c>
      <c r="S87" s="27">
        <v>0</v>
      </c>
      <c r="T87" s="30">
        <v>0</v>
      </c>
      <c r="U87" s="34">
        <v>1</v>
      </c>
      <c r="V87" s="34">
        <v>1</v>
      </c>
      <c r="X87" s="8"/>
      <c r="Y87" s="2"/>
      <c r="Z87" s="26"/>
      <c r="AA87" s="26"/>
      <c r="AB87" s="26"/>
      <c r="AC87" s="26"/>
      <c r="AD87" s="27"/>
      <c r="AE87" s="30"/>
      <c r="AF87" s="26"/>
      <c r="AG87" s="26"/>
      <c r="AH87" s="32"/>
      <c r="AJ87" s="8"/>
      <c r="AK87" s="2"/>
      <c r="AL87" s="26"/>
      <c r="AM87" s="26"/>
      <c r="AN87" s="26"/>
      <c r="AO87" s="27"/>
      <c r="AP87" s="30"/>
      <c r="AQ87" s="26"/>
      <c r="AR87" s="26"/>
      <c r="AS87" s="32"/>
      <c r="AT87" s="34"/>
    </row>
    <row r="88" spans="2:46" x14ac:dyDescent="0.3">
      <c r="B88" s="8"/>
      <c r="C88" s="2" t="s">
        <v>735</v>
      </c>
      <c r="D88" s="26">
        <v>0</v>
      </c>
      <c r="E88" s="26">
        <v>0</v>
      </c>
      <c r="F88" s="27">
        <v>0</v>
      </c>
      <c r="G88" s="26">
        <v>0</v>
      </c>
      <c r="H88" s="26">
        <v>0</v>
      </c>
      <c r="I88" s="27">
        <v>0</v>
      </c>
      <c r="J88" s="26">
        <v>0</v>
      </c>
      <c r="K88" s="26">
        <v>0</v>
      </c>
      <c r="L88" s="67">
        <v>1</v>
      </c>
      <c r="N88" s="8"/>
      <c r="O88" s="2" t="s">
        <v>671</v>
      </c>
      <c r="P88" s="26">
        <v>0</v>
      </c>
      <c r="Q88" s="27">
        <v>0</v>
      </c>
      <c r="R88" s="30">
        <v>0</v>
      </c>
      <c r="S88" s="27">
        <v>0</v>
      </c>
      <c r="T88" s="30">
        <v>0</v>
      </c>
      <c r="U88" s="34">
        <v>1</v>
      </c>
      <c r="V88" s="34">
        <v>1</v>
      </c>
      <c r="X88" s="8"/>
      <c r="Y88" s="2"/>
      <c r="Z88" s="26"/>
      <c r="AA88" s="26"/>
      <c r="AB88" s="26"/>
      <c r="AC88" s="26"/>
      <c r="AD88" s="27"/>
      <c r="AE88" s="30"/>
      <c r="AF88" s="26"/>
      <c r="AG88" s="26"/>
      <c r="AH88" s="32"/>
      <c r="AJ88" s="8"/>
      <c r="AK88" s="2"/>
      <c r="AL88" s="26"/>
      <c r="AM88" s="26"/>
      <c r="AN88" s="26"/>
      <c r="AO88" s="27"/>
      <c r="AP88" s="30"/>
      <c r="AQ88" s="26"/>
      <c r="AR88" s="26"/>
      <c r="AS88" s="32"/>
      <c r="AT88" s="34"/>
    </row>
    <row r="89" spans="2:46" x14ac:dyDescent="0.3">
      <c r="B89" s="8"/>
      <c r="C89" s="2" t="s">
        <v>736</v>
      </c>
      <c r="D89" s="26">
        <v>0</v>
      </c>
      <c r="E89" s="26">
        <v>0</v>
      </c>
      <c r="F89" s="27">
        <v>0</v>
      </c>
      <c r="G89" s="26">
        <v>0</v>
      </c>
      <c r="H89" s="26">
        <v>0</v>
      </c>
      <c r="I89" s="27">
        <v>0</v>
      </c>
      <c r="J89" s="26">
        <v>0</v>
      </c>
      <c r="K89" s="26">
        <v>0</v>
      </c>
      <c r="L89" s="67">
        <v>1</v>
      </c>
      <c r="N89" s="8"/>
      <c r="O89" s="2" t="s">
        <v>672</v>
      </c>
      <c r="P89" s="26">
        <v>0</v>
      </c>
      <c r="Q89" s="27">
        <v>0</v>
      </c>
      <c r="R89" s="30">
        <v>0</v>
      </c>
      <c r="S89" s="27">
        <v>0</v>
      </c>
      <c r="T89" s="30">
        <v>0</v>
      </c>
      <c r="U89" s="34">
        <v>1</v>
      </c>
      <c r="V89" s="34">
        <v>1</v>
      </c>
      <c r="X89" s="8"/>
      <c r="Y89" s="2"/>
      <c r="Z89" s="26"/>
      <c r="AA89" s="26"/>
      <c r="AB89" s="26"/>
      <c r="AC89" s="26"/>
      <c r="AD89" s="27"/>
      <c r="AE89" s="30"/>
      <c r="AF89" s="26"/>
      <c r="AG89" s="26"/>
      <c r="AH89" s="32"/>
      <c r="AJ89" s="8"/>
      <c r="AK89" s="2"/>
      <c r="AL89" s="26"/>
      <c r="AM89" s="26"/>
      <c r="AN89" s="26"/>
      <c r="AO89" s="27"/>
      <c r="AP89" s="30"/>
      <c r="AQ89" s="26"/>
      <c r="AR89" s="26"/>
      <c r="AS89" s="32"/>
      <c r="AT89" s="34"/>
    </row>
    <row r="90" spans="2:46" x14ac:dyDescent="0.3">
      <c r="B90" s="8"/>
      <c r="C90" s="2" t="s">
        <v>737</v>
      </c>
      <c r="D90" s="26">
        <v>0</v>
      </c>
      <c r="E90" s="26">
        <v>0</v>
      </c>
      <c r="F90" s="27">
        <v>0</v>
      </c>
      <c r="G90" s="26">
        <v>0</v>
      </c>
      <c r="H90" s="26">
        <v>0</v>
      </c>
      <c r="I90" s="27">
        <v>0</v>
      </c>
      <c r="J90" s="26">
        <v>0</v>
      </c>
      <c r="K90" s="26">
        <v>0</v>
      </c>
      <c r="L90" s="67">
        <v>1</v>
      </c>
      <c r="N90" s="8"/>
      <c r="O90" s="2" t="s">
        <v>673</v>
      </c>
      <c r="P90" s="26">
        <v>0</v>
      </c>
      <c r="Q90" s="27">
        <v>0</v>
      </c>
      <c r="R90" s="30">
        <v>0</v>
      </c>
      <c r="S90" s="27">
        <v>0</v>
      </c>
      <c r="T90" s="30">
        <v>0</v>
      </c>
      <c r="U90" s="34">
        <v>1</v>
      </c>
      <c r="V90" s="34">
        <v>1</v>
      </c>
      <c r="X90" s="8"/>
      <c r="Y90" s="2"/>
      <c r="Z90" s="26"/>
      <c r="AA90" s="26"/>
      <c r="AB90" s="26"/>
      <c r="AC90" s="26"/>
      <c r="AD90" s="27"/>
      <c r="AE90" s="30"/>
      <c r="AF90" s="26"/>
      <c r="AG90" s="26"/>
      <c r="AH90" s="32"/>
      <c r="AJ90" s="8"/>
      <c r="AK90" s="2"/>
      <c r="AL90" s="26"/>
      <c r="AM90" s="26"/>
      <c r="AN90" s="26"/>
      <c r="AO90" s="27"/>
      <c r="AP90" s="30"/>
      <c r="AQ90" s="26"/>
      <c r="AR90" s="26"/>
      <c r="AS90" s="32"/>
      <c r="AT90" s="34"/>
    </row>
    <row r="91" spans="2:46" x14ac:dyDescent="0.3">
      <c r="B91" s="8"/>
      <c r="C91" s="2" t="s">
        <v>806</v>
      </c>
      <c r="D91" s="26">
        <v>0</v>
      </c>
      <c r="E91" s="26">
        <v>0</v>
      </c>
      <c r="F91" s="27">
        <v>0</v>
      </c>
      <c r="G91" s="26">
        <v>0</v>
      </c>
      <c r="H91" s="26">
        <v>0</v>
      </c>
      <c r="I91" s="27">
        <v>0</v>
      </c>
      <c r="J91" s="26">
        <v>0</v>
      </c>
      <c r="K91" s="26">
        <v>0</v>
      </c>
      <c r="L91" s="67">
        <v>1</v>
      </c>
      <c r="N91" s="8"/>
      <c r="O91" s="2" t="s">
        <v>849</v>
      </c>
      <c r="P91" s="26">
        <v>0</v>
      </c>
      <c r="Q91" s="27">
        <v>0</v>
      </c>
      <c r="R91" s="30">
        <v>0</v>
      </c>
      <c r="S91" s="27">
        <v>0</v>
      </c>
      <c r="T91" s="30">
        <v>0</v>
      </c>
      <c r="U91" s="34">
        <v>1</v>
      </c>
      <c r="V91" s="34">
        <v>1</v>
      </c>
      <c r="X91" s="8"/>
      <c r="Y91" s="2"/>
      <c r="Z91" s="26"/>
      <c r="AA91" s="26"/>
      <c r="AB91" s="26"/>
      <c r="AC91" s="26"/>
      <c r="AD91" s="27"/>
      <c r="AE91" s="30"/>
      <c r="AF91" s="26"/>
      <c r="AG91" s="26"/>
      <c r="AH91" s="32"/>
      <c r="AJ91" s="8"/>
      <c r="AK91" s="2"/>
      <c r="AL91" s="26"/>
      <c r="AM91" s="26"/>
      <c r="AN91" s="26"/>
      <c r="AO91" s="27"/>
      <c r="AP91" s="30"/>
      <c r="AQ91" s="26"/>
      <c r="AR91" s="26"/>
      <c r="AS91" s="32"/>
      <c r="AT91" s="34"/>
    </row>
    <row r="92" spans="2:46" x14ac:dyDescent="0.3">
      <c r="B92" s="8"/>
      <c r="C92" s="2" t="s">
        <v>807</v>
      </c>
      <c r="D92" s="26">
        <v>0</v>
      </c>
      <c r="E92" s="26">
        <v>0</v>
      </c>
      <c r="F92" s="27">
        <v>0</v>
      </c>
      <c r="G92" s="26">
        <v>0</v>
      </c>
      <c r="H92" s="26">
        <v>0</v>
      </c>
      <c r="I92" s="27">
        <v>0</v>
      </c>
      <c r="J92" s="26">
        <v>0</v>
      </c>
      <c r="K92" s="26">
        <v>0</v>
      </c>
      <c r="L92" s="67">
        <v>1</v>
      </c>
      <c r="N92" s="8"/>
      <c r="O92" s="2" t="s">
        <v>850</v>
      </c>
      <c r="P92" s="26">
        <v>0</v>
      </c>
      <c r="Q92" s="27">
        <v>0</v>
      </c>
      <c r="R92" s="30">
        <v>0</v>
      </c>
      <c r="S92" s="27">
        <v>0</v>
      </c>
      <c r="T92" s="30">
        <v>0</v>
      </c>
      <c r="U92" s="34">
        <v>1</v>
      </c>
      <c r="V92" s="34">
        <v>1</v>
      </c>
      <c r="X92" s="8"/>
      <c r="Y92" s="2"/>
      <c r="Z92" s="26"/>
      <c r="AA92" s="26"/>
      <c r="AB92" s="26"/>
      <c r="AC92" s="26"/>
      <c r="AD92" s="27"/>
      <c r="AE92" s="30"/>
      <c r="AF92" s="26"/>
      <c r="AG92" s="26"/>
      <c r="AH92" s="32"/>
      <c r="AJ92" s="8"/>
      <c r="AK92" s="2"/>
      <c r="AL92" s="26"/>
      <c r="AM92" s="26"/>
      <c r="AN92" s="26"/>
      <c r="AO92" s="27"/>
      <c r="AP92" s="30"/>
      <c r="AQ92" s="26"/>
      <c r="AR92" s="26"/>
      <c r="AS92" s="32"/>
      <c r="AT92" s="34"/>
    </row>
    <row r="93" spans="2:46" x14ac:dyDescent="0.3">
      <c r="B93" s="8"/>
      <c r="C93" s="2" t="s">
        <v>738</v>
      </c>
      <c r="D93" s="26">
        <v>0</v>
      </c>
      <c r="E93" s="26">
        <v>0</v>
      </c>
      <c r="F93" s="27">
        <v>0</v>
      </c>
      <c r="G93" s="26">
        <v>0</v>
      </c>
      <c r="H93" s="26">
        <v>0</v>
      </c>
      <c r="I93" s="27">
        <v>0</v>
      </c>
      <c r="J93" s="26">
        <v>0</v>
      </c>
      <c r="K93" s="26">
        <v>0</v>
      </c>
      <c r="L93" s="67">
        <v>1</v>
      </c>
      <c r="N93" s="8"/>
      <c r="O93" s="2" t="s">
        <v>674</v>
      </c>
      <c r="P93" s="26">
        <v>0</v>
      </c>
      <c r="Q93" s="27">
        <v>0</v>
      </c>
      <c r="R93" s="30">
        <v>0</v>
      </c>
      <c r="S93" s="27">
        <v>0</v>
      </c>
      <c r="T93" s="30">
        <v>0</v>
      </c>
      <c r="U93" s="34">
        <v>1</v>
      </c>
      <c r="V93" s="34">
        <v>1</v>
      </c>
      <c r="X93" s="8"/>
      <c r="Y93" s="2"/>
      <c r="Z93" s="26"/>
      <c r="AA93" s="26"/>
      <c r="AB93" s="26"/>
      <c r="AC93" s="26"/>
      <c r="AD93" s="27"/>
      <c r="AE93" s="30"/>
      <c r="AF93" s="26"/>
      <c r="AG93" s="26"/>
      <c r="AH93" s="32"/>
      <c r="AJ93" s="8"/>
      <c r="AK93" s="2"/>
      <c r="AL93" s="26"/>
      <c r="AM93" s="26"/>
      <c r="AN93" s="26"/>
      <c r="AO93" s="27"/>
      <c r="AP93" s="30"/>
      <c r="AQ93" s="26"/>
      <c r="AR93" s="26"/>
      <c r="AS93" s="32"/>
      <c r="AT93" s="34"/>
    </row>
    <row r="94" spans="2:46" x14ac:dyDescent="0.3">
      <c r="B94" s="8"/>
      <c r="C94" s="2" t="s">
        <v>739</v>
      </c>
      <c r="D94" s="26">
        <v>0</v>
      </c>
      <c r="E94" s="26">
        <v>0</v>
      </c>
      <c r="F94" s="27">
        <v>0</v>
      </c>
      <c r="G94" s="26">
        <v>0</v>
      </c>
      <c r="H94" s="26">
        <v>0</v>
      </c>
      <c r="I94" s="27">
        <v>0</v>
      </c>
      <c r="J94" s="26">
        <v>0</v>
      </c>
      <c r="K94" s="26">
        <v>0</v>
      </c>
      <c r="L94" s="67">
        <v>1</v>
      </c>
      <c r="N94" s="8"/>
      <c r="O94" s="2" t="s">
        <v>675</v>
      </c>
      <c r="P94" s="26">
        <v>0</v>
      </c>
      <c r="Q94" s="27">
        <v>0</v>
      </c>
      <c r="R94" s="30">
        <v>0</v>
      </c>
      <c r="S94" s="27">
        <v>0</v>
      </c>
      <c r="T94" s="30">
        <v>0</v>
      </c>
      <c r="U94" s="34">
        <v>1</v>
      </c>
      <c r="V94" s="34">
        <v>1</v>
      </c>
      <c r="X94" s="8"/>
      <c r="Y94" s="2"/>
      <c r="Z94" s="26"/>
      <c r="AA94" s="26"/>
      <c r="AB94" s="26"/>
      <c r="AC94" s="26"/>
      <c r="AD94" s="27"/>
      <c r="AE94" s="30"/>
      <c r="AF94" s="26"/>
      <c r="AG94" s="26"/>
      <c r="AH94" s="32"/>
      <c r="AJ94" s="8"/>
      <c r="AK94" s="2"/>
      <c r="AL94" s="26"/>
      <c r="AM94" s="26"/>
      <c r="AN94" s="26"/>
      <c r="AO94" s="27"/>
      <c r="AP94" s="30"/>
      <c r="AQ94" s="26"/>
      <c r="AR94" s="26"/>
      <c r="AS94" s="32"/>
      <c r="AT94" s="34"/>
    </row>
    <row r="95" spans="2:46" x14ac:dyDescent="0.3">
      <c r="B95" s="8"/>
      <c r="C95" s="2" t="s">
        <v>740</v>
      </c>
      <c r="D95" s="26">
        <v>0</v>
      </c>
      <c r="E95" s="26">
        <v>0</v>
      </c>
      <c r="F95" s="27">
        <v>0</v>
      </c>
      <c r="G95" s="26">
        <v>0</v>
      </c>
      <c r="H95" s="26">
        <v>0</v>
      </c>
      <c r="I95" s="27">
        <v>0</v>
      </c>
      <c r="J95" s="26">
        <v>0</v>
      </c>
      <c r="K95" s="26">
        <v>0</v>
      </c>
      <c r="L95" s="67">
        <v>1</v>
      </c>
      <c r="N95" s="8"/>
      <c r="O95" s="2" t="s">
        <v>676</v>
      </c>
      <c r="P95" s="26">
        <v>0</v>
      </c>
      <c r="Q95" s="27">
        <v>0</v>
      </c>
      <c r="R95" s="30">
        <v>0</v>
      </c>
      <c r="S95" s="27">
        <v>0</v>
      </c>
      <c r="T95" s="30">
        <v>0</v>
      </c>
      <c r="U95" s="34">
        <v>1</v>
      </c>
      <c r="V95" s="34">
        <v>1</v>
      </c>
      <c r="X95" s="8"/>
      <c r="Y95" s="2"/>
      <c r="Z95" s="26"/>
      <c r="AA95" s="26"/>
      <c r="AB95" s="26"/>
      <c r="AC95" s="26"/>
      <c r="AD95" s="27"/>
      <c r="AE95" s="30"/>
      <c r="AF95" s="26"/>
      <c r="AG95" s="26"/>
      <c r="AH95" s="32"/>
      <c r="AJ95" s="8"/>
      <c r="AK95" s="2"/>
      <c r="AL95" s="26"/>
      <c r="AM95" s="26"/>
      <c r="AN95" s="26"/>
      <c r="AO95" s="27"/>
      <c r="AP95" s="30"/>
      <c r="AQ95" s="26"/>
      <c r="AR95" s="26"/>
      <c r="AS95" s="32"/>
      <c r="AT95" s="34"/>
    </row>
    <row r="96" spans="2:46" x14ac:dyDescent="0.3">
      <c r="B96" s="8"/>
      <c r="C96" s="2" t="s">
        <v>741</v>
      </c>
      <c r="D96" s="26">
        <v>0</v>
      </c>
      <c r="E96" s="26">
        <v>0</v>
      </c>
      <c r="F96" s="27">
        <v>0</v>
      </c>
      <c r="G96" s="26">
        <v>0</v>
      </c>
      <c r="H96" s="26">
        <v>0</v>
      </c>
      <c r="I96" s="27">
        <v>0</v>
      </c>
      <c r="J96" s="26">
        <v>0</v>
      </c>
      <c r="K96" s="26">
        <v>0</v>
      </c>
      <c r="L96" s="67">
        <v>1</v>
      </c>
      <c r="N96" s="8"/>
      <c r="O96" s="2" t="s">
        <v>677</v>
      </c>
      <c r="P96" s="26">
        <v>0</v>
      </c>
      <c r="Q96" s="27">
        <v>0</v>
      </c>
      <c r="R96" s="30">
        <v>0</v>
      </c>
      <c r="S96" s="27">
        <v>0</v>
      </c>
      <c r="T96" s="30">
        <v>0</v>
      </c>
      <c r="U96" s="34">
        <v>1</v>
      </c>
      <c r="V96" s="34">
        <v>1</v>
      </c>
      <c r="X96" s="8"/>
      <c r="Y96" s="2"/>
      <c r="Z96" s="26"/>
      <c r="AA96" s="26"/>
      <c r="AB96" s="26"/>
      <c r="AC96" s="26"/>
      <c r="AD96" s="27"/>
      <c r="AE96" s="30"/>
      <c r="AF96" s="26"/>
      <c r="AG96" s="26"/>
      <c r="AH96" s="32"/>
      <c r="AJ96" s="8"/>
      <c r="AK96" s="2"/>
      <c r="AL96" s="26"/>
      <c r="AM96" s="26"/>
      <c r="AN96" s="26"/>
      <c r="AO96" s="27"/>
      <c r="AP96" s="30"/>
      <c r="AQ96" s="26"/>
      <c r="AR96" s="26"/>
      <c r="AS96" s="32"/>
      <c r="AT96" s="34"/>
    </row>
    <row r="97" spans="2:46" x14ac:dyDescent="0.3">
      <c r="B97" s="8"/>
      <c r="C97" s="2" t="s">
        <v>742</v>
      </c>
      <c r="D97" s="26">
        <v>0</v>
      </c>
      <c r="E97" s="26">
        <v>0</v>
      </c>
      <c r="F97" s="27">
        <v>0</v>
      </c>
      <c r="G97" s="26">
        <v>0</v>
      </c>
      <c r="H97" s="26">
        <v>0</v>
      </c>
      <c r="I97" s="27">
        <v>0</v>
      </c>
      <c r="J97" s="26">
        <v>0</v>
      </c>
      <c r="K97" s="26">
        <v>0</v>
      </c>
      <c r="L97" s="67">
        <v>1</v>
      </c>
      <c r="N97" s="8"/>
      <c r="O97" s="2" t="s">
        <v>678</v>
      </c>
      <c r="P97" s="26">
        <v>0</v>
      </c>
      <c r="Q97" s="27">
        <v>0</v>
      </c>
      <c r="R97" s="30">
        <v>0</v>
      </c>
      <c r="S97" s="27">
        <v>0</v>
      </c>
      <c r="T97" s="30">
        <v>0</v>
      </c>
      <c r="U97" s="34">
        <v>1</v>
      </c>
      <c r="V97" s="34">
        <v>1</v>
      </c>
      <c r="X97" s="8"/>
      <c r="Y97" s="2"/>
      <c r="Z97" s="26"/>
      <c r="AA97" s="26"/>
      <c r="AB97" s="26"/>
      <c r="AC97" s="26"/>
      <c r="AD97" s="27"/>
      <c r="AE97" s="30"/>
      <c r="AF97" s="26"/>
      <c r="AG97" s="26"/>
      <c r="AH97" s="32"/>
      <c r="AJ97" s="8"/>
      <c r="AK97" s="2"/>
      <c r="AL97" s="26"/>
      <c r="AM97" s="26"/>
      <c r="AN97" s="26"/>
      <c r="AO97" s="27"/>
      <c r="AP97" s="30"/>
      <c r="AQ97" s="26"/>
      <c r="AR97" s="26"/>
      <c r="AS97" s="32"/>
      <c r="AT97" s="34"/>
    </row>
    <row r="98" spans="2:46" x14ac:dyDescent="0.3">
      <c r="B98" s="8"/>
      <c r="C98" s="2" t="s">
        <v>743</v>
      </c>
      <c r="D98" s="26">
        <v>0</v>
      </c>
      <c r="E98" s="26">
        <v>0</v>
      </c>
      <c r="F98" s="27">
        <v>0</v>
      </c>
      <c r="G98" s="26">
        <v>0</v>
      </c>
      <c r="H98" s="26">
        <v>0</v>
      </c>
      <c r="I98" s="27">
        <v>0</v>
      </c>
      <c r="J98" s="26">
        <v>0</v>
      </c>
      <c r="K98" s="26">
        <v>0</v>
      </c>
      <c r="L98" s="67">
        <v>1</v>
      </c>
      <c r="N98" s="8"/>
      <c r="O98" s="2" t="s">
        <v>679</v>
      </c>
      <c r="P98" s="26">
        <v>0</v>
      </c>
      <c r="Q98" s="27">
        <v>0</v>
      </c>
      <c r="R98" s="30">
        <v>0</v>
      </c>
      <c r="S98" s="27">
        <v>0</v>
      </c>
      <c r="T98" s="30">
        <v>0</v>
      </c>
      <c r="U98" s="34">
        <v>1</v>
      </c>
      <c r="V98" s="34">
        <v>1</v>
      </c>
      <c r="X98" s="8"/>
      <c r="Y98" s="2"/>
      <c r="Z98" s="26"/>
      <c r="AA98" s="26"/>
      <c r="AB98" s="26"/>
      <c r="AC98" s="26"/>
      <c r="AD98" s="27"/>
      <c r="AE98" s="30"/>
      <c r="AF98" s="26"/>
      <c r="AG98" s="26"/>
      <c r="AH98" s="32"/>
      <c r="AJ98" s="8"/>
      <c r="AK98" s="2"/>
      <c r="AL98" s="26"/>
      <c r="AM98" s="26"/>
      <c r="AN98" s="26"/>
      <c r="AO98" s="27"/>
      <c r="AP98" s="30"/>
      <c r="AQ98" s="26"/>
      <c r="AR98" s="26"/>
      <c r="AS98" s="32"/>
      <c r="AT98" s="34"/>
    </row>
    <row r="99" spans="2:46" x14ac:dyDescent="0.3">
      <c r="B99" s="8"/>
      <c r="C99" s="2" t="s">
        <v>744</v>
      </c>
      <c r="D99" s="26">
        <v>0</v>
      </c>
      <c r="E99" s="26">
        <v>0</v>
      </c>
      <c r="F99" s="27">
        <v>0</v>
      </c>
      <c r="G99" s="26">
        <v>0</v>
      </c>
      <c r="H99" s="26">
        <v>0</v>
      </c>
      <c r="I99" s="27">
        <v>0</v>
      </c>
      <c r="J99" s="26">
        <v>0</v>
      </c>
      <c r="K99" s="26">
        <v>0</v>
      </c>
      <c r="L99" s="67">
        <v>1</v>
      </c>
      <c r="N99" s="8"/>
      <c r="O99" s="2" t="s">
        <v>680</v>
      </c>
      <c r="P99" s="26">
        <v>0</v>
      </c>
      <c r="Q99" s="27">
        <v>0</v>
      </c>
      <c r="R99" s="30">
        <v>0</v>
      </c>
      <c r="S99" s="27">
        <v>0</v>
      </c>
      <c r="T99" s="30">
        <v>0</v>
      </c>
      <c r="U99" s="34">
        <v>1</v>
      </c>
      <c r="V99" s="34">
        <v>1</v>
      </c>
      <c r="X99" s="8"/>
      <c r="Y99" s="2"/>
      <c r="Z99" s="26"/>
      <c r="AA99" s="26"/>
      <c r="AB99" s="26"/>
      <c r="AC99" s="26"/>
      <c r="AD99" s="27"/>
      <c r="AE99" s="30"/>
      <c r="AF99" s="26"/>
      <c r="AG99" s="26"/>
      <c r="AH99" s="32"/>
      <c r="AJ99" s="8"/>
      <c r="AK99" s="2"/>
      <c r="AL99" s="26"/>
      <c r="AM99" s="26"/>
      <c r="AN99" s="26"/>
      <c r="AO99" s="27"/>
      <c r="AP99" s="30"/>
      <c r="AQ99" s="26"/>
      <c r="AR99" s="26"/>
      <c r="AS99" s="32"/>
      <c r="AT99" s="34"/>
    </row>
    <row r="100" spans="2:46" x14ac:dyDescent="0.3">
      <c r="B100" s="8"/>
      <c r="C100" s="2" t="s">
        <v>808</v>
      </c>
      <c r="D100" s="26">
        <v>0</v>
      </c>
      <c r="E100" s="26">
        <v>0</v>
      </c>
      <c r="F100" s="27">
        <v>0</v>
      </c>
      <c r="G100" s="26">
        <v>0</v>
      </c>
      <c r="H100" s="26">
        <v>0</v>
      </c>
      <c r="I100" s="27">
        <v>0</v>
      </c>
      <c r="J100" s="26">
        <v>0</v>
      </c>
      <c r="K100" s="26">
        <v>0</v>
      </c>
      <c r="L100" s="67">
        <v>1</v>
      </c>
      <c r="N100" s="8"/>
      <c r="O100" s="2" t="s">
        <v>851</v>
      </c>
      <c r="P100" s="26">
        <v>0</v>
      </c>
      <c r="Q100" s="27">
        <v>0</v>
      </c>
      <c r="R100" s="30">
        <v>0</v>
      </c>
      <c r="S100" s="27">
        <v>0</v>
      </c>
      <c r="T100" s="30">
        <v>0</v>
      </c>
      <c r="U100" s="34">
        <v>1</v>
      </c>
      <c r="V100" s="34">
        <v>1</v>
      </c>
      <c r="X100" s="8"/>
      <c r="Y100" s="2"/>
      <c r="Z100" s="26"/>
      <c r="AA100" s="26"/>
      <c r="AB100" s="26"/>
      <c r="AC100" s="26"/>
      <c r="AD100" s="27"/>
      <c r="AE100" s="30"/>
      <c r="AF100" s="26"/>
      <c r="AG100" s="26"/>
      <c r="AH100" s="32"/>
      <c r="AJ100" s="8"/>
      <c r="AK100" s="2"/>
      <c r="AL100" s="26"/>
      <c r="AM100" s="26"/>
      <c r="AN100" s="26"/>
      <c r="AO100" s="27"/>
      <c r="AP100" s="30"/>
      <c r="AQ100" s="26"/>
      <c r="AR100" s="26"/>
      <c r="AS100" s="32"/>
      <c r="AT100" s="34"/>
    </row>
    <row r="101" spans="2:46" x14ac:dyDescent="0.3">
      <c r="B101" s="8"/>
      <c r="C101" s="2" t="s">
        <v>745</v>
      </c>
      <c r="D101" s="26">
        <v>0</v>
      </c>
      <c r="E101" s="26">
        <v>0</v>
      </c>
      <c r="F101" s="27">
        <v>0</v>
      </c>
      <c r="G101" s="26">
        <v>0</v>
      </c>
      <c r="H101" s="26">
        <v>0</v>
      </c>
      <c r="I101" s="27">
        <v>0</v>
      </c>
      <c r="J101" s="26">
        <v>0</v>
      </c>
      <c r="K101" s="26">
        <v>0</v>
      </c>
      <c r="L101" s="67">
        <v>1</v>
      </c>
      <c r="N101" s="8"/>
      <c r="O101" s="2" t="s">
        <v>681</v>
      </c>
      <c r="P101" s="26">
        <v>0</v>
      </c>
      <c r="Q101" s="27">
        <v>0</v>
      </c>
      <c r="R101" s="30">
        <v>0</v>
      </c>
      <c r="S101" s="27">
        <v>0</v>
      </c>
      <c r="T101" s="30">
        <v>0</v>
      </c>
      <c r="U101" s="34">
        <v>1</v>
      </c>
      <c r="V101" s="34">
        <v>1</v>
      </c>
      <c r="X101" s="8"/>
      <c r="Y101" s="2"/>
      <c r="Z101" s="26"/>
      <c r="AA101" s="26"/>
      <c r="AB101" s="26"/>
      <c r="AC101" s="26"/>
      <c r="AD101" s="27"/>
      <c r="AE101" s="30"/>
      <c r="AF101" s="26"/>
      <c r="AG101" s="26"/>
      <c r="AH101" s="32"/>
      <c r="AJ101" s="8"/>
      <c r="AK101" s="2"/>
      <c r="AL101" s="26"/>
      <c r="AM101" s="26"/>
      <c r="AN101" s="26"/>
      <c r="AO101" s="27"/>
      <c r="AP101" s="30"/>
      <c r="AQ101" s="26"/>
      <c r="AR101" s="26"/>
      <c r="AS101" s="32"/>
      <c r="AT101" s="34"/>
    </row>
    <row r="102" spans="2:46" x14ac:dyDescent="0.3">
      <c r="B102" s="8"/>
      <c r="C102" s="2" t="s">
        <v>746</v>
      </c>
      <c r="D102" s="26">
        <v>0</v>
      </c>
      <c r="E102" s="26">
        <v>0</v>
      </c>
      <c r="F102" s="27">
        <v>0</v>
      </c>
      <c r="G102" s="26">
        <v>0</v>
      </c>
      <c r="H102" s="26">
        <v>0</v>
      </c>
      <c r="I102" s="27">
        <v>0</v>
      </c>
      <c r="J102" s="26">
        <v>0</v>
      </c>
      <c r="K102" s="26">
        <v>0</v>
      </c>
      <c r="L102" s="67">
        <v>1</v>
      </c>
      <c r="N102" s="8"/>
      <c r="O102" s="2" t="s">
        <v>682</v>
      </c>
      <c r="P102" s="26">
        <v>0</v>
      </c>
      <c r="Q102" s="27">
        <v>0</v>
      </c>
      <c r="R102" s="30">
        <v>0</v>
      </c>
      <c r="S102" s="27">
        <v>0</v>
      </c>
      <c r="T102" s="30">
        <v>0</v>
      </c>
      <c r="U102" s="34">
        <v>1</v>
      </c>
      <c r="V102" s="34">
        <v>1</v>
      </c>
      <c r="X102" s="8"/>
      <c r="Y102" s="2"/>
      <c r="Z102" s="26"/>
      <c r="AA102" s="26"/>
      <c r="AB102" s="26"/>
      <c r="AC102" s="26"/>
      <c r="AD102" s="27"/>
      <c r="AE102" s="30"/>
      <c r="AF102" s="26"/>
      <c r="AG102" s="26"/>
      <c r="AH102" s="32"/>
      <c r="AJ102" s="8"/>
      <c r="AK102" s="2"/>
      <c r="AL102" s="26"/>
      <c r="AM102" s="26"/>
      <c r="AN102" s="26"/>
      <c r="AO102" s="27"/>
      <c r="AP102" s="30"/>
      <c r="AQ102" s="26"/>
      <c r="AR102" s="26"/>
      <c r="AS102" s="32"/>
      <c r="AT102" s="34"/>
    </row>
    <row r="103" spans="2:46" x14ac:dyDescent="0.3">
      <c r="B103" s="8"/>
      <c r="C103" s="2" t="s">
        <v>747</v>
      </c>
      <c r="D103" s="26">
        <v>0</v>
      </c>
      <c r="E103" s="26">
        <v>0</v>
      </c>
      <c r="F103" s="27">
        <v>0</v>
      </c>
      <c r="G103" s="26">
        <v>0</v>
      </c>
      <c r="H103" s="26">
        <v>0</v>
      </c>
      <c r="I103" s="27">
        <v>0</v>
      </c>
      <c r="J103" s="26">
        <v>0</v>
      </c>
      <c r="K103" s="26">
        <v>0</v>
      </c>
      <c r="L103" s="67">
        <v>1</v>
      </c>
      <c r="N103" s="8"/>
      <c r="O103" s="2" t="s">
        <v>683</v>
      </c>
      <c r="P103" s="26">
        <v>0</v>
      </c>
      <c r="Q103" s="27">
        <v>0</v>
      </c>
      <c r="R103" s="30">
        <v>0</v>
      </c>
      <c r="S103" s="27">
        <v>0</v>
      </c>
      <c r="T103" s="30">
        <v>0</v>
      </c>
      <c r="U103" s="34">
        <v>1</v>
      </c>
      <c r="V103" s="34">
        <v>1</v>
      </c>
      <c r="X103" s="8"/>
      <c r="Y103" s="2"/>
      <c r="Z103" s="26"/>
      <c r="AA103" s="26"/>
      <c r="AB103" s="26"/>
      <c r="AC103" s="26"/>
      <c r="AD103" s="27"/>
      <c r="AE103" s="30"/>
      <c r="AF103" s="26"/>
      <c r="AG103" s="26"/>
      <c r="AH103" s="32"/>
      <c r="AJ103" s="8"/>
      <c r="AK103" s="2"/>
      <c r="AL103" s="26"/>
      <c r="AM103" s="26"/>
      <c r="AN103" s="26"/>
      <c r="AO103" s="27"/>
      <c r="AP103" s="30"/>
      <c r="AQ103" s="26"/>
      <c r="AR103" s="26"/>
      <c r="AS103" s="32"/>
      <c r="AT103" s="34"/>
    </row>
    <row r="104" spans="2:46" x14ac:dyDescent="0.3">
      <c r="B104" s="8"/>
      <c r="C104" s="2" t="s">
        <v>748</v>
      </c>
      <c r="D104" s="26">
        <v>0</v>
      </c>
      <c r="E104" s="26">
        <v>0</v>
      </c>
      <c r="F104" s="27">
        <v>0</v>
      </c>
      <c r="G104" s="26">
        <v>0</v>
      </c>
      <c r="H104" s="26">
        <v>0</v>
      </c>
      <c r="I104" s="27">
        <v>0</v>
      </c>
      <c r="J104" s="26">
        <v>0</v>
      </c>
      <c r="K104" s="26">
        <v>0</v>
      </c>
      <c r="L104" s="67">
        <v>1</v>
      </c>
      <c r="N104" s="8"/>
      <c r="O104" s="2" t="s">
        <v>684</v>
      </c>
      <c r="P104" s="26">
        <v>0</v>
      </c>
      <c r="Q104" s="27">
        <v>0</v>
      </c>
      <c r="R104" s="30">
        <v>0</v>
      </c>
      <c r="S104" s="27">
        <v>0</v>
      </c>
      <c r="T104" s="30">
        <v>0</v>
      </c>
      <c r="U104" s="34">
        <v>1</v>
      </c>
      <c r="V104" s="34">
        <v>1</v>
      </c>
      <c r="X104" s="8"/>
      <c r="Y104" s="2"/>
      <c r="Z104" s="26"/>
      <c r="AA104" s="26"/>
      <c r="AB104" s="26"/>
      <c r="AC104" s="26"/>
      <c r="AD104" s="27"/>
      <c r="AE104" s="30"/>
      <c r="AF104" s="26"/>
      <c r="AG104" s="26"/>
      <c r="AH104" s="32"/>
      <c r="AJ104" s="8"/>
      <c r="AK104" s="2"/>
      <c r="AL104" s="26"/>
      <c r="AM104" s="26"/>
      <c r="AN104" s="26"/>
      <c r="AO104" s="27"/>
      <c r="AP104" s="30"/>
      <c r="AQ104" s="26"/>
      <c r="AR104" s="26"/>
      <c r="AS104" s="32"/>
      <c r="AT104" s="34"/>
    </row>
    <row r="105" spans="2:46" x14ac:dyDescent="0.3">
      <c r="B105" s="8"/>
      <c r="C105" s="2" t="s">
        <v>749</v>
      </c>
      <c r="D105" s="26">
        <v>0</v>
      </c>
      <c r="E105" s="26">
        <v>0</v>
      </c>
      <c r="F105" s="27">
        <v>0</v>
      </c>
      <c r="G105" s="26">
        <v>0</v>
      </c>
      <c r="H105" s="26">
        <v>0</v>
      </c>
      <c r="I105" s="27">
        <v>0</v>
      </c>
      <c r="J105" s="26">
        <v>0</v>
      </c>
      <c r="K105" s="26">
        <v>0</v>
      </c>
      <c r="L105" s="67">
        <v>1</v>
      </c>
      <c r="N105" s="8"/>
      <c r="O105" s="2" t="s">
        <v>685</v>
      </c>
      <c r="P105" s="26">
        <v>0</v>
      </c>
      <c r="Q105" s="27">
        <v>0</v>
      </c>
      <c r="R105" s="30">
        <v>0</v>
      </c>
      <c r="S105" s="27">
        <v>0</v>
      </c>
      <c r="T105" s="30">
        <v>0</v>
      </c>
      <c r="U105" s="34">
        <v>1</v>
      </c>
      <c r="V105" s="34">
        <v>1</v>
      </c>
      <c r="X105" s="8"/>
      <c r="Y105" s="2"/>
      <c r="Z105" s="26"/>
      <c r="AA105" s="26"/>
      <c r="AB105" s="26"/>
      <c r="AC105" s="26"/>
      <c r="AD105" s="27"/>
      <c r="AE105" s="30"/>
      <c r="AF105" s="26"/>
      <c r="AG105" s="26"/>
      <c r="AH105" s="32"/>
      <c r="AJ105" s="8"/>
      <c r="AK105" s="2"/>
      <c r="AL105" s="26"/>
      <c r="AM105" s="26"/>
      <c r="AN105" s="26"/>
      <c r="AO105" s="27"/>
      <c r="AP105" s="30"/>
      <c r="AQ105" s="26"/>
      <c r="AR105" s="26"/>
      <c r="AS105" s="32"/>
      <c r="AT105" s="34"/>
    </row>
    <row r="106" spans="2:46" x14ac:dyDescent="0.3">
      <c r="B106" s="8"/>
      <c r="C106" s="2" t="s">
        <v>750</v>
      </c>
      <c r="D106" s="26">
        <v>0</v>
      </c>
      <c r="E106" s="26">
        <v>0</v>
      </c>
      <c r="F106" s="27">
        <v>0</v>
      </c>
      <c r="G106" s="26">
        <v>0</v>
      </c>
      <c r="H106" s="26">
        <v>0</v>
      </c>
      <c r="I106" s="27">
        <v>0</v>
      </c>
      <c r="J106" s="26">
        <v>0</v>
      </c>
      <c r="K106" s="26">
        <v>0</v>
      </c>
      <c r="L106" s="67">
        <v>1</v>
      </c>
      <c r="N106" s="8"/>
      <c r="O106" s="2" t="s">
        <v>686</v>
      </c>
      <c r="P106" s="26">
        <v>0</v>
      </c>
      <c r="Q106" s="27">
        <v>0</v>
      </c>
      <c r="R106" s="30">
        <v>0</v>
      </c>
      <c r="S106" s="27">
        <v>0</v>
      </c>
      <c r="T106" s="30">
        <v>0</v>
      </c>
      <c r="U106" s="34">
        <v>1</v>
      </c>
      <c r="V106" s="34">
        <v>1</v>
      </c>
      <c r="X106" s="8"/>
      <c r="Y106" s="2"/>
      <c r="Z106" s="26"/>
      <c r="AA106" s="26"/>
      <c r="AB106" s="26"/>
      <c r="AC106" s="26"/>
      <c r="AD106" s="27"/>
      <c r="AE106" s="30"/>
      <c r="AF106" s="26"/>
      <c r="AG106" s="26"/>
      <c r="AH106" s="32"/>
      <c r="AJ106" s="8"/>
      <c r="AK106" s="2"/>
      <c r="AL106" s="26"/>
      <c r="AM106" s="26"/>
      <c r="AN106" s="26"/>
      <c r="AO106" s="27"/>
      <c r="AP106" s="30"/>
      <c r="AQ106" s="26"/>
      <c r="AR106" s="26"/>
      <c r="AS106" s="32"/>
      <c r="AT106" s="34"/>
    </row>
    <row r="107" spans="2:46" x14ac:dyDescent="0.3">
      <c r="B107" s="8"/>
      <c r="C107" s="2" t="s">
        <v>751</v>
      </c>
      <c r="D107" s="26">
        <v>0</v>
      </c>
      <c r="E107" s="26">
        <v>0</v>
      </c>
      <c r="F107" s="27">
        <v>0</v>
      </c>
      <c r="G107" s="26">
        <v>0</v>
      </c>
      <c r="H107" s="26">
        <v>0</v>
      </c>
      <c r="I107" s="27">
        <v>0</v>
      </c>
      <c r="J107" s="26">
        <v>0</v>
      </c>
      <c r="K107" s="26">
        <v>0</v>
      </c>
      <c r="L107" s="67">
        <v>1</v>
      </c>
      <c r="N107" s="8"/>
      <c r="O107" s="2" t="s">
        <v>687</v>
      </c>
      <c r="P107" s="26">
        <v>0</v>
      </c>
      <c r="Q107" s="27">
        <v>0</v>
      </c>
      <c r="R107" s="30">
        <v>0</v>
      </c>
      <c r="S107" s="27">
        <v>0</v>
      </c>
      <c r="T107" s="30">
        <v>0</v>
      </c>
      <c r="U107" s="34">
        <v>1</v>
      </c>
      <c r="V107" s="34">
        <v>1</v>
      </c>
      <c r="X107" s="8"/>
      <c r="Y107" s="2"/>
      <c r="Z107" s="26"/>
      <c r="AA107" s="26"/>
      <c r="AB107" s="26"/>
      <c r="AC107" s="26"/>
      <c r="AD107" s="27"/>
      <c r="AE107" s="30"/>
      <c r="AF107" s="26"/>
      <c r="AG107" s="26"/>
      <c r="AH107" s="32"/>
      <c r="AJ107" s="8"/>
      <c r="AK107" s="2"/>
      <c r="AL107" s="26"/>
      <c r="AM107" s="26"/>
      <c r="AN107" s="26"/>
      <c r="AO107" s="27"/>
      <c r="AP107" s="30"/>
      <c r="AQ107" s="26"/>
      <c r="AR107" s="26"/>
      <c r="AS107" s="32"/>
      <c r="AT107" s="34"/>
    </row>
    <row r="108" spans="2:46" x14ac:dyDescent="0.3">
      <c r="B108" s="8"/>
      <c r="C108" s="2" t="s">
        <v>752</v>
      </c>
      <c r="D108" s="26">
        <v>0</v>
      </c>
      <c r="E108" s="26">
        <v>0</v>
      </c>
      <c r="F108" s="27">
        <v>0</v>
      </c>
      <c r="G108" s="26">
        <v>0</v>
      </c>
      <c r="H108" s="26">
        <v>0</v>
      </c>
      <c r="I108" s="27">
        <v>0</v>
      </c>
      <c r="J108" s="26">
        <v>0</v>
      </c>
      <c r="K108" s="26">
        <v>0</v>
      </c>
      <c r="L108" s="67">
        <v>1</v>
      </c>
      <c r="N108" s="8"/>
      <c r="O108" s="2" t="s">
        <v>688</v>
      </c>
      <c r="P108" s="26">
        <v>0</v>
      </c>
      <c r="Q108" s="27">
        <v>0</v>
      </c>
      <c r="R108" s="30">
        <v>0</v>
      </c>
      <c r="S108" s="27">
        <v>0</v>
      </c>
      <c r="T108" s="30">
        <v>0</v>
      </c>
      <c r="U108" s="34">
        <v>1</v>
      </c>
      <c r="V108" s="34">
        <v>1</v>
      </c>
      <c r="X108" s="8"/>
      <c r="Y108" s="2"/>
      <c r="Z108" s="26"/>
      <c r="AA108" s="26"/>
      <c r="AB108" s="26"/>
      <c r="AC108" s="26"/>
      <c r="AD108" s="27"/>
      <c r="AE108" s="30"/>
      <c r="AF108" s="26"/>
      <c r="AG108" s="26"/>
      <c r="AH108" s="32"/>
      <c r="AJ108" s="8"/>
      <c r="AK108" s="2"/>
      <c r="AL108" s="26"/>
      <c r="AM108" s="26"/>
      <c r="AN108" s="26"/>
      <c r="AO108" s="27"/>
      <c r="AP108" s="30"/>
      <c r="AQ108" s="26"/>
      <c r="AR108" s="26"/>
      <c r="AS108" s="32"/>
      <c r="AT108" s="34"/>
    </row>
    <row r="109" spans="2:46" x14ac:dyDescent="0.3">
      <c r="B109" s="8"/>
      <c r="C109" s="2"/>
      <c r="D109" s="26"/>
      <c r="E109" s="26"/>
      <c r="F109" s="27"/>
      <c r="G109" s="26"/>
      <c r="H109" s="26"/>
      <c r="I109" s="27"/>
      <c r="J109" s="26"/>
      <c r="K109" s="26"/>
      <c r="L109" s="67"/>
      <c r="N109" s="8"/>
      <c r="O109" s="2"/>
      <c r="P109" s="26"/>
      <c r="Q109" s="27"/>
      <c r="R109" s="30"/>
      <c r="S109" s="27"/>
      <c r="T109" s="30"/>
      <c r="U109" s="34"/>
      <c r="V109" s="34"/>
      <c r="X109" s="8"/>
      <c r="Y109" s="2"/>
      <c r="Z109" s="26"/>
      <c r="AA109" s="26"/>
      <c r="AB109" s="26"/>
      <c r="AC109" s="26"/>
      <c r="AD109" s="27"/>
      <c r="AE109" s="30"/>
      <c r="AF109" s="26"/>
      <c r="AG109" s="26"/>
      <c r="AH109" s="32"/>
      <c r="AJ109" s="8"/>
      <c r="AK109" s="2"/>
      <c r="AL109" s="26"/>
      <c r="AM109" s="26"/>
      <c r="AN109" s="26"/>
      <c r="AO109" s="27"/>
      <c r="AP109" s="30"/>
      <c r="AQ109" s="26"/>
      <c r="AR109" s="26"/>
      <c r="AS109" s="32"/>
      <c r="AT109" s="34"/>
    </row>
    <row r="110" spans="2:46" x14ac:dyDescent="0.3">
      <c r="B110" s="8"/>
      <c r="C110" s="2"/>
      <c r="D110" s="26"/>
      <c r="E110" s="26"/>
      <c r="F110" s="27"/>
      <c r="G110" s="26"/>
      <c r="H110" s="26"/>
      <c r="I110" s="27"/>
      <c r="J110" s="26"/>
      <c r="K110" s="26"/>
      <c r="L110" s="67"/>
      <c r="N110" s="8"/>
      <c r="O110" s="2"/>
      <c r="P110" s="26"/>
      <c r="Q110" s="27"/>
      <c r="R110" s="30"/>
      <c r="S110" s="27"/>
      <c r="T110" s="30"/>
      <c r="U110" s="34"/>
      <c r="V110" s="34"/>
      <c r="X110" s="8"/>
      <c r="Y110" s="2"/>
      <c r="Z110" s="26"/>
      <c r="AA110" s="26"/>
      <c r="AB110" s="26"/>
      <c r="AC110" s="26"/>
      <c r="AD110" s="27"/>
      <c r="AE110" s="30"/>
      <c r="AF110" s="26"/>
      <c r="AG110" s="26"/>
      <c r="AH110" s="32"/>
      <c r="AJ110" s="8"/>
      <c r="AK110" s="2"/>
      <c r="AL110" s="26"/>
      <c r="AM110" s="26"/>
      <c r="AN110" s="26"/>
      <c r="AO110" s="27"/>
      <c r="AP110" s="30"/>
      <c r="AQ110" s="26"/>
      <c r="AR110" s="26"/>
      <c r="AS110" s="32"/>
      <c r="AT110" s="34"/>
    </row>
    <row r="111" spans="2:46" x14ac:dyDescent="0.3">
      <c r="B111" s="8"/>
      <c r="C111" s="2"/>
      <c r="D111" s="26"/>
      <c r="E111" s="26"/>
      <c r="F111" s="27"/>
      <c r="G111" s="26"/>
      <c r="H111" s="26"/>
      <c r="I111" s="27"/>
      <c r="J111" s="26"/>
      <c r="K111" s="26"/>
      <c r="L111" s="67"/>
      <c r="N111" s="8"/>
      <c r="O111" s="2"/>
      <c r="P111" s="26"/>
      <c r="Q111" s="27"/>
      <c r="R111" s="30"/>
      <c r="S111" s="27"/>
      <c r="T111" s="30"/>
      <c r="U111" s="34"/>
      <c r="V111" s="34"/>
      <c r="X111" s="8"/>
      <c r="Y111" s="2"/>
      <c r="Z111" s="26"/>
      <c r="AA111" s="26"/>
      <c r="AB111" s="26"/>
      <c r="AC111" s="26"/>
      <c r="AD111" s="27"/>
      <c r="AE111" s="30"/>
      <c r="AF111" s="26"/>
      <c r="AG111" s="26"/>
      <c r="AH111" s="32"/>
      <c r="AJ111" s="8"/>
      <c r="AK111" s="2"/>
      <c r="AL111" s="26"/>
      <c r="AM111" s="26"/>
      <c r="AN111" s="26"/>
      <c r="AO111" s="27"/>
      <c r="AP111" s="30"/>
      <c r="AQ111" s="26"/>
      <c r="AR111" s="26"/>
      <c r="AS111" s="32"/>
      <c r="AT111" s="34"/>
    </row>
    <row r="112" spans="2:46" x14ac:dyDescent="0.3">
      <c r="B112" s="8"/>
      <c r="C112" s="2"/>
      <c r="D112" s="26"/>
      <c r="E112" s="26"/>
      <c r="F112" s="27"/>
      <c r="G112" s="26"/>
      <c r="H112" s="26"/>
      <c r="I112" s="27"/>
      <c r="J112" s="26"/>
      <c r="K112" s="26"/>
      <c r="L112" s="67"/>
      <c r="N112" s="8"/>
      <c r="O112" s="2"/>
      <c r="P112" s="26"/>
      <c r="Q112" s="27"/>
      <c r="R112" s="30"/>
      <c r="S112" s="27"/>
      <c r="T112" s="30"/>
      <c r="U112" s="34"/>
      <c r="V112" s="34"/>
      <c r="X112" s="8"/>
      <c r="Y112" s="2"/>
      <c r="Z112" s="26"/>
      <c r="AA112" s="26"/>
      <c r="AB112" s="26"/>
      <c r="AC112" s="26"/>
      <c r="AD112" s="27"/>
      <c r="AE112" s="30"/>
      <c r="AF112" s="26"/>
      <c r="AG112" s="26"/>
      <c r="AH112" s="32"/>
      <c r="AJ112" s="8"/>
      <c r="AK112" s="2"/>
      <c r="AL112" s="26"/>
      <c r="AM112" s="26"/>
      <c r="AN112" s="26"/>
      <c r="AO112" s="27"/>
      <c r="AP112" s="30"/>
      <c r="AQ112" s="26"/>
      <c r="AR112" s="26"/>
      <c r="AS112" s="32"/>
      <c r="AT112" s="34"/>
    </row>
    <row r="113" spans="2:46" x14ac:dyDescent="0.3">
      <c r="B113" s="8"/>
      <c r="C113" s="2"/>
      <c r="D113" s="26"/>
      <c r="E113" s="26"/>
      <c r="F113" s="27"/>
      <c r="G113" s="26"/>
      <c r="H113" s="26"/>
      <c r="I113" s="27"/>
      <c r="J113" s="26"/>
      <c r="K113" s="26"/>
      <c r="L113" s="67"/>
      <c r="N113" s="8"/>
      <c r="O113" s="2"/>
      <c r="P113" s="26"/>
      <c r="Q113" s="27"/>
      <c r="R113" s="30"/>
      <c r="S113" s="27"/>
      <c r="T113" s="30"/>
      <c r="U113" s="34"/>
      <c r="V113" s="34"/>
      <c r="X113" s="8"/>
      <c r="Y113" s="2"/>
      <c r="Z113" s="26"/>
      <c r="AA113" s="26"/>
      <c r="AB113" s="26"/>
      <c r="AC113" s="26"/>
      <c r="AD113" s="27"/>
      <c r="AE113" s="30"/>
      <c r="AF113" s="26"/>
      <c r="AG113" s="26"/>
      <c r="AH113" s="32"/>
      <c r="AJ113" s="8"/>
      <c r="AK113" s="2"/>
      <c r="AL113" s="26"/>
      <c r="AM113" s="26"/>
      <c r="AN113" s="26"/>
      <c r="AO113" s="27"/>
      <c r="AP113" s="30"/>
      <c r="AQ113" s="26"/>
      <c r="AR113" s="26"/>
      <c r="AS113" s="32"/>
      <c r="AT113" s="34"/>
    </row>
    <row r="114" spans="2:46" x14ac:dyDescent="0.3">
      <c r="B114" s="8"/>
      <c r="C114" s="2"/>
      <c r="D114" s="26"/>
      <c r="E114" s="26"/>
      <c r="F114" s="27"/>
      <c r="G114" s="26"/>
      <c r="H114" s="26"/>
      <c r="I114" s="27"/>
      <c r="J114" s="26"/>
      <c r="K114" s="26"/>
      <c r="L114" s="67"/>
      <c r="N114" s="8"/>
      <c r="O114" s="2"/>
      <c r="P114" s="26"/>
      <c r="Q114" s="27"/>
      <c r="R114" s="30"/>
      <c r="S114" s="27"/>
      <c r="T114" s="30"/>
      <c r="U114" s="34"/>
      <c r="V114" s="34"/>
      <c r="X114" s="8"/>
      <c r="Y114" s="2"/>
      <c r="Z114" s="26"/>
      <c r="AA114" s="26"/>
      <c r="AB114" s="26"/>
      <c r="AC114" s="26"/>
      <c r="AD114" s="27"/>
      <c r="AE114" s="30"/>
      <c r="AF114" s="26"/>
      <c r="AG114" s="26"/>
      <c r="AH114" s="32"/>
      <c r="AJ114" s="8"/>
      <c r="AK114" s="2"/>
      <c r="AL114" s="26"/>
      <c r="AM114" s="26"/>
      <c r="AN114" s="26"/>
      <c r="AO114" s="27"/>
      <c r="AP114" s="30"/>
      <c r="AQ114" s="26"/>
      <c r="AR114" s="26"/>
      <c r="AS114" s="32"/>
      <c r="AT114" s="34"/>
    </row>
    <row r="115" spans="2:46" x14ac:dyDescent="0.3">
      <c r="B115" s="8"/>
      <c r="C115" s="2"/>
      <c r="D115" s="26"/>
      <c r="E115" s="26"/>
      <c r="F115" s="27"/>
      <c r="G115" s="26"/>
      <c r="H115" s="26"/>
      <c r="I115" s="27"/>
      <c r="J115" s="26"/>
      <c r="K115" s="26"/>
      <c r="L115" s="67"/>
      <c r="N115" s="8"/>
      <c r="O115" s="2"/>
      <c r="P115" s="26"/>
      <c r="Q115" s="27"/>
      <c r="R115" s="30"/>
      <c r="S115" s="27"/>
      <c r="T115" s="30"/>
      <c r="U115" s="34"/>
      <c r="V115" s="34"/>
      <c r="X115" s="8"/>
      <c r="Y115" s="2"/>
      <c r="Z115" s="26"/>
      <c r="AA115" s="26"/>
      <c r="AB115" s="26"/>
      <c r="AC115" s="26"/>
      <c r="AD115" s="27"/>
      <c r="AE115" s="30"/>
      <c r="AF115" s="26"/>
      <c r="AG115" s="26"/>
      <c r="AH115" s="32"/>
      <c r="AJ115" s="8"/>
      <c r="AK115" s="2"/>
      <c r="AL115" s="26"/>
      <c r="AM115" s="26"/>
      <c r="AN115" s="26"/>
      <c r="AO115" s="27"/>
      <c r="AP115" s="30"/>
      <c r="AQ115" s="26"/>
      <c r="AR115" s="26"/>
      <c r="AS115" s="32"/>
      <c r="AT115" s="34"/>
    </row>
    <row r="116" spans="2:46" x14ac:dyDescent="0.3">
      <c r="B116" s="8"/>
      <c r="C116" s="2"/>
      <c r="D116" s="26"/>
      <c r="E116" s="26"/>
      <c r="F116" s="27"/>
      <c r="G116" s="26"/>
      <c r="H116" s="26"/>
      <c r="I116" s="27"/>
      <c r="J116" s="26"/>
      <c r="K116" s="26"/>
      <c r="L116" s="67"/>
      <c r="N116" s="8"/>
      <c r="O116" s="2"/>
      <c r="P116" s="26"/>
      <c r="Q116" s="27"/>
      <c r="R116" s="30"/>
      <c r="S116" s="27"/>
      <c r="T116" s="30"/>
      <c r="U116" s="34"/>
      <c r="V116" s="34"/>
      <c r="X116" s="8"/>
      <c r="Y116" s="2"/>
      <c r="Z116" s="26"/>
      <c r="AA116" s="26"/>
      <c r="AB116" s="26"/>
      <c r="AC116" s="26"/>
      <c r="AD116" s="27"/>
      <c r="AE116" s="30"/>
      <c r="AF116" s="26"/>
      <c r="AG116" s="26"/>
      <c r="AH116" s="32"/>
      <c r="AJ116" s="8"/>
      <c r="AK116" s="2"/>
      <c r="AL116" s="26"/>
      <c r="AM116" s="26"/>
      <c r="AN116" s="26"/>
      <c r="AO116" s="27"/>
      <c r="AP116" s="30"/>
      <c r="AQ116" s="26"/>
      <c r="AR116" s="26"/>
      <c r="AS116" s="32"/>
      <c r="AT116" s="34"/>
    </row>
    <row r="117" spans="2:46" x14ac:dyDescent="0.3">
      <c r="B117" s="8"/>
      <c r="C117" s="2"/>
      <c r="D117" s="26"/>
      <c r="E117" s="26"/>
      <c r="F117" s="27"/>
      <c r="G117" s="26"/>
      <c r="H117" s="26"/>
      <c r="I117" s="27"/>
      <c r="J117" s="26"/>
      <c r="K117" s="26"/>
      <c r="L117" s="67"/>
      <c r="N117" s="8"/>
      <c r="O117" s="2"/>
      <c r="P117" s="26"/>
      <c r="Q117" s="27"/>
      <c r="R117" s="30"/>
      <c r="S117" s="27"/>
      <c r="T117" s="30"/>
      <c r="U117" s="34"/>
      <c r="V117" s="34"/>
      <c r="X117" s="8"/>
      <c r="Y117" s="2"/>
      <c r="Z117" s="26"/>
      <c r="AA117" s="26"/>
      <c r="AB117" s="26"/>
      <c r="AC117" s="26"/>
      <c r="AD117" s="27"/>
      <c r="AE117" s="30"/>
      <c r="AF117" s="26"/>
      <c r="AG117" s="26"/>
      <c r="AH117" s="32"/>
      <c r="AJ117" s="8"/>
      <c r="AK117" s="2"/>
      <c r="AL117" s="26"/>
      <c r="AM117" s="26"/>
      <c r="AN117" s="26"/>
      <c r="AO117" s="27"/>
      <c r="AP117" s="30"/>
      <c r="AQ117" s="26"/>
      <c r="AR117" s="26"/>
      <c r="AS117" s="32"/>
      <c r="AT117" s="34"/>
    </row>
    <row r="118" spans="2:46" x14ac:dyDescent="0.3">
      <c r="B118" s="8"/>
      <c r="C118" s="2"/>
      <c r="D118" s="26"/>
      <c r="E118" s="26"/>
      <c r="F118" s="27"/>
      <c r="G118" s="26"/>
      <c r="H118" s="26"/>
      <c r="I118" s="27"/>
      <c r="J118" s="26"/>
      <c r="K118" s="26"/>
      <c r="L118" s="67"/>
      <c r="N118" s="8"/>
      <c r="O118" s="2"/>
      <c r="P118" s="26"/>
      <c r="Q118" s="27"/>
      <c r="R118" s="30"/>
      <c r="S118" s="27"/>
      <c r="T118" s="30"/>
      <c r="U118" s="34"/>
      <c r="V118" s="34"/>
      <c r="X118" s="8"/>
      <c r="Y118" s="2"/>
      <c r="Z118" s="26"/>
      <c r="AA118" s="26"/>
      <c r="AB118" s="26"/>
      <c r="AC118" s="26"/>
      <c r="AD118" s="27"/>
      <c r="AE118" s="30"/>
      <c r="AF118" s="26"/>
      <c r="AG118" s="26"/>
      <c r="AH118" s="32"/>
      <c r="AJ118" s="8"/>
      <c r="AK118" s="2"/>
      <c r="AL118" s="26"/>
      <c r="AM118" s="26"/>
      <c r="AN118" s="26"/>
      <c r="AO118" s="27"/>
      <c r="AP118" s="30"/>
      <c r="AQ118" s="26"/>
      <c r="AR118" s="26"/>
      <c r="AS118" s="32"/>
      <c r="AT118" s="34"/>
    </row>
    <row r="119" spans="2:46" x14ac:dyDescent="0.3">
      <c r="B119" s="8"/>
      <c r="C119" s="2"/>
      <c r="D119" s="26"/>
      <c r="E119" s="26"/>
      <c r="F119" s="27"/>
      <c r="G119" s="26"/>
      <c r="H119" s="26"/>
      <c r="I119" s="27"/>
      <c r="J119" s="26"/>
      <c r="K119" s="26"/>
      <c r="L119" s="67"/>
      <c r="N119" s="8"/>
      <c r="O119" s="2"/>
      <c r="P119" s="26"/>
      <c r="Q119" s="27"/>
      <c r="R119" s="30"/>
      <c r="S119" s="27"/>
      <c r="T119" s="30"/>
      <c r="U119" s="34"/>
      <c r="V119" s="34"/>
      <c r="X119" s="8"/>
      <c r="Y119" s="2"/>
      <c r="Z119" s="26"/>
      <c r="AA119" s="26"/>
      <c r="AB119" s="26"/>
      <c r="AC119" s="26"/>
      <c r="AD119" s="27"/>
      <c r="AE119" s="30"/>
      <c r="AF119" s="26"/>
      <c r="AG119" s="26"/>
      <c r="AH119" s="32"/>
      <c r="AJ119" s="8"/>
      <c r="AK119" s="2"/>
      <c r="AL119" s="26"/>
      <c r="AM119" s="26"/>
      <c r="AN119" s="26"/>
      <c r="AO119" s="27"/>
      <c r="AP119" s="30"/>
      <c r="AQ119" s="26"/>
      <c r="AR119" s="26"/>
      <c r="AS119" s="32"/>
      <c r="AT119" s="34"/>
    </row>
    <row r="120" spans="2:46" x14ac:dyDescent="0.3">
      <c r="B120" s="8"/>
      <c r="C120" s="2"/>
      <c r="D120" s="26"/>
      <c r="E120" s="26"/>
      <c r="F120" s="27"/>
      <c r="G120" s="26"/>
      <c r="H120" s="26"/>
      <c r="I120" s="27"/>
      <c r="J120" s="26"/>
      <c r="K120" s="26"/>
      <c r="L120" s="67"/>
      <c r="N120" s="8"/>
      <c r="O120" s="2"/>
      <c r="P120" s="26"/>
      <c r="Q120" s="27"/>
      <c r="R120" s="30"/>
      <c r="S120" s="27"/>
      <c r="T120" s="30"/>
      <c r="U120" s="34"/>
      <c r="V120" s="34"/>
      <c r="X120" s="8"/>
      <c r="Y120" s="2"/>
      <c r="Z120" s="26"/>
      <c r="AA120" s="26"/>
      <c r="AB120" s="26"/>
      <c r="AC120" s="26"/>
      <c r="AD120" s="27"/>
      <c r="AE120" s="30"/>
      <c r="AF120" s="26"/>
      <c r="AG120" s="26"/>
      <c r="AH120" s="32"/>
      <c r="AJ120" s="8"/>
      <c r="AK120" s="2"/>
      <c r="AL120" s="26"/>
      <c r="AM120" s="26"/>
      <c r="AN120" s="26"/>
      <c r="AO120" s="27"/>
      <c r="AP120" s="30"/>
      <c r="AQ120" s="26"/>
      <c r="AR120" s="26"/>
      <c r="AS120" s="32"/>
      <c r="AT120" s="34"/>
    </row>
    <row r="121" spans="2:46" x14ac:dyDescent="0.3">
      <c r="B121" s="8"/>
      <c r="C121" s="2"/>
      <c r="D121" s="26"/>
      <c r="E121" s="26"/>
      <c r="F121" s="27"/>
      <c r="G121" s="26"/>
      <c r="H121" s="26"/>
      <c r="I121" s="27"/>
      <c r="J121" s="26"/>
      <c r="K121" s="26"/>
      <c r="L121" s="67"/>
      <c r="N121" s="8"/>
      <c r="O121" s="2"/>
      <c r="P121" s="26"/>
      <c r="Q121" s="27"/>
      <c r="R121" s="30"/>
      <c r="S121" s="27"/>
      <c r="T121" s="30"/>
      <c r="U121" s="34"/>
      <c r="V121" s="34"/>
      <c r="X121" s="8"/>
      <c r="Y121" s="2"/>
      <c r="Z121" s="26"/>
      <c r="AA121" s="26"/>
      <c r="AB121" s="26"/>
      <c r="AC121" s="26"/>
      <c r="AD121" s="27"/>
      <c r="AE121" s="30"/>
      <c r="AF121" s="26"/>
      <c r="AG121" s="26"/>
      <c r="AH121" s="32"/>
      <c r="AJ121" s="8"/>
      <c r="AK121" s="2"/>
      <c r="AL121" s="26"/>
      <c r="AM121" s="26"/>
      <c r="AN121" s="26"/>
      <c r="AO121" s="27"/>
      <c r="AP121" s="30"/>
      <c r="AQ121" s="26"/>
      <c r="AR121" s="26"/>
      <c r="AS121" s="32"/>
      <c r="AT121" s="34"/>
    </row>
    <row r="122" spans="2:46" x14ac:dyDescent="0.3">
      <c r="B122" s="8"/>
      <c r="C122" s="2"/>
      <c r="D122" s="26"/>
      <c r="E122" s="26"/>
      <c r="F122" s="27"/>
      <c r="G122" s="26"/>
      <c r="H122" s="26"/>
      <c r="I122" s="27"/>
      <c r="J122" s="26"/>
      <c r="K122" s="26"/>
      <c r="L122" s="67"/>
      <c r="N122" s="8"/>
      <c r="O122" s="2"/>
      <c r="P122" s="26"/>
      <c r="Q122" s="27"/>
      <c r="R122" s="30"/>
      <c r="S122" s="27"/>
      <c r="T122" s="30"/>
      <c r="U122" s="34"/>
      <c r="V122" s="34"/>
      <c r="X122" s="8"/>
      <c r="Y122" s="2"/>
      <c r="Z122" s="26"/>
      <c r="AA122" s="26"/>
      <c r="AB122" s="26"/>
      <c r="AC122" s="26"/>
      <c r="AD122" s="27"/>
      <c r="AE122" s="30"/>
      <c r="AF122" s="26"/>
      <c r="AG122" s="26"/>
      <c r="AH122" s="32"/>
      <c r="AJ122" s="8"/>
      <c r="AK122" s="2"/>
      <c r="AL122" s="26"/>
      <c r="AM122" s="26"/>
      <c r="AN122" s="26"/>
      <c r="AO122" s="27"/>
      <c r="AP122" s="30"/>
      <c r="AQ122" s="26"/>
      <c r="AR122" s="26"/>
      <c r="AS122" s="32"/>
      <c r="AT122" s="34"/>
    </row>
    <row r="123" spans="2:46" x14ac:dyDescent="0.3">
      <c r="B123" s="8"/>
      <c r="C123" s="2"/>
      <c r="D123" s="26"/>
      <c r="E123" s="26"/>
      <c r="F123" s="27"/>
      <c r="G123" s="26"/>
      <c r="H123" s="26"/>
      <c r="I123" s="27"/>
      <c r="J123" s="26"/>
      <c r="K123" s="26"/>
      <c r="L123" s="67"/>
      <c r="N123" s="8"/>
      <c r="O123" s="2"/>
      <c r="P123" s="26"/>
      <c r="Q123" s="27"/>
      <c r="R123" s="30"/>
      <c r="S123" s="27"/>
      <c r="T123" s="30"/>
      <c r="U123" s="34"/>
      <c r="V123" s="34"/>
      <c r="X123" s="8"/>
      <c r="Y123" s="2"/>
      <c r="Z123" s="26"/>
      <c r="AA123" s="26"/>
      <c r="AB123" s="26"/>
      <c r="AC123" s="26"/>
      <c r="AD123" s="27"/>
      <c r="AE123" s="30"/>
      <c r="AF123" s="26"/>
      <c r="AG123" s="26"/>
      <c r="AH123" s="32"/>
      <c r="AJ123" s="8"/>
      <c r="AK123" s="2"/>
      <c r="AL123" s="26"/>
      <c r="AM123" s="26"/>
      <c r="AN123" s="26"/>
      <c r="AO123" s="27"/>
      <c r="AP123" s="30"/>
      <c r="AQ123" s="26"/>
      <c r="AR123" s="26"/>
      <c r="AS123" s="32"/>
      <c r="AT123" s="34"/>
    </row>
    <row r="124" spans="2:46" x14ac:dyDescent="0.3">
      <c r="B124" s="8"/>
      <c r="C124" s="2"/>
      <c r="D124" s="26"/>
      <c r="E124" s="26"/>
      <c r="F124" s="27"/>
      <c r="G124" s="26"/>
      <c r="H124" s="26"/>
      <c r="I124" s="27"/>
      <c r="J124" s="26"/>
      <c r="K124" s="26"/>
      <c r="L124" s="67"/>
      <c r="N124" s="8"/>
      <c r="O124" s="2"/>
      <c r="P124" s="26"/>
      <c r="Q124" s="27"/>
      <c r="R124" s="30"/>
      <c r="S124" s="27"/>
      <c r="T124" s="30"/>
      <c r="U124" s="34"/>
      <c r="V124" s="34"/>
      <c r="X124" s="8"/>
      <c r="Y124" s="2"/>
      <c r="Z124" s="26"/>
      <c r="AA124" s="26"/>
      <c r="AB124" s="26"/>
      <c r="AC124" s="26"/>
      <c r="AD124" s="27"/>
      <c r="AE124" s="30"/>
      <c r="AF124" s="26"/>
      <c r="AG124" s="26"/>
      <c r="AH124" s="32"/>
      <c r="AJ124" s="8"/>
      <c r="AK124" s="2"/>
      <c r="AL124" s="26"/>
      <c r="AM124" s="26"/>
      <c r="AN124" s="26"/>
      <c r="AO124" s="27"/>
      <c r="AP124" s="30"/>
      <c r="AQ124" s="26"/>
      <c r="AR124" s="26"/>
      <c r="AS124" s="32"/>
      <c r="AT124" s="34"/>
    </row>
    <row r="125" spans="2:46" x14ac:dyDescent="0.3">
      <c r="B125" s="8"/>
      <c r="C125" s="2"/>
      <c r="D125" s="26"/>
      <c r="E125" s="26"/>
      <c r="F125" s="27"/>
      <c r="G125" s="26"/>
      <c r="H125" s="26"/>
      <c r="I125" s="27"/>
      <c r="J125" s="26"/>
      <c r="K125" s="26"/>
      <c r="L125" s="67"/>
      <c r="N125" s="8"/>
      <c r="O125" s="2"/>
      <c r="P125" s="26"/>
      <c r="Q125" s="27"/>
      <c r="R125" s="30"/>
      <c r="S125" s="27"/>
      <c r="T125" s="30"/>
      <c r="U125" s="34"/>
      <c r="V125" s="34"/>
      <c r="X125" s="8"/>
      <c r="Y125" s="2"/>
      <c r="Z125" s="26"/>
      <c r="AA125" s="26"/>
      <c r="AB125" s="26"/>
      <c r="AC125" s="26"/>
      <c r="AD125" s="27"/>
      <c r="AE125" s="30"/>
      <c r="AF125" s="26"/>
      <c r="AG125" s="26"/>
      <c r="AH125" s="32"/>
      <c r="AJ125" s="8"/>
      <c r="AK125" s="2"/>
      <c r="AL125" s="26"/>
      <c r="AM125" s="26"/>
      <c r="AN125" s="26"/>
      <c r="AO125" s="27"/>
      <c r="AP125" s="30"/>
      <c r="AQ125" s="26"/>
      <c r="AR125" s="26"/>
      <c r="AS125" s="32"/>
      <c r="AT125" s="34"/>
    </row>
    <row r="126" spans="2:46" x14ac:dyDescent="0.3">
      <c r="B126" s="8"/>
      <c r="C126" s="2"/>
      <c r="D126" s="26"/>
      <c r="E126" s="26"/>
      <c r="F126" s="27"/>
      <c r="G126" s="26"/>
      <c r="H126" s="26"/>
      <c r="I126" s="27"/>
      <c r="J126" s="26"/>
      <c r="K126" s="26"/>
      <c r="L126" s="67"/>
      <c r="N126" s="8"/>
      <c r="O126" s="2"/>
      <c r="P126" s="26"/>
      <c r="Q126" s="27"/>
      <c r="R126" s="30"/>
      <c r="S126" s="27"/>
      <c r="T126" s="30"/>
      <c r="U126" s="34"/>
      <c r="V126" s="34"/>
      <c r="X126" s="8"/>
      <c r="Y126" s="2"/>
      <c r="Z126" s="26"/>
      <c r="AA126" s="26"/>
      <c r="AB126" s="26"/>
      <c r="AC126" s="26"/>
      <c r="AD126" s="27"/>
      <c r="AE126" s="30"/>
      <c r="AF126" s="26"/>
      <c r="AG126" s="26"/>
      <c r="AH126" s="32"/>
      <c r="AJ126" s="8"/>
      <c r="AK126" s="2"/>
      <c r="AL126" s="26"/>
      <c r="AM126" s="26"/>
      <c r="AN126" s="26"/>
      <c r="AO126" s="27"/>
      <c r="AP126" s="30"/>
      <c r="AQ126" s="26"/>
      <c r="AR126" s="26"/>
      <c r="AS126" s="32"/>
      <c r="AT126" s="34"/>
    </row>
    <row r="127" spans="2:46" x14ac:dyDescent="0.3">
      <c r="B127" s="8"/>
      <c r="C127" s="2"/>
      <c r="D127" s="26"/>
      <c r="E127" s="26"/>
      <c r="F127" s="27"/>
      <c r="G127" s="26"/>
      <c r="H127" s="26"/>
      <c r="I127" s="27"/>
      <c r="J127" s="26"/>
      <c r="K127" s="26"/>
      <c r="L127" s="67"/>
      <c r="N127" s="8"/>
      <c r="O127" s="2"/>
      <c r="P127" s="26"/>
      <c r="Q127" s="27"/>
      <c r="R127" s="30"/>
      <c r="S127" s="27"/>
      <c r="T127" s="30"/>
      <c r="U127" s="34"/>
      <c r="V127" s="34"/>
      <c r="X127" s="8"/>
      <c r="Y127" s="2"/>
      <c r="Z127" s="26"/>
      <c r="AA127" s="26"/>
      <c r="AB127" s="26"/>
      <c r="AC127" s="26"/>
      <c r="AD127" s="27"/>
      <c r="AE127" s="30"/>
      <c r="AF127" s="26"/>
      <c r="AG127" s="26"/>
      <c r="AH127" s="32"/>
      <c r="AJ127" s="8"/>
      <c r="AK127" s="2"/>
      <c r="AL127" s="26"/>
      <c r="AM127" s="26"/>
      <c r="AN127" s="26"/>
      <c r="AO127" s="27"/>
      <c r="AP127" s="30"/>
      <c r="AQ127" s="26"/>
      <c r="AR127" s="26"/>
      <c r="AS127" s="32"/>
      <c r="AT127" s="34"/>
    </row>
    <row r="128" spans="2:46" x14ac:dyDescent="0.3">
      <c r="B128" s="8"/>
      <c r="C128" s="2"/>
      <c r="D128" s="26"/>
      <c r="E128" s="26"/>
      <c r="F128" s="27"/>
      <c r="G128" s="26"/>
      <c r="H128" s="26"/>
      <c r="I128" s="27"/>
      <c r="J128" s="26"/>
      <c r="K128" s="26"/>
      <c r="L128" s="67"/>
      <c r="N128" s="8"/>
      <c r="O128" s="2"/>
      <c r="P128" s="26"/>
      <c r="Q128" s="27"/>
      <c r="R128" s="30"/>
      <c r="S128" s="27"/>
      <c r="T128" s="30"/>
      <c r="U128" s="34"/>
      <c r="V128" s="34"/>
      <c r="X128" s="8"/>
      <c r="Y128" s="2"/>
      <c r="Z128" s="26"/>
      <c r="AA128" s="26"/>
      <c r="AB128" s="26"/>
      <c r="AC128" s="26"/>
      <c r="AD128" s="27"/>
      <c r="AE128" s="30"/>
      <c r="AF128" s="26"/>
      <c r="AG128" s="26"/>
      <c r="AH128" s="32"/>
      <c r="AJ128" s="8"/>
      <c r="AK128" s="2"/>
      <c r="AL128" s="26"/>
      <c r="AM128" s="26"/>
      <c r="AN128" s="26"/>
      <c r="AO128" s="27"/>
      <c r="AP128" s="30"/>
      <c r="AQ128" s="26"/>
      <c r="AR128" s="26"/>
      <c r="AS128" s="32"/>
      <c r="AT128" s="34"/>
    </row>
    <row r="129" spans="2:46" x14ac:dyDescent="0.3">
      <c r="B129" s="8"/>
      <c r="C129" s="2"/>
      <c r="D129" s="26"/>
      <c r="E129" s="26"/>
      <c r="F129" s="27"/>
      <c r="G129" s="26"/>
      <c r="H129" s="26"/>
      <c r="I129" s="27"/>
      <c r="J129" s="26"/>
      <c r="K129" s="26"/>
      <c r="L129" s="67"/>
      <c r="N129" s="8"/>
      <c r="O129" s="2"/>
      <c r="P129" s="26"/>
      <c r="Q129" s="27"/>
      <c r="R129" s="30"/>
      <c r="S129" s="27"/>
      <c r="T129" s="30"/>
      <c r="U129" s="34"/>
      <c r="V129" s="34"/>
      <c r="X129" s="8"/>
      <c r="Y129" s="2"/>
      <c r="Z129" s="26"/>
      <c r="AA129" s="26"/>
      <c r="AB129" s="26"/>
      <c r="AC129" s="26"/>
      <c r="AD129" s="27"/>
      <c r="AE129" s="30"/>
      <c r="AF129" s="26"/>
      <c r="AG129" s="26"/>
      <c r="AH129" s="32"/>
      <c r="AJ129" s="8"/>
      <c r="AK129" s="2"/>
      <c r="AL129" s="26"/>
      <c r="AM129" s="26"/>
      <c r="AN129" s="26"/>
      <c r="AO129" s="27"/>
      <c r="AP129" s="30"/>
      <c r="AQ129" s="26"/>
      <c r="AR129" s="26"/>
      <c r="AS129" s="32"/>
      <c r="AT129" s="34"/>
    </row>
    <row r="130" spans="2:46" x14ac:dyDescent="0.3">
      <c r="B130" s="8"/>
      <c r="C130" s="2"/>
      <c r="D130" s="26"/>
      <c r="E130" s="26"/>
      <c r="F130" s="27"/>
      <c r="G130" s="26"/>
      <c r="H130" s="26"/>
      <c r="I130" s="27"/>
      <c r="J130" s="26"/>
      <c r="K130" s="26"/>
      <c r="L130" s="67"/>
      <c r="N130" s="8"/>
      <c r="O130" s="2"/>
      <c r="P130" s="26"/>
      <c r="Q130" s="27"/>
      <c r="R130" s="30"/>
      <c r="S130" s="27"/>
      <c r="T130" s="30"/>
      <c r="U130" s="34"/>
      <c r="V130" s="34"/>
      <c r="X130" s="8"/>
      <c r="Y130" s="2"/>
      <c r="Z130" s="26"/>
      <c r="AA130" s="26"/>
      <c r="AB130" s="26"/>
      <c r="AC130" s="26"/>
      <c r="AD130" s="27"/>
      <c r="AE130" s="30"/>
      <c r="AF130" s="26"/>
      <c r="AG130" s="26"/>
      <c r="AH130" s="32"/>
      <c r="AJ130" s="8"/>
      <c r="AK130" s="2"/>
      <c r="AL130" s="26"/>
      <c r="AM130" s="26"/>
      <c r="AN130" s="26"/>
      <c r="AO130" s="27"/>
      <c r="AP130" s="30"/>
      <c r="AQ130" s="26"/>
      <c r="AR130" s="26"/>
      <c r="AS130" s="32"/>
      <c r="AT130" s="34"/>
    </row>
    <row r="131" spans="2:46" x14ac:dyDescent="0.3">
      <c r="B131" s="8"/>
      <c r="C131" s="2"/>
      <c r="D131" s="26"/>
      <c r="E131" s="26"/>
      <c r="F131" s="27"/>
      <c r="G131" s="26"/>
      <c r="H131" s="26"/>
      <c r="I131" s="27"/>
      <c r="J131" s="26"/>
      <c r="K131" s="26"/>
      <c r="L131" s="67"/>
      <c r="N131" s="8"/>
      <c r="O131" s="2"/>
      <c r="P131" s="26"/>
      <c r="Q131" s="27"/>
      <c r="R131" s="30"/>
      <c r="S131" s="27"/>
      <c r="T131" s="30"/>
      <c r="U131" s="34"/>
      <c r="V131" s="34"/>
      <c r="X131" s="8"/>
      <c r="Y131" s="2"/>
      <c r="Z131" s="26"/>
      <c r="AA131" s="26"/>
      <c r="AB131" s="26"/>
      <c r="AC131" s="26"/>
      <c r="AD131" s="27"/>
      <c r="AE131" s="30"/>
      <c r="AF131" s="26"/>
      <c r="AG131" s="26"/>
      <c r="AH131" s="32"/>
      <c r="AJ131" s="8"/>
      <c r="AK131" s="2"/>
      <c r="AL131" s="26"/>
      <c r="AM131" s="26"/>
      <c r="AN131" s="26"/>
      <c r="AO131" s="27"/>
      <c r="AP131" s="30"/>
      <c r="AQ131" s="26"/>
      <c r="AR131" s="26"/>
      <c r="AS131" s="32"/>
      <c r="AT131" s="34"/>
    </row>
    <row r="132" spans="2:46" x14ac:dyDescent="0.3">
      <c r="B132" s="8"/>
      <c r="C132" s="2"/>
      <c r="D132" s="26"/>
      <c r="E132" s="26"/>
      <c r="F132" s="27"/>
      <c r="G132" s="26"/>
      <c r="H132" s="26"/>
      <c r="I132" s="27"/>
      <c r="J132" s="26"/>
      <c r="K132" s="26"/>
      <c r="L132" s="67"/>
      <c r="N132" s="8"/>
      <c r="O132" s="2"/>
      <c r="P132" s="26"/>
      <c r="Q132" s="27"/>
      <c r="R132" s="30"/>
      <c r="S132" s="27"/>
      <c r="T132" s="30"/>
      <c r="U132" s="34"/>
      <c r="V132" s="34"/>
      <c r="X132" s="8"/>
      <c r="Y132" s="2"/>
      <c r="Z132" s="26"/>
      <c r="AA132" s="26"/>
      <c r="AB132" s="26"/>
      <c r="AC132" s="26"/>
      <c r="AD132" s="27"/>
      <c r="AE132" s="30"/>
      <c r="AF132" s="26"/>
      <c r="AG132" s="26"/>
      <c r="AH132" s="32"/>
      <c r="AJ132" s="8"/>
      <c r="AK132" s="2"/>
      <c r="AL132" s="26"/>
      <c r="AM132" s="26"/>
      <c r="AN132" s="26"/>
      <c r="AO132" s="27"/>
      <c r="AP132" s="30"/>
      <c r="AQ132" s="26"/>
      <c r="AR132" s="26"/>
      <c r="AS132" s="32"/>
      <c r="AT132" s="34"/>
    </row>
    <row r="133" spans="2:46" x14ac:dyDescent="0.3">
      <c r="B133" s="8"/>
      <c r="C133" s="2"/>
      <c r="D133" s="26"/>
      <c r="E133" s="26"/>
      <c r="F133" s="27"/>
      <c r="G133" s="26"/>
      <c r="H133" s="26"/>
      <c r="I133" s="27"/>
      <c r="J133" s="26"/>
      <c r="K133" s="26"/>
      <c r="L133" s="67"/>
      <c r="N133" s="8"/>
      <c r="O133" s="2"/>
      <c r="P133" s="26"/>
      <c r="Q133" s="27"/>
      <c r="R133" s="30"/>
      <c r="S133" s="27"/>
      <c r="T133" s="30"/>
      <c r="U133" s="34"/>
      <c r="V133" s="34"/>
      <c r="X133" s="8"/>
      <c r="Y133" s="2"/>
      <c r="Z133" s="26"/>
      <c r="AA133" s="26"/>
      <c r="AB133" s="26"/>
      <c r="AC133" s="26"/>
      <c r="AD133" s="27"/>
      <c r="AE133" s="30"/>
      <c r="AF133" s="26"/>
      <c r="AG133" s="26"/>
      <c r="AH133" s="32"/>
      <c r="AJ133" s="8"/>
      <c r="AK133" s="2"/>
      <c r="AL133" s="26"/>
      <c r="AM133" s="26"/>
      <c r="AN133" s="26"/>
      <c r="AO133" s="27"/>
      <c r="AP133" s="30"/>
      <c r="AQ133" s="26"/>
      <c r="AR133" s="26"/>
      <c r="AS133" s="32"/>
      <c r="AT133" s="34"/>
    </row>
    <row r="134" spans="2:46" x14ac:dyDescent="0.3">
      <c r="B134" s="8"/>
      <c r="C134" s="2"/>
      <c r="D134" s="26"/>
      <c r="E134" s="26"/>
      <c r="F134" s="27"/>
      <c r="G134" s="26"/>
      <c r="H134" s="26"/>
      <c r="I134" s="27"/>
      <c r="J134" s="26"/>
      <c r="K134" s="26"/>
      <c r="L134" s="67"/>
      <c r="N134" s="8"/>
      <c r="O134" s="2"/>
      <c r="P134" s="26"/>
      <c r="Q134" s="27"/>
      <c r="R134" s="30"/>
      <c r="S134" s="27"/>
      <c r="T134" s="30"/>
      <c r="U134" s="34"/>
      <c r="V134" s="34"/>
      <c r="X134" s="8"/>
      <c r="Y134" s="2"/>
      <c r="Z134" s="26"/>
      <c r="AA134" s="26"/>
      <c r="AB134" s="26"/>
      <c r="AC134" s="26"/>
      <c r="AD134" s="27"/>
      <c r="AE134" s="30"/>
      <c r="AF134" s="26"/>
      <c r="AG134" s="26"/>
      <c r="AH134" s="32"/>
      <c r="AJ134" s="8"/>
      <c r="AK134" s="2"/>
      <c r="AL134" s="26"/>
      <c r="AM134" s="26"/>
      <c r="AN134" s="26"/>
      <c r="AO134" s="27"/>
      <c r="AP134" s="30"/>
      <c r="AQ134" s="26"/>
      <c r="AR134" s="26"/>
      <c r="AS134" s="32"/>
      <c r="AT134" s="34"/>
    </row>
    <row r="135" spans="2:46" x14ac:dyDescent="0.3">
      <c r="B135" s="8"/>
      <c r="C135" s="2"/>
      <c r="D135" s="26"/>
      <c r="E135" s="26"/>
      <c r="F135" s="27"/>
      <c r="G135" s="26"/>
      <c r="H135" s="26"/>
      <c r="I135" s="27"/>
      <c r="J135" s="26"/>
      <c r="K135" s="26"/>
      <c r="L135" s="67"/>
      <c r="N135" s="8"/>
      <c r="O135" s="2"/>
      <c r="P135" s="26"/>
      <c r="Q135" s="27"/>
      <c r="R135" s="30"/>
      <c r="S135" s="27"/>
      <c r="T135" s="30"/>
      <c r="U135" s="34"/>
      <c r="V135" s="34"/>
      <c r="X135" s="8"/>
      <c r="Y135" s="2"/>
      <c r="Z135" s="26"/>
      <c r="AA135" s="26"/>
      <c r="AB135" s="26"/>
      <c r="AC135" s="26"/>
      <c r="AD135" s="27"/>
      <c r="AE135" s="30"/>
      <c r="AF135" s="26"/>
      <c r="AG135" s="26"/>
      <c r="AH135" s="32"/>
      <c r="AJ135" s="8"/>
      <c r="AK135" s="2"/>
      <c r="AL135" s="26"/>
      <c r="AM135" s="26"/>
      <c r="AN135" s="26"/>
      <c r="AO135" s="27"/>
      <c r="AP135" s="30"/>
      <c r="AQ135" s="26"/>
      <c r="AR135" s="26"/>
      <c r="AS135" s="32"/>
      <c r="AT135" s="34"/>
    </row>
    <row r="136" spans="2:46" x14ac:dyDescent="0.3">
      <c r="B136" s="8"/>
      <c r="C136" s="2"/>
      <c r="D136" s="26"/>
      <c r="E136" s="26"/>
      <c r="F136" s="27"/>
      <c r="G136" s="26"/>
      <c r="H136" s="26"/>
      <c r="I136" s="27"/>
      <c r="J136" s="26"/>
      <c r="K136" s="26"/>
      <c r="L136" s="67"/>
      <c r="N136" s="8"/>
      <c r="O136" s="2"/>
      <c r="P136" s="26"/>
      <c r="Q136" s="27"/>
      <c r="R136" s="30"/>
      <c r="S136" s="27"/>
      <c r="T136" s="30"/>
      <c r="U136" s="34"/>
      <c r="V136" s="34"/>
      <c r="X136" s="8"/>
      <c r="Y136" s="2"/>
      <c r="Z136" s="26"/>
      <c r="AA136" s="26"/>
      <c r="AB136" s="26"/>
      <c r="AC136" s="26"/>
      <c r="AD136" s="27"/>
      <c r="AE136" s="30"/>
      <c r="AF136" s="26"/>
      <c r="AG136" s="26"/>
      <c r="AH136" s="32"/>
      <c r="AJ136" s="8"/>
      <c r="AK136" s="2"/>
      <c r="AL136" s="26"/>
      <c r="AM136" s="26"/>
      <c r="AN136" s="26"/>
      <c r="AO136" s="27"/>
      <c r="AP136" s="30"/>
      <c r="AQ136" s="26"/>
      <c r="AR136" s="26"/>
      <c r="AS136" s="32"/>
      <c r="AT136" s="34"/>
    </row>
    <row r="137" spans="2:46" x14ac:dyDescent="0.3">
      <c r="B137" s="8"/>
      <c r="C137" s="2"/>
      <c r="D137" s="26"/>
      <c r="E137" s="26"/>
      <c r="F137" s="27"/>
      <c r="G137" s="26"/>
      <c r="H137" s="26"/>
      <c r="I137" s="27"/>
      <c r="J137" s="26"/>
      <c r="K137" s="26"/>
      <c r="L137" s="67"/>
      <c r="N137" s="8"/>
      <c r="O137" s="2"/>
      <c r="P137" s="26"/>
      <c r="Q137" s="27"/>
      <c r="R137" s="30"/>
      <c r="S137" s="27"/>
      <c r="T137" s="30"/>
      <c r="U137" s="34"/>
      <c r="V137" s="34"/>
      <c r="X137" s="8"/>
      <c r="Y137" s="2"/>
      <c r="Z137" s="26"/>
      <c r="AA137" s="26"/>
      <c r="AB137" s="26"/>
      <c r="AC137" s="26"/>
      <c r="AD137" s="27"/>
      <c r="AE137" s="30"/>
      <c r="AF137" s="26"/>
      <c r="AG137" s="26"/>
      <c r="AH137" s="32"/>
      <c r="AJ137" s="8"/>
      <c r="AK137" s="2"/>
      <c r="AL137" s="26"/>
      <c r="AM137" s="26"/>
      <c r="AN137" s="26"/>
      <c r="AO137" s="27"/>
      <c r="AP137" s="30"/>
      <c r="AQ137" s="26"/>
      <c r="AR137" s="26"/>
      <c r="AS137" s="32"/>
      <c r="AT137" s="34"/>
    </row>
    <row r="138" spans="2:46" x14ac:dyDescent="0.3">
      <c r="B138" s="8"/>
      <c r="C138" s="2"/>
      <c r="D138" s="26"/>
      <c r="E138" s="26"/>
      <c r="F138" s="27"/>
      <c r="G138" s="26"/>
      <c r="H138" s="26"/>
      <c r="I138" s="27"/>
      <c r="J138" s="26"/>
      <c r="K138" s="26"/>
      <c r="L138" s="67"/>
      <c r="N138" s="8"/>
      <c r="O138" s="2"/>
      <c r="P138" s="26"/>
      <c r="Q138" s="27"/>
      <c r="R138" s="30"/>
      <c r="S138" s="27"/>
      <c r="T138" s="30"/>
      <c r="U138" s="34"/>
      <c r="V138" s="34"/>
      <c r="X138" s="8"/>
      <c r="Y138" s="2"/>
      <c r="Z138" s="26"/>
      <c r="AA138" s="26"/>
      <c r="AB138" s="26"/>
      <c r="AC138" s="26"/>
      <c r="AD138" s="27"/>
      <c r="AE138" s="30"/>
      <c r="AF138" s="26"/>
      <c r="AG138" s="26"/>
      <c r="AH138" s="32"/>
      <c r="AJ138" s="8"/>
      <c r="AK138" s="2"/>
      <c r="AL138" s="26"/>
      <c r="AM138" s="26"/>
      <c r="AN138" s="26"/>
      <c r="AO138" s="27"/>
      <c r="AP138" s="30"/>
      <c r="AQ138" s="26"/>
      <c r="AR138" s="26"/>
      <c r="AS138" s="32"/>
      <c r="AT138" s="34"/>
    </row>
    <row r="139" spans="2:46" x14ac:dyDescent="0.3">
      <c r="B139" s="8"/>
      <c r="C139" s="2"/>
      <c r="D139" s="26"/>
      <c r="E139" s="26"/>
      <c r="F139" s="27"/>
      <c r="G139" s="26"/>
      <c r="H139" s="26"/>
      <c r="I139" s="27"/>
      <c r="J139" s="26"/>
      <c r="K139" s="26"/>
      <c r="L139" s="67"/>
      <c r="N139" s="8"/>
      <c r="O139" s="2"/>
      <c r="P139" s="26"/>
      <c r="Q139" s="27"/>
      <c r="R139" s="30"/>
      <c r="S139" s="27"/>
      <c r="T139" s="30"/>
      <c r="U139" s="34"/>
      <c r="V139" s="34"/>
      <c r="X139" s="8"/>
      <c r="Y139" s="2"/>
      <c r="Z139" s="26"/>
      <c r="AA139" s="26"/>
      <c r="AB139" s="26"/>
      <c r="AC139" s="26"/>
      <c r="AD139" s="27"/>
      <c r="AE139" s="30"/>
      <c r="AF139" s="26"/>
      <c r="AG139" s="26"/>
      <c r="AH139" s="32"/>
      <c r="AJ139" s="8"/>
      <c r="AK139" s="2"/>
      <c r="AL139" s="26"/>
      <c r="AM139" s="26"/>
      <c r="AN139" s="26"/>
      <c r="AO139" s="27"/>
      <c r="AP139" s="30"/>
      <c r="AQ139" s="26"/>
      <c r="AR139" s="26"/>
      <c r="AS139" s="32"/>
      <c r="AT139" s="34"/>
    </row>
    <row r="140" spans="2:46" x14ac:dyDescent="0.3">
      <c r="B140" s="8"/>
      <c r="C140" s="2"/>
      <c r="D140" s="26"/>
      <c r="E140" s="26"/>
      <c r="F140" s="27"/>
      <c r="G140" s="26"/>
      <c r="H140" s="26"/>
      <c r="I140" s="27"/>
      <c r="J140" s="26"/>
      <c r="K140" s="26"/>
      <c r="L140" s="67"/>
      <c r="N140" s="8"/>
      <c r="O140" s="2"/>
      <c r="P140" s="26"/>
      <c r="Q140" s="27"/>
      <c r="R140" s="30"/>
      <c r="S140" s="27"/>
      <c r="T140" s="30"/>
      <c r="U140" s="34"/>
      <c r="V140" s="34"/>
      <c r="X140" s="8"/>
      <c r="Y140" s="2"/>
      <c r="Z140" s="26"/>
      <c r="AA140" s="26"/>
      <c r="AB140" s="26"/>
      <c r="AC140" s="26"/>
      <c r="AD140" s="27"/>
      <c r="AE140" s="30"/>
      <c r="AF140" s="26"/>
      <c r="AG140" s="26"/>
      <c r="AH140" s="32"/>
      <c r="AJ140" s="8"/>
      <c r="AK140" s="2"/>
      <c r="AL140" s="26"/>
      <c r="AM140" s="26"/>
      <c r="AN140" s="26"/>
      <c r="AO140" s="27"/>
      <c r="AP140" s="30"/>
      <c r="AQ140" s="26"/>
      <c r="AR140" s="26"/>
      <c r="AS140" s="32"/>
      <c r="AT140" s="34"/>
    </row>
    <row r="141" spans="2:46" x14ac:dyDescent="0.3">
      <c r="B141" s="8"/>
      <c r="C141" s="2"/>
      <c r="D141" s="26"/>
      <c r="E141" s="26"/>
      <c r="F141" s="27"/>
      <c r="G141" s="26"/>
      <c r="H141" s="26"/>
      <c r="I141" s="27"/>
      <c r="J141" s="26"/>
      <c r="K141" s="26"/>
      <c r="L141" s="67"/>
      <c r="N141" s="8"/>
      <c r="O141" s="2"/>
      <c r="P141" s="26"/>
      <c r="Q141" s="27"/>
      <c r="R141" s="30"/>
      <c r="S141" s="27"/>
      <c r="T141" s="30"/>
      <c r="U141" s="34"/>
      <c r="V141" s="34"/>
      <c r="X141" s="8"/>
      <c r="Y141" s="2"/>
      <c r="Z141" s="26"/>
      <c r="AA141" s="26"/>
      <c r="AB141" s="26"/>
      <c r="AC141" s="26"/>
      <c r="AD141" s="27"/>
      <c r="AE141" s="30"/>
      <c r="AF141" s="26"/>
      <c r="AG141" s="26"/>
      <c r="AH141" s="32"/>
      <c r="AJ141" s="8"/>
      <c r="AK141" s="2"/>
      <c r="AL141" s="26"/>
      <c r="AM141" s="26"/>
      <c r="AN141" s="26"/>
      <c r="AO141" s="27"/>
      <c r="AP141" s="30"/>
      <c r="AQ141" s="26"/>
      <c r="AR141" s="26"/>
      <c r="AS141" s="32"/>
      <c r="AT141" s="34"/>
    </row>
    <row r="142" spans="2:46" x14ac:dyDescent="0.3">
      <c r="B142" s="8"/>
      <c r="C142" s="2"/>
      <c r="D142" s="26"/>
      <c r="E142" s="26"/>
      <c r="F142" s="27"/>
      <c r="G142" s="26"/>
      <c r="H142" s="26"/>
      <c r="I142" s="27"/>
      <c r="J142" s="26"/>
      <c r="K142" s="26"/>
      <c r="L142" s="67"/>
      <c r="N142" s="8"/>
      <c r="O142" s="2"/>
      <c r="P142" s="26"/>
      <c r="Q142" s="27"/>
      <c r="R142" s="30"/>
      <c r="S142" s="27"/>
      <c r="T142" s="30"/>
      <c r="U142" s="34"/>
      <c r="V142" s="34"/>
      <c r="X142" s="8"/>
      <c r="Y142" s="2"/>
      <c r="Z142" s="26"/>
      <c r="AA142" s="26"/>
      <c r="AB142" s="26"/>
      <c r="AC142" s="26"/>
      <c r="AD142" s="27"/>
      <c r="AE142" s="30"/>
      <c r="AF142" s="26"/>
      <c r="AG142" s="26"/>
      <c r="AH142" s="32"/>
      <c r="AJ142" s="8"/>
      <c r="AK142" s="2"/>
      <c r="AL142" s="26"/>
      <c r="AM142" s="26"/>
      <c r="AN142" s="26"/>
      <c r="AO142" s="27"/>
      <c r="AP142" s="30"/>
      <c r="AQ142" s="26"/>
      <c r="AR142" s="26"/>
      <c r="AS142" s="32"/>
      <c r="AT142" s="34"/>
    </row>
    <row r="143" spans="2:46" x14ac:dyDescent="0.3">
      <c r="B143" s="8"/>
      <c r="C143" s="2"/>
      <c r="D143" s="26"/>
      <c r="E143" s="26"/>
      <c r="F143" s="27"/>
      <c r="G143" s="26"/>
      <c r="H143" s="26"/>
      <c r="I143" s="27"/>
      <c r="J143" s="26"/>
      <c r="K143" s="26"/>
      <c r="L143" s="67"/>
      <c r="N143" s="8"/>
      <c r="O143" s="2"/>
      <c r="P143" s="26"/>
      <c r="Q143" s="27"/>
      <c r="R143" s="30"/>
      <c r="S143" s="27"/>
      <c r="T143" s="30"/>
      <c r="U143" s="34"/>
      <c r="V143" s="34"/>
      <c r="X143" s="8"/>
      <c r="Y143" s="2"/>
      <c r="Z143" s="26"/>
      <c r="AA143" s="26"/>
      <c r="AB143" s="26"/>
      <c r="AC143" s="26"/>
      <c r="AD143" s="27"/>
      <c r="AE143" s="30"/>
      <c r="AF143" s="26"/>
      <c r="AG143" s="26"/>
      <c r="AH143" s="32"/>
      <c r="AJ143" s="8"/>
      <c r="AK143" s="2"/>
      <c r="AL143" s="26"/>
      <c r="AM143" s="26"/>
      <c r="AN143" s="26"/>
      <c r="AO143" s="27"/>
      <c r="AP143" s="30"/>
      <c r="AQ143" s="26"/>
      <c r="AR143" s="26"/>
      <c r="AS143" s="32"/>
      <c r="AT143" s="34"/>
    </row>
    <row r="144" spans="2:46" x14ac:dyDescent="0.3">
      <c r="B144" s="8"/>
      <c r="C144" s="2"/>
      <c r="D144" s="26"/>
      <c r="E144" s="26"/>
      <c r="F144" s="27"/>
      <c r="G144" s="26"/>
      <c r="H144" s="26"/>
      <c r="I144" s="27"/>
      <c r="J144" s="26"/>
      <c r="K144" s="26"/>
      <c r="L144" s="67"/>
      <c r="N144" s="8"/>
      <c r="O144" s="2"/>
      <c r="P144" s="26"/>
      <c r="Q144" s="27"/>
      <c r="R144" s="30"/>
      <c r="S144" s="27"/>
      <c r="T144" s="30"/>
      <c r="U144" s="34"/>
      <c r="V144" s="34"/>
      <c r="X144" s="8"/>
      <c r="Y144" s="2"/>
      <c r="Z144" s="26"/>
      <c r="AA144" s="26"/>
      <c r="AB144" s="26"/>
      <c r="AC144" s="26"/>
      <c r="AD144" s="27"/>
      <c r="AE144" s="30"/>
      <c r="AF144" s="26"/>
      <c r="AG144" s="26"/>
      <c r="AH144" s="32"/>
      <c r="AJ144" s="8"/>
      <c r="AK144" s="2"/>
      <c r="AL144" s="26"/>
      <c r="AM144" s="26"/>
      <c r="AN144" s="26"/>
      <c r="AO144" s="27"/>
      <c r="AP144" s="30"/>
      <c r="AQ144" s="26"/>
      <c r="AR144" s="26"/>
      <c r="AS144" s="32"/>
      <c r="AT144" s="34"/>
    </row>
    <row r="145" spans="2:46" x14ac:dyDescent="0.3">
      <c r="B145" s="8"/>
      <c r="C145" s="2"/>
      <c r="D145" s="26"/>
      <c r="E145" s="26"/>
      <c r="F145" s="27"/>
      <c r="G145" s="26"/>
      <c r="H145" s="26"/>
      <c r="I145" s="27"/>
      <c r="J145" s="26"/>
      <c r="K145" s="26"/>
      <c r="L145" s="67"/>
      <c r="N145" s="8"/>
      <c r="O145" s="2"/>
      <c r="P145" s="26"/>
      <c r="Q145" s="27"/>
      <c r="R145" s="30"/>
      <c r="S145" s="27"/>
      <c r="T145" s="30"/>
      <c r="U145" s="34"/>
      <c r="V145" s="34"/>
      <c r="X145" s="8"/>
      <c r="Y145" s="2"/>
      <c r="Z145" s="26"/>
      <c r="AA145" s="26"/>
      <c r="AB145" s="26"/>
      <c r="AC145" s="26"/>
      <c r="AD145" s="27"/>
      <c r="AE145" s="30"/>
      <c r="AF145" s="26"/>
      <c r="AG145" s="26"/>
      <c r="AH145" s="32"/>
      <c r="AJ145" s="8"/>
      <c r="AK145" s="2"/>
      <c r="AL145" s="26"/>
      <c r="AM145" s="26"/>
      <c r="AN145" s="26"/>
      <c r="AO145" s="27"/>
      <c r="AP145" s="30"/>
      <c r="AQ145" s="26"/>
      <c r="AR145" s="26"/>
      <c r="AS145" s="32"/>
      <c r="AT145" s="34"/>
    </row>
    <row r="146" spans="2:46" x14ac:dyDescent="0.3">
      <c r="B146" s="8"/>
      <c r="C146" s="2"/>
      <c r="D146" s="26"/>
      <c r="E146" s="26"/>
      <c r="F146" s="27"/>
      <c r="G146" s="26"/>
      <c r="H146" s="26"/>
      <c r="I146" s="27"/>
      <c r="J146" s="26"/>
      <c r="K146" s="26"/>
      <c r="L146" s="67"/>
      <c r="N146" s="8"/>
      <c r="O146" s="2"/>
      <c r="P146" s="26"/>
      <c r="Q146" s="27"/>
      <c r="R146" s="30"/>
      <c r="S146" s="27"/>
      <c r="T146" s="30"/>
      <c r="U146" s="34"/>
      <c r="V146" s="34"/>
      <c r="X146" s="8"/>
      <c r="Y146" s="2"/>
      <c r="Z146" s="26"/>
      <c r="AA146" s="26"/>
      <c r="AB146" s="26"/>
      <c r="AC146" s="26"/>
      <c r="AD146" s="27"/>
      <c r="AE146" s="30"/>
      <c r="AF146" s="26"/>
      <c r="AG146" s="26"/>
      <c r="AH146" s="32"/>
      <c r="AJ146" s="8"/>
      <c r="AK146" s="2"/>
      <c r="AL146" s="26"/>
      <c r="AM146" s="26"/>
      <c r="AN146" s="26"/>
      <c r="AO146" s="27"/>
      <c r="AP146" s="30"/>
      <c r="AQ146" s="26"/>
      <c r="AR146" s="26"/>
      <c r="AS146" s="32"/>
      <c r="AT146" s="34"/>
    </row>
    <row r="147" spans="2:46" x14ac:dyDescent="0.3">
      <c r="B147" s="8"/>
      <c r="C147" s="2"/>
      <c r="D147" s="26"/>
      <c r="E147" s="26"/>
      <c r="F147" s="27"/>
      <c r="G147" s="26"/>
      <c r="H147" s="26"/>
      <c r="I147" s="27"/>
      <c r="J147" s="26"/>
      <c r="K147" s="26"/>
      <c r="L147" s="67"/>
      <c r="N147" s="8"/>
      <c r="O147" s="2"/>
      <c r="P147" s="26"/>
      <c r="Q147" s="27"/>
      <c r="R147" s="30"/>
      <c r="S147" s="27"/>
      <c r="T147" s="30"/>
      <c r="U147" s="34"/>
      <c r="V147" s="34"/>
      <c r="X147" s="8"/>
      <c r="Y147" s="2"/>
      <c r="Z147" s="26"/>
      <c r="AA147" s="26"/>
      <c r="AB147" s="26"/>
      <c r="AC147" s="26"/>
      <c r="AD147" s="27"/>
      <c r="AE147" s="30"/>
      <c r="AF147" s="26"/>
      <c r="AG147" s="26"/>
      <c r="AH147" s="32"/>
      <c r="AJ147" s="8"/>
      <c r="AK147" s="2"/>
      <c r="AL147" s="26"/>
      <c r="AM147" s="26"/>
      <c r="AN147" s="26"/>
      <c r="AO147" s="27"/>
      <c r="AP147" s="30"/>
      <c r="AQ147" s="26"/>
      <c r="AR147" s="26"/>
      <c r="AS147" s="32"/>
      <c r="AT147" s="34"/>
    </row>
    <row r="148" spans="2:46" x14ac:dyDescent="0.3">
      <c r="B148" s="8"/>
      <c r="C148" s="2"/>
      <c r="D148" s="26"/>
      <c r="E148" s="26"/>
      <c r="F148" s="27"/>
      <c r="G148" s="26"/>
      <c r="H148" s="26"/>
      <c r="I148" s="27"/>
      <c r="J148" s="26"/>
      <c r="K148" s="26"/>
      <c r="L148" s="67"/>
      <c r="N148" s="8"/>
      <c r="O148" s="2"/>
      <c r="P148" s="26"/>
      <c r="Q148" s="27"/>
      <c r="R148" s="30"/>
      <c r="S148" s="27"/>
      <c r="T148" s="30"/>
      <c r="U148" s="34"/>
      <c r="V148" s="34"/>
      <c r="X148" s="8"/>
      <c r="Y148" s="2"/>
      <c r="Z148" s="26"/>
      <c r="AA148" s="26"/>
      <c r="AB148" s="26"/>
      <c r="AC148" s="26"/>
      <c r="AD148" s="27"/>
      <c r="AE148" s="30"/>
      <c r="AF148" s="26"/>
      <c r="AG148" s="26"/>
      <c r="AH148" s="32"/>
      <c r="AJ148" s="8"/>
      <c r="AK148" s="2"/>
      <c r="AL148" s="26"/>
      <c r="AM148" s="26"/>
      <c r="AN148" s="26"/>
      <c r="AO148" s="27"/>
      <c r="AP148" s="30"/>
      <c r="AQ148" s="26"/>
      <c r="AR148" s="26"/>
      <c r="AS148" s="32"/>
      <c r="AT148" s="34"/>
    </row>
    <row r="149" spans="2:46" x14ac:dyDescent="0.3">
      <c r="B149" s="8"/>
      <c r="C149" s="2"/>
      <c r="D149" s="26"/>
      <c r="E149" s="26"/>
      <c r="F149" s="27"/>
      <c r="G149" s="26"/>
      <c r="H149" s="26"/>
      <c r="I149" s="27"/>
      <c r="J149" s="26"/>
      <c r="K149" s="26"/>
      <c r="L149" s="67"/>
      <c r="N149" s="8"/>
      <c r="O149" s="2"/>
      <c r="P149" s="26"/>
      <c r="Q149" s="27"/>
      <c r="R149" s="30"/>
      <c r="S149" s="27"/>
      <c r="T149" s="30"/>
      <c r="U149" s="34"/>
      <c r="V149" s="34"/>
      <c r="X149" s="8"/>
      <c r="Y149" s="2"/>
      <c r="Z149" s="26"/>
      <c r="AA149" s="26"/>
      <c r="AB149" s="26"/>
      <c r="AC149" s="26"/>
      <c r="AD149" s="27"/>
      <c r="AE149" s="30"/>
      <c r="AF149" s="26"/>
      <c r="AG149" s="26"/>
      <c r="AH149" s="32"/>
      <c r="AJ149" s="8"/>
      <c r="AK149" s="2"/>
      <c r="AL149" s="26"/>
      <c r="AM149" s="26"/>
      <c r="AN149" s="26"/>
      <c r="AO149" s="27"/>
      <c r="AP149" s="30"/>
      <c r="AQ149" s="26"/>
      <c r="AR149" s="26"/>
      <c r="AS149" s="32"/>
      <c r="AT149" s="34"/>
    </row>
    <row r="150" spans="2:46" x14ac:dyDescent="0.3">
      <c r="B150" s="8"/>
      <c r="C150" s="2"/>
      <c r="D150" s="26"/>
      <c r="E150" s="26"/>
      <c r="F150" s="27"/>
      <c r="G150" s="26"/>
      <c r="H150" s="26"/>
      <c r="I150" s="27"/>
      <c r="J150" s="26"/>
      <c r="K150" s="26"/>
      <c r="L150" s="67"/>
      <c r="N150" s="8"/>
      <c r="O150" s="2"/>
      <c r="P150" s="26"/>
      <c r="Q150" s="27"/>
      <c r="R150" s="30"/>
      <c r="S150" s="27"/>
      <c r="T150" s="30"/>
      <c r="U150" s="34"/>
      <c r="V150" s="34"/>
      <c r="X150" s="8"/>
      <c r="Y150" s="2"/>
      <c r="Z150" s="26"/>
      <c r="AA150" s="26"/>
      <c r="AB150" s="26"/>
      <c r="AC150" s="26"/>
      <c r="AD150" s="27"/>
      <c r="AE150" s="30"/>
      <c r="AF150" s="26"/>
      <c r="AG150" s="26"/>
      <c r="AH150" s="32"/>
      <c r="AJ150" s="8"/>
      <c r="AK150" s="2"/>
      <c r="AL150" s="26"/>
      <c r="AM150" s="26"/>
      <c r="AN150" s="26"/>
      <c r="AO150" s="27"/>
      <c r="AP150" s="30"/>
      <c r="AQ150" s="26"/>
      <c r="AR150" s="26"/>
      <c r="AS150" s="32"/>
      <c r="AT150" s="34"/>
    </row>
    <row r="151" spans="2:46" x14ac:dyDescent="0.3">
      <c r="B151" s="8"/>
      <c r="C151" s="2"/>
      <c r="D151" s="26"/>
      <c r="E151" s="26"/>
      <c r="F151" s="27"/>
      <c r="G151" s="26"/>
      <c r="H151" s="26"/>
      <c r="I151" s="27"/>
      <c r="J151" s="26"/>
      <c r="K151" s="26"/>
      <c r="L151" s="67"/>
      <c r="N151" s="8"/>
      <c r="O151" s="2"/>
      <c r="P151" s="26"/>
      <c r="Q151" s="27"/>
      <c r="R151" s="30"/>
      <c r="S151" s="27"/>
      <c r="T151" s="30"/>
      <c r="U151" s="34"/>
      <c r="V151" s="34"/>
      <c r="X151" s="8"/>
      <c r="Y151" s="2"/>
      <c r="Z151" s="26"/>
      <c r="AA151" s="26"/>
      <c r="AB151" s="26"/>
      <c r="AC151" s="26"/>
      <c r="AD151" s="27"/>
      <c r="AE151" s="30"/>
      <c r="AF151" s="26"/>
      <c r="AG151" s="26"/>
      <c r="AH151" s="32"/>
      <c r="AJ151" s="8"/>
      <c r="AK151" s="2"/>
      <c r="AL151" s="26"/>
      <c r="AM151" s="26"/>
      <c r="AN151" s="26"/>
      <c r="AO151" s="27"/>
      <c r="AP151" s="30"/>
      <c r="AQ151" s="26"/>
      <c r="AR151" s="26"/>
      <c r="AS151" s="32"/>
      <c r="AT151" s="34"/>
    </row>
    <row r="152" spans="2:46" x14ac:dyDescent="0.3">
      <c r="B152" s="8"/>
      <c r="C152" s="2"/>
      <c r="D152" s="26"/>
      <c r="E152" s="26"/>
      <c r="F152" s="27"/>
      <c r="G152" s="26"/>
      <c r="H152" s="26"/>
      <c r="I152" s="27"/>
      <c r="J152" s="26"/>
      <c r="K152" s="26"/>
      <c r="L152" s="67"/>
      <c r="N152" s="8"/>
      <c r="O152" s="2"/>
      <c r="P152" s="26"/>
      <c r="Q152" s="27"/>
      <c r="R152" s="30"/>
      <c r="S152" s="27"/>
      <c r="T152" s="30"/>
      <c r="U152" s="34"/>
      <c r="V152" s="34"/>
      <c r="X152" s="8"/>
      <c r="Y152" s="2"/>
      <c r="Z152" s="26"/>
      <c r="AA152" s="26"/>
      <c r="AB152" s="26"/>
      <c r="AC152" s="26"/>
      <c r="AD152" s="27"/>
      <c r="AE152" s="30"/>
      <c r="AF152" s="26"/>
      <c r="AG152" s="26"/>
      <c r="AH152" s="32"/>
      <c r="AJ152" s="8"/>
      <c r="AK152" s="2"/>
      <c r="AL152" s="26"/>
      <c r="AM152" s="26"/>
      <c r="AN152" s="26"/>
      <c r="AO152" s="27"/>
      <c r="AP152" s="30"/>
      <c r="AQ152" s="26"/>
      <c r="AR152" s="26"/>
      <c r="AS152" s="32"/>
      <c r="AT152" s="34"/>
    </row>
    <row r="153" spans="2:46" x14ac:dyDescent="0.3">
      <c r="B153" s="8"/>
      <c r="C153" s="2"/>
      <c r="D153" s="26"/>
      <c r="E153" s="26"/>
      <c r="F153" s="27"/>
      <c r="G153" s="26"/>
      <c r="H153" s="26"/>
      <c r="I153" s="27"/>
      <c r="J153" s="26"/>
      <c r="K153" s="26"/>
      <c r="L153" s="67"/>
      <c r="N153" s="8"/>
      <c r="O153" s="2"/>
      <c r="P153" s="26"/>
      <c r="Q153" s="27"/>
      <c r="R153" s="30"/>
      <c r="S153" s="27"/>
      <c r="T153" s="30"/>
      <c r="U153" s="34"/>
      <c r="V153" s="34"/>
      <c r="X153" s="8"/>
      <c r="Y153" s="2"/>
      <c r="Z153" s="26"/>
      <c r="AA153" s="26"/>
      <c r="AB153" s="26"/>
      <c r="AC153" s="26"/>
      <c r="AD153" s="27"/>
      <c r="AE153" s="30"/>
      <c r="AF153" s="26"/>
      <c r="AG153" s="26"/>
      <c r="AH153" s="32"/>
      <c r="AJ153" s="8"/>
      <c r="AK153" s="2"/>
      <c r="AL153" s="26"/>
      <c r="AM153" s="26"/>
      <c r="AN153" s="26"/>
      <c r="AO153" s="27"/>
      <c r="AP153" s="30"/>
      <c r="AQ153" s="26"/>
      <c r="AR153" s="26"/>
      <c r="AS153" s="32"/>
      <c r="AT153" s="34"/>
    </row>
    <row r="154" spans="2:46" x14ac:dyDescent="0.3">
      <c r="B154" s="8"/>
      <c r="C154" s="2"/>
      <c r="D154" s="26"/>
      <c r="E154" s="26"/>
      <c r="F154" s="27"/>
      <c r="G154" s="26"/>
      <c r="H154" s="26"/>
      <c r="I154" s="27"/>
      <c r="J154" s="26"/>
      <c r="K154" s="26"/>
      <c r="L154" s="67"/>
      <c r="N154" s="8"/>
      <c r="O154" s="2"/>
      <c r="P154" s="26"/>
      <c r="Q154" s="27"/>
      <c r="R154" s="30"/>
      <c r="S154" s="27"/>
      <c r="T154" s="30"/>
      <c r="U154" s="34"/>
      <c r="V154" s="34"/>
      <c r="X154" s="8"/>
      <c r="Y154" s="2"/>
      <c r="Z154" s="26"/>
      <c r="AA154" s="26"/>
      <c r="AB154" s="26"/>
      <c r="AC154" s="26"/>
      <c r="AD154" s="27"/>
      <c r="AE154" s="30"/>
      <c r="AF154" s="26"/>
      <c r="AG154" s="26"/>
      <c r="AH154" s="32"/>
      <c r="AJ154" s="8"/>
      <c r="AK154" s="2"/>
      <c r="AL154" s="26"/>
      <c r="AM154" s="26"/>
      <c r="AN154" s="26"/>
      <c r="AO154" s="27"/>
      <c r="AP154" s="30"/>
      <c r="AQ154" s="26"/>
      <c r="AR154" s="26"/>
      <c r="AS154" s="32"/>
      <c r="AT154" s="34"/>
    </row>
    <row r="155" spans="2:46" x14ac:dyDescent="0.3">
      <c r="B155" s="8"/>
      <c r="C155" s="2"/>
      <c r="D155" s="26"/>
      <c r="E155" s="26"/>
      <c r="F155" s="27"/>
      <c r="G155" s="26"/>
      <c r="H155" s="26"/>
      <c r="I155" s="27"/>
      <c r="J155" s="26"/>
      <c r="K155" s="26"/>
      <c r="L155" s="67"/>
      <c r="N155" s="8"/>
      <c r="O155" s="2"/>
      <c r="P155" s="26"/>
      <c r="Q155" s="27"/>
      <c r="R155" s="30"/>
      <c r="S155" s="27"/>
      <c r="T155" s="30"/>
      <c r="U155" s="34"/>
      <c r="V155" s="34"/>
      <c r="X155" s="8"/>
      <c r="Y155" s="2"/>
      <c r="Z155" s="26"/>
      <c r="AA155" s="26"/>
      <c r="AB155" s="26"/>
      <c r="AC155" s="26"/>
      <c r="AD155" s="27"/>
      <c r="AE155" s="30"/>
      <c r="AF155" s="26"/>
      <c r="AG155" s="26"/>
      <c r="AH155" s="32"/>
      <c r="AJ155" s="8"/>
      <c r="AK155" s="2"/>
      <c r="AL155" s="26"/>
      <c r="AM155" s="26"/>
      <c r="AN155" s="26"/>
      <c r="AO155" s="27"/>
      <c r="AP155" s="30"/>
      <c r="AQ155" s="26"/>
      <c r="AR155" s="26"/>
      <c r="AS155" s="32"/>
      <c r="AT155" s="34"/>
    </row>
    <row r="156" spans="2:46" x14ac:dyDescent="0.3">
      <c r="B156" s="8"/>
      <c r="C156" s="2"/>
      <c r="D156" s="26"/>
      <c r="E156" s="26"/>
      <c r="F156" s="27"/>
      <c r="G156" s="26"/>
      <c r="H156" s="26"/>
      <c r="I156" s="27"/>
      <c r="J156" s="26"/>
      <c r="K156" s="26"/>
      <c r="L156" s="67"/>
      <c r="N156" s="8"/>
      <c r="O156" s="2"/>
      <c r="P156" s="26"/>
      <c r="Q156" s="27"/>
      <c r="R156" s="30"/>
      <c r="S156" s="27"/>
      <c r="T156" s="30"/>
      <c r="U156" s="34"/>
      <c r="V156" s="34"/>
      <c r="X156" s="8"/>
      <c r="Y156" s="2"/>
      <c r="Z156" s="26"/>
      <c r="AA156" s="26"/>
      <c r="AB156" s="26"/>
      <c r="AC156" s="26"/>
      <c r="AD156" s="27"/>
      <c r="AE156" s="30"/>
      <c r="AF156" s="26"/>
      <c r="AG156" s="26"/>
      <c r="AH156" s="32"/>
      <c r="AJ156" s="8"/>
      <c r="AK156" s="2"/>
      <c r="AL156" s="26"/>
      <c r="AM156" s="26"/>
      <c r="AN156" s="26"/>
      <c r="AO156" s="27"/>
      <c r="AP156" s="30"/>
      <c r="AQ156" s="26"/>
      <c r="AR156" s="26"/>
      <c r="AS156" s="32"/>
      <c r="AT156" s="34"/>
    </row>
    <row r="157" spans="2:46" x14ac:dyDescent="0.3">
      <c r="B157" s="8"/>
      <c r="C157" s="2"/>
      <c r="D157" s="26"/>
      <c r="E157" s="26"/>
      <c r="F157" s="27"/>
      <c r="G157" s="26"/>
      <c r="H157" s="26"/>
      <c r="I157" s="27"/>
      <c r="J157" s="26"/>
      <c r="K157" s="26"/>
      <c r="L157" s="67"/>
      <c r="N157" s="8"/>
      <c r="O157" s="2"/>
      <c r="P157" s="26"/>
      <c r="Q157" s="27"/>
      <c r="R157" s="30"/>
      <c r="S157" s="27"/>
      <c r="T157" s="30"/>
      <c r="U157" s="34"/>
      <c r="V157" s="34"/>
      <c r="X157" s="8"/>
      <c r="Y157" s="2"/>
      <c r="Z157" s="26"/>
      <c r="AA157" s="26"/>
      <c r="AB157" s="26"/>
      <c r="AC157" s="26"/>
      <c r="AD157" s="27"/>
      <c r="AE157" s="30"/>
      <c r="AF157" s="26"/>
      <c r="AG157" s="26"/>
      <c r="AH157" s="32"/>
      <c r="AJ157" s="8"/>
      <c r="AK157" s="2"/>
      <c r="AL157" s="26"/>
      <c r="AM157" s="26"/>
      <c r="AN157" s="26"/>
      <c r="AO157" s="27"/>
      <c r="AP157" s="30"/>
      <c r="AQ157" s="26"/>
      <c r="AR157" s="26"/>
      <c r="AS157" s="32"/>
      <c r="AT157" s="34"/>
    </row>
    <row r="158" spans="2:46" x14ac:dyDescent="0.3">
      <c r="B158" s="8"/>
      <c r="C158" s="2"/>
      <c r="D158" s="26"/>
      <c r="E158" s="26"/>
      <c r="F158" s="27"/>
      <c r="G158" s="26"/>
      <c r="H158" s="26"/>
      <c r="I158" s="27"/>
      <c r="J158" s="26"/>
      <c r="K158" s="26"/>
      <c r="L158" s="67"/>
      <c r="N158" s="8"/>
      <c r="O158" s="2"/>
      <c r="P158" s="26"/>
      <c r="Q158" s="27"/>
      <c r="R158" s="30"/>
      <c r="S158" s="27"/>
      <c r="T158" s="30"/>
      <c r="U158" s="34"/>
      <c r="V158" s="34"/>
      <c r="X158" s="8"/>
      <c r="Y158" s="2"/>
      <c r="Z158" s="26"/>
      <c r="AA158" s="26"/>
      <c r="AB158" s="26"/>
      <c r="AC158" s="26"/>
      <c r="AD158" s="27"/>
      <c r="AE158" s="30"/>
      <c r="AF158" s="26"/>
      <c r="AG158" s="26"/>
      <c r="AH158" s="32"/>
      <c r="AJ158" s="8"/>
      <c r="AK158" s="2"/>
      <c r="AL158" s="26"/>
      <c r="AM158" s="26"/>
      <c r="AN158" s="26"/>
      <c r="AO158" s="27"/>
      <c r="AP158" s="30"/>
      <c r="AQ158" s="26"/>
      <c r="AR158" s="26"/>
      <c r="AS158" s="32"/>
      <c r="AT158" s="34"/>
    </row>
    <row r="159" spans="2:46" x14ac:dyDescent="0.3">
      <c r="B159" s="8"/>
      <c r="C159" s="2"/>
      <c r="D159" s="26"/>
      <c r="E159" s="26"/>
      <c r="F159" s="27"/>
      <c r="G159" s="26"/>
      <c r="H159" s="26"/>
      <c r="I159" s="27"/>
      <c r="J159" s="26"/>
      <c r="K159" s="26"/>
      <c r="L159" s="67"/>
      <c r="N159" s="8"/>
      <c r="O159" s="2"/>
      <c r="P159" s="26"/>
      <c r="Q159" s="27"/>
      <c r="R159" s="30"/>
      <c r="S159" s="27"/>
      <c r="T159" s="30"/>
      <c r="U159" s="34"/>
      <c r="V159" s="34"/>
      <c r="X159" s="8"/>
      <c r="Y159" s="2"/>
      <c r="Z159" s="26"/>
      <c r="AA159" s="26"/>
      <c r="AB159" s="26"/>
      <c r="AC159" s="26"/>
      <c r="AD159" s="27"/>
      <c r="AE159" s="30"/>
      <c r="AF159" s="26"/>
      <c r="AG159" s="26"/>
      <c r="AH159" s="32"/>
      <c r="AJ159" s="8"/>
      <c r="AK159" s="2"/>
      <c r="AL159" s="26"/>
      <c r="AM159" s="26"/>
      <c r="AN159" s="26"/>
      <c r="AO159" s="27"/>
      <c r="AP159" s="30"/>
      <c r="AQ159" s="26"/>
      <c r="AR159" s="26"/>
      <c r="AS159" s="32"/>
      <c r="AT159" s="34"/>
    </row>
    <row r="160" spans="2:46" x14ac:dyDescent="0.3">
      <c r="B160" s="8"/>
      <c r="C160" s="2"/>
      <c r="D160" s="26"/>
      <c r="E160" s="26"/>
      <c r="F160" s="27"/>
      <c r="G160" s="26"/>
      <c r="H160" s="26"/>
      <c r="I160" s="27"/>
      <c r="J160" s="26"/>
      <c r="K160" s="26"/>
      <c r="L160" s="67"/>
      <c r="N160" s="8"/>
      <c r="O160" s="2"/>
      <c r="P160" s="26"/>
      <c r="Q160" s="27"/>
      <c r="R160" s="30"/>
      <c r="S160" s="27"/>
      <c r="T160" s="30"/>
      <c r="U160" s="34"/>
      <c r="V160" s="34"/>
      <c r="X160" s="8"/>
      <c r="Y160" s="2"/>
      <c r="Z160" s="26"/>
      <c r="AA160" s="26"/>
      <c r="AB160" s="26"/>
      <c r="AC160" s="26"/>
      <c r="AD160" s="27"/>
      <c r="AE160" s="30"/>
      <c r="AF160" s="26"/>
      <c r="AG160" s="26"/>
      <c r="AH160" s="32"/>
      <c r="AJ160" s="8"/>
      <c r="AK160" s="2"/>
      <c r="AL160" s="26"/>
      <c r="AM160" s="26"/>
      <c r="AN160" s="26"/>
      <c r="AO160" s="27"/>
      <c r="AP160" s="30"/>
      <c r="AQ160" s="26"/>
      <c r="AR160" s="26"/>
      <c r="AS160" s="32"/>
      <c r="AT160" s="34"/>
    </row>
    <row r="161" spans="2:46" x14ac:dyDescent="0.3">
      <c r="B161" s="8"/>
      <c r="C161" s="2"/>
      <c r="D161" s="26"/>
      <c r="E161" s="26"/>
      <c r="F161" s="27"/>
      <c r="G161" s="26"/>
      <c r="H161" s="26"/>
      <c r="I161" s="27"/>
      <c r="J161" s="26"/>
      <c r="K161" s="26"/>
      <c r="L161" s="67"/>
      <c r="N161" s="8"/>
      <c r="O161" s="2"/>
      <c r="P161" s="26"/>
      <c r="Q161" s="27"/>
      <c r="R161" s="30"/>
      <c r="S161" s="27"/>
      <c r="T161" s="30"/>
      <c r="U161" s="34"/>
      <c r="V161" s="34"/>
      <c r="X161" s="8"/>
      <c r="Y161" s="2"/>
      <c r="Z161" s="26"/>
      <c r="AA161" s="26"/>
      <c r="AB161" s="26"/>
      <c r="AC161" s="26"/>
      <c r="AD161" s="27"/>
      <c r="AE161" s="30"/>
      <c r="AF161" s="26"/>
      <c r="AG161" s="26"/>
      <c r="AH161" s="32"/>
      <c r="AJ161" s="8"/>
      <c r="AK161" s="2"/>
      <c r="AL161" s="26"/>
      <c r="AM161" s="26"/>
      <c r="AN161" s="26"/>
      <c r="AO161" s="27"/>
      <c r="AP161" s="30"/>
      <c r="AQ161" s="26"/>
      <c r="AR161" s="26"/>
      <c r="AS161" s="32"/>
      <c r="AT161" s="34"/>
    </row>
    <row r="162" spans="2:46" x14ac:dyDescent="0.3">
      <c r="B162" s="8"/>
      <c r="C162" s="2"/>
      <c r="D162" s="26"/>
      <c r="E162" s="26"/>
      <c r="F162" s="27"/>
      <c r="G162" s="26"/>
      <c r="H162" s="26"/>
      <c r="I162" s="27"/>
      <c r="J162" s="26"/>
      <c r="K162" s="26"/>
      <c r="L162" s="67"/>
      <c r="N162" s="8"/>
      <c r="O162" s="2"/>
      <c r="P162" s="26"/>
      <c r="Q162" s="27"/>
      <c r="R162" s="30"/>
      <c r="S162" s="27"/>
      <c r="T162" s="30"/>
      <c r="U162" s="34"/>
      <c r="V162" s="34"/>
      <c r="X162" s="8"/>
      <c r="Y162" s="2"/>
      <c r="Z162" s="26"/>
      <c r="AA162" s="26"/>
      <c r="AB162" s="26"/>
      <c r="AC162" s="26"/>
      <c r="AD162" s="27"/>
      <c r="AE162" s="30"/>
      <c r="AF162" s="26"/>
      <c r="AG162" s="26"/>
      <c r="AH162" s="32"/>
      <c r="AJ162" s="8"/>
      <c r="AK162" s="2"/>
      <c r="AL162" s="26"/>
      <c r="AM162" s="26"/>
      <c r="AN162" s="26"/>
      <c r="AO162" s="27"/>
      <c r="AP162" s="30"/>
      <c r="AQ162" s="26"/>
      <c r="AR162" s="26"/>
      <c r="AS162" s="32"/>
      <c r="AT162" s="34"/>
    </row>
    <row r="163" spans="2:46" x14ac:dyDescent="0.3">
      <c r="B163" s="8"/>
      <c r="C163" s="2"/>
      <c r="D163" s="26"/>
      <c r="E163" s="26"/>
      <c r="F163" s="27"/>
      <c r="G163" s="26"/>
      <c r="H163" s="26"/>
      <c r="I163" s="27"/>
      <c r="J163" s="26"/>
      <c r="K163" s="26"/>
      <c r="L163" s="67"/>
      <c r="N163" s="8"/>
      <c r="O163" s="2"/>
      <c r="P163" s="26"/>
      <c r="Q163" s="27"/>
      <c r="R163" s="30"/>
      <c r="S163" s="27"/>
      <c r="T163" s="30"/>
      <c r="U163" s="34"/>
      <c r="V163" s="34"/>
      <c r="X163" s="8"/>
      <c r="Y163" s="2"/>
      <c r="Z163" s="26"/>
      <c r="AA163" s="26"/>
      <c r="AB163" s="26"/>
      <c r="AC163" s="26"/>
      <c r="AD163" s="27"/>
      <c r="AE163" s="30"/>
      <c r="AF163" s="26"/>
      <c r="AG163" s="26"/>
      <c r="AH163" s="32"/>
      <c r="AJ163" s="8"/>
      <c r="AK163" s="2"/>
      <c r="AL163" s="26"/>
      <c r="AM163" s="26"/>
      <c r="AN163" s="26"/>
      <c r="AO163" s="27"/>
      <c r="AP163" s="30"/>
      <c r="AQ163" s="26"/>
      <c r="AR163" s="26"/>
      <c r="AS163" s="32"/>
      <c r="AT163" s="34"/>
    </row>
    <row r="164" spans="2:46" x14ac:dyDescent="0.3">
      <c r="B164" s="8"/>
      <c r="C164" s="2"/>
      <c r="D164" s="26"/>
      <c r="E164" s="26"/>
      <c r="F164" s="27"/>
      <c r="G164" s="26"/>
      <c r="H164" s="26"/>
      <c r="I164" s="27"/>
      <c r="J164" s="26"/>
      <c r="K164" s="26"/>
      <c r="L164" s="67"/>
      <c r="N164" s="8"/>
      <c r="O164" s="2"/>
      <c r="P164" s="26"/>
      <c r="Q164" s="27"/>
      <c r="R164" s="30"/>
      <c r="S164" s="27"/>
      <c r="T164" s="30"/>
      <c r="U164" s="34"/>
      <c r="V164" s="34"/>
      <c r="X164" s="8"/>
      <c r="Y164" s="2"/>
      <c r="Z164" s="26"/>
      <c r="AA164" s="26"/>
      <c r="AB164" s="26"/>
      <c r="AC164" s="26"/>
      <c r="AD164" s="27"/>
      <c r="AE164" s="30"/>
      <c r="AF164" s="26"/>
      <c r="AG164" s="26"/>
      <c r="AH164" s="32"/>
      <c r="AJ164" s="8"/>
      <c r="AK164" s="2"/>
      <c r="AL164" s="26"/>
      <c r="AM164" s="26"/>
      <c r="AN164" s="26"/>
      <c r="AO164" s="27"/>
      <c r="AP164" s="30"/>
      <c r="AQ164" s="26"/>
      <c r="AR164" s="26"/>
      <c r="AS164" s="32"/>
      <c r="AT164" s="34"/>
    </row>
    <row r="165" spans="2:46" x14ac:dyDescent="0.3">
      <c r="B165" s="8"/>
      <c r="C165" s="2"/>
      <c r="D165" s="26"/>
      <c r="E165" s="26"/>
      <c r="F165" s="27"/>
      <c r="G165" s="26"/>
      <c r="H165" s="26"/>
      <c r="I165" s="27"/>
      <c r="J165" s="26"/>
      <c r="K165" s="26"/>
      <c r="L165" s="67"/>
      <c r="N165" s="8"/>
      <c r="O165" s="2"/>
      <c r="P165" s="26"/>
      <c r="Q165" s="27"/>
      <c r="R165" s="30"/>
      <c r="S165" s="27"/>
      <c r="T165" s="30"/>
      <c r="U165" s="34"/>
      <c r="V165" s="34"/>
      <c r="X165" s="8"/>
      <c r="Y165" s="2"/>
      <c r="Z165" s="26"/>
      <c r="AA165" s="26"/>
      <c r="AB165" s="26"/>
      <c r="AC165" s="26"/>
      <c r="AD165" s="27"/>
      <c r="AE165" s="30"/>
      <c r="AF165" s="26"/>
      <c r="AG165" s="26"/>
      <c r="AH165" s="32"/>
      <c r="AJ165" s="8"/>
      <c r="AK165" s="2"/>
      <c r="AL165" s="26"/>
      <c r="AM165" s="26"/>
      <c r="AN165" s="26"/>
      <c r="AO165" s="27"/>
      <c r="AP165" s="30"/>
      <c r="AQ165" s="26"/>
      <c r="AR165" s="26"/>
      <c r="AS165" s="32"/>
      <c r="AT165" s="34"/>
    </row>
    <row r="166" spans="2:46" x14ac:dyDescent="0.3">
      <c r="B166" s="8"/>
      <c r="C166" s="2"/>
      <c r="D166" s="26"/>
      <c r="E166" s="26"/>
      <c r="F166" s="28"/>
      <c r="G166" s="29"/>
      <c r="H166" s="29"/>
      <c r="I166" s="28"/>
      <c r="J166" s="29"/>
      <c r="K166" s="29"/>
      <c r="L166" s="68"/>
      <c r="N166" s="8"/>
      <c r="O166" s="2"/>
      <c r="P166" s="26"/>
      <c r="Q166" s="28"/>
      <c r="R166" s="31"/>
      <c r="S166" s="28"/>
      <c r="T166" s="31"/>
      <c r="U166" s="34"/>
      <c r="V166" s="34"/>
      <c r="X166" s="8"/>
      <c r="Y166" s="2"/>
      <c r="Z166" s="26"/>
      <c r="AA166" s="26"/>
      <c r="AB166" s="26"/>
      <c r="AC166" s="26"/>
      <c r="AD166" s="28"/>
      <c r="AE166" s="31"/>
      <c r="AF166" s="26"/>
      <c r="AG166" s="26"/>
      <c r="AH166" s="33"/>
      <c r="AJ166" s="8"/>
      <c r="AK166" s="2"/>
      <c r="AL166" s="26"/>
      <c r="AM166" s="26"/>
      <c r="AN166" s="26"/>
      <c r="AO166" s="28"/>
      <c r="AP166" s="31"/>
      <c r="AQ166" s="26"/>
      <c r="AR166" s="26"/>
      <c r="AS166" s="32"/>
      <c r="AT166" s="34"/>
    </row>
    <row r="167" spans="2:46" x14ac:dyDescent="0.3">
      <c r="B167" s="22"/>
      <c r="C167" s="22"/>
      <c r="D167" s="22"/>
      <c r="E167" s="22"/>
      <c r="F167" s="22"/>
      <c r="G167" s="22"/>
      <c r="H167" s="22"/>
      <c r="I167" s="22"/>
      <c r="J167" s="22"/>
      <c r="K167" s="22"/>
      <c r="L167" s="22"/>
      <c r="N167" s="22"/>
      <c r="O167" s="22"/>
      <c r="P167" s="22"/>
      <c r="Q167" s="22"/>
      <c r="R167" s="22"/>
      <c r="S167" s="22"/>
      <c r="T167" s="22"/>
      <c r="U167" s="22"/>
      <c r="V167" s="22"/>
      <c r="X167" s="22"/>
      <c r="Y167" s="22"/>
      <c r="Z167" s="22"/>
      <c r="AA167" s="22"/>
      <c r="AB167" s="22"/>
      <c r="AC167" s="22"/>
      <c r="AD167" s="22"/>
      <c r="AE167" s="22"/>
      <c r="AF167" s="22"/>
      <c r="AG167" s="22"/>
      <c r="AH167" s="22"/>
      <c r="AJ167" s="22"/>
      <c r="AK167" s="22"/>
      <c r="AL167" s="22"/>
      <c r="AM167" s="22"/>
      <c r="AN167" s="22"/>
      <c r="AO167" s="22"/>
      <c r="AP167" s="22"/>
      <c r="AQ167" s="22"/>
      <c r="AR167" s="22"/>
      <c r="AS167" s="22"/>
      <c r="AT167" s="22"/>
    </row>
  </sheetData>
  <mergeCells count="11">
    <mergeCell ref="AF4:AG4"/>
    <mergeCell ref="AO4:AP4"/>
    <mergeCell ref="AQ4:AR4"/>
    <mergeCell ref="AS4:AT4"/>
    <mergeCell ref="D4:E4"/>
    <mergeCell ref="F4:H4"/>
    <mergeCell ref="I4:K4"/>
    <mergeCell ref="Q4:R4"/>
    <mergeCell ref="AD4:AE4"/>
    <mergeCell ref="S4:T4"/>
    <mergeCell ref="U4:V4"/>
  </mergeCells>
  <conditionalFormatting sqref="D13:K13 P13:R13 Z13:AG13 AL13:AR13">
    <cfRule type="cellIs" dxfId="21" priority="11" operator="greaterThan">
      <formula>1</formula>
    </cfRule>
  </conditionalFormatting>
  <conditionalFormatting sqref="D17:K166 Z17:AG166 AL17:AR166">
    <cfRule type="cellIs" dxfId="20" priority="12" operator="lessThan">
      <formula>0</formula>
    </cfRule>
    <cfRule type="cellIs" dxfId="19" priority="13" operator="greaterThan">
      <formula>0</formula>
    </cfRule>
  </conditionalFormatting>
  <conditionalFormatting sqref="U17:V166">
    <cfRule type="cellIs" dxfId="18" priority="9" operator="greaterThan">
      <formula>1</formula>
    </cfRule>
  </conditionalFormatting>
  <conditionalFormatting sqref="AH17:AH166">
    <cfRule type="cellIs" dxfId="17" priority="8" operator="greaterThan">
      <formula>1</formula>
    </cfRule>
  </conditionalFormatting>
  <conditionalFormatting sqref="AS17:AT166">
    <cfRule type="cellIs" dxfId="16" priority="6" operator="greaterThan">
      <formula>1</formula>
    </cfRule>
  </conditionalFormatting>
  <conditionalFormatting sqref="BA7:BA24 P17:T166">
    <cfRule type="cellIs" dxfId="13" priority="3" operator="lessThan">
      <formula>0</formula>
    </cfRule>
    <cfRule type="cellIs" dxfId="12" priority="4" operator="greaterThan">
      <formula>0</formula>
    </cfRule>
  </conditionalFormatting>
  <conditionalFormatting sqref="BB7:BB24 L17:L166">
    <cfRule type="cellIs" dxfId="11" priority="5" operator="greaterThan">
      <formula>1</formula>
    </cfRule>
  </conditionalFormatting>
  <dataValidations count="4">
    <dataValidation type="whole" errorStyle="information" allowBlank="1" showInputMessage="1" showErrorMessage="1" errorTitle="Must select 1 or 2" error="1 = Included in closure_x000a_2 = Excluded" sqref="V17:V166 AH17:AH166 L17:L166 AS17:AT166" xr:uid="{9A43D604-B90A-4C5C-A108-34D1F10AB5E1}">
      <formula1>1</formula1>
      <formula2>2</formula2>
    </dataValidation>
    <dataValidation type="whole" errorStyle="information" allowBlank="1" showInputMessage="1" showErrorMessage="1" errorTitle="Must select 1 or 2" error="1 = Included in shock_x000a_2 = Excluded" sqref="U17:U166" xr:uid="{FBA9E7CC-8531-4E32-90F5-664D30C3432F}">
      <formula1>1</formula1>
      <formula2>2</formula2>
    </dataValidation>
    <dataValidation type="decimal" errorStyle="information" allowBlank="1" showInputMessage="1" showErrorMessage="1" errorTitle="Must select a number" error="Cannot choose letters or special characters." sqref="D17:K166 BA7:BA24 AL17:AN37 P17:T166 Z17:AG166 AO17:AR166" xr:uid="{82FA0833-37F3-4350-BA8A-D13F1022F9F9}">
      <formula1>-1000000000</formula1>
      <formula2>1000000000</formula2>
    </dataValidation>
    <dataValidation type="whole" errorStyle="information" allowBlank="1" showInputMessage="1" showErrorMessage="1" errorTitle="Must select 1 or 2" error="1 = Multiplicative_x000a_2 = Additive" sqref="AL13:AR13 Z13:AG13 P13:R13 D13:K13 BB7:BB24" xr:uid="{BB334C3C-3205-4FC2-957E-16D76F33F604}">
      <formula1>1</formula1>
      <formula2>2</formula2>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ellIs" priority="15" operator="equal" id="{506F9EE4-5A98-4FFC-8CF0-4A6256AEE9A2}">
            <xm:f>Notes!$L$4</xm:f>
            <x14:dxf>
              <font>
                <b val="0"/>
                <i val="0"/>
                <strike val="0"/>
                <color theme="0" tint="-0.34998626667073579"/>
              </font>
              <fill>
                <patternFill patternType="none">
                  <bgColor auto="1"/>
                </patternFill>
              </fill>
            </x14:dxf>
          </x14:cfRule>
          <xm:sqref>AY7:AY24 D8:K8 P8:T8 Z8:AG8 AL8:AR8</xm:sqref>
        </x14:conditionalFormatting>
        <x14:conditionalFormatting xmlns:xm="http://schemas.microsoft.com/office/excel/2006/main">
          <x14:cfRule type="cellIs" priority="14" operator="equal" id="{BCC7173F-6D52-4318-8930-165AF86DE397}">
            <xm:f>Notes!$L$5</xm:f>
            <x14:dxf>
              <font>
                <b val="0"/>
                <i val="0"/>
                <strike val="0"/>
                <color theme="0" tint="-0.34998626667073579"/>
              </font>
              <fill>
                <patternFill patternType="none">
                  <bgColor auto="1"/>
                </patternFill>
              </fill>
            </x14:dxf>
          </x14:cfRule>
          <xm:sqref>AZ7:AZ24 D9:K9 P9:T9 Z9:AG9 AL9:AR9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Out of range" error="Time periods must fall within the range specified on the &quot;Base&quot; worksheet." xr:uid="{4DE8BCAD-070E-41CB-98E4-7A1A763C7ECC}">
          <x14:formula1>
            <xm:f>Main!$H$5:$H$58</xm:f>
          </x14:formula1>
          <xm:sqref>D8:K9 AY7:AZ24 AL8:AR9 P8:T9</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7B4EF-E55C-46D7-A8B7-44B2094A85DF}">
  <sheetPr>
    <tabColor theme="8" tint="-0.499984740745262"/>
  </sheetPr>
  <dimension ref="A1:BE167"/>
  <sheetViews>
    <sheetView zoomScale="55" zoomScaleNormal="55" workbookViewId="0">
      <pane ySplit="16" topLeftCell="A17" activePane="bottomLeft" state="frozen"/>
      <selection activeCell="V17" sqref="V17"/>
      <selection pane="bottomLeft" activeCell="V17" sqref="V17"/>
    </sheetView>
  </sheetViews>
  <sheetFormatPr defaultColWidth="0" defaultRowHeight="14.4" zeroHeight="1" x14ac:dyDescent="0.3"/>
  <cols>
    <col min="1" max="2" width="2.44140625" customWidth="1"/>
    <col min="3" max="12" width="9.109375" customWidth="1"/>
    <col min="13" max="14" width="2.44140625" customWidth="1"/>
    <col min="15" max="22" width="9.109375" customWidth="1"/>
    <col min="23" max="24" width="2.44140625" customWidth="1"/>
    <col min="25" max="34" width="9.109375" customWidth="1"/>
    <col min="35" max="36" width="2.44140625" customWidth="1"/>
    <col min="37" max="37" width="11.77734375" customWidth="1"/>
    <col min="38" max="46" width="9.109375" customWidth="1"/>
    <col min="47" max="48" width="2.44140625" customWidth="1"/>
    <col min="49" max="49" width="18.88671875" bestFit="1" customWidth="1"/>
    <col min="50" max="54" width="9.109375" customWidth="1"/>
    <col min="55" max="55" width="2.44140625" customWidth="1"/>
    <col min="56" max="57" width="0" hidden="1" customWidth="1"/>
    <col min="58" max="16384" width="9.109375" hidden="1"/>
  </cols>
  <sheetData>
    <row r="1" spans="1:55" ht="18" x14ac:dyDescent="0.35">
      <c r="A1" s="6" t="str">
        <f>"Simulation "&amp;AC1&amp;IF(AD1&lt;&gt;""," : "&amp;AD1,"")</f>
        <v>Simulation sim15</v>
      </c>
      <c r="B1" s="6"/>
      <c r="C1" s="4"/>
      <c r="D1" s="4"/>
      <c r="E1" s="4"/>
      <c r="F1" s="4"/>
      <c r="G1" s="4"/>
      <c r="H1" s="4"/>
      <c r="I1" s="4"/>
      <c r="J1" s="4"/>
      <c r="K1" s="4"/>
      <c r="L1" s="4"/>
      <c r="M1" s="4"/>
      <c r="N1" s="4"/>
      <c r="O1" s="4"/>
      <c r="P1" s="4"/>
      <c r="Q1" s="4"/>
      <c r="R1" s="4"/>
      <c r="S1" s="4"/>
      <c r="T1" s="4"/>
      <c r="U1" s="4"/>
      <c r="V1" s="4"/>
      <c r="W1" s="4"/>
      <c r="X1" s="4"/>
      <c r="Y1" s="4"/>
      <c r="Z1" s="4"/>
      <c r="AA1" s="4"/>
      <c r="AB1" s="4"/>
      <c r="AC1" s="4" t="str">
        <f>Main!C21</f>
        <v>sim15</v>
      </c>
      <c r="AD1" s="4" t="str">
        <f>IF(Main!E21&lt;&gt;"",Main!E21,"")</f>
        <v/>
      </c>
      <c r="AE1" s="4"/>
      <c r="AF1" s="4"/>
      <c r="AG1" s="4"/>
      <c r="AH1" s="4"/>
      <c r="AI1" s="4"/>
      <c r="AJ1" s="4"/>
      <c r="AK1" s="4"/>
      <c r="AL1" s="4"/>
      <c r="AM1" s="4"/>
      <c r="AN1" s="4"/>
      <c r="AO1" s="4"/>
      <c r="AP1" s="4"/>
      <c r="AQ1" s="4"/>
      <c r="AR1" s="4"/>
      <c r="AS1" s="4"/>
      <c r="AT1" s="4"/>
      <c r="AU1" s="4"/>
      <c r="AV1" s="4"/>
      <c r="AW1" s="4"/>
      <c r="AX1" s="4"/>
      <c r="AY1" s="4"/>
      <c r="AZ1" s="4"/>
      <c r="BA1" s="4"/>
      <c r="BB1" s="4"/>
      <c r="BC1" s="4"/>
    </row>
    <row r="2" spans="1:55" x14ac:dyDescent="0.3"/>
    <row r="3" spans="1:55" ht="15.6" x14ac:dyDescent="0.3">
      <c r="B3" s="7"/>
      <c r="C3" s="17" t="s">
        <v>55</v>
      </c>
      <c r="D3" s="36"/>
      <c r="E3" s="36"/>
      <c r="F3" s="36"/>
      <c r="G3" s="36"/>
      <c r="H3" s="36"/>
      <c r="I3" s="36"/>
      <c r="J3" s="36"/>
      <c r="K3" s="36"/>
      <c r="L3" s="36"/>
      <c r="N3" s="7"/>
      <c r="O3" s="17" t="s">
        <v>56</v>
      </c>
      <c r="P3" s="36"/>
      <c r="Q3" s="36"/>
      <c r="R3" s="36"/>
      <c r="S3" s="36"/>
      <c r="T3" s="36"/>
      <c r="U3" s="36"/>
      <c r="V3" s="36"/>
      <c r="X3" s="7"/>
      <c r="Y3" s="17" t="s">
        <v>57</v>
      </c>
      <c r="Z3" s="36"/>
      <c r="AA3" s="36"/>
      <c r="AB3" s="36"/>
      <c r="AC3" s="36"/>
      <c r="AD3" s="36"/>
      <c r="AE3" s="36"/>
      <c r="AF3" s="36"/>
      <c r="AG3" s="36"/>
      <c r="AH3" s="36"/>
      <c r="AJ3" s="7"/>
      <c r="AK3" s="17" t="s">
        <v>283</v>
      </c>
      <c r="AL3" s="36"/>
      <c r="AM3" s="36"/>
      <c r="AN3" s="36"/>
      <c r="AO3" s="36"/>
      <c r="AP3" s="36"/>
      <c r="AQ3" s="36"/>
      <c r="AR3" s="36"/>
      <c r="AS3" s="36"/>
      <c r="AT3" s="36"/>
      <c r="AV3" s="7"/>
      <c r="AW3" s="17" t="s">
        <v>125</v>
      </c>
      <c r="AX3" s="36"/>
      <c r="AY3" s="36"/>
      <c r="AZ3" s="36"/>
      <c r="BA3" s="36"/>
      <c r="BB3" s="36"/>
    </row>
    <row r="4" spans="1:55" x14ac:dyDescent="0.3">
      <c r="B4" s="14"/>
      <c r="C4" s="9"/>
      <c r="D4" s="74" t="s">
        <v>58</v>
      </c>
      <c r="E4" s="74"/>
      <c r="F4" s="75" t="s">
        <v>59</v>
      </c>
      <c r="G4" s="74"/>
      <c r="H4" s="74"/>
      <c r="I4" s="75" t="s">
        <v>7</v>
      </c>
      <c r="J4" s="74"/>
      <c r="K4" s="74"/>
      <c r="L4" s="37" t="s">
        <v>103</v>
      </c>
      <c r="N4" s="14"/>
      <c r="O4" s="9"/>
      <c r="P4" s="38" t="s">
        <v>60</v>
      </c>
      <c r="Q4" s="75" t="s">
        <v>61</v>
      </c>
      <c r="R4" s="76"/>
      <c r="S4" s="75" t="s">
        <v>646</v>
      </c>
      <c r="T4" s="74"/>
      <c r="U4" s="75" t="s">
        <v>103</v>
      </c>
      <c r="V4" s="74"/>
      <c r="X4" s="14"/>
      <c r="Y4" s="9"/>
      <c r="Z4" s="38" t="s">
        <v>63</v>
      </c>
      <c r="AA4" s="38" t="s">
        <v>62</v>
      </c>
      <c r="AB4" s="38" t="s">
        <v>311</v>
      </c>
      <c r="AC4" s="38" t="s">
        <v>62</v>
      </c>
      <c r="AD4" s="75" t="s">
        <v>126</v>
      </c>
      <c r="AE4" s="76"/>
      <c r="AF4" s="74" t="s">
        <v>127</v>
      </c>
      <c r="AG4" s="74"/>
      <c r="AH4" s="37" t="s">
        <v>103</v>
      </c>
      <c r="AJ4" s="14"/>
      <c r="AK4" s="9"/>
      <c r="AL4" s="38" t="s">
        <v>132</v>
      </c>
      <c r="AM4" s="38" t="s">
        <v>99</v>
      </c>
      <c r="AN4" s="38" t="s">
        <v>289</v>
      </c>
      <c r="AO4" s="75" t="s">
        <v>126</v>
      </c>
      <c r="AP4" s="76"/>
      <c r="AQ4" s="74" t="s">
        <v>127</v>
      </c>
      <c r="AR4" s="74"/>
      <c r="AS4" s="75" t="s">
        <v>103</v>
      </c>
      <c r="AT4" s="74"/>
      <c r="AV4" s="8"/>
      <c r="AY4" s="39" t="s">
        <v>335</v>
      </c>
      <c r="AZ4" s="39" t="s">
        <v>336</v>
      </c>
      <c r="BA4" s="39" t="s">
        <v>300</v>
      </c>
      <c r="BB4" s="39" t="s">
        <v>304</v>
      </c>
    </row>
    <row r="5" spans="1:55" x14ac:dyDescent="0.3">
      <c r="B5" s="14"/>
      <c r="C5" s="9"/>
      <c r="D5" s="40" t="s">
        <v>64</v>
      </c>
      <c r="E5" s="40" t="s">
        <v>65</v>
      </c>
      <c r="F5" s="41" t="s">
        <v>64</v>
      </c>
      <c r="G5" s="40" t="s">
        <v>65</v>
      </c>
      <c r="H5" s="40" t="s">
        <v>66</v>
      </c>
      <c r="I5" s="41" t="s">
        <v>64</v>
      </c>
      <c r="J5" s="40" t="s">
        <v>65</v>
      </c>
      <c r="K5" s="40" t="s">
        <v>67</v>
      </c>
      <c r="L5" s="41" t="s">
        <v>100</v>
      </c>
      <c r="N5" s="14"/>
      <c r="O5" s="9"/>
      <c r="P5" s="40"/>
      <c r="Q5" s="41" t="s">
        <v>68</v>
      </c>
      <c r="R5" s="42" t="s">
        <v>124</v>
      </c>
      <c r="S5" s="40" t="s">
        <v>284</v>
      </c>
      <c r="T5" s="40" t="s">
        <v>286</v>
      </c>
      <c r="U5" s="69" t="s">
        <v>313</v>
      </c>
      <c r="V5" s="40" t="s">
        <v>100</v>
      </c>
      <c r="X5" s="14"/>
      <c r="Y5" s="9"/>
      <c r="Z5" s="38" t="s">
        <v>70</v>
      </c>
      <c r="AA5" s="38" t="s">
        <v>71</v>
      </c>
      <c r="AB5" s="38" t="s">
        <v>312</v>
      </c>
      <c r="AC5" s="38" t="s">
        <v>69</v>
      </c>
      <c r="AD5" s="41" t="s">
        <v>86</v>
      </c>
      <c r="AE5" s="42" t="s">
        <v>87</v>
      </c>
      <c r="AF5" s="40" t="s">
        <v>86</v>
      </c>
      <c r="AG5" s="40" t="s">
        <v>87</v>
      </c>
      <c r="AH5" s="41" t="s">
        <v>100</v>
      </c>
      <c r="AJ5" s="14"/>
      <c r="AK5" s="9"/>
      <c r="AL5" s="38" t="s">
        <v>134</v>
      </c>
      <c r="AM5" s="38" t="s">
        <v>70</v>
      </c>
      <c r="AN5" s="38" t="s">
        <v>123</v>
      </c>
      <c r="AO5" s="41" t="s">
        <v>86</v>
      </c>
      <c r="AP5" s="42" t="s">
        <v>87</v>
      </c>
      <c r="AQ5" s="40" t="s">
        <v>86</v>
      </c>
      <c r="AR5" s="40" t="s">
        <v>87</v>
      </c>
      <c r="AS5" s="41" t="s">
        <v>99</v>
      </c>
      <c r="AT5" s="40" t="s">
        <v>100</v>
      </c>
      <c r="AV5" s="8"/>
      <c r="BA5" s="43"/>
      <c r="BB5" s="44" t="s">
        <v>305</v>
      </c>
    </row>
    <row r="6" spans="1:55" x14ac:dyDescent="0.3">
      <c r="B6" s="8"/>
      <c r="F6" s="45"/>
      <c r="I6" s="45"/>
      <c r="L6" s="45"/>
      <c r="N6" s="8"/>
      <c r="Q6" s="45"/>
      <c r="R6" s="46"/>
      <c r="U6" s="70"/>
      <c r="X6" s="8"/>
      <c r="AD6" s="45"/>
      <c r="AE6" s="46"/>
      <c r="AH6" s="45"/>
      <c r="AJ6" s="8"/>
      <c r="AO6" s="45"/>
      <c r="AP6" s="46"/>
      <c r="AS6" s="45"/>
      <c r="AV6" s="8"/>
      <c r="AW6" s="47" t="s">
        <v>303</v>
      </c>
      <c r="AX6" s="48"/>
      <c r="AY6" s="49" t="s">
        <v>337</v>
      </c>
      <c r="AZ6" s="49" t="s">
        <v>338</v>
      </c>
      <c r="BA6" s="49" t="s">
        <v>206</v>
      </c>
      <c r="BB6" s="49" t="s">
        <v>207</v>
      </c>
    </row>
    <row r="7" spans="1:55" x14ac:dyDescent="0.3">
      <c r="B7" s="8"/>
      <c r="D7" s="50" t="s">
        <v>72</v>
      </c>
      <c r="E7" s="50" t="s">
        <v>73</v>
      </c>
      <c r="F7" s="51" t="s">
        <v>74</v>
      </c>
      <c r="G7" s="50" t="s">
        <v>75</v>
      </c>
      <c r="H7" s="50" t="s">
        <v>76</v>
      </c>
      <c r="I7" s="51" t="s">
        <v>77</v>
      </c>
      <c r="J7" s="50" t="s">
        <v>78</v>
      </c>
      <c r="K7" s="50" t="s">
        <v>79</v>
      </c>
      <c r="L7" s="45"/>
      <c r="N7" s="8"/>
      <c r="P7" s="50" t="s">
        <v>81</v>
      </c>
      <c r="Q7" s="51" t="s">
        <v>82</v>
      </c>
      <c r="R7" s="52" t="s">
        <v>621</v>
      </c>
      <c r="S7" s="50" t="s">
        <v>80</v>
      </c>
      <c r="T7" s="50" t="s">
        <v>285</v>
      </c>
      <c r="U7" s="70"/>
      <c r="X7" s="8"/>
      <c r="Z7" s="50" t="s">
        <v>84</v>
      </c>
      <c r="AA7" s="50" t="s">
        <v>85</v>
      </c>
      <c r="AB7" s="50" t="s">
        <v>310</v>
      </c>
      <c r="AC7" s="50" t="s">
        <v>83</v>
      </c>
      <c r="AD7" s="51" t="s">
        <v>130</v>
      </c>
      <c r="AE7" s="52" t="s">
        <v>131</v>
      </c>
      <c r="AF7" s="50" t="s">
        <v>128</v>
      </c>
      <c r="AG7" s="50" t="s">
        <v>129</v>
      </c>
      <c r="AH7" s="45"/>
      <c r="AJ7" s="8"/>
      <c r="AL7" s="50" t="s">
        <v>133</v>
      </c>
      <c r="AM7" s="50" t="s">
        <v>101</v>
      </c>
      <c r="AN7" s="50" t="s">
        <v>622</v>
      </c>
      <c r="AO7" s="51" t="s">
        <v>130</v>
      </c>
      <c r="AP7" s="52" t="s">
        <v>131</v>
      </c>
      <c r="AQ7" s="50" t="s">
        <v>128</v>
      </c>
      <c r="AR7" s="50" t="s">
        <v>129</v>
      </c>
      <c r="AS7" s="45"/>
      <c r="AV7" s="8"/>
      <c r="AW7" s="9" t="s">
        <v>88</v>
      </c>
      <c r="AX7" s="53" t="s">
        <v>89</v>
      </c>
      <c r="AY7" s="63">
        <f>Notes!$L$4</f>
        <v>2024</v>
      </c>
      <c r="AZ7" s="63">
        <f>Notes!$L$5</f>
        <v>2040</v>
      </c>
      <c r="BA7" s="26">
        <v>0</v>
      </c>
      <c r="BB7" s="34">
        <v>1</v>
      </c>
    </row>
    <row r="8" spans="1:55" x14ac:dyDescent="0.3">
      <c r="B8" s="8"/>
      <c r="C8" s="1" t="s">
        <v>339</v>
      </c>
      <c r="D8" s="63">
        <f>Notes!$L4</f>
        <v>2024</v>
      </c>
      <c r="E8" s="63">
        <f>Notes!$L4</f>
        <v>2024</v>
      </c>
      <c r="F8" s="64">
        <f>Notes!$L4</f>
        <v>2024</v>
      </c>
      <c r="G8" s="63">
        <f>Notes!$L4</f>
        <v>2024</v>
      </c>
      <c r="H8" s="63">
        <f>Notes!$L4</f>
        <v>2024</v>
      </c>
      <c r="I8" s="64">
        <f>Notes!$L4</f>
        <v>2024</v>
      </c>
      <c r="J8" s="63">
        <f>Notes!$L4</f>
        <v>2024</v>
      </c>
      <c r="K8" s="63">
        <f>Notes!$L4</f>
        <v>2024</v>
      </c>
      <c r="L8" s="45"/>
      <c r="N8" s="8"/>
      <c r="O8" s="1" t="s">
        <v>339</v>
      </c>
      <c r="P8" s="63">
        <f>Notes!$L4</f>
        <v>2024</v>
      </c>
      <c r="Q8" s="64">
        <f>Notes!$L4</f>
        <v>2024</v>
      </c>
      <c r="R8" s="63">
        <f>Notes!$L4</f>
        <v>2024</v>
      </c>
      <c r="S8" s="64">
        <f>Notes!$L4</f>
        <v>2024</v>
      </c>
      <c r="T8" s="63">
        <f>Notes!$L4</f>
        <v>2024</v>
      </c>
      <c r="U8" s="70"/>
      <c r="X8" s="8"/>
      <c r="Y8" s="1" t="s">
        <v>339</v>
      </c>
      <c r="Z8" s="63">
        <f>Notes!$L4</f>
        <v>2024</v>
      </c>
      <c r="AA8" s="63">
        <f>Notes!$L4</f>
        <v>2024</v>
      </c>
      <c r="AB8" s="63">
        <f>Notes!$L4</f>
        <v>2024</v>
      </c>
      <c r="AC8" s="63">
        <f>Notes!$L4</f>
        <v>2024</v>
      </c>
      <c r="AD8" s="64">
        <f>Notes!$L4</f>
        <v>2024</v>
      </c>
      <c r="AE8" s="63">
        <f>Notes!$L4</f>
        <v>2024</v>
      </c>
      <c r="AF8" s="64">
        <f>Notes!$L4</f>
        <v>2024</v>
      </c>
      <c r="AG8" s="63">
        <f>Notes!$L4</f>
        <v>2024</v>
      </c>
      <c r="AH8" s="45"/>
      <c r="AJ8" s="8"/>
      <c r="AK8" s="1" t="s">
        <v>339</v>
      </c>
      <c r="AL8" s="63">
        <f>Notes!$L4</f>
        <v>2024</v>
      </c>
      <c r="AM8" s="63">
        <f>Notes!$L4</f>
        <v>2024</v>
      </c>
      <c r="AN8" s="63">
        <f>Notes!$L4</f>
        <v>2024</v>
      </c>
      <c r="AO8" s="64">
        <f>Notes!$L4</f>
        <v>2024</v>
      </c>
      <c r="AP8" s="63">
        <f>Notes!$L4</f>
        <v>2024</v>
      </c>
      <c r="AQ8" s="64">
        <f>Notes!$L$4</f>
        <v>2024</v>
      </c>
      <c r="AR8" s="63">
        <f>Notes!$L4</f>
        <v>2024</v>
      </c>
      <c r="AS8" s="45"/>
      <c r="AV8" s="8"/>
      <c r="AW8" s="9" t="s">
        <v>92</v>
      </c>
      <c r="AX8" s="53" t="s">
        <v>93</v>
      </c>
      <c r="AY8" s="63">
        <f>Notes!$L$4</f>
        <v>2024</v>
      </c>
      <c r="AZ8" s="63">
        <f>Notes!$L$5</f>
        <v>2040</v>
      </c>
      <c r="BA8" s="26">
        <v>0</v>
      </c>
      <c r="BB8" s="34">
        <v>1</v>
      </c>
    </row>
    <row r="9" spans="1:55" x14ac:dyDescent="0.3">
      <c r="B9" s="8"/>
      <c r="C9" s="1" t="s">
        <v>340</v>
      </c>
      <c r="D9" s="63">
        <f>Notes!$L5</f>
        <v>2040</v>
      </c>
      <c r="E9" s="63">
        <f>Notes!$L5</f>
        <v>2040</v>
      </c>
      <c r="F9" s="64">
        <f>Notes!$L5</f>
        <v>2040</v>
      </c>
      <c r="G9" s="63">
        <f>Notes!$L5</f>
        <v>2040</v>
      </c>
      <c r="H9" s="63">
        <f>Notes!$L5</f>
        <v>2040</v>
      </c>
      <c r="I9" s="64">
        <f>Notes!$L5</f>
        <v>2040</v>
      </c>
      <c r="J9" s="63">
        <f>Notes!$L5</f>
        <v>2040</v>
      </c>
      <c r="K9" s="63">
        <f>Notes!$L5</f>
        <v>2040</v>
      </c>
      <c r="L9" s="45"/>
      <c r="N9" s="8"/>
      <c r="O9" s="1" t="s">
        <v>340</v>
      </c>
      <c r="P9" s="63">
        <f>Notes!$L5</f>
        <v>2040</v>
      </c>
      <c r="Q9" s="64">
        <f>Notes!$L5</f>
        <v>2040</v>
      </c>
      <c r="R9" s="63">
        <f>Notes!$L5</f>
        <v>2040</v>
      </c>
      <c r="S9" s="64">
        <f>Notes!$L5</f>
        <v>2040</v>
      </c>
      <c r="T9" s="63">
        <f>Notes!$L5</f>
        <v>2040</v>
      </c>
      <c r="U9" s="70"/>
      <c r="X9" s="8"/>
      <c r="Y9" s="1" t="s">
        <v>340</v>
      </c>
      <c r="Z9" s="63">
        <f>Notes!$L5</f>
        <v>2040</v>
      </c>
      <c r="AA9" s="63">
        <f>Notes!$L5</f>
        <v>2040</v>
      </c>
      <c r="AB9" s="63">
        <f>Notes!$L5</f>
        <v>2040</v>
      </c>
      <c r="AC9" s="63">
        <f>Notes!$L5</f>
        <v>2040</v>
      </c>
      <c r="AD9" s="64">
        <f>Notes!$L5</f>
        <v>2040</v>
      </c>
      <c r="AE9" s="63">
        <f>Notes!$L5</f>
        <v>2040</v>
      </c>
      <c r="AF9" s="64">
        <f>Notes!$L5</f>
        <v>2040</v>
      </c>
      <c r="AG9" s="63">
        <f>Notes!$L5</f>
        <v>2040</v>
      </c>
      <c r="AH9" s="45"/>
      <c r="AJ9" s="8"/>
      <c r="AK9" s="1" t="s">
        <v>340</v>
      </c>
      <c r="AL9" s="63">
        <f>Notes!$L5</f>
        <v>2040</v>
      </c>
      <c r="AM9" s="63">
        <f>Notes!$L5</f>
        <v>2040</v>
      </c>
      <c r="AN9" s="63">
        <f>Notes!$L5</f>
        <v>2040</v>
      </c>
      <c r="AO9" s="64">
        <f>Notes!$L5</f>
        <v>2040</v>
      </c>
      <c r="AP9" s="63">
        <f>Notes!$L5</f>
        <v>2040</v>
      </c>
      <c r="AQ9" s="64">
        <f>Notes!$L5</f>
        <v>2040</v>
      </c>
      <c r="AR9" s="63">
        <f>Notes!$L5</f>
        <v>2040</v>
      </c>
      <c r="AS9" s="45"/>
      <c r="AV9" s="8"/>
      <c r="AW9" s="9" t="s">
        <v>90</v>
      </c>
      <c r="AX9" s="53" t="s">
        <v>91</v>
      </c>
      <c r="AY9" s="63">
        <f>Notes!$L$4</f>
        <v>2024</v>
      </c>
      <c r="AZ9" s="63">
        <f>Notes!$L$5</f>
        <v>2040</v>
      </c>
      <c r="BA9" s="26">
        <v>0</v>
      </c>
      <c r="BB9" s="34">
        <v>1</v>
      </c>
    </row>
    <row r="10" spans="1:55" x14ac:dyDescent="0.3">
      <c r="B10" s="8"/>
      <c r="F10" s="45"/>
      <c r="I10" s="45"/>
      <c r="L10" s="45"/>
      <c r="N10" s="8"/>
      <c r="Q10" s="45"/>
      <c r="R10" s="46"/>
      <c r="U10" s="70"/>
      <c r="X10" s="8"/>
      <c r="AD10" s="45"/>
      <c r="AE10" s="46"/>
      <c r="AH10" s="45"/>
      <c r="AJ10" s="8"/>
      <c r="AO10" s="45"/>
      <c r="AP10" s="46"/>
      <c r="AS10" s="45"/>
      <c r="AV10" s="8"/>
      <c r="AW10" s="9" t="s">
        <v>298</v>
      </c>
      <c r="AX10" s="53" t="s">
        <v>299</v>
      </c>
      <c r="AY10" s="63">
        <f>Notes!$L$4</f>
        <v>2024</v>
      </c>
      <c r="AZ10" s="63">
        <f>Notes!$L$5</f>
        <v>2040</v>
      </c>
      <c r="BA10" s="26">
        <v>0</v>
      </c>
      <c r="BB10" s="34">
        <v>1</v>
      </c>
    </row>
    <row r="11" spans="1:55" x14ac:dyDescent="0.3">
      <c r="B11" s="8"/>
      <c r="C11" s="54" t="s">
        <v>302</v>
      </c>
      <c r="D11" s="55"/>
      <c r="E11" s="55"/>
      <c r="F11" s="56"/>
      <c r="G11" s="55"/>
      <c r="H11" s="55"/>
      <c r="I11" s="56"/>
      <c r="J11" s="55"/>
      <c r="K11" s="55"/>
      <c r="L11" s="56"/>
      <c r="N11" s="8"/>
      <c r="O11" s="54" t="s">
        <v>302</v>
      </c>
      <c r="P11" s="53"/>
      <c r="Q11" s="57"/>
      <c r="R11" s="58"/>
      <c r="S11" s="53"/>
      <c r="T11" s="53"/>
      <c r="U11" s="71"/>
      <c r="V11" s="53"/>
      <c r="X11" s="8"/>
      <c r="Y11" s="54" t="s">
        <v>302</v>
      </c>
      <c r="Z11" s="53"/>
      <c r="AA11" s="53"/>
      <c r="AB11" s="53"/>
      <c r="AC11" s="53"/>
      <c r="AD11" s="57"/>
      <c r="AE11" s="58"/>
      <c r="AF11" s="53"/>
      <c r="AG11" s="53"/>
      <c r="AH11" s="56"/>
      <c r="AJ11" s="8"/>
      <c r="AK11" s="54" t="s">
        <v>302</v>
      </c>
      <c r="AL11" s="54"/>
      <c r="AM11" s="59"/>
      <c r="AN11" s="53"/>
      <c r="AO11" s="57"/>
      <c r="AP11" s="58"/>
      <c r="AQ11" s="53"/>
      <c r="AR11" s="53"/>
      <c r="AS11" s="57"/>
      <c r="AT11" s="53"/>
      <c r="AV11" s="8"/>
      <c r="AW11" s="9" t="s">
        <v>98</v>
      </c>
      <c r="AX11" s="53" t="s">
        <v>101</v>
      </c>
      <c r="AY11" s="63">
        <f>Notes!$L$4</f>
        <v>2024</v>
      </c>
      <c r="AZ11" s="63">
        <f>Notes!$L$5</f>
        <v>2040</v>
      </c>
      <c r="BA11" s="26">
        <v>0</v>
      </c>
      <c r="BB11" s="34">
        <v>1</v>
      </c>
    </row>
    <row r="12" spans="1:55" x14ac:dyDescent="0.3">
      <c r="B12" s="8"/>
      <c r="C12" s="54"/>
      <c r="D12" s="50" t="s">
        <v>72</v>
      </c>
      <c r="E12" s="50" t="s">
        <v>73</v>
      </c>
      <c r="F12" s="51" t="s">
        <v>74</v>
      </c>
      <c r="G12" s="50" t="s">
        <v>75</v>
      </c>
      <c r="H12" s="50" t="s">
        <v>76</v>
      </c>
      <c r="I12" s="51" t="s">
        <v>77</v>
      </c>
      <c r="J12" s="50" t="s">
        <v>78</v>
      </c>
      <c r="K12" s="50" t="s">
        <v>79</v>
      </c>
      <c r="L12" s="56"/>
      <c r="N12" s="8"/>
      <c r="O12" s="54"/>
      <c r="P12" s="50" t="s">
        <v>81</v>
      </c>
      <c r="Q12" s="51" t="s">
        <v>82</v>
      </c>
      <c r="R12" s="52" t="s">
        <v>621</v>
      </c>
      <c r="S12" s="53"/>
      <c r="T12" s="53"/>
      <c r="U12" s="71"/>
      <c r="V12" s="53"/>
      <c r="X12" s="8"/>
      <c r="Y12" s="54"/>
      <c r="Z12" s="50" t="s">
        <v>84</v>
      </c>
      <c r="AA12" s="50" t="s">
        <v>85</v>
      </c>
      <c r="AB12" s="50" t="s">
        <v>310</v>
      </c>
      <c r="AC12" s="50" t="s">
        <v>83</v>
      </c>
      <c r="AD12" s="51" t="s">
        <v>130</v>
      </c>
      <c r="AE12" s="52" t="s">
        <v>131</v>
      </c>
      <c r="AF12" s="50" t="s">
        <v>128</v>
      </c>
      <c r="AG12" s="50" t="s">
        <v>129</v>
      </c>
      <c r="AH12" s="56"/>
      <c r="AJ12" s="8"/>
      <c r="AK12" s="54"/>
      <c r="AL12" s="50" t="s">
        <v>133</v>
      </c>
      <c r="AM12" s="50" t="s">
        <v>101</v>
      </c>
      <c r="AN12" s="50" t="s">
        <v>622</v>
      </c>
      <c r="AO12" s="51" t="s">
        <v>130</v>
      </c>
      <c r="AP12" s="52" t="s">
        <v>131</v>
      </c>
      <c r="AQ12" s="50" t="s">
        <v>128</v>
      </c>
      <c r="AR12" s="50" t="s">
        <v>129</v>
      </c>
      <c r="AS12" s="57"/>
      <c r="AT12" s="53"/>
      <c r="AV12" s="8"/>
      <c r="AW12" s="9" t="s">
        <v>94</v>
      </c>
      <c r="AX12" s="53" t="s">
        <v>95</v>
      </c>
      <c r="AY12" s="63">
        <f>Notes!$L$4</f>
        <v>2024</v>
      </c>
      <c r="AZ12" s="63">
        <f>Notes!$L$5</f>
        <v>2040</v>
      </c>
      <c r="BA12" s="26">
        <v>0</v>
      </c>
      <c r="BB12" s="34">
        <v>1</v>
      </c>
    </row>
    <row r="13" spans="1:55" x14ac:dyDescent="0.3">
      <c r="B13" s="8"/>
      <c r="C13" s="55"/>
      <c r="D13" s="34">
        <v>1</v>
      </c>
      <c r="E13" s="34">
        <v>1</v>
      </c>
      <c r="F13" s="32">
        <v>1</v>
      </c>
      <c r="G13" s="34">
        <v>1</v>
      </c>
      <c r="H13" s="34">
        <v>1</v>
      </c>
      <c r="I13" s="32">
        <v>1</v>
      </c>
      <c r="J13" s="34">
        <v>1</v>
      </c>
      <c r="K13" s="34">
        <v>1</v>
      </c>
      <c r="L13" s="56"/>
      <c r="N13" s="8"/>
      <c r="O13" s="55"/>
      <c r="P13" s="34">
        <v>1</v>
      </c>
      <c r="Q13" s="32">
        <v>1</v>
      </c>
      <c r="R13" s="35">
        <v>1</v>
      </c>
      <c r="S13" s="55"/>
      <c r="T13" s="55"/>
      <c r="U13" s="72"/>
      <c r="V13" s="55"/>
      <c r="X13" s="8"/>
      <c r="Y13" s="55"/>
      <c r="Z13" s="34">
        <v>1</v>
      </c>
      <c r="AA13" s="34">
        <v>1</v>
      </c>
      <c r="AB13" s="34">
        <v>1</v>
      </c>
      <c r="AC13" s="34">
        <v>1</v>
      </c>
      <c r="AD13" s="32">
        <v>1</v>
      </c>
      <c r="AE13" s="35">
        <v>1</v>
      </c>
      <c r="AF13" s="34">
        <v>1</v>
      </c>
      <c r="AG13" s="34">
        <v>1</v>
      </c>
      <c r="AH13" s="56"/>
      <c r="AJ13" s="8"/>
      <c r="AK13" s="55"/>
      <c r="AL13" s="34">
        <v>1</v>
      </c>
      <c r="AM13" s="34">
        <v>1</v>
      </c>
      <c r="AN13" s="34">
        <v>1</v>
      </c>
      <c r="AO13" s="32">
        <v>1</v>
      </c>
      <c r="AP13" s="35">
        <v>1</v>
      </c>
      <c r="AQ13" s="34">
        <v>1</v>
      </c>
      <c r="AR13" s="34">
        <v>1</v>
      </c>
      <c r="AS13" s="56"/>
      <c r="AT13" s="55"/>
      <c r="AV13" s="8"/>
      <c r="AW13" s="9" t="s">
        <v>96</v>
      </c>
      <c r="AX13" s="53" t="s">
        <v>97</v>
      </c>
      <c r="AY13" s="63">
        <f>Notes!$L$4</f>
        <v>2024</v>
      </c>
      <c r="AZ13" s="63">
        <f>Notes!$L$5</f>
        <v>2040</v>
      </c>
      <c r="BA13" s="26">
        <v>0</v>
      </c>
      <c r="BB13" s="34">
        <v>1</v>
      </c>
    </row>
    <row r="14" spans="1:55" x14ac:dyDescent="0.3">
      <c r="B14" s="8"/>
      <c r="C14" s="55"/>
      <c r="F14" s="45"/>
      <c r="I14" s="45"/>
      <c r="L14" s="45"/>
      <c r="N14" s="8"/>
      <c r="O14" s="55"/>
      <c r="Q14" s="45"/>
      <c r="R14" s="46"/>
      <c r="U14" s="70"/>
      <c r="X14" s="8"/>
      <c r="Y14" s="55"/>
      <c r="AD14" s="45"/>
      <c r="AE14" s="46"/>
      <c r="AH14" s="45"/>
      <c r="AJ14" s="8"/>
      <c r="AK14" s="55"/>
      <c r="AL14" s="55"/>
      <c r="AO14" s="45"/>
      <c r="AP14" s="46"/>
      <c r="AS14" s="45"/>
      <c r="AV14" s="8"/>
      <c r="AW14" s="9" t="s">
        <v>297</v>
      </c>
      <c r="AX14" s="53" t="s">
        <v>296</v>
      </c>
      <c r="AY14" s="63">
        <f>Notes!$L$4</f>
        <v>2024</v>
      </c>
      <c r="AZ14" s="63">
        <f>Notes!$L$5</f>
        <v>2040</v>
      </c>
      <c r="BA14" s="26">
        <v>0</v>
      </c>
      <c r="BB14" s="34">
        <v>1</v>
      </c>
    </row>
    <row r="15" spans="1:55" x14ac:dyDescent="0.3">
      <c r="B15" s="8"/>
      <c r="C15" s="54" t="s">
        <v>301</v>
      </c>
      <c r="F15" s="45"/>
      <c r="I15" s="45"/>
      <c r="L15" s="45"/>
      <c r="N15" s="8"/>
      <c r="O15" s="54" t="s">
        <v>301</v>
      </c>
      <c r="P15" s="60"/>
      <c r="Q15" s="45"/>
      <c r="R15" s="46"/>
      <c r="U15" s="70"/>
      <c r="X15" s="8"/>
      <c r="Y15" s="54" t="s">
        <v>301</v>
      </c>
      <c r="Z15" s="60"/>
      <c r="AD15" s="45"/>
      <c r="AE15" s="46"/>
      <c r="AH15" s="45"/>
      <c r="AJ15" s="8"/>
      <c r="AK15" s="54" t="s">
        <v>301</v>
      </c>
      <c r="AL15" s="54"/>
      <c r="AO15" s="45"/>
      <c r="AP15" s="46"/>
      <c r="AS15" s="45"/>
      <c r="AV15" s="8"/>
      <c r="AW15" s="9" t="s">
        <v>762</v>
      </c>
      <c r="AX15" s="53" t="s">
        <v>131</v>
      </c>
      <c r="AY15" s="63">
        <f>Notes!$L$4</f>
        <v>2024</v>
      </c>
      <c r="AZ15" s="63">
        <f>Notes!$L$5</f>
        <v>2040</v>
      </c>
      <c r="BA15" s="26">
        <v>0</v>
      </c>
      <c r="BB15" s="34">
        <v>1</v>
      </c>
    </row>
    <row r="16" spans="1:55" x14ac:dyDescent="0.3">
      <c r="B16" s="8"/>
      <c r="D16" s="50" t="s">
        <v>72</v>
      </c>
      <c r="E16" s="50" t="s">
        <v>73</v>
      </c>
      <c r="F16" s="51" t="s">
        <v>74</v>
      </c>
      <c r="G16" s="50" t="s">
        <v>75</v>
      </c>
      <c r="H16" s="50" t="s">
        <v>76</v>
      </c>
      <c r="I16" s="51" t="s">
        <v>77</v>
      </c>
      <c r="J16" s="50" t="s">
        <v>78</v>
      </c>
      <c r="K16" s="50" t="s">
        <v>79</v>
      </c>
      <c r="L16" s="51" t="s">
        <v>123</v>
      </c>
      <c r="N16" s="8"/>
      <c r="P16" s="50" t="s">
        <v>81</v>
      </c>
      <c r="Q16" s="51" t="s">
        <v>82</v>
      </c>
      <c r="R16" s="52" t="s">
        <v>621</v>
      </c>
      <c r="S16" s="50" t="s">
        <v>80</v>
      </c>
      <c r="T16" s="50" t="s">
        <v>285</v>
      </c>
      <c r="U16" s="73" t="s">
        <v>310</v>
      </c>
      <c r="V16" s="50" t="s">
        <v>123</v>
      </c>
      <c r="X16" s="8"/>
      <c r="Z16" s="50" t="s">
        <v>84</v>
      </c>
      <c r="AA16" s="50" t="s">
        <v>85</v>
      </c>
      <c r="AB16" s="50" t="s">
        <v>310</v>
      </c>
      <c r="AC16" s="50" t="s">
        <v>83</v>
      </c>
      <c r="AD16" s="51" t="s">
        <v>130</v>
      </c>
      <c r="AE16" s="52" t="s">
        <v>131</v>
      </c>
      <c r="AF16" s="50" t="s">
        <v>128</v>
      </c>
      <c r="AG16" s="61" t="s">
        <v>129</v>
      </c>
      <c r="AH16" s="51" t="s">
        <v>123</v>
      </c>
      <c r="AJ16" s="8"/>
      <c r="AL16" s="50" t="s">
        <v>133</v>
      </c>
      <c r="AM16" s="50" t="s">
        <v>101</v>
      </c>
      <c r="AN16" s="50" t="s">
        <v>622</v>
      </c>
      <c r="AO16" s="51" t="s">
        <v>130</v>
      </c>
      <c r="AP16" s="62" t="s">
        <v>131</v>
      </c>
      <c r="AQ16" s="50" t="s">
        <v>128</v>
      </c>
      <c r="AR16" s="61" t="s">
        <v>129</v>
      </c>
      <c r="AS16" s="51" t="s">
        <v>288</v>
      </c>
      <c r="AT16" s="50" t="s">
        <v>123</v>
      </c>
      <c r="AV16" s="8"/>
      <c r="AW16" s="9" t="s">
        <v>763</v>
      </c>
      <c r="AX16" s="53" t="s">
        <v>129</v>
      </c>
      <c r="AY16" s="63">
        <f>Notes!$L$4</f>
        <v>2024</v>
      </c>
      <c r="AZ16" s="63">
        <f>Notes!$L$5</f>
        <v>2040</v>
      </c>
      <c r="BA16" s="26">
        <v>0</v>
      </c>
      <c r="BB16" s="34">
        <v>1</v>
      </c>
    </row>
    <row r="17" spans="2:54" x14ac:dyDescent="0.3">
      <c r="B17" s="8"/>
      <c r="C17" s="2" t="s">
        <v>713</v>
      </c>
      <c r="D17" s="26">
        <v>0</v>
      </c>
      <c r="E17" s="26">
        <v>0</v>
      </c>
      <c r="F17" s="27">
        <v>0</v>
      </c>
      <c r="G17" s="26">
        <v>0</v>
      </c>
      <c r="H17" s="26">
        <v>0</v>
      </c>
      <c r="I17" s="27">
        <v>0</v>
      </c>
      <c r="J17" s="26">
        <v>0</v>
      </c>
      <c r="K17" s="26">
        <v>0</v>
      </c>
      <c r="L17" s="67">
        <v>1</v>
      </c>
      <c r="N17" s="8"/>
      <c r="O17" s="2" t="s">
        <v>649</v>
      </c>
      <c r="P17" s="26">
        <v>0</v>
      </c>
      <c r="Q17" s="27">
        <v>0</v>
      </c>
      <c r="R17" s="30">
        <v>0</v>
      </c>
      <c r="S17" s="27">
        <v>0</v>
      </c>
      <c r="T17" s="30">
        <v>0</v>
      </c>
      <c r="U17" s="34">
        <v>1</v>
      </c>
      <c r="V17" s="34">
        <v>1</v>
      </c>
      <c r="X17" s="8"/>
      <c r="Y17" s="2" t="s">
        <v>852</v>
      </c>
      <c r="Z17" s="26">
        <v>0</v>
      </c>
      <c r="AA17" s="26">
        <v>0</v>
      </c>
      <c r="AB17" s="26">
        <v>0</v>
      </c>
      <c r="AC17" s="26">
        <v>0</v>
      </c>
      <c r="AD17" s="27">
        <v>0</v>
      </c>
      <c r="AE17" s="30">
        <v>0</v>
      </c>
      <c r="AF17" s="26">
        <v>0</v>
      </c>
      <c r="AG17" s="26">
        <v>0</v>
      </c>
      <c r="AH17" s="32">
        <v>1</v>
      </c>
      <c r="AJ17" s="8"/>
      <c r="AK17" s="2" t="s">
        <v>8</v>
      </c>
      <c r="AL17" s="26">
        <v>0</v>
      </c>
      <c r="AM17" s="26">
        <v>0</v>
      </c>
      <c r="AN17" s="26">
        <v>0</v>
      </c>
      <c r="AO17" s="27">
        <v>0</v>
      </c>
      <c r="AP17" s="30">
        <v>0</v>
      </c>
      <c r="AQ17" s="26">
        <v>0</v>
      </c>
      <c r="AR17" s="26">
        <v>0</v>
      </c>
      <c r="AS17" s="32">
        <v>1</v>
      </c>
      <c r="AT17" s="34">
        <v>1</v>
      </c>
      <c r="AV17" s="8"/>
      <c r="AW17" s="9" t="s">
        <v>290</v>
      </c>
      <c r="AX17" s="53" t="s">
        <v>74</v>
      </c>
      <c r="AY17" s="63">
        <f>Notes!$L$4</f>
        <v>2024</v>
      </c>
      <c r="AZ17" s="63">
        <f>Notes!$L$5</f>
        <v>2040</v>
      </c>
      <c r="BA17" s="26">
        <v>0</v>
      </c>
      <c r="BB17" s="34">
        <v>1</v>
      </c>
    </row>
    <row r="18" spans="2:54" x14ac:dyDescent="0.3">
      <c r="B18" s="8"/>
      <c r="C18" s="2" t="s">
        <v>766</v>
      </c>
      <c r="D18" s="26">
        <v>0</v>
      </c>
      <c r="E18" s="26">
        <v>0</v>
      </c>
      <c r="F18" s="27">
        <v>0</v>
      </c>
      <c r="G18" s="26">
        <v>0</v>
      </c>
      <c r="H18" s="26">
        <v>0</v>
      </c>
      <c r="I18" s="27">
        <v>0</v>
      </c>
      <c r="J18" s="26">
        <v>0</v>
      </c>
      <c r="K18" s="26">
        <v>0</v>
      </c>
      <c r="L18" s="67">
        <v>1</v>
      </c>
      <c r="N18" s="8"/>
      <c r="O18" s="2" t="s">
        <v>809</v>
      </c>
      <c r="P18" s="26">
        <v>0</v>
      </c>
      <c r="Q18" s="27">
        <v>0</v>
      </c>
      <c r="R18" s="30">
        <v>0</v>
      </c>
      <c r="S18" s="27">
        <v>0</v>
      </c>
      <c r="T18" s="30">
        <v>0</v>
      </c>
      <c r="U18" s="34">
        <v>1</v>
      </c>
      <c r="V18" s="34">
        <v>1</v>
      </c>
      <c r="X18" s="8"/>
      <c r="Y18" s="2" t="s">
        <v>853</v>
      </c>
      <c r="Z18" s="26">
        <v>0</v>
      </c>
      <c r="AA18" s="26">
        <v>0</v>
      </c>
      <c r="AB18" s="26">
        <v>0</v>
      </c>
      <c r="AC18" s="26">
        <v>0</v>
      </c>
      <c r="AD18" s="27">
        <v>0</v>
      </c>
      <c r="AE18" s="30">
        <v>0</v>
      </c>
      <c r="AF18" s="26">
        <v>0</v>
      </c>
      <c r="AG18" s="26">
        <v>0</v>
      </c>
      <c r="AH18" s="32">
        <v>1</v>
      </c>
      <c r="AJ18" s="8"/>
      <c r="AK18" s="2" t="s">
        <v>985</v>
      </c>
      <c r="AL18" s="26">
        <v>0</v>
      </c>
      <c r="AM18" s="26">
        <v>0</v>
      </c>
      <c r="AN18" s="26">
        <v>0</v>
      </c>
      <c r="AO18" s="27">
        <v>0</v>
      </c>
      <c r="AP18" s="30">
        <v>0</v>
      </c>
      <c r="AQ18" s="26">
        <v>0</v>
      </c>
      <c r="AR18" s="26">
        <v>0</v>
      </c>
      <c r="AS18" s="32">
        <v>1</v>
      </c>
      <c r="AT18" s="34">
        <v>1</v>
      </c>
      <c r="AV18" s="8"/>
      <c r="AW18" s="9" t="s">
        <v>291</v>
      </c>
      <c r="AX18" s="53" t="s">
        <v>75</v>
      </c>
      <c r="AY18" s="63">
        <f>Notes!$L$4</f>
        <v>2024</v>
      </c>
      <c r="AZ18" s="63">
        <f>Notes!$L$5</f>
        <v>2040</v>
      </c>
      <c r="BA18" s="26">
        <v>0</v>
      </c>
      <c r="BB18" s="34">
        <v>1</v>
      </c>
    </row>
    <row r="19" spans="2:54" x14ac:dyDescent="0.3">
      <c r="B19" s="8"/>
      <c r="C19" s="2" t="s">
        <v>976</v>
      </c>
      <c r="D19" s="26">
        <v>0</v>
      </c>
      <c r="E19" s="26">
        <v>0</v>
      </c>
      <c r="F19" s="27">
        <v>0</v>
      </c>
      <c r="G19" s="26">
        <v>0</v>
      </c>
      <c r="H19" s="26">
        <v>0</v>
      </c>
      <c r="I19" s="27">
        <v>0</v>
      </c>
      <c r="J19" s="26">
        <v>0</v>
      </c>
      <c r="K19" s="26">
        <v>0</v>
      </c>
      <c r="L19" s="67">
        <v>1</v>
      </c>
      <c r="N19" s="8"/>
      <c r="O19" s="2" t="s">
        <v>946</v>
      </c>
      <c r="P19" s="26">
        <v>0</v>
      </c>
      <c r="Q19" s="27">
        <v>0</v>
      </c>
      <c r="R19" s="30">
        <v>0</v>
      </c>
      <c r="S19" s="27">
        <v>0</v>
      </c>
      <c r="T19" s="30">
        <v>0</v>
      </c>
      <c r="U19" s="34">
        <v>1</v>
      </c>
      <c r="V19" s="34">
        <v>1</v>
      </c>
      <c r="X19" s="8"/>
      <c r="Y19" s="2" t="s">
        <v>854</v>
      </c>
      <c r="Z19" s="26">
        <v>0</v>
      </c>
      <c r="AA19" s="26">
        <v>0</v>
      </c>
      <c r="AB19" s="26">
        <v>0</v>
      </c>
      <c r="AC19" s="26">
        <v>0</v>
      </c>
      <c r="AD19" s="27">
        <v>0</v>
      </c>
      <c r="AE19" s="30">
        <v>0</v>
      </c>
      <c r="AF19" s="26">
        <v>0</v>
      </c>
      <c r="AG19" s="26">
        <v>0</v>
      </c>
      <c r="AH19" s="32">
        <v>1</v>
      </c>
      <c r="AJ19" s="8"/>
      <c r="AK19" s="2" t="s">
        <v>986</v>
      </c>
      <c r="AL19" s="26">
        <v>0</v>
      </c>
      <c r="AM19" s="26">
        <v>0</v>
      </c>
      <c r="AN19" s="26">
        <v>0</v>
      </c>
      <c r="AO19" s="27">
        <v>0</v>
      </c>
      <c r="AP19" s="30">
        <v>0</v>
      </c>
      <c r="AQ19" s="26">
        <v>0</v>
      </c>
      <c r="AR19" s="26">
        <v>0</v>
      </c>
      <c r="AS19" s="32">
        <v>1</v>
      </c>
      <c r="AT19" s="34">
        <v>1</v>
      </c>
      <c r="AV19" s="8"/>
      <c r="AW19" s="9" t="s">
        <v>292</v>
      </c>
      <c r="AX19" s="53" t="s">
        <v>76</v>
      </c>
      <c r="AY19" s="63">
        <f>Notes!$L$4</f>
        <v>2024</v>
      </c>
      <c r="AZ19" s="63">
        <f>Notes!$L$5</f>
        <v>2040</v>
      </c>
      <c r="BA19" s="26">
        <v>0</v>
      </c>
      <c r="BB19" s="34">
        <v>1</v>
      </c>
    </row>
    <row r="20" spans="2:54" x14ac:dyDescent="0.3">
      <c r="B20" s="8"/>
      <c r="C20" s="2" t="s">
        <v>977</v>
      </c>
      <c r="D20" s="26">
        <v>0</v>
      </c>
      <c r="E20" s="26">
        <v>0</v>
      </c>
      <c r="F20" s="27">
        <v>0</v>
      </c>
      <c r="G20" s="26">
        <v>0</v>
      </c>
      <c r="H20" s="26">
        <v>0</v>
      </c>
      <c r="I20" s="27">
        <v>0</v>
      </c>
      <c r="J20" s="26">
        <v>0</v>
      </c>
      <c r="K20" s="26">
        <v>0</v>
      </c>
      <c r="L20" s="67">
        <v>1</v>
      </c>
      <c r="N20" s="8"/>
      <c r="O20" s="2" t="s">
        <v>947</v>
      </c>
      <c r="P20" s="26">
        <v>0</v>
      </c>
      <c r="Q20" s="27">
        <v>0</v>
      </c>
      <c r="R20" s="30">
        <v>0</v>
      </c>
      <c r="S20" s="27">
        <v>0</v>
      </c>
      <c r="T20" s="30">
        <v>0</v>
      </c>
      <c r="U20" s="34">
        <v>1</v>
      </c>
      <c r="V20" s="34">
        <v>1</v>
      </c>
      <c r="X20" s="8"/>
      <c r="Y20" s="2" t="s">
        <v>855</v>
      </c>
      <c r="Z20" s="26">
        <v>0</v>
      </c>
      <c r="AA20" s="26">
        <v>0</v>
      </c>
      <c r="AB20" s="26">
        <v>0</v>
      </c>
      <c r="AC20" s="26">
        <v>0</v>
      </c>
      <c r="AD20" s="27">
        <v>0</v>
      </c>
      <c r="AE20" s="30">
        <v>0</v>
      </c>
      <c r="AF20" s="26">
        <v>0</v>
      </c>
      <c r="AG20" s="26">
        <v>0</v>
      </c>
      <c r="AH20" s="32">
        <v>1</v>
      </c>
      <c r="AJ20" s="8"/>
      <c r="AK20" s="2" t="s">
        <v>987</v>
      </c>
      <c r="AL20" s="26">
        <v>0</v>
      </c>
      <c r="AM20" s="26">
        <v>0</v>
      </c>
      <c r="AN20" s="26">
        <v>0</v>
      </c>
      <c r="AO20" s="27">
        <v>0</v>
      </c>
      <c r="AP20" s="30">
        <v>0</v>
      </c>
      <c r="AQ20" s="26">
        <v>0</v>
      </c>
      <c r="AR20" s="26">
        <v>0</v>
      </c>
      <c r="AS20" s="32">
        <v>1</v>
      </c>
      <c r="AT20" s="34">
        <v>1</v>
      </c>
      <c r="AV20" s="8"/>
      <c r="AW20" s="9" t="s">
        <v>61</v>
      </c>
      <c r="AX20" s="53" t="s">
        <v>82</v>
      </c>
      <c r="AY20" s="63">
        <f>Notes!$L$4</f>
        <v>2024</v>
      </c>
      <c r="AZ20" s="63">
        <f>Notes!$L$5</f>
        <v>2040</v>
      </c>
      <c r="BA20" s="26">
        <v>0</v>
      </c>
      <c r="BB20" s="34">
        <v>1</v>
      </c>
    </row>
    <row r="21" spans="2:54" x14ac:dyDescent="0.3">
      <c r="B21" s="8"/>
      <c r="C21" s="2" t="s">
        <v>767</v>
      </c>
      <c r="D21" s="26">
        <v>0</v>
      </c>
      <c r="E21" s="26">
        <v>0</v>
      </c>
      <c r="F21" s="27">
        <v>0</v>
      </c>
      <c r="G21" s="26">
        <v>0</v>
      </c>
      <c r="H21" s="26">
        <v>0</v>
      </c>
      <c r="I21" s="27">
        <v>0</v>
      </c>
      <c r="J21" s="26">
        <v>0</v>
      </c>
      <c r="K21" s="26">
        <v>0</v>
      </c>
      <c r="L21" s="67">
        <v>1</v>
      </c>
      <c r="N21" s="8"/>
      <c r="O21" s="2" t="s">
        <v>810</v>
      </c>
      <c r="P21" s="26">
        <v>0</v>
      </c>
      <c r="Q21" s="27">
        <v>0</v>
      </c>
      <c r="R21" s="30">
        <v>0</v>
      </c>
      <c r="S21" s="27">
        <v>0</v>
      </c>
      <c r="T21" s="30">
        <v>0</v>
      </c>
      <c r="U21" s="34">
        <v>1</v>
      </c>
      <c r="V21" s="34">
        <v>1</v>
      </c>
      <c r="X21" s="8"/>
      <c r="Y21" s="2" t="s">
        <v>856</v>
      </c>
      <c r="Z21" s="26">
        <v>0</v>
      </c>
      <c r="AA21" s="26">
        <v>0</v>
      </c>
      <c r="AB21" s="26">
        <v>0</v>
      </c>
      <c r="AC21" s="26">
        <v>0</v>
      </c>
      <c r="AD21" s="27">
        <v>0</v>
      </c>
      <c r="AE21" s="30">
        <v>0</v>
      </c>
      <c r="AF21" s="26">
        <v>0</v>
      </c>
      <c r="AG21" s="26">
        <v>0</v>
      </c>
      <c r="AH21" s="32">
        <v>1</v>
      </c>
      <c r="AJ21" s="8"/>
      <c r="AK21" s="2" t="s">
        <v>988</v>
      </c>
      <c r="AL21" s="26">
        <v>0</v>
      </c>
      <c r="AM21" s="26">
        <v>0</v>
      </c>
      <c r="AN21" s="26">
        <v>0</v>
      </c>
      <c r="AO21" s="27">
        <v>0</v>
      </c>
      <c r="AP21" s="30">
        <v>0</v>
      </c>
      <c r="AQ21" s="26">
        <v>0</v>
      </c>
      <c r="AR21" s="26">
        <v>0</v>
      </c>
      <c r="AS21" s="32">
        <v>1</v>
      </c>
      <c r="AT21" s="34">
        <v>1</v>
      </c>
      <c r="AV21" s="8"/>
      <c r="AW21" s="9" t="s">
        <v>293</v>
      </c>
      <c r="AX21" s="53" t="s">
        <v>621</v>
      </c>
      <c r="AY21" s="63">
        <f>Notes!$L$4</f>
        <v>2024</v>
      </c>
      <c r="AZ21" s="63">
        <f>Notes!$L$5</f>
        <v>2040</v>
      </c>
      <c r="BA21" s="26">
        <v>0</v>
      </c>
      <c r="BB21" s="34">
        <v>1</v>
      </c>
    </row>
    <row r="22" spans="2:54" x14ac:dyDescent="0.3">
      <c r="B22" s="8"/>
      <c r="C22" s="2" t="s">
        <v>714</v>
      </c>
      <c r="D22" s="26">
        <v>0</v>
      </c>
      <c r="E22" s="26">
        <v>0</v>
      </c>
      <c r="F22" s="27">
        <v>0</v>
      </c>
      <c r="G22" s="26">
        <v>0</v>
      </c>
      <c r="H22" s="26">
        <v>0</v>
      </c>
      <c r="I22" s="27">
        <v>0</v>
      </c>
      <c r="J22" s="26">
        <v>0</v>
      </c>
      <c r="K22" s="26">
        <v>0</v>
      </c>
      <c r="L22" s="67">
        <v>1</v>
      </c>
      <c r="N22" s="8"/>
      <c r="O22" s="2" t="s">
        <v>650</v>
      </c>
      <c r="P22" s="26">
        <v>0</v>
      </c>
      <c r="Q22" s="27">
        <v>0</v>
      </c>
      <c r="R22" s="30">
        <v>0</v>
      </c>
      <c r="S22" s="27">
        <v>0</v>
      </c>
      <c r="T22" s="30">
        <v>0</v>
      </c>
      <c r="U22" s="34">
        <v>1</v>
      </c>
      <c r="V22" s="34">
        <v>1</v>
      </c>
      <c r="X22" s="8"/>
      <c r="Y22" s="2" t="s">
        <v>857</v>
      </c>
      <c r="Z22" s="26">
        <v>0</v>
      </c>
      <c r="AA22" s="26">
        <v>0</v>
      </c>
      <c r="AB22" s="26">
        <v>0</v>
      </c>
      <c r="AC22" s="26">
        <v>0</v>
      </c>
      <c r="AD22" s="27">
        <v>0</v>
      </c>
      <c r="AE22" s="30">
        <v>0</v>
      </c>
      <c r="AF22" s="26">
        <v>0</v>
      </c>
      <c r="AG22" s="26">
        <v>0</v>
      </c>
      <c r="AH22" s="32">
        <v>1</v>
      </c>
      <c r="AJ22" s="8"/>
      <c r="AK22" s="2" t="s">
        <v>989</v>
      </c>
      <c r="AL22" s="26">
        <v>0</v>
      </c>
      <c r="AM22" s="26">
        <v>0</v>
      </c>
      <c r="AN22" s="26">
        <v>0</v>
      </c>
      <c r="AO22" s="27">
        <v>0</v>
      </c>
      <c r="AP22" s="30">
        <v>0</v>
      </c>
      <c r="AQ22" s="26">
        <v>0</v>
      </c>
      <c r="AR22" s="26">
        <v>0</v>
      </c>
      <c r="AS22" s="32">
        <v>1</v>
      </c>
      <c r="AT22" s="34">
        <v>1</v>
      </c>
      <c r="AV22" s="8"/>
      <c r="AW22" s="9" t="s">
        <v>294</v>
      </c>
      <c r="AX22" s="53" t="s">
        <v>83</v>
      </c>
      <c r="AY22" s="63">
        <f>Notes!$L$4</f>
        <v>2024</v>
      </c>
      <c r="AZ22" s="63">
        <f>Notes!$L$5</f>
        <v>2040</v>
      </c>
      <c r="BA22" s="26">
        <v>0</v>
      </c>
      <c r="BB22" s="34">
        <v>1</v>
      </c>
    </row>
    <row r="23" spans="2:54" x14ac:dyDescent="0.3">
      <c r="B23" s="8"/>
      <c r="C23" s="2" t="s">
        <v>715</v>
      </c>
      <c r="D23" s="26">
        <v>0</v>
      </c>
      <c r="E23" s="26">
        <v>0</v>
      </c>
      <c r="F23" s="27">
        <v>0</v>
      </c>
      <c r="G23" s="26">
        <v>0</v>
      </c>
      <c r="H23" s="26">
        <v>0</v>
      </c>
      <c r="I23" s="27">
        <v>0</v>
      </c>
      <c r="J23" s="26">
        <v>0</v>
      </c>
      <c r="K23" s="26">
        <v>0</v>
      </c>
      <c r="L23" s="67">
        <v>1</v>
      </c>
      <c r="N23" s="8"/>
      <c r="O23" s="2" t="s">
        <v>651</v>
      </c>
      <c r="P23" s="26">
        <v>0</v>
      </c>
      <c r="Q23" s="27">
        <v>0</v>
      </c>
      <c r="R23" s="30">
        <v>0</v>
      </c>
      <c r="S23" s="27">
        <v>0</v>
      </c>
      <c r="T23" s="30">
        <v>0</v>
      </c>
      <c r="U23" s="34">
        <v>1</v>
      </c>
      <c r="V23" s="34">
        <v>1</v>
      </c>
      <c r="X23" s="8"/>
      <c r="Y23" s="2" t="s">
        <v>858</v>
      </c>
      <c r="Z23" s="26">
        <v>0</v>
      </c>
      <c r="AA23" s="26">
        <v>0</v>
      </c>
      <c r="AB23" s="26">
        <v>0</v>
      </c>
      <c r="AC23" s="26">
        <v>0</v>
      </c>
      <c r="AD23" s="27">
        <v>0</v>
      </c>
      <c r="AE23" s="30">
        <v>0</v>
      </c>
      <c r="AF23" s="26">
        <v>0</v>
      </c>
      <c r="AG23" s="26">
        <v>0</v>
      </c>
      <c r="AH23" s="32">
        <v>1</v>
      </c>
      <c r="AJ23" s="8"/>
      <c r="AK23" s="2" t="s">
        <v>990</v>
      </c>
      <c r="AL23" s="26">
        <v>0</v>
      </c>
      <c r="AM23" s="26">
        <v>0</v>
      </c>
      <c r="AN23" s="26">
        <v>0</v>
      </c>
      <c r="AO23" s="27">
        <v>0</v>
      </c>
      <c r="AP23" s="30">
        <v>0</v>
      </c>
      <c r="AQ23" s="26">
        <v>0</v>
      </c>
      <c r="AR23" s="26">
        <v>0</v>
      </c>
      <c r="AS23" s="32">
        <v>1</v>
      </c>
      <c r="AT23" s="34">
        <v>1</v>
      </c>
      <c r="AV23" s="8"/>
      <c r="AW23" s="9" t="s">
        <v>295</v>
      </c>
      <c r="AX23" s="53" t="s">
        <v>622</v>
      </c>
      <c r="AY23" s="63">
        <f>Notes!$L$4</f>
        <v>2024</v>
      </c>
      <c r="AZ23" s="63">
        <f>Notes!$L$5</f>
        <v>2040</v>
      </c>
      <c r="BA23" s="26">
        <v>0</v>
      </c>
      <c r="BB23" s="34">
        <v>1</v>
      </c>
    </row>
    <row r="24" spans="2:54" x14ac:dyDescent="0.3">
      <c r="B24" s="8"/>
      <c r="C24" s="2" t="s">
        <v>768</v>
      </c>
      <c r="D24" s="26">
        <v>0</v>
      </c>
      <c r="E24" s="26">
        <v>0</v>
      </c>
      <c r="F24" s="27">
        <v>0</v>
      </c>
      <c r="G24" s="26">
        <v>0</v>
      </c>
      <c r="H24" s="26">
        <v>0</v>
      </c>
      <c r="I24" s="27">
        <v>0</v>
      </c>
      <c r="J24" s="26">
        <v>0</v>
      </c>
      <c r="K24" s="26">
        <v>0</v>
      </c>
      <c r="L24" s="67">
        <v>1</v>
      </c>
      <c r="N24" s="8"/>
      <c r="O24" s="2" t="s">
        <v>811</v>
      </c>
      <c r="P24" s="26">
        <v>0</v>
      </c>
      <c r="Q24" s="27">
        <v>0</v>
      </c>
      <c r="R24" s="30">
        <v>0</v>
      </c>
      <c r="S24" s="27">
        <v>0</v>
      </c>
      <c r="T24" s="30">
        <v>0</v>
      </c>
      <c r="U24" s="34">
        <v>1</v>
      </c>
      <c r="V24" s="34">
        <v>1</v>
      </c>
      <c r="X24" s="8"/>
      <c r="Y24" s="2" t="s">
        <v>859</v>
      </c>
      <c r="Z24" s="26">
        <v>0</v>
      </c>
      <c r="AA24" s="26">
        <v>0</v>
      </c>
      <c r="AB24" s="26">
        <v>0</v>
      </c>
      <c r="AC24" s="26">
        <v>0</v>
      </c>
      <c r="AD24" s="27">
        <v>0</v>
      </c>
      <c r="AE24" s="30">
        <v>0</v>
      </c>
      <c r="AF24" s="26">
        <v>0</v>
      </c>
      <c r="AG24" s="26">
        <v>0</v>
      </c>
      <c r="AH24" s="32">
        <v>1</v>
      </c>
      <c r="AJ24" s="8"/>
      <c r="AK24" s="2" t="s">
        <v>991</v>
      </c>
      <c r="AL24" s="26">
        <v>0</v>
      </c>
      <c r="AM24" s="26">
        <v>0</v>
      </c>
      <c r="AN24" s="26">
        <v>0</v>
      </c>
      <c r="AO24" s="27">
        <v>0</v>
      </c>
      <c r="AP24" s="30">
        <v>0</v>
      </c>
      <c r="AQ24" s="26">
        <v>0</v>
      </c>
      <c r="AR24" s="26">
        <v>0</v>
      </c>
      <c r="AS24" s="32">
        <v>1</v>
      </c>
      <c r="AT24" s="34">
        <v>1</v>
      </c>
      <c r="AV24" s="8"/>
      <c r="AW24" s="9" t="s">
        <v>647</v>
      </c>
      <c r="AX24" s="53" t="s">
        <v>648</v>
      </c>
      <c r="AY24" s="63">
        <f>Notes!$L$4</f>
        <v>2024</v>
      </c>
      <c r="AZ24" s="63">
        <f>Notes!$L$5</f>
        <v>2040</v>
      </c>
      <c r="BA24" s="26">
        <v>0</v>
      </c>
      <c r="BB24" s="34">
        <v>1</v>
      </c>
    </row>
    <row r="25" spans="2:54" x14ac:dyDescent="0.3">
      <c r="B25" s="8"/>
      <c r="C25" s="2" t="s">
        <v>716</v>
      </c>
      <c r="D25" s="26">
        <v>0</v>
      </c>
      <c r="E25" s="26">
        <v>0</v>
      </c>
      <c r="F25" s="27">
        <v>0</v>
      </c>
      <c r="G25" s="26">
        <v>0</v>
      </c>
      <c r="H25" s="26">
        <v>0</v>
      </c>
      <c r="I25" s="27">
        <v>0</v>
      </c>
      <c r="J25" s="26">
        <v>0</v>
      </c>
      <c r="K25" s="26">
        <v>0</v>
      </c>
      <c r="L25" s="67">
        <v>1</v>
      </c>
      <c r="N25" s="8"/>
      <c r="O25" s="2" t="s">
        <v>652</v>
      </c>
      <c r="P25" s="26">
        <v>0</v>
      </c>
      <c r="Q25" s="27">
        <v>0</v>
      </c>
      <c r="R25" s="30">
        <v>0</v>
      </c>
      <c r="S25" s="27">
        <v>0</v>
      </c>
      <c r="T25" s="30">
        <v>0</v>
      </c>
      <c r="U25" s="34">
        <v>1</v>
      </c>
      <c r="V25" s="34">
        <v>1</v>
      </c>
      <c r="X25" s="8"/>
      <c r="Y25" s="2" t="s">
        <v>10</v>
      </c>
      <c r="Z25" s="26">
        <v>0</v>
      </c>
      <c r="AA25" s="26">
        <v>0</v>
      </c>
      <c r="AB25" s="26">
        <v>0</v>
      </c>
      <c r="AC25" s="26">
        <v>0</v>
      </c>
      <c r="AD25" s="27">
        <v>0</v>
      </c>
      <c r="AE25" s="30">
        <v>0</v>
      </c>
      <c r="AF25" s="26">
        <v>0</v>
      </c>
      <c r="AG25" s="26">
        <v>0</v>
      </c>
      <c r="AH25" s="32">
        <v>1</v>
      </c>
      <c r="AJ25" s="8"/>
      <c r="AK25" s="2" t="s">
        <v>992</v>
      </c>
      <c r="AL25" s="26">
        <v>0</v>
      </c>
      <c r="AM25" s="26">
        <v>0</v>
      </c>
      <c r="AN25" s="26">
        <v>0</v>
      </c>
      <c r="AO25" s="27">
        <v>0</v>
      </c>
      <c r="AP25" s="30">
        <v>0</v>
      </c>
      <c r="AQ25" s="26">
        <v>0</v>
      </c>
      <c r="AR25" s="26">
        <v>0</v>
      </c>
      <c r="AS25" s="32">
        <v>1</v>
      </c>
      <c r="AT25" s="34">
        <v>1</v>
      </c>
      <c r="AV25" s="8"/>
    </row>
    <row r="26" spans="2:54" x14ac:dyDescent="0.3">
      <c r="B26" s="8"/>
      <c r="C26" s="2" t="s">
        <v>769</v>
      </c>
      <c r="D26" s="26">
        <v>0</v>
      </c>
      <c r="E26" s="26">
        <v>0</v>
      </c>
      <c r="F26" s="27">
        <v>0</v>
      </c>
      <c r="G26" s="26">
        <v>0</v>
      </c>
      <c r="H26" s="26">
        <v>0</v>
      </c>
      <c r="I26" s="27">
        <v>0</v>
      </c>
      <c r="J26" s="26">
        <v>0</v>
      </c>
      <c r="K26" s="26">
        <v>0</v>
      </c>
      <c r="L26" s="67">
        <v>1</v>
      </c>
      <c r="N26" s="8"/>
      <c r="O26" s="2" t="s">
        <v>812</v>
      </c>
      <c r="P26" s="26">
        <v>0</v>
      </c>
      <c r="Q26" s="27">
        <v>0</v>
      </c>
      <c r="R26" s="30">
        <v>0</v>
      </c>
      <c r="S26" s="27">
        <v>0</v>
      </c>
      <c r="T26" s="30">
        <v>0</v>
      </c>
      <c r="U26" s="34">
        <v>1</v>
      </c>
      <c r="V26" s="34">
        <v>1</v>
      </c>
      <c r="X26" s="8"/>
      <c r="Y26" s="2" t="s">
        <v>860</v>
      </c>
      <c r="Z26" s="26">
        <v>0</v>
      </c>
      <c r="AA26" s="26">
        <v>0</v>
      </c>
      <c r="AB26" s="26">
        <v>0</v>
      </c>
      <c r="AC26" s="26">
        <v>0</v>
      </c>
      <c r="AD26" s="27">
        <v>0</v>
      </c>
      <c r="AE26" s="30">
        <v>0</v>
      </c>
      <c r="AF26" s="26">
        <v>0</v>
      </c>
      <c r="AG26" s="26">
        <v>0</v>
      </c>
      <c r="AH26" s="32">
        <v>1</v>
      </c>
      <c r="AJ26" s="8"/>
      <c r="AK26" s="2" t="s">
        <v>993</v>
      </c>
      <c r="AL26" s="26">
        <v>0</v>
      </c>
      <c r="AM26" s="26">
        <v>0</v>
      </c>
      <c r="AN26" s="26">
        <v>0</v>
      </c>
      <c r="AO26" s="27">
        <v>0</v>
      </c>
      <c r="AP26" s="30">
        <v>0</v>
      </c>
      <c r="AQ26" s="26">
        <v>0</v>
      </c>
      <c r="AR26" s="26">
        <v>0</v>
      </c>
      <c r="AS26" s="32">
        <v>1</v>
      </c>
      <c r="AT26" s="34">
        <v>1</v>
      </c>
    </row>
    <row r="27" spans="2:54" x14ac:dyDescent="0.3">
      <c r="B27" s="8"/>
      <c r="C27" s="2" t="s">
        <v>770</v>
      </c>
      <c r="D27" s="26">
        <v>0</v>
      </c>
      <c r="E27" s="26">
        <v>0</v>
      </c>
      <c r="F27" s="27">
        <v>0</v>
      </c>
      <c r="G27" s="26">
        <v>0</v>
      </c>
      <c r="H27" s="26">
        <v>0</v>
      </c>
      <c r="I27" s="27">
        <v>0</v>
      </c>
      <c r="J27" s="26">
        <v>0</v>
      </c>
      <c r="K27" s="26">
        <v>0</v>
      </c>
      <c r="L27" s="67">
        <v>1</v>
      </c>
      <c r="N27" s="8"/>
      <c r="O27" s="2" t="s">
        <v>813</v>
      </c>
      <c r="P27" s="26">
        <v>0</v>
      </c>
      <c r="Q27" s="27">
        <v>0</v>
      </c>
      <c r="R27" s="30">
        <v>0</v>
      </c>
      <c r="S27" s="27">
        <v>0</v>
      </c>
      <c r="T27" s="30">
        <v>0</v>
      </c>
      <c r="U27" s="34">
        <v>1</v>
      </c>
      <c r="V27" s="34">
        <v>1</v>
      </c>
      <c r="X27" s="8"/>
      <c r="Y27" s="2" t="s">
        <v>861</v>
      </c>
      <c r="Z27" s="26">
        <v>0</v>
      </c>
      <c r="AA27" s="26">
        <v>0</v>
      </c>
      <c r="AB27" s="26">
        <v>0</v>
      </c>
      <c r="AC27" s="26">
        <v>0</v>
      </c>
      <c r="AD27" s="27">
        <v>0</v>
      </c>
      <c r="AE27" s="30">
        <v>0</v>
      </c>
      <c r="AF27" s="26">
        <v>0</v>
      </c>
      <c r="AG27" s="26">
        <v>0</v>
      </c>
      <c r="AH27" s="32">
        <v>1</v>
      </c>
      <c r="AJ27" s="8"/>
      <c r="AK27" s="2" t="s">
        <v>994</v>
      </c>
      <c r="AL27" s="26">
        <v>0</v>
      </c>
      <c r="AM27" s="26">
        <v>0</v>
      </c>
      <c r="AN27" s="26">
        <v>0</v>
      </c>
      <c r="AO27" s="27">
        <v>0</v>
      </c>
      <c r="AP27" s="30">
        <v>0</v>
      </c>
      <c r="AQ27" s="26">
        <v>0</v>
      </c>
      <c r="AR27" s="26">
        <v>0</v>
      </c>
      <c r="AS27" s="32">
        <v>1</v>
      </c>
      <c r="AT27" s="34">
        <v>1</v>
      </c>
    </row>
    <row r="28" spans="2:54" x14ac:dyDescent="0.3">
      <c r="B28" s="8"/>
      <c r="C28" s="2" t="s">
        <v>771</v>
      </c>
      <c r="D28" s="26">
        <v>0</v>
      </c>
      <c r="E28" s="26">
        <v>0</v>
      </c>
      <c r="F28" s="27">
        <v>0</v>
      </c>
      <c r="G28" s="26">
        <v>0</v>
      </c>
      <c r="H28" s="26">
        <v>0</v>
      </c>
      <c r="I28" s="27">
        <v>0</v>
      </c>
      <c r="J28" s="26">
        <v>0</v>
      </c>
      <c r="K28" s="26">
        <v>0</v>
      </c>
      <c r="L28" s="67">
        <v>1</v>
      </c>
      <c r="N28" s="8"/>
      <c r="O28" s="2" t="s">
        <v>814</v>
      </c>
      <c r="P28" s="26">
        <v>0</v>
      </c>
      <c r="Q28" s="27">
        <v>0</v>
      </c>
      <c r="R28" s="30">
        <v>0</v>
      </c>
      <c r="S28" s="27">
        <v>0</v>
      </c>
      <c r="T28" s="30">
        <v>0</v>
      </c>
      <c r="U28" s="34">
        <v>1</v>
      </c>
      <c r="V28" s="34">
        <v>1</v>
      </c>
      <c r="X28" s="8"/>
      <c r="Y28" s="2" t="s">
        <v>862</v>
      </c>
      <c r="Z28" s="26">
        <v>0</v>
      </c>
      <c r="AA28" s="26">
        <v>0</v>
      </c>
      <c r="AB28" s="26">
        <v>0</v>
      </c>
      <c r="AC28" s="26">
        <v>0</v>
      </c>
      <c r="AD28" s="27">
        <v>0</v>
      </c>
      <c r="AE28" s="30">
        <v>0</v>
      </c>
      <c r="AF28" s="26">
        <v>0</v>
      </c>
      <c r="AG28" s="26">
        <v>0</v>
      </c>
      <c r="AH28" s="32">
        <v>1</v>
      </c>
      <c r="AJ28" s="8"/>
      <c r="AK28" s="2" t="s">
        <v>995</v>
      </c>
      <c r="AL28" s="26">
        <v>0</v>
      </c>
      <c r="AM28" s="26">
        <v>0</v>
      </c>
      <c r="AN28" s="26">
        <v>0</v>
      </c>
      <c r="AO28" s="27">
        <v>0</v>
      </c>
      <c r="AP28" s="30">
        <v>0</v>
      </c>
      <c r="AQ28" s="26">
        <v>0</v>
      </c>
      <c r="AR28" s="26">
        <v>0</v>
      </c>
      <c r="AS28" s="32">
        <v>1</v>
      </c>
      <c r="AT28" s="34">
        <v>1</v>
      </c>
    </row>
    <row r="29" spans="2:54" x14ac:dyDescent="0.3">
      <c r="B29" s="8"/>
      <c r="C29" s="2" t="s">
        <v>717</v>
      </c>
      <c r="D29" s="26">
        <v>0</v>
      </c>
      <c r="E29" s="26">
        <v>0</v>
      </c>
      <c r="F29" s="27">
        <v>0</v>
      </c>
      <c r="G29" s="26">
        <v>0</v>
      </c>
      <c r="H29" s="26">
        <v>0</v>
      </c>
      <c r="I29" s="27">
        <v>0</v>
      </c>
      <c r="J29" s="26">
        <v>0</v>
      </c>
      <c r="K29" s="26">
        <v>0</v>
      </c>
      <c r="L29" s="67">
        <v>1</v>
      </c>
      <c r="N29" s="8"/>
      <c r="O29" s="2" t="s">
        <v>653</v>
      </c>
      <c r="P29" s="26">
        <v>0</v>
      </c>
      <c r="Q29" s="27">
        <v>0</v>
      </c>
      <c r="R29" s="30">
        <v>0</v>
      </c>
      <c r="S29" s="27">
        <v>0</v>
      </c>
      <c r="T29" s="30">
        <v>0</v>
      </c>
      <c r="U29" s="34">
        <v>1</v>
      </c>
      <c r="V29" s="34">
        <v>1</v>
      </c>
      <c r="X29" s="8"/>
      <c r="Y29" s="2" t="s">
        <v>863</v>
      </c>
      <c r="Z29" s="26">
        <v>0</v>
      </c>
      <c r="AA29" s="26">
        <v>0</v>
      </c>
      <c r="AB29" s="26">
        <v>0</v>
      </c>
      <c r="AC29" s="26">
        <v>0</v>
      </c>
      <c r="AD29" s="27">
        <v>0</v>
      </c>
      <c r="AE29" s="30">
        <v>0</v>
      </c>
      <c r="AF29" s="26">
        <v>0</v>
      </c>
      <c r="AG29" s="26">
        <v>0</v>
      </c>
      <c r="AH29" s="32">
        <v>1</v>
      </c>
      <c r="AJ29" s="8"/>
      <c r="AK29" s="2" t="s">
        <v>996</v>
      </c>
      <c r="AL29" s="26">
        <v>0</v>
      </c>
      <c r="AM29" s="26">
        <v>0</v>
      </c>
      <c r="AN29" s="26">
        <v>0</v>
      </c>
      <c r="AO29" s="27">
        <v>0</v>
      </c>
      <c r="AP29" s="30">
        <v>0</v>
      </c>
      <c r="AQ29" s="26">
        <v>0</v>
      </c>
      <c r="AR29" s="26">
        <v>0</v>
      </c>
      <c r="AS29" s="32">
        <v>1</v>
      </c>
      <c r="AT29" s="34">
        <v>1</v>
      </c>
    </row>
    <row r="30" spans="2:54" x14ac:dyDescent="0.3">
      <c r="B30" s="8"/>
      <c r="C30" s="2" t="s">
        <v>978</v>
      </c>
      <c r="D30" s="26">
        <v>0</v>
      </c>
      <c r="E30" s="26">
        <v>0</v>
      </c>
      <c r="F30" s="27">
        <v>0</v>
      </c>
      <c r="G30" s="26">
        <v>0</v>
      </c>
      <c r="H30" s="26">
        <v>0</v>
      </c>
      <c r="I30" s="27">
        <v>0</v>
      </c>
      <c r="J30" s="26">
        <v>0</v>
      </c>
      <c r="K30" s="26">
        <v>0</v>
      </c>
      <c r="L30" s="67">
        <v>1</v>
      </c>
      <c r="N30" s="8"/>
      <c r="O30" s="2" t="s">
        <v>948</v>
      </c>
      <c r="P30" s="26">
        <v>0</v>
      </c>
      <c r="Q30" s="27">
        <v>0</v>
      </c>
      <c r="R30" s="30">
        <v>0</v>
      </c>
      <c r="S30" s="27">
        <v>0</v>
      </c>
      <c r="T30" s="30">
        <v>0</v>
      </c>
      <c r="U30" s="34">
        <v>1</v>
      </c>
      <c r="V30" s="34">
        <v>1</v>
      </c>
      <c r="X30" s="8"/>
      <c r="Y30" s="2"/>
      <c r="Z30" s="26"/>
      <c r="AA30" s="26"/>
      <c r="AB30" s="26"/>
      <c r="AC30" s="26"/>
      <c r="AD30" s="27"/>
      <c r="AE30" s="30"/>
      <c r="AF30" s="26"/>
      <c r="AG30" s="26"/>
      <c r="AH30" s="32"/>
      <c r="AJ30" s="8"/>
      <c r="AK30" s="2" t="s">
        <v>997</v>
      </c>
      <c r="AL30" s="26">
        <v>0</v>
      </c>
      <c r="AM30" s="26">
        <v>0</v>
      </c>
      <c r="AN30" s="26">
        <v>0</v>
      </c>
      <c r="AO30" s="27">
        <v>0</v>
      </c>
      <c r="AP30" s="30">
        <v>0</v>
      </c>
      <c r="AQ30" s="26">
        <v>0</v>
      </c>
      <c r="AR30" s="26">
        <v>0</v>
      </c>
      <c r="AS30" s="32">
        <v>1</v>
      </c>
      <c r="AT30" s="34">
        <v>1</v>
      </c>
    </row>
    <row r="31" spans="2:54" x14ac:dyDescent="0.3">
      <c r="B31" s="8"/>
      <c r="C31" s="2" t="s">
        <v>718</v>
      </c>
      <c r="D31" s="26">
        <v>0</v>
      </c>
      <c r="E31" s="26">
        <v>0</v>
      </c>
      <c r="F31" s="27">
        <v>0</v>
      </c>
      <c r="G31" s="26">
        <v>0</v>
      </c>
      <c r="H31" s="26">
        <v>0</v>
      </c>
      <c r="I31" s="27">
        <v>0</v>
      </c>
      <c r="J31" s="26">
        <v>0</v>
      </c>
      <c r="K31" s="26">
        <v>0</v>
      </c>
      <c r="L31" s="67">
        <v>1</v>
      </c>
      <c r="N31" s="8"/>
      <c r="O31" s="2" t="s">
        <v>654</v>
      </c>
      <c r="P31" s="26">
        <v>0</v>
      </c>
      <c r="Q31" s="27">
        <v>0</v>
      </c>
      <c r="R31" s="30">
        <v>0</v>
      </c>
      <c r="S31" s="27">
        <v>0</v>
      </c>
      <c r="T31" s="30">
        <v>0</v>
      </c>
      <c r="U31" s="34">
        <v>1</v>
      </c>
      <c r="V31" s="34">
        <v>1</v>
      </c>
      <c r="X31" s="8"/>
      <c r="Y31" s="2"/>
      <c r="Z31" s="26"/>
      <c r="AA31" s="26"/>
      <c r="AB31" s="26"/>
      <c r="AC31" s="26"/>
      <c r="AD31" s="27"/>
      <c r="AE31" s="30"/>
      <c r="AF31" s="26"/>
      <c r="AG31" s="26"/>
      <c r="AH31" s="32"/>
      <c r="AJ31" s="8"/>
      <c r="AK31" s="2" t="s">
        <v>998</v>
      </c>
      <c r="AL31" s="26">
        <v>0</v>
      </c>
      <c r="AM31" s="26">
        <v>0</v>
      </c>
      <c r="AN31" s="26">
        <v>0</v>
      </c>
      <c r="AO31" s="27">
        <v>0</v>
      </c>
      <c r="AP31" s="30">
        <v>0</v>
      </c>
      <c r="AQ31" s="26">
        <v>0</v>
      </c>
      <c r="AR31" s="26">
        <v>0</v>
      </c>
      <c r="AS31" s="32">
        <v>1</v>
      </c>
      <c r="AT31" s="34">
        <v>1</v>
      </c>
    </row>
    <row r="32" spans="2:54" x14ac:dyDescent="0.3">
      <c r="B32" s="8"/>
      <c r="C32" s="2" t="s">
        <v>719</v>
      </c>
      <c r="D32" s="26">
        <v>0</v>
      </c>
      <c r="E32" s="26">
        <v>0</v>
      </c>
      <c r="F32" s="27">
        <v>0</v>
      </c>
      <c r="G32" s="26">
        <v>0</v>
      </c>
      <c r="H32" s="26">
        <v>0</v>
      </c>
      <c r="I32" s="27">
        <v>0</v>
      </c>
      <c r="J32" s="26">
        <v>0</v>
      </c>
      <c r="K32" s="26">
        <v>0</v>
      </c>
      <c r="L32" s="67">
        <v>1</v>
      </c>
      <c r="N32" s="8"/>
      <c r="O32" s="2" t="s">
        <v>655</v>
      </c>
      <c r="P32" s="26">
        <v>0</v>
      </c>
      <c r="Q32" s="27">
        <v>0</v>
      </c>
      <c r="R32" s="30">
        <v>0</v>
      </c>
      <c r="S32" s="27">
        <v>0</v>
      </c>
      <c r="T32" s="30">
        <v>0</v>
      </c>
      <c r="U32" s="34">
        <v>1</v>
      </c>
      <c r="V32" s="34">
        <v>1</v>
      </c>
      <c r="X32" s="8"/>
      <c r="Y32" s="2"/>
      <c r="Z32" s="26"/>
      <c r="AA32" s="26"/>
      <c r="AB32" s="26"/>
      <c r="AC32" s="26"/>
      <c r="AD32" s="27"/>
      <c r="AE32" s="30"/>
      <c r="AF32" s="26"/>
      <c r="AG32" s="26"/>
      <c r="AH32" s="32"/>
      <c r="AJ32" s="8"/>
      <c r="AK32" s="2" t="s">
        <v>999</v>
      </c>
      <c r="AL32" s="26">
        <v>0</v>
      </c>
      <c r="AM32" s="26">
        <v>0</v>
      </c>
      <c r="AN32" s="26">
        <v>0</v>
      </c>
      <c r="AO32" s="27">
        <v>0</v>
      </c>
      <c r="AP32" s="30">
        <v>0</v>
      </c>
      <c r="AQ32" s="26">
        <v>0</v>
      </c>
      <c r="AR32" s="26">
        <v>0</v>
      </c>
      <c r="AS32" s="32">
        <v>1</v>
      </c>
      <c r="AT32" s="34">
        <v>1</v>
      </c>
    </row>
    <row r="33" spans="2:46" x14ac:dyDescent="0.3">
      <c r="B33" s="8"/>
      <c r="C33" s="2" t="s">
        <v>720</v>
      </c>
      <c r="D33" s="26">
        <v>0</v>
      </c>
      <c r="E33" s="26">
        <v>0</v>
      </c>
      <c r="F33" s="27">
        <v>0</v>
      </c>
      <c r="G33" s="26">
        <v>0</v>
      </c>
      <c r="H33" s="26">
        <v>0</v>
      </c>
      <c r="I33" s="27">
        <v>0</v>
      </c>
      <c r="J33" s="26">
        <v>0</v>
      </c>
      <c r="K33" s="26">
        <v>0</v>
      </c>
      <c r="L33" s="67">
        <v>1</v>
      </c>
      <c r="N33" s="8"/>
      <c r="O33" s="2" t="s">
        <v>656</v>
      </c>
      <c r="P33" s="26">
        <v>0</v>
      </c>
      <c r="Q33" s="27">
        <v>0</v>
      </c>
      <c r="R33" s="30">
        <v>0</v>
      </c>
      <c r="S33" s="27">
        <v>0</v>
      </c>
      <c r="T33" s="30">
        <v>0</v>
      </c>
      <c r="U33" s="34">
        <v>1</v>
      </c>
      <c r="V33" s="34">
        <v>1</v>
      </c>
      <c r="X33" s="8"/>
      <c r="Y33" s="2"/>
      <c r="Z33" s="26"/>
      <c r="AA33" s="26"/>
      <c r="AB33" s="26"/>
      <c r="AC33" s="26"/>
      <c r="AD33" s="27"/>
      <c r="AE33" s="30"/>
      <c r="AF33" s="26"/>
      <c r="AG33" s="26"/>
      <c r="AH33" s="32"/>
      <c r="AJ33" s="8"/>
      <c r="AK33" s="2" t="s">
        <v>1000</v>
      </c>
      <c r="AL33" s="26">
        <v>0</v>
      </c>
      <c r="AM33" s="26">
        <v>0</v>
      </c>
      <c r="AN33" s="26">
        <v>0</v>
      </c>
      <c r="AO33" s="27">
        <v>0</v>
      </c>
      <c r="AP33" s="30">
        <v>0</v>
      </c>
      <c r="AQ33" s="26">
        <v>0</v>
      </c>
      <c r="AR33" s="26">
        <v>0</v>
      </c>
      <c r="AS33" s="32">
        <v>1</v>
      </c>
      <c r="AT33" s="34">
        <v>1</v>
      </c>
    </row>
    <row r="34" spans="2:46" x14ac:dyDescent="0.3">
      <c r="B34" s="8"/>
      <c r="C34" s="2" t="s">
        <v>721</v>
      </c>
      <c r="D34" s="26">
        <v>0</v>
      </c>
      <c r="E34" s="26">
        <v>0</v>
      </c>
      <c r="F34" s="27">
        <v>0</v>
      </c>
      <c r="G34" s="26">
        <v>0</v>
      </c>
      <c r="H34" s="26">
        <v>0</v>
      </c>
      <c r="I34" s="27">
        <v>0</v>
      </c>
      <c r="J34" s="26">
        <v>0</v>
      </c>
      <c r="K34" s="26">
        <v>0</v>
      </c>
      <c r="L34" s="67">
        <v>1</v>
      </c>
      <c r="N34" s="8"/>
      <c r="O34" s="2" t="s">
        <v>657</v>
      </c>
      <c r="P34" s="26">
        <v>0</v>
      </c>
      <c r="Q34" s="27">
        <v>0</v>
      </c>
      <c r="R34" s="30">
        <v>0</v>
      </c>
      <c r="S34" s="27">
        <v>0</v>
      </c>
      <c r="T34" s="30">
        <v>0</v>
      </c>
      <c r="U34" s="34">
        <v>1</v>
      </c>
      <c r="V34" s="34">
        <v>1</v>
      </c>
      <c r="X34" s="8"/>
      <c r="Y34" s="2"/>
      <c r="Z34" s="26"/>
      <c r="AA34" s="26"/>
      <c r="AB34" s="26"/>
      <c r="AC34" s="26"/>
      <c r="AD34" s="27"/>
      <c r="AE34" s="30"/>
      <c r="AF34" s="26"/>
      <c r="AG34" s="26"/>
      <c r="AH34" s="32"/>
      <c r="AJ34" s="8"/>
      <c r="AK34" s="2" t="s">
        <v>1001</v>
      </c>
      <c r="AL34" s="26">
        <v>0</v>
      </c>
      <c r="AM34" s="26">
        <v>0</v>
      </c>
      <c r="AN34" s="26">
        <v>0</v>
      </c>
      <c r="AO34" s="27">
        <v>0</v>
      </c>
      <c r="AP34" s="30">
        <v>0</v>
      </c>
      <c r="AQ34" s="26">
        <v>0</v>
      </c>
      <c r="AR34" s="26">
        <v>0</v>
      </c>
      <c r="AS34" s="32">
        <v>1</v>
      </c>
      <c r="AT34" s="34">
        <v>1</v>
      </c>
    </row>
    <row r="35" spans="2:46" x14ac:dyDescent="0.3">
      <c r="B35" s="8"/>
      <c r="C35" s="2" t="s">
        <v>979</v>
      </c>
      <c r="D35" s="26">
        <v>0</v>
      </c>
      <c r="E35" s="26">
        <v>0</v>
      </c>
      <c r="F35" s="27">
        <v>0</v>
      </c>
      <c r="G35" s="26">
        <v>0</v>
      </c>
      <c r="H35" s="26">
        <v>0</v>
      </c>
      <c r="I35" s="27">
        <v>0</v>
      </c>
      <c r="J35" s="26">
        <v>0</v>
      </c>
      <c r="K35" s="26">
        <v>0</v>
      </c>
      <c r="L35" s="67">
        <v>1</v>
      </c>
      <c r="N35" s="8"/>
      <c r="O35" s="2" t="s">
        <v>949</v>
      </c>
      <c r="P35" s="26">
        <v>0</v>
      </c>
      <c r="Q35" s="27">
        <v>0</v>
      </c>
      <c r="R35" s="30">
        <v>0</v>
      </c>
      <c r="S35" s="27">
        <v>0</v>
      </c>
      <c r="T35" s="30">
        <v>0</v>
      </c>
      <c r="U35" s="34">
        <v>1</v>
      </c>
      <c r="V35" s="34">
        <v>1</v>
      </c>
      <c r="X35" s="8"/>
      <c r="Y35" s="2"/>
      <c r="Z35" s="26"/>
      <c r="AA35" s="26"/>
      <c r="AB35" s="26"/>
      <c r="AC35" s="26"/>
      <c r="AD35" s="27"/>
      <c r="AE35" s="30"/>
      <c r="AF35" s="26"/>
      <c r="AG35" s="26"/>
      <c r="AH35" s="32"/>
      <c r="AJ35" s="8"/>
      <c r="AK35" s="2" t="s">
        <v>1002</v>
      </c>
      <c r="AL35" s="26">
        <v>0</v>
      </c>
      <c r="AM35" s="26">
        <v>0</v>
      </c>
      <c r="AN35" s="26">
        <v>0</v>
      </c>
      <c r="AO35" s="27">
        <v>0</v>
      </c>
      <c r="AP35" s="30">
        <v>0</v>
      </c>
      <c r="AQ35" s="26">
        <v>0</v>
      </c>
      <c r="AR35" s="26">
        <v>0</v>
      </c>
      <c r="AS35" s="32">
        <v>1</v>
      </c>
      <c r="AT35" s="34">
        <v>1</v>
      </c>
    </row>
    <row r="36" spans="2:46" x14ac:dyDescent="0.3">
      <c r="B36" s="8"/>
      <c r="C36" s="2" t="s">
        <v>772</v>
      </c>
      <c r="D36" s="26">
        <v>0</v>
      </c>
      <c r="E36" s="26">
        <v>0</v>
      </c>
      <c r="F36" s="27">
        <v>0</v>
      </c>
      <c r="G36" s="26">
        <v>0</v>
      </c>
      <c r="H36" s="26">
        <v>0</v>
      </c>
      <c r="I36" s="27">
        <v>0</v>
      </c>
      <c r="J36" s="26">
        <v>0</v>
      </c>
      <c r="K36" s="26">
        <v>0</v>
      </c>
      <c r="L36" s="67">
        <v>1</v>
      </c>
      <c r="N36" s="8"/>
      <c r="O36" s="2" t="s">
        <v>815</v>
      </c>
      <c r="P36" s="26">
        <v>0</v>
      </c>
      <c r="Q36" s="27">
        <v>0</v>
      </c>
      <c r="R36" s="30">
        <v>0</v>
      </c>
      <c r="S36" s="27">
        <v>0</v>
      </c>
      <c r="T36" s="30">
        <v>0</v>
      </c>
      <c r="U36" s="34">
        <v>1</v>
      </c>
      <c r="V36" s="34">
        <v>1</v>
      </c>
      <c r="X36" s="8"/>
      <c r="Y36" s="2"/>
      <c r="Z36" s="26"/>
      <c r="AA36" s="26"/>
      <c r="AB36" s="26"/>
      <c r="AC36" s="26"/>
      <c r="AD36" s="27"/>
      <c r="AE36" s="30"/>
      <c r="AF36" s="26"/>
      <c r="AG36" s="26"/>
      <c r="AH36" s="32"/>
      <c r="AJ36" s="8"/>
      <c r="AK36" s="2" t="s">
        <v>1003</v>
      </c>
      <c r="AL36" s="26">
        <v>0</v>
      </c>
      <c r="AM36" s="26">
        <v>0</v>
      </c>
      <c r="AN36" s="26">
        <v>0</v>
      </c>
      <c r="AO36" s="27">
        <v>0</v>
      </c>
      <c r="AP36" s="30">
        <v>0</v>
      </c>
      <c r="AQ36" s="26">
        <v>0</v>
      </c>
      <c r="AR36" s="26">
        <v>0</v>
      </c>
      <c r="AS36" s="32">
        <v>1</v>
      </c>
      <c r="AT36" s="34">
        <v>1</v>
      </c>
    </row>
    <row r="37" spans="2:46" x14ac:dyDescent="0.3">
      <c r="B37" s="8"/>
      <c r="C37" s="2" t="s">
        <v>773</v>
      </c>
      <c r="D37" s="26">
        <v>0</v>
      </c>
      <c r="E37" s="26">
        <v>0</v>
      </c>
      <c r="F37" s="27">
        <v>0</v>
      </c>
      <c r="G37" s="26">
        <v>0</v>
      </c>
      <c r="H37" s="26">
        <v>0</v>
      </c>
      <c r="I37" s="27">
        <v>0</v>
      </c>
      <c r="J37" s="26">
        <v>0</v>
      </c>
      <c r="K37" s="26">
        <v>0</v>
      </c>
      <c r="L37" s="67">
        <v>1</v>
      </c>
      <c r="N37" s="8"/>
      <c r="O37" s="2" t="s">
        <v>816</v>
      </c>
      <c r="P37" s="26">
        <v>0</v>
      </c>
      <c r="Q37" s="27">
        <v>0</v>
      </c>
      <c r="R37" s="30">
        <v>0</v>
      </c>
      <c r="S37" s="27">
        <v>0</v>
      </c>
      <c r="T37" s="30">
        <v>0</v>
      </c>
      <c r="U37" s="34">
        <v>1</v>
      </c>
      <c r="V37" s="34">
        <v>1</v>
      </c>
      <c r="X37" s="8"/>
      <c r="Y37" s="2"/>
      <c r="Z37" s="26"/>
      <c r="AA37" s="26"/>
      <c r="AB37" s="26"/>
      <c r="AC37" s="26"/>
      <c r="AD37" s="27"/>
      <c r="AE37" s="30"/>
      <c r="AF37" s="26"/>
      <c r="AG37" s="26"/>
      <c r="AH37" s="32"/>
      <c r="AJ37" s="8"/>
      <c r="AK37" s="2" t="s">
        <v>1004</v>
      </c>
      <c r="AL37" s="26">
        <v>0</v>
      </c>
      <c r="AM37" s="26">
        <v>0</v>
      </c>
      <c r="AN37" s="26">
        <v>0</v>
      </c>
      <c r="AO37" s="27">
        <v>0</v>
      </c>
      <c r="AP37" s="30">
        <v>0</v>
      </c>
      <c r="AQ37" s="26">
        <v>0</v>
      </c>
      <c r="AR37" s="26">
        <v>0</v>
      </c>
      <c r="AS37" s="32">
        <v>1</v>
      </c>
      <c r="AT37" s="34">
        <v>1</v>
      </c>
    </row>
    <row r="38" spans="2:46" x14ac:dyDescent="0.3">
      <c r="B38" s="8"/>
      <c r="C38" s="2" t="s">
        <v>722</v>
      </c>
      <c r="D38" s="26">
        <v>0</v>
      </c>
      <c r="E38" s="26">
        <v>0</v>
      </c>
      <c r="F38" s="27">
        <v>0</v>
      </c>
      <c r="G38" s="26">
        <v>0</v>
      </c>
      <c r="H38" s="26">
        <v>0</v>
      </c>
      <c r="I38" s="27">
        <v>0</v>
      </c>
      <c r="J38" s="26">
        <v>0</v>
      </c>
      <c r="K38" s="26">
        <v>0</v>
      </c>
      <c r="L38" s="67">
        <v>1</v>
      </c>
      <c r="N38" s="8"/>
      <c r="O38" s="2" t="s">
        <v>658</v>
      </c>
      <c r="P38" s="26">
        <v>0</v>
      </c>
      <c r="Q38" s="27">
        <v>0</v>
      </c>
      <c r="R38" s="30">
        <v>0</v>
      </c>
      <c r="S38" s="27">
        <v>0</v>
      </c>
      <c r="T38" s="30">
        <v>0</v>
      </c>
      <c r="U38" s="34">
        <v>1</v>
      </c>
      <c r="V38" s="34">
        <v>1</v>
      </c>
      <c r="X38" s="8"/>
      <c r="Y38" s="2"/>
      <c r="Z38" s="26"/>
      <c r="AA38" s="26"/>
      <c r="AB38" s="26"/>
      <c r="AC38" s="26"/>
      <c r="AD38" s="27"/>
      <c r="AE38" s="30"/>
      <c r="AF38" s="26"/>
      <c r="AG38" s="26"/>
      <c r="AH38" s="32"/>
      <c r="AJ38" s="8"/>
      <c r="AK38" s="2"/>
      <c r="AL38" s="26"/>
      <c r="AM38" s="26"/>
      <c r="AN38" s="26"/>
      <c r="AO38" s="27"/>
      <c r="AP38" s="30"/>
      <c r="AQ38" s="26"/>
      <c r="AR38" s="26"/>
      <c r="AS38" s="32"/>
      <c r="AT38" s="34"/>
    </row>
    <row r="39" spans="2:46" x14ac:dyDescent="0.3">
      <c r="B39" s="8"/>
      <c r="C39" s="2" t="s">
        <v>774</v>
      </c>
      <c r="D39" s="26">
        <v>0</v>
      </c>
      <c r="E39" s="26">
        <v>0</v>
      </c>
      <c r="F39" s="27">
        <v>0</v>
      </c>
      <c r="G39" s="26">
        <v>0</v>
      </c>
      <c r="H39" s="26">
        <v>0</v>
      </c>
      <c r="I39" s="27">
        <v>0</v>
      </c>
      <c r="J39" s="26">
        <v>0</v>
      </c>
      <c r="K39" s="26">
        <v>0</v>
      </c>
      <c r="L39" s="67">
        <v>1</v>
      </c>
      <c r="N39" s="8"/>
      <c r="O39" s="2" t="s">
        <v>817</v>
      </c>
      <c r="P39" s="26">
        <v>0</v>
      </c>
      <c r="Q39" s="27">
        <v>0</v>
      </c>
      <c r="R39" s="30">
        <v>0</v>
      </c>
      <c r="S39" s="27">
        <v>0</v>
      </c>
      <c r="T39" s="30">
        <v>0</v>
      </c>
      <c r="U39" s="34">
        <v>1</v>
      </c>
      <c r="V39" s="34">
        <v>1</v>
      </c>
      <c r="X39" s="8"/>
      <c r="Y39" s="2"/>
      <c r="Z39" s="26"/>
      <c r="AA39" s="26"/>
      <c r="AB39" s="26"/>
      <c r="AC39" s="26"/>
      <c r="AD39" s="27"/>
      <c r="AE39" s="30"/>
      <c r="AF39" s="26"/>
      <c r="AG39" s="26"/>
      <c r="AH39" s="32"/>
      <c r="AJ39" s="8"/>
      <c r="AK39" s="2"/>
      <c r="AL39" s="26"/>
      <c r="AM39" s="26"/>
      <c r="AN39" s="26"/>
      <c r="AO39" s="27"/>
      <c r="AP39" s="30"/>
      <c r="AQ39" s="26"/>
      <c r="AR39" s="26"/>
      <c r="AS39" s="32"/>
      <c r="AT39" s="34"/>
    </row>
    <row r="40" spans="2:46" x14ac:dyDescent="0.3">
      <c r="B40" s="8"/>
      <c r="C40" s="2" t="s">
        <v>723</v>
      </c>
      <c r="D40" s="26">
        <v>0</v>
      </c>
      <c r="E40" s="26">
        <v>0</v>
      </c>
      <c r="F40" s="27">
        <v>0</v>
      </c>
      <c r="G40" s="26">
        <v>0</v>
      </c>
      <c r="H40" s="26">
        <v>0</v>
      </c>
      <c r="I40" s="27">
        <v>0</v>
      </c>
      <c r="J40" s="26">
        <v>0</v>
      </c>
      <c r="K40" s="26">
        <v>0</v>
      </c>
      <c r="L40" s="67">
        <v>1</v>
      </c>
      <c r="N40" s="8"/>
      <c r="O40" s="2" t="s">
        <v>659</v>
      </c>
      <c r="P40" s="26">
        <v>0</v>
      </c>
      <c r="Q40" s="27">
        <v>0</v>
      </c>
      <c r="R40" s="30">
        <v>0</v>
      </c>
      <c r="S40" s="27">
        <v>0</v>
      </c>
      <c r="T40" s="30">
        <v>0</v>
      </c>
      <c r="U40" s="34">
        <v>1</v>
      </c>
      <c r="V40" s="34">
        <v>1</v>
      </c>
      <c r="X40" s="8"/>
      <c r="Y40" s="2"/>
      <c r="Z40" s="26"/>
      <c r="AA40" s="26"/>
      <c r="AB40" s="26"/>
      <c r="AC40" s="26"/>
      <c r="AD40" s="27"/>
      <c r="AE40" s="30"/>
      <c r="AF40" s="26"/>
      <c r="AG40" s="26"/>
      <c r="AH40" s="32"/>
      <c r="AJ40" s="8"/>
      <c r="AK40" s="2"/>
      <c r="AL40" s="26"/>
      <c r="AM40" s="26"/>
      <c r="AN40" s="26"/>
      <c r="AO40" s="27"/>
      <c r="AP40" s="30"/>
      <c r="AQ40" s="26"/>
      <c r="AR40" s="26"/>
      <c r="AS40" s="32"/>
      <c r="AT40" s="34"/>
    </row>
    <row r="41" spans="2:46" x14ac:dyDescent="0.3">
      <c r="B41" s="8"/>
      <c r="C41" s="2" t="s">
        <v>775</v>
      </c>
      <c r="D41" s="26">
        <v>0</v>
      </c>
      <c r="E41" s="26">
        <v>0</v>
      </c>
      <c r="F41" s="27">
        <v>0</v>
      </c>
      <c r="G41" s="26">
        <v>0</v>
      </c>
      <c r="H41" s="26">
        <v>0</v>
      </c>
      <c r="I41" s="27">
        <v>0</v>
      </c>
      <c r="J41" s="26">
        <v>0</v>
      </c>
      <c r="K41" s="26">
        <v>0</v>
      </c>
      <c r="L41" s="67">
        <v>1</v>
      </c>
      <c r="N41" s="8"/>
      <c r="O41" s="2" t="s">
        <v>818</v>
      </c>
      <c r="P41" s="26">
        <v>0</v>
      </c>
      <c r="Q41" s="27">
        <v>0</v>
      </c>
      <c r="R41" s="30">
        <v>0</v>
      </c>
      <c r="S41" s="27">
        <v>0</v>
      </c>
      <c r="T41" s="30">
        <v>0</v>
      </c>
      <c r="U41" s="34">
        <v>1</v>
      </c>
      <c r="V41" s="34">
        <v>1</v>
      </c>
      <c r="X41" s="8"/>
      <c r="Y41" s="2"/>
      <c r="Z41" s="26"/>
      <c r="AA41" s="26"/>
      <c r="AB41" s="26"/>
      <c r="AC41" s="26"/>
      <c r="AD41" s="27"/>
      <c r="AE41" s="30"/>
      <c r="AF41" s="26"/>
      <c r="AG41" s="26"/>
      <c r="AH41" s="32"/>
      <c r="AJ41" s="8"/>
      <c r="AK41" s="2"/>
      <c r="AL41" s="26"/>
      <c r="AM41" s="26"/>
      <c r="AN41" s="26"/>
      <c r="AO41" s="27"/>
      <c r="AP41" s="30"/>
      <c r="AQ41" s="26"/>
      <c r="AR41" s="26"/>
      <c r="AS41" s="32"/>
      <c r="AT41" s="34"/>
    </row>
    <row r="42" spans="2:46" x14ac:dyDescent="0.3">
      <c r="B42" s="8"/>
      <c r="C42" s="2" t="s">
        <v>776</v>
      </c>
      <c r="D42" s="26">
        <v>0</v>
      </c>
      <c r="E42" s="26">
        <v>0</v>
      </c>
      <c r="F42" s="27">
        <v>0</v>
      </c>
      <c r="G42" s="26">
        <v>0</v>
      </c>
      <c r="H42" s="26">
        <v>0</v>
      </c>
      <c r="I42" s="27">
        <v>0</v>
      </c>
      <c r="J42" s="26">
        <v>0</v>
      </c>
      <c r="K42" s="26">
        <v>0</v>
      </c>
      <c r="L42" s="67">
        <v>1</v>
      </c>
      <c r="N42" s="8"/>
      <c r="O42" s="2" t="s">
        <v>819</v>
      </c>
      <c r="P42" s="26">
        <v>0</v>
      </c>
      <c r="Q42" s="27">
        <v>0</v>
      </c>
      <c r="R42" s="30">
        <v>0</v>
      </c>
      <c r="S42" s="27">
        <v>0</v>
      </c>
      <c r="T42" s="30">
        <v>0</v>
      </c>
      <c r="U42" s="34">
        <v>1</v>
      </c>
      <c r="V42" s="34">
        <v>1</v>
      </c>
      <c r="X42" s="8"/>
      <c r="Y42" s="2"/>
      <c r="Z42" s="26"/>
      <c r="AA42" s="26"/>
      <c r="AB42" s="26"/>
      <c r="AC42" s="26"/>
      <c r="AD42" s="27"/>
      <c r="AE42" s="30"/>
      <c r="AF42" s="26"/>
      <c r="AG42" s="26"/>
      <c r="AH42" s="32"/>
      <c r="AJ42" s="8"/>
      <c r="AK42" s="2"/>
      <c r="AL42" s="26"/>
      <c r="AM42" s="26"/>
      <c r="AN42" s="26"/>
      <c r="AO42" s="27"/>
      <c r="AP42" s="30"/>
      <c r="AQ42" s="26"/>
      <c r="AR42" s="26"/>
      <c r="AS42" s="32"/>
      <c r="AT42" s="34"/>
    </row>
    <row r="43" spans="2:46" x14ac:dyDescent="0.3">
      <c r="B43" s="8"/>
      <c r="C43" s="2" t="s">
        <v>777</v>
      </c>
      <c r="D43" s="26">
        <v>0</v>
      </c>
      <c r="E43" s="26">
        <v>0</v>
      </c>
      <c r="F43" s="27">
        <v>0</v>
      </c>
      <c r="G43" s="26">
        <v>0</v>
      </c>
      <c r="H43" s="26">
        <v>0</v>
      </c>
      <c r="I43" s="27">
        <v>0</v>
      </c>
      <c r="J43" s="26">
        <v>0</v>
      </c>
      <c r="K43" s="26">
        <v>0</v>
      </c>
      <c r="L43" s="67">
        <v>1</v>
      </c>
      <c r="N43" s="8"/>
      <c r="O43" s="2" t="s">
        <v>820</v>
      </c>
      <c r="P43" s="26">
        <v>0</v>
      </c>
      <c r="Q43" s="27">
        <v>0</v>
      </c>
      <c r="R43" s="30">
        <v>0</v>
      </c>
      <c r="S43" s="27">
        <v>0</v>
      </c>
      <c r="T43" s="30">
        <v>0</v>
      </c>
      <c r="U43" s="34">
        <v>1</v>
      </c>
      <c r="V43" s="34">
        <v>1</v>
      </c>
      <c r="X43" s="8"/>
      <c r="Y43" s="2"/>
      <c r="Z43" s="26"/>
      <c r="AA43" s="26"/>
      <c r="AB43" s="26"/>
      <c r="AC43" s="26"/>
      <c r="AD43" s="27"/>
      <c r="AE43" s="30"/>
      <c r="AF43" s="26"/>
      <c r="AG43" s="26"/>
      <c r="AH43" s="32"/>
      <c r="AJ43" s="8"/>
      <c r="AK43" s="2"/>
      <c r="AL43" s="26"/>
      <c r="AM43" s="26"/>
      <c r="AN43" s="26"/>
      <c r="AO43" s="27"/>
      <c r="AP43" s="30"/>
      <c r="AQ43" s="26"/>
      <c r="AR43" s="26"/>
      <c r="AS43" s="32"/>
      <c r="AT43" s="34"/>
    </row>
    <row r="44" spans="2:46" x14ac:dyDescent="0.3">
      <c r="B44" s="8"/>
      <c r="C44" s="2" t="s">
        <v>724</v>
      </c>
      <c r="D44" s="26">
        <v>0</v>
      </c>
      <c r="E44" s="26">
        <v>0</v>
      </c>
      <c r="F44" s="27">
        <v>0</v>
      </c>
      <c r="G44" s="26">
        <v>0</v>
      </c>
      <c r="H44" s="26">
        <v>0</v>
      </c>
      <c r="I44" s="27">
        <v>0</v>
      </c>
      <c r="J44" s="26">
        <v>0</v>
      </c>
      <c r="K44" s="26">
        <v>0</v>
      </c>
      <c r="L44" s="67">
        <v>1</v>
      </c>
      <c r="N44" s="8"/>
      <c r="O44" s="2" t="s">
        <v>660</v>
      </c>
      <c r="P44" s="26">
        <v>0</v>
      </c>
      <c r="Q44" s="27">
        <v>0</v>
      </c>
      <c r="R44" s="30">
        <v>0</v>
      </c>
      <c r="S44" s="27">
        <v>0</v>
      </c>
      <c r="T44" s="30">
        <v>0</v>
      </c>
      <c r="U44" s="34">
        <v>1</v>
      </c>
      <c r="V44" s="34">
        <v>1</v>
      </c>
      <c r="X44" s="8"/>
      <c r="Y44" s="2"/>
      <c r="Z44" s="26"/>
      <c r="AA44" s="26"/>
      <c r="AB44" s="26"/>
      <c r="AC44" s="26"/>
      <c r="AD44" s="27"/>
      <c r="AE44" s="30"/>
      <c r="AF44" s="26"/>
      <c r="AG44" s="26"/>
      <c r="AH44" s="32"/>
      <c r="AJ44" s="8"/>
      <c r="AK44" s="2"/>
      <c r="AL44" s="26"/>
      <c r="AM44" s="26"/>
      <c r="AN44" s="26"/>
      <c r="AO44" s="27"/>
      <c r="AP44" s="30"/>
      <c r="AQ44" s="26"/>
      <c r="AR44" s="26"/>
      <c r="AS44" s="32"/>
      <c r="AT44" s="34"/>
    </row>
    <row r="45" spans="2:46" x14ac:dyDescent="0.3">
      <c r="B45" s="8"/>
      <c r="C45" s="2" t="s">
        <v>725</v>
      </c>
      <c r="D45" s="26">
        <v>0</v>
      </c>
      <c r="E45" s="26">
        <v>0</v>
      </c>
      <c r="F45" s="27">
        <v>0</v>
      </c>
      <c r="G45" s="26">
        <v>0</v>
      </c>
      <c r="H45" s="26">
        <v>0</v>
      </c>
      <c r="I45" s="27">
        <v>0</v>
      </c>
      <c r="J45" s="26">
        <v>0</v>
      </c>
      <c r="K45" s="26">
        <v>0</v>
      </c>
      <c r="L45" s="67">
        <v>1</v>
      </c>
      <c r="N45" s="8"/>
      <c r="O45" s="2" t="s">
        <v>661</v>
      </c>
      <c r="P45" s="26">
        <v>0</v>
      </c>
      <c r="Q45" s="27">
        <v>0</v>
      </c>
      <c r="R45" s="30">
        <v>0</v>
      </c>
      <c r="S45" s="27">
        <v>0</v>
      </c>
      <c r="T45" s="30">
        <v>0</v>
      </c>
      <c r="U45" s="34">
        <v>1</v>
      </c>
      <c r="V45" s="34">
        <v>1</v>
      </c>
      <c r="X45" s="8"/>
      <c r="Y45" s="2"/>
      <c r="Z45" s="26"/>
      <c r="AA45" s="26"/>
      <c r="AB45" s="26"/>
      <c r="AC45" s="26"/>
      <c r="AD45" s="27"/>
      <c r="AE45" s="30"/>
      <c r="AF45" s="26"/>
      <c r="AG45" s="26"/>
      <c r="AH45" s="32"/>
      <c r="AJ45" s="8"/>
      <c r="AK45" s="2"/>
      <c r="AL45" s="26"/>
      <c r="AM45" s="26"/>
      <c r="AN45" s="26"/>
      <c r="AO45" s="27"/>
      <c r="AP45" s="30"/>
      <c r="AQ45" s="26"/>
      <c r="AR45" s="26"/>
      <c r="AS45" s="32"/>
      <c r="AT45" s="34"/>
    </row>
    <row r="46" spans="2:46" x14ac:dyDescent="0.3">
      <c r="B46" s="8"/>
      <c r="C46" s="2" t="s">
        <v>778</v>
      </c>
      <c r="D46" s="26">
        <v>0</v>
      </c>
      <c r="E46" s="26">
        <v>0</v>
      </c>
      <c r="F46" s="27">
        <v>0</v>
      </c>
      <c r="G46" s="26">
        <v>0</v>
      </c>
      <c r="H46" s="26">
        <v>0</v>
      </c>
      <c r="I46" s="27">
        <v>0</v>
      </c>
      <c r="J46" s="26">
        <v>0</v>
      </c>
      <c r="K46" s="26">
        <v>0</v>
      </c>
      <c r="L46" s="67">
        <v>1</v>
      </c>
      <c r="N46" s="8"/>
      <c r="O46" s="2" t="s">
        <v>821</v>
      </c>
      <c r="P46" s="26">
        <v>0</v>
      </c>
      <c r="Q46" s="27">
        <v>0</v>
      </c>
      <c r="R46" s="30">
        <v>0</v>
      </c>
      <c r="S46" s="27">
        <v>0</v>
      </c>
      <c r="T46" s="30">
        <v>0</v>
      </c>
      <c r="U46" s="34">
        <v>1</v>
      </c>
      <c r="V46" s="34">
        <v>1</v>
      </c>
      <c r="X46" s="8"/>
      <c r="Y46" s="2"/>
      <c r="Z46" s="26"/>
      <c r="AA46" s="26"/>
      <c r="AB46" s="26"/>
      <c r="AC46" s="26"/>
      <c r="AD46" s="27"/>
      <c r="AE46" s="30"/>
      <c r="AF46" s="26"/>
      <c r="AG46" s="26"/>
      <c r="AH46" s="32"/>
      <c r="AJ46" s="8"/>
      <c r="AK46" s="2"/>
      <c r="AL46" s="26"/>
      <c r="AM46" s="26"/>
      <c r="AN46" s="26"/>
      <c r="AO46" s="27"/>
      <c r="AP46" s="30"/>
      <c r="AQ46" s="26"/>
      <c r="AR46" s="26"/>
      <c r="AS46" s="32"/>
      <c r="AT46" s="34"/>
    </row>
    <row r="47" spans="2:46" x14ac:dyDescent="0.3">
      <c r="B47" s="8"/>
      <c r="C47" s="2" t="s">
        <v>726</v>
      </c>
      <c r="D47" s="26">
        <v>0</v>
      </c>
      <c r="E47" s="26">
        <v>0</v>
      </c>
      <c r="F47" s="27">
        <v>0</v>
      </c>
      <c r="G47" s="26">
        <v>0</v>
      </c>
      <c r="H47" s="26">
        <v>0</v>
      </c>
      <c r="I47" s="27">
        <v>0</v>
      </c>
      <c r="J47" s="26">
        <v>0</v>
      </c>
      <c r="K47" s="26">
        <v>0</v>
      </c>
      <c r="L47" s="67">
        <v>1</v>
      </c>
      <c r="N47" s="8"/>
      <c r="O47" s="2" t="s">
        <v>662</v>
      </c>
      <c r="P47" s="26">
        <v>0</v>
      </c>
      <c r="Q47" s="27">
        <v>0</v>
      </c>
      <c r="R47" s="30">
        <v>0</v>
      </c>
      <c r="S47" s="27">
        <v>0</v>
      </c>
      <c r="T47" s="30">
        <v>0</v>
      </c>
      <c r="U47" s="34">
        <v>1</v>
      </c>
      <c r="V47" s="34">
        <v>1</v>
      </c>
      <c r="X47" s="8"/>
      <c r="Y47" s="2"/>
      <c r="Z47" s="26"/>
      <c r="AA47" s="26"/>
      <c r="AB47" s="26"/>
      <c r="AC47" s="26"/>
      <c r="AD47" s="27"/>
      <c r="AE47" s="30"/>
      <c r="AF47" s="26"/>
      <c r="AG47" s="26"/>
      <c r="AH47" s="32"/>
      <c r="AJ47" s="8"/>
      <c r="AK47" s="2"/>
      <c r="AL47" s="26"/>
      <c r="AM47" s="26"/>
      <c r="AN47" s="26"/>
      <c r="AO47" s="27"/>
      <c r="AP47" s="30"/>
      <c r="AQ47" s="26"/>
      <c r="AR47" s="26"/>
      <c r="AS47" s="32"/>
      <c r="AT47" s="34"/>
    </row>
    <row r="48" spans="2:46" x14ac:dyDescent="0.3">
      <c r="B48" s="8"/>
      <c r="C48" s="2" t="s">
        <v>779</v>
      </c>
      <c r="D48" s="26">
        <v>0</v>
      </c>
      <c r="E48" s="26">
        <v>0</v>
      </c>
      <c r="F48" s="27">
        <v>0</v>
      </c>
      <c r="G48" s="26">
        <v>0</v>
      </c>
      <c r="H48" s="26">
        <v>0</v>
      </c>
      <c r="I48" s="27">
        <v>0</v>
      </c>
      <c r="J48" s="26">
        <v>0</v>
      </c>
      <c r="K48" s="26">
        <v>0</v>
      </c>
      <c r="L48" s="67">
        <v>1</v>
      </c>
      <c r="N48" s="8"/>
      <c r="O48" s="2" t="s">
        <v>822</v>
      </c>
      <c r="P48" s="26">
        <v>0</v>
      </c>
      <c r="Q48" s="27">
        <v>0</v>
      </c>
      <c r="R48" s="30">
        <v>0</v>
      </c>
      <c r="S48" s="27">
        <v>0</v>
      </c>
      <c r="T48" s="30">
        <v>0</v>
      </c>
      <c r="U48" s="34">
        <v>1</v>
      </c>
      <c r="V48" s="34">
        <v>1</v>
      </c>
      <c r="X48" s="8"/>
      <c r="Y48" s="2"/>
      <c r="Z48" s="26"/>
      <c r="AA48" s="26"/>
      <c r="AB48" s="26"/>
      <c r="AC48" s="26"/>
      <c r="AD48" s="27"/>
      <c r="AE48" s="30"/>
      <c r="AF48" s="26"/>
      <c r="AG48" s="26"/>
      <c r="AH48" s="32"/>
      <c r="AJ48" s="8"/>
      <c r="AK48" s="2"/>
      <c r="AL48" s="26"/>
      <c r="AM48" s="26"/>
      <c r="AN48" s="26"/>
      <c r="AO48" s="27"/>
      <c r="AP48" s="30"/>
      <c r="AQ48" s="26"/>
      <c r="AR48" s="26"/>
      <c r="AS48" s="32"/>
      <c r="AT48" s="34"/>
    </row>
    <row r="49" spans="2:46" x14ac:dyDescent="0.3">
      <c r="B49" s="8"/>
      <c r="C49" s="2" t="s">
        <v>780</v>
      </c>
      <c r="D49" s="26">
        <v>0</v>
      </c>
      <c r="E49" s="26">
        <v>0</v>
      </c>
      <c r="F49" s="27">
        <v>0</v>
      </c>
      <c r="G49" s="26">
        <v>0</v>
      </c>
      <c r="H49" s="26">
        <v>0</v>
      </c>
      <c r="I49" s="27">
        <v>0</v>
      </c>
      <c r="J49" s="26">
        <v>0</v>
      </c>
      <c r="K49" s="26">
        <v>0</v>
      </c>
      <c r="L49" s="67">
        <v>1</v>
      </c>
      <c r="N49" s="8"/>
      <c r="O49" s="2" t="s">
        <v>823</v>
      </c>
      <c r="P49" s="26">
        <v>0</v>
      </c>
      <c r="Q49" s="27">
        <v>0</v>
      </c>
      <c r="R49" s="30">
        <v>0</v>
      </c>
      <c r="S49" s="27">
        <v>0</v>
      </c>
      <c r="T49" s="30">
        <v>0</v>
      </c>
      <c r="U49" s="34">
        <v>1</v>
      </c>
      <c r="V49" s="34">
        <v>1</v>
      </c>
      <c r="X49" s="8"/>
      <c r="Y49" s="2"/>
      <c r="Z49" s="26"/>
      <c r="AA49" s="26"/>
      <c r="AB49" s="26"/>
      <c r="AC49" s="26"/>
      <c r="AD49" s="27"/>
      <c r="AE49" s="30"/>
      <c r="AF49" s="26"/>
      <c r="AG49" s="26"/>
      <c r="AH49" s="32"/>
      <c r="AJ49" s="8"/>
      <c r="AK49" s="2"/>
      <c r="AL49" s="26"/>
      <c r="AM49" s="26"/>
      <c r="AN49" s="26"/>
      <c r="AO49" s="27"/>
      <c r="AP49" s="30"/>
      <c r="AQ49" s="26"/>
      <c r="AR49" s="26"/>
      <c r="AS49" s="32"/>
      <c r="AT49" s="34"/>
    </row>
    <row r="50" spans="2:46" x14ac:dyDescent="0.3">
      <c r="B50" s="8"/>
      <c r="C50" s="2" t="s">
        <v>727</v>
      </c>
      <c r="D50" s="26">
        <v>0</v>
      </c>
      <c r="E50" s="26">
        <v>0</v>
      </c>
      <c r="F50" s="27">
        <v>0</v>
      </c>
      <c r="G50" s="26">
        <v>0</v>
      </c>
      <c r="H50" s="26">
        <v>0</v>
      </c>
      <c r="I50" s="27">
        <v>0</v>
      </c>
      <c r="J50" s="26">
        <v>0</v>
      </c>
      <c r="K50" s="26">
        <v>0</v>
      </c>
      <c r="L50" s="67">
        <v>1</v>
      </c>
      <c r="N50" s="8"/>
      <c r="O50" s="2" t="s">
        <v>663</v>
      </c>
      <c r="P50" s="26">
        <v>0</v>
      </c>
      <c r="Q50" s="27">
        <v>0</v>
      </c>
      <c r="R50" s="30">
        <v>0</v>
      </c>
      <c r="S50" s="27">
        <v>0</v>
      </c>
      <c r="T50" s="30">
        <v>0</v>
      </c>
      <c r="U50" s="34">
        <v>1</v>
      </c>
      <c r="V50" s="34">
        <v>1</v>
      </c>
      <c r="X50" s="8"/>
      <c r="Y50" s="2"/>
      <c r="Z50" s="26"/>
      <c r="AA50" s="26"/>
      <c r="AB50" s="26"/>
      <c r="AC50" s="26"/>
      <c r="AD50" s="27"/>
      <c r="AE50" s="30"/>
      <c r="AF50" s="26"/>
      <c r="AG50" s="26"/>
      <c r="AH50" s="32"/>
      <c r="AJ50" s="8"/>
      <c r="AK50" s="2"/>
      <c r="AL50" s="26"/>
      <c r="AM50" s="26"/>
      <c r="AN50" s="26"/>
      <c r="AO50" s="27"/>
      <c r="AP50" s="30"/>
      <c r="AQ50" s="26"/>
      <c r="AR50" s="26"/>
      <c r="AS50" s="32"/>
      <c r="AT50" s="34"/>
    </row>
    <row r="51" spans="2:46" x14ac:dyDescent="0.3">
      <c r="B51" s="8"/>
      <c r="C51" s="2" t="s">
        <v>728</v>
      </c>
      <c r="D51" s="26">
        <v>0</v>
      </c>
      <c r="E51" s="26">
        <v>0</v>
      </c>
      <c r="F51" s="27">
        <v>0</v>
      </c>
      <c r="G51" s="26">
        <v>0</v>
      </c>
      <c r="H51" s="26">
        <v>0</v>
      </c>
      <c r="I51" s="27">
        <v>0</v>
      </c>
      <c r="J51" s="26">
        <v>0</v>
      </c>
      <c r="K51" s="26">
        <v>0</v>
      </c>
      <c r="L51" s="67">
        <v>1</v>
      </c>
      <c r="N51" s="8"/>
      <c r="O51" s="2" t="s">
        <v>664</v>
      </c>
      <c r="P51" s="26">
        <v>0</v>
      </c>
      <c r="Q51" s="27">
        <v>0</v>
      </c>
      <c r="R51" s="30">
        <v>0</v>
      </c>
      <c r="S51" s="27">
        <v>0</v>
      </c>
      <c r="T51" s="30">
        <v>0</v>
      </c>
      <c r="U51" s="34">
        <v>1</v>
      </c>
      <c r="V51" s="34">
        <v>1</v>
      </c>
      <c r="X51" s="8"/>
      <c r="Y51" s="2"/>
      <c r="Z51" s="26"/>
      <c r="AA51" s="26"/>
      <c r="AB51" s="26"/>
      <c r="AC51" s="26"/>
      <c r="AD51" s="27"/>
      <c r="AE51" s="30"/>
      <c r="AF51" s="26"/>
      <c r="AG51" s="26"/>
      <c r="AH51" s="32"/>
      <c r="AJ51" s="8"/>
      <c r="AK51" s="2"/>
      <c r="AL51" s="26"/>
      <c r="AM51" s="26"/>
      <c r="AN51" s="26"/>
      <c r="AO51" s="27"/>
      <c r="AP51" s="30"/>
      <c r="AQ51" s="26"/>
      <c r="AR51" s="26"/>
      <c r="AS51" s="32"/>
      <c r="AT51" s="34"/>
    </row>
    <row r="52" spans="2:46" x14ac:dyDescent="0.3">
      <c r="B52" s="8"/>
      <c r="C52" s="2" t="s">
        <v>781</v>
      </c>
      <c r="D52" s="26">
        <v>0</v>
      </c>
      <c r="E52" s="26">
        <v>0</v>
      </c>
      <c r="F52" s="27">
        <v>0</v>
      </c>
      <c r="G52" s="26">
        <v>0</v>
      </c>
      <c r="H52" s="26">
        <v>0</v>
      </c>
      <c r="I52" s="27">
        <v>0</v>
      </c>
      <c r="J52" s="26">
        <v>0</v>
      </c>
      <c r="K52" s="26">
        <v>0</v>
      </c>
      <c r="L52" s="67">
        <v>1</v>
      </c>
      <c r="N52" s="8"/>
      <c r="O52" s="2" t="s">
        <v>824</v>
      </c>
      <c r="P52" s="26">
        <v>0</v>
      </c>
      <c r="Q52" s="27">
        <v>0</v>
      </c>
      <c r="R52" s="30">
        <v>0</v>
      </c>
      <c r="S52" s="27">
        <v>0</v>
      </c>
      <c r="T52" s="30">
        <v>0</v>
      </c>
      <c r="U52" s="34">
        <v>1</v>
      </c>
      <c r="V52" s="34">
        <v>1</v>
      </c>
      <c r="X52" s="8"/>
      <c r="Y52" s="2"/>
      <c r="Z52" s="26"/>
      <c r="AA52" s="26"/>
      <c r="AB52" s="26"/>
      <c r="AC52" s="26"/>
      <c r="AD52" s="27"/>
      <c r="AE52" s="30"/>
      <c r="AF52" s="26"/>
      <c r="AG52" s="26"/>
      <c r="AH52" s="32"/>
      <c r="AJ52" s="8"/>
      <c r="AK52" s="2"/>
      <c r="AL52" s="26"/>
      <c r="AM52" s="26"/>
      <c r="AN52" s="26"/>
      <c r="AO52" s="27"/>
      <c r="AP52" s="30"/>
      <c r="AQ52" s="26"/>
      <c r="AR52" s="26"/>
      <c r="AS52" s="32"/>
      <c r="AT52" s="34"/>
    </row>
    <row r="53" spans="2:46" x14ac:dyDescent="0.3">
      <c r="B53" s="8"/>
      <c r="C53" s="2" t="s">
        <v>729</v>
      </c>
      <c r="D53" s="26">
        <v>0</v>
      </c>
      <c r="E53" s="26">
        <v>0</v>
      </c>
      <c r="F53" s="27">
        <v>0</v>
      </c>
      <c r="G53" s="26">
        <v>0</v>
      </c>
      <c r="H53" s="26">
        <v>0</v>
      </c>
      <c r="I53" s="27">
        <v>0</v>
      </c>
      <c r="J53" s="26">
        <v>0</v>
      </c>
      <c r="K53" s="26">
        <v>0</v>
      </c>
      <c r="L53" s="67">
        <v>1</v>
      </c>
      <c r="N53" s="8"/>
      <c r="O53" s="2" t="s">
        <v>665</v>
      </c>
      <c r="P53" s="26">
        <v>0</v>
      </c>
      <c r="Q53" s="27">
        <v>0</v>
      </c>
      <c r="R53" s="30">
        <v>0</v>
      </c>
      <c r="S53" s="27">
        <v>0</v>
      </c>
      <c r="T53" s="30">
        <v>0</v>
      </c>
      <c r="U53" s="34">
        <v>1</v>
      </c>
      <c r="V53" s="34">
        <v>1</v>
      </c>
      <c r="X53" s="8"/>
      <c r="Y53" s="2"/>
      <c r="Z53" s="26"/>
      <c r="AA53" s="26"/>
      <c r="AB53" s="26"/>
      <c r="AC53" s="26"/>
      <c r="AD53" s="27"/>
      <c r="AE53" s="30"/>
      <c r="AF53" s="26"/>
      <c r="AG53" s="26"/>
      <c r="AH53" s="32"/>
      <c r="AJ53" s="8"/>
      <c r="AK53" s="2"/>
      <c r="AL53" s="26"/>
      <c r="AM53" s="26"/>
      <c r="AN53" s="26"/>
      <c r="AO53" s="27"/>
      <c r="AP53" s="30"/>
      <c r="AQ53" s="26"/>
      <c r="AR53" s="26"/>
      <c r="AS53" s="32"/>
      <c r="AT53" s="34"/>
    </row>
    <row r="54" spans="2:46" x14ac:dyDescent="0.3">
      <c r="B54" s="8"/>
      <c r="C54" s="2" t="s">
        <v>782</v>
      </c>
      <c r="D54" s="26">
        <v>0</v>
      </c>
      <c r="E54" s="26">
        <v>0</v>
      </c>
      <c r="F54" s="27">
        <v>0</v>
      </c>
      <c r="G54" s="26">
        <v>0</v>
      </c>
      <c r="H54" s="26">
        <v>0</v>
      </c>
      <c r="I54" s="27">
        <v>0</v>
      </c>
      <c r="J54" s="26">
        <v>0</v>
      </c>
      <c r="K54" s="26">
        <v>0</v>
      </c>
      <c r="L54" s="67">
        <v>1</v>
      </c>
      <c r="N54" s="8"/>
      <c r="O54" s="2" t="s">
        <v>825</v>
      </c>
      <c r="P54" s="26">
        <v>0</v>
      </c>
      <c r="Q54" s="27">
        <v>0</v>
      </c>
      <c r="R54" s="30">
        <v>0</v>
      </c>
      <c r="S54" s="27">
        <v>0</v>
      </c>
      <c r="T54" s="30">
        <v>0</v>
      </c>
      <c r="U54" s="34">
        <v>1</v>
      </c>
      <c r="V54" s="34">
        <v>1</v>
      </c>
      <c r="X54" s="8"/>
      <c r="Y54" s="2"/>
      <c r="Z54" s="26"/>
      <c r="AA54" s="26"/>
      <c r="AB54" s="26"/>
      <c r="AC54" s="26"/>
      <c r="AD54" s="27"/>
      <c r="AE54" s="30"/>
      <c r="AF54" s="26"/>
      <c r="AG54" s="26"/>
      <c r="AH54" s="32"/>
      <c r="AJ54" s="8"/>
      <c r="AK54" s="2"/>
      <c r="AL54" s="26"/>
      <c r="AM54" s="26"/>
      <c r="AN54" s="26"/>
      <c r="AO54" s="27"/>
      <c r="AP54" s="30"/>
      <c r="AQ54" s="26"/>
      <c r="AR54" s="26"/>
      <c r="AS54" s="32"/>
      <c r="AT54" s="34"/>
    </row>
    <row r="55" spans="2:46" x14ac:dyDescent="0.3">
      <c r="B55" s="8"/>
      <c r="C55" s="2" t="s">
        <v>783</v>
      </c>
      <c r="D55" s="26">
        <v>0</v>
      </c>
      <c r="E55" s="26">
        <v>0</v>
      </c>
      <c r="F55" s="27">
        <v>0</v>
      </c>
      <c r="G55" s="26">
        <v>0</v>
      </c>
      <c r="H55" s="26">
        <v>0</v>
      </c>
      <c r="I55" s="27">
        <v>0</v>
      </c>
      <c r="J55" s="26">
        <v>0</v>
      </c>
      <c r="K55" s="26">
        <v>0</v>
      </c>
      <c r="L55" s="67">
        <v>1</v>
      </c>
      <c r="N55" s="8"/>
      <c r="O55" s="2" t="s">
        <v>826</v>
      </c>
      <c r="P55" s="26">
        <v>0</v>
      </c>
      <c r="Q55" s="27">
        <v>0</v>
      </c>
      <c r="R55" s="30">
        <v>0</v>
      </c>
      <c r="S55" s="27">
        <v>0</v>
      </c>
      <c r="T55" s="30">
        <v>0</v>
      </c>
      <c r="U55" s="34">
        <v>1</v>
      </c>
      <c r="V55" s="34">
        <v>1</v>
      </c>
      <c r="X55" s="8"/>
      <c r="Y55" s="2"/>
      <c r="Z55" s="26"/>
      <c r="AA55" s="26"/>
      <c r="AB55" s="26"/>
      <c r="AC55" s="26"/>
      <c r="AD55" s="27"/>
      <c r="AE55" s="30"/>
      <c r="AF55" s="26"/>
      <c r="AG55" s="26"/>
      <c r="AH55" s="32"/>
      <c r="AJ55" s="8"/>
      <c r="AK55" s="2"/>
      <c r="AL55" s="26"/>
      <c r="AM55" s="26"/>
      <c r="AN55" s="26"/>
      <c r="AO55" s="27"/>
      <c r="AP55" s="30"/>
      <c r="AQ55" s="26"/>
      <c r="AR55" s="26"/>
      <c r="AS55" s="32"/>
      <c r="AT55" s="34"/>
    </row>
    <row r="56" spans="2:46" x14ac:dyDescent="0.3">
      <c r="B56" s="8"/>
      <c r="C56" s="2" t="s">
        <v>784</v>
      </c>
      <c r="D56" s="26">
        <v>0</v>
      </c>
      <c r="E56" s="26">
        <v>0</v>
      </c>
      <c r="F56" s="27">
        <v>0</v>
      </c>
      <c r="G56" s="26">
        <v>0</v>
      </c>
      <c r="H56" s="26">
        <v>0</v>
      </c>
      <c r="I56" s="27">
        <v>0</v>
      </c>
      <c r="J56" s="26">
        <v>0</v>
      </c>
      <c r="K56" s="26">
        <v>0</v>
      </c>
      <c r="L56" s="67">
        <v>1</v>
      </c>
      <c r="N56" s="8"/>
      <c r="O56" s="2" t="s">
        <v>827</v>
      </c>
      <c r="P56" s="26">
        <v>0</v>
      </c>
      <c r="Q56" s="27">
        <v>0</v>
      </c>
      <c r="R56" s="30">
        <v>0</v>
      </c>
      <c r="S56" s="27">
        <v>0</v>
      </c>
      <c r="T56" s="30">
        <v>0</v>
      </c>
      <c r="U56" s="34">
        <v>1</v>
      </c>
      <c r="V56" s="34">
        <v>1</v>
      </c>
      <c r="X56" s="8"/>
      <c r="Y56" s="2"/>
      <c r="Z56" s="26"/>
      <c r="AA56" s="26"/>
      <c r="AB56" s="26"/>
      <c r="AC56" s="26"/>
      <c r="AD56" s="27"/>
      <c r="AE56" s="30"/>
      <c r="AF56" s="26"/>
      <c r="AG56" s="26"/>
      <c r="AH56" s="32"/>
      <c r="AJ56" s="8"/>
      <c r="AK56" s="2"/>
      <c r="AL56" s="26"/>
      <c r="AM56" s="26"/>
      <c r="AN56" s="26"/>
      <c r="AO56" s="27"/>
      <c r="AP56" s="30"/>
      <c r="AQ56" s="26"/>
      <c r="AR56" s="26"/>
      <c r="AS56" s="32"/>
      <c r="AT56" s="34"/>
    </row>
    <row r="57" spans="2:46" x14ac:dyDescent="0.3">
      <c r="B57" s="8"/>
      <c r="C57" s="2" t="s">
        <v>785</v>
      </c>
      <c r="D57" s="26">
        <v>0</v>
      </c>
      <c r="E57" s="26">
        <v>0</v>
      </c>
      <c r="F57" s="27">
        <v>0</v>
      </c>
      <c r="G57" s="26">
        <v>0</v>
      </c>
      <c r="H57" s="26">
        <v>0</v>
      </c>
      <c r="I57" s="27">
        <v>0</v>
      </c>
      <c r="J57" s="26">
        <v>0</v>
      </c>
      <c r="K57" s="26">
        <v>0</v>
      </c>
      <c r="L57" s="67">
        <v>1</v>
      </c>
      <c r="N57" s="8"/>
      <c r="O57" s="2" t="s">
        <v>828</v>
      </c>
      <c r="P57" s="26">
        <v>0</v>
      </c>
      <c r="Q57" s="27">
        <v>0</v>
      </c>
      <c r="R57" s="30">
        <v>0</v>
      </c>
      <c r="S57" s="27">
        <v>0</v>
      </c>
      <c r="T57" s="30">
        <v>0</v>
      </c>
      <c r="U57" s="34">
        <v>1</v>
      </c>
      <c r="V57" s="34">
        <v>1</v>
      </c>
      <c r="X57" s="8"/>
      <c r="Y57" s="2"/>
      <c r="Z57" s="26"/>
      <c r="AA57" s="26"/>
      <c r="AB57" s="26"/>
      <c r="AC57" s="26"/>
      <c r="AD57" s="27"/>
      <c r="AE57" s="30"/>
      <c r="AF57" s="26"/>
      <c r="AG57" s="26"/>
      <c r="AH57" s="32"/>
      <c r="AJ57" s="8"/>
      <c r="AK57" s="2"/>
      <c r="AL57" s="26"/>
      <c r="AM57" s="26"/>
      <c r="AN57" s="26"/>
      <c r="AO57" s="27"/>
      <c r="AP57" s="30"/>
      <c r="AQ57" s="26"/>
      <c r="AR57" s="26"/>
      <c r="AS57" s="32"/>
      <c r="AT57" s="34"/>
    </row>
    <row r="58" spans="2:46" x14ac:dyDescent="0.3">
      <c r="B58" s="8"/>
      <c r="C58" s="2" t="s">
        <v>786</v>
      </c>
      <c r="D58" s="26">
        <v>0</v>
      </c>
      <c r="E58" s="26">
        <v>0</v>
      </c>
      <c r="F58" s="27">
        <v>0</v>
      </c>
      <c r="G58" s="26">
        <v>0</v>
      </c>
      <c r="H58" s="26">
        <v>0</v>
      </c>
      <c r="I58" s="27">
        <v>0</v>
      </c>
      <c r="J58" s="26">
        <v>0</v>
      </c>
      <c r="K58" s="26">
        <v>0</v>
      </c>
      <c r="L58" s="67">
        <v>1</v>
      </c>
      <c r="N58" s="8"/>
      <c r="O58" s="2" t="s">
        <v>829</v>
      </c>
      <c r="P58" s="26">
        <v>0</v>
      </c>
      <c r="Q58" s="27">
        <v>0</v>
      </c>
      <c r="R58" s="30">
        <v>0</v>
      </c>
      <c r="S58" s="27">
        <v>0</v>
      </c>
      <c r="T58" s="30">
        <v>0</v>
      </c>
      <c r="U58" s="34">
        <v>1</v>
      </c>
      <c r="V58" s="34">
        <v>1</v>
      </c>
      <c r="X58" s="8"/>
      <c r="Y58" s="2"/>
      <c r="Z58" s="26"/>
      <c r="AA58" s="26"/>
      <c r="AB58" s="26"/>
      <c r="AC58" s="26"/>
      <c r="AD58" s="27"/>
      <c r="AE58" s="30"/>
      <c r="AF58" s="26"/>
      <c r="AG58" s="26"/>
      <c r="AH58" s="32"/>
      <c r="AJ58" s="8"/>
      <c r="AK58" s="2"/>
      <c r="AL58" s="26"/>
      <c r="AM58" s="26"/>
      <c r="AN58" s="26"/>
      <c r="AO58" s="27"/>
      <c r="AP58" s="30"/>
      <c r="AQ58" s="26"/>
      <c r="AR58" s="26"/>
      <c r="AS58" s="32"/>
      <c r="AT58" s="34"/>
    </row>
    <row r="59" spans="2:46" x14ac:dyDescent="0.3">
      <c r="B59" s="8"/>
      <c r="C59" s="2" t="s">
        <v>787</v>
      </c>
      <c r="D59" s="26">
        <v>0</v>
      </c>
      <c r="E59" s="26">
        <v>0</v>
      </c>
      <c r="F59" s="27">
        <v>0</v>
      </c>
      <c r="G59" s="26">
        <v>0</v>
      </c>
      <c r="H59" s="26">
        <v>0</v>
      </c>
      <c r="I59" s="27">
        <v>0</v>
      </c>
      <c r="J59" s="26">
        <v>0</v>
      </c>
      <c r="K59" s="26">
        <v>0</v>
      </c>
      <c r="L59" s="67">
        <v>1</v>
      </c>
      <c r="N59" s="8"/>
      <c r="O59" s="2" t="s">
        <v>830</v>
      </c>
      <c r="P59" s="26">
        <v>0</v>
      </c>
      <c r="Q59" s="27">
        <v>0</v>
      </c>
      <c r="R59" s="30">
        <v>0</v>
      </c>
      <c r="S59" s="27">
        <v>0</v>
      </c>
      <c r="T59" s="30">
        <v>0</v>
      </c>
      <c r="U59" s="34">
        <v>1</v>
      </c>
      <c r="V59" s="34">
        <v>1</v>
      </c>
      <c r="X59" s="8"/>
      <c r="Y59" s="2"/>
      <c r="Z59" s="26"/>
      <c r="AA59" s="26"/>
      <c r="AB59" s="26"/>
      <c r="AC59" s="26"/>
      <c r="AD59" s="27"/>
      <c r="AE59" s="30"/>
      <c r="AF59" s="26"/>
      <c r="AG59" s="26"/>
      <c r="AH59" s="32"/>
      <c r="AJ59" s="8"/>
      <c r="AK59" s="2"/>
      <c r="AL59" s="26"/>
      <c r="AM59" s="26"/>
      <c r="AN59" s="26"/>
      <c r="AO59" s="27"/>
      <c r="AP59" s="30"/>
      <c r="AQ59" s="26"/>
      <c r="AR59" s="26"/>
      <c r="AS59" s="32"/>
      <c r="AT59" s="34"/>
    </row>
    <row r="60" spans="2:46" x14ac:dyDescent="0.3">
      <c r="B60" s="8"/>
      <c r="C60" s="2" t="s">
        <v>788</v>
      </c>
      <c r="D60" s="26">
        <v>0</v>
      </c>
      <c r="E60" s="26">
        <v>0</v>
      </c>
      <c r="F60" s="27">
        <v>0</v>
      </c>
      <c r="G60" s="26">
        <v>0</v>
      </c>
      <c r="H60" s="26">
        <v>0</v>
      </c>
      <c r="I60" s="27">
        <v>0</v>
      </c>
      <c r="J60" s="26">
        <v>0</v>
      </c>
      <c r="K60" s="26">
        <v>0</v>
      </c>
      <c r="L60" s="67">
        <v>1</v>
      </c>
      <c r="N60" s="8"/>
      <c r="O60" s="2" t="s">
        <v>831</v>
      </c>
      <c r="P60" s="26">
        <v>0</v>
      </c>
      <c r="Q60" s="27">
        <v>0</v>
      </c>
      <c r="R60" s="30">
        <v>0</v>
      </c>
      <c r="S60" s="27">
        <v>0</v>
      </c>
      <c r="T60" s="30">
        <v>0</v>
      </c>
      <c r="U60" s="34">
        <v>1</v>
      </c>
      <c r="V60" s="34">
        <v>1</v>
      </c>
      <c r="X60" s="8"/>
      <c r="Y60" s="2"/>
      <c r="Z60" s="26"/>
      <c r="AA60" s="26"/>
      <c r="AB60" s="26"/>
      <c r="AC60" s="26"/>
      <c r="AD60" s="27"/>
      <c r="AE60" s="30"/>
      <c r="AF60" s="26"/>
      <c r="AG60" s="26"/>
      <c r="AH60" s="32"/>
      <c r="AJ60" s="8"/>
      <c r="AK60" s="2"/>
      <c r="AL60" s="26"/>
      <c r="AM60" s="26"/>
      <c r="AN60" s="26"/>
      <c r="AO60" s="27"/>
      <c r="AP60" s="30"/>
      <c r="AQ60" s="26"/>
      <c r="AR60" s="26"/>
      <c r="AS60" s="32"/>
      <c r="AT60" s="34"/>
    </row>
    <row r="61" spans="2:46" x14ac:dyDescent="0.3">
      <c r="B61" s="8"/>
      <c r="C61" s="2" t="s">
        <v>789</v>
      </c>
      <c r="D61" s="26">
        <v>0</v>
      </c>
      <c r="E61" s="26">
        <v>0</v>
      </c>
      <c r="F61" s="27">
        <v>0</v>
      </c>
      <c r="G61" s="26">
        <v>0</v>
      </c>
      <c r="H61" s="26">
        <v>0</v>
      </c>
      <c r="I61" s="27">
        <v>0</v>
      </c>
      <c r="J61" s="26">
        <v>0</v>
      </c>
      <c r="K61" s="26">
        <v>0</v>
      </c>
      <c r="L61" s="67">
        <v>1</v>
      </c>
      <c r="N61" s="8"/>
      <c r="O61" s="2" t="s">
        <v>832</v>
      </c>
      <c r="P61" s="26">
        <v>0</v>
      </c>
      <c r="Q61" s="27">
        <v>0</v>
      </c>
      <c r="R61" s="30">
        <v>0</v>
      </c>
      <c r="S61" s="27">
        <v>0</v>
      </c>
      <c r="T61" s="30">
        <v>0</v>
      </c>
      <c r="U61" s="34">
        <v>1</v>
      </c>
      <c r="V61" s="34">
        <v>1</v>
      </c>
      <c r="X61" s="8"/>
      <c r="Y61" s="2"/>
      <c r="Z61" s="26"/>
      <c r="AA61" s="26"/>
      <c r="AB61" s="26"/>
      <c r="AC61" s="26"/>
      <c r="AD61" s="27"/>
      <c r="AE61" s="30"/>
      <c r="AF61" s="26"/>
      <c r="AG61" s="26"/>
      <c r="AH61" s="32"/>
      <c r="AJ61" s="8"/>
      <c r="AK61" s="2"/>
      <c r="AL61" s="26"/>
      <c r="AM61" s="26"/>
      <c r="AN61" s="26"/>
      <c r="AO61" s="27"/>
      <c r="AP61" s="30"/>
      <c r="AQ61" s="26"/>
      <c r="AR61" s="26"/>
      <c r="AS61" s="32"/>
      <c r="AT61" s="34"/>
    </row>
    <row r="62" spans="2:46" x14ac:dyDescent="0.3">
      <c r="B62" s="8"/>
      <c r="C62" s="2" t="s">
        <v>790</v>
      </c>
      <c r="D62" s="26">
        <v>0</v>
      </c>
      <c r="E62" s="26">
        <v>0</v>
      </c>
      <c r="F62" s="27">
        <v>0</v>
      </c>
      <c r="G62" s="26">
        <v>0</v>
      </c>
      <c r="H62" s="26">
        <v>0</v>
      </c>
      <c r="I62" s="27">
        <v>0</v>
      </c>
      <c r="J62" s="26">
        <v>0</v>
      </c>
      <c r="K62" s="26">
        <v>0</v>
      </c>
      <c r="L62" s="67">
        <v>1</v>
      </c>
      <c r="N62" s="8"/>
      <c r="O62" s="2" t="s">
        <v>833</v>
      </c>
      <c r="P62" s="26">
        <v>0</v>
      </c>
      <c r="Q62" s="27">
        <v>0</v>
      </c>
      <c r="R62" s="30">
        <v>0</v>
      </c>
      <c r="S62" s="27">
        <v>0</v>
      </c>
      <c r="T62" s="30">
        <v>0</v>
      </c>
      <c r="U62" s="34">
        <v>1</v>
      </c>
      <c r="V62" s="34">
        <v>1</v>
      </c>
      <c r="X62" s="8"/>
      <c r="Y62" s="2"/>
      <c r="Z62" s="26"/>
      <c r="AA62" s="26"/>
      <c r="AB62" s="26"/>
      <c r="AC62" s="26"/>
      <c r="AD62" s="27"/>
      <c r="AE62" s="30"/>
      <c r="AF62" s="26"/>
      <c r="AG62" s="26"/>
      <c r="AH62" s="32"/>
      <c r="AJ62" s="8"/>
      <c r="AK62" s="2"/>
      <c r="AL62" s="26"/>
      <c r="AM62" s="26"/>
      <c r="AN62" s="26"/>
      <c r="AO62" s="27"/>
      <c r="AP62" s="30"/>
      <c r="AQ62" s="26"/>
      <c r="AR62" s="26"/>
      <c r="AS62" s="32"/>
      <c r="AT62" s="34"/>
    </row>
    <row r="63" spans="2:46" x14ac:dyDescent="0.3">
      <c r="B63" s="8"/>
      <c r="C63" s="2" t="s">
        <v>791</v>
      </c>
      <c r="D63" s="26">
        <v>0</v>
      </c>
      <c r="E63" s="26">
        <v>0</v>
      </c>
      <c r="F63" s="27">
        <v>0</v>
      </c>
      <c r="G63" s="26">
        <v>0</v>
      </c>
      <c r="H63" s="26">
        <v>0</v>
      </c>
      <c r="I63" s="27">
        <v>0</v>
      </c>
      <c r="J63" s="26">
        <v>0</v>
      </c>
      <c r="K63" s="26">
        <v>0</v>
      </c>
      <c r="L63" s="67">
        <v>1</v>
      </c>
      <c r="N63" s="8"/>
      <c r="O63" s="2" t="s">
        <v>834</v>
      </c>
      <c r="P63" s="26">
        <v>0</v>
      </c>
      <c r="Q63" s="27">
        <v>0</v>
      </c>
      <c r="R63" s="30">
        <v>0</v>
      </c>
      <c r="S63" s="27">
        <v>0</v>
      </c>
      <c r="T63" s="30">
        <v>0</v>
      </c>
      <c r="U63" s="34">
        <v>1</v>
      </c>
      <c r="V63" s="34">
        <v>1</v>
      </c>
      <c r="X63" s="8"/>
      <c r="Y63" s="2"/>
      <c r="Z63" s="26"/>
      <c r="AA63" s="26"/>
      <c r="AB63" s="26"/>
      <c r="AC63" s="26"/>
      <c r="AD63" s="27"/>
      <c r="AE63" s="30"/>
      <c r="AF63" s="26"/>
      <c r="AG63" s="26"/>
      <c r="AH63" s="32"/>
      <c r="AJ63" s="8"/>
      <c r="AK63" s="2"/>
      <c r="AL63" s="26"/>
      <c r="AM63" s="26"/>
      <c r="AN63" s="26"/>
      <c r="AO63" s="27"/>
      <c r="AP63" s="30"/>
      <c r="AQ63" s="26"/>
      <c r="AR63" s="26"/>
      <c r="AS63" s="32"/>
      <c r="AT63" s="34"/>
    </row>
    <row r="64" spans="2:46" x14ac:dyDescent="0.3">
      <c r="B64" s="8"/>
      <c r="C64" s="2" t="s">
        <v>792</v>
      </c>
      <c r="D64" s="26">
        <v>0</v>
      </c>
      <c r="E64" s="26">
        <v>0</v>
      </c>
      <c r="F64" s="27">
        <v>0</v>
      </c>
      <c r="G64" s="26">
        <v>0</v>
      </c>
      <c r="H64" s="26">
        <v>0</v>
      </c>
      <c r="I64" s="27">
        <v>0</v>
      </c>
      <c r="J64" s="26">
        <v>0</v>
      </c>
      <c r="K64" s="26">
        <v>0</v>
      </c>
      <c r="L64" s="67">
        <v>1</v>
      </c>
      <c r="N64" s="8"/>
      <c r="O64" s="2" t="s">
        <v>835</v>
      </c>
      <c r="P64" s="26">
        <v>0</v>
      </c>
      <c r="Q64" s="27">
        <v>0</v>
      </c>
      <c r="R64" s="30">
        <v>0</v>
      </c>
      <c r="S64" s="27">
        <v>0</v>
      </c>
      <c r="T64" s="30">
        <v>0</v>
      </c>
      <c r="U64" s="34">
        <v>1</v>
      </c>
      <c r="V64" s="34">
        <v>1</v>
      </c>
      <c r="X64" s="8"/>
      <c r="Y64" s="2"/>
      <c r="Z64" s="26"/>
      <c r="AA64" s="26"/>
      <c r="AB64" s="26"/>
      <c r="AC64" s="26"/>
      <c r="AD64" s="27"/>
      <c r="AE64" s="30"/>
      <c r="AF64" s="26"/>
      <c r="AG64" s="26"/>
      <c r="AH64" s="32"/>
      <c r="AJ64" s="8"/>
      <c r="AK64" s="2"/>
      <c r="AL64" s="26"/>
      <c r="AM64" s="26"/>
      <c r="AN64" s="26"/>
      <c r="AO64" s="27"/>
      <c r="AP64" s="30"/>
      <c r="AQ64" s="26"/>
      <c r="AR64" s="26"/>
      <c r="AS64" s="32"/>
      <c r="AT64" s="34"/>
    </row>
    <row r="65" spans="2:46" x14ac:dyDescent="0.3">
      <c r="B65" s="8"/>
      <c r="C65" s="2" t="s">
        <v>793</v>
      </c>
      <c r="D65" s="26">
        <v>0</v>
      </c>
      <c r="E65" s="26">
        <v>0</v>
      </c>
      <c r="F65" s="27">
        <v>0</v>
      </c>
      <c r="G65" s="26">
        <v>0</v>
      </c>
      <c r="H65" s="26">
        <v>0</v>
      </c>
      <c r="I65" s="27">
        <v>0</v>
      </c>
      <c r="J65" s="26">
        <v>0</v>
      </c>
      <c r="K65" s="26">
        <v>0</v>
      </c>
      <c r="L65" s="67">
        <v>1</v>
      </c>
      <c r="N65" s="8"/>
      <c r="O65" s="2" t="s">
        <v>836</v>
      </c>
      <c r="P65" s="26">
        <v>0</v>
      </c>
      <c r="Q65" s="27">
        <v>0</v>
      </c>
      <c r="R65" s="30">
        <v>0</v>
      </c>
      <c r="S65" s="27">
        <v>0</v>
      </c>
      <c r="T65" s="30">
        <v>0</v>
      </c>
      <c r="U65" s="34">
        <v>1</v>
      </c>
      <c r="V65" s="34">
        <v>1</v>
      </c>
      <c r="X65" s="8"/>
      <c r="Y65" s="2"/>
      <c r="Z65" s="26"/>
      <c r="AA65" s="26"/>
      <c r="AB65" s="26"/>
      <c r="AC65" s="26"/>
      <c r="AD65" s="27"/>
      <c r="AE65" s="30"/>
      <c r="AF65" s="26"/>
      <c r="AG65" s="26"/>
      <c r="AH65" s="32"/>
      <c r="AJ65" s="8"/>
      <c r="AK65" s="2"/>
      <c r="AL65" s="26"/>
      <c r="AM65" s="26"/>
      <c r="AN65" s="26"/>
      <c r="AO65" s="27"/>
      <c r="AP65" s="30"/>
      <c r="AQ65" s="26"/>
      <c r="AR65" s="26"/>
      <c r="AS65" s="32"/>
      <c r="AT65" s="34"/>
    </row>
    <row r="66" spans="2:46" x14ac:dyDescent="0.3">
      <c r="B66" s="8"/>
      <c r="C66" s="2" t="s">
        <v>980</v>
      </c>
      <c r="D66" s="26">
        <v>0</v>
      </c>
      <c r="E66" s="26">
        <v>0</v>
      </c>
      <c r="F66" s="27">
        <v>0</v>
      </c>
      <c r="G66" s="26">
        <v>0</v>
      </c>
      <c r="H66" s="26">
        <v>0</v>
      </c>
      <c r="I66" s="27">
        <v>0</v>
      </c>
      <c r="J66" s="26">
        <v>0</v>
      </c>
      <c r="K66" s="26">
        <v>0</v>
      </c>
      <c r="L66" s="67">
        <v>1</v>
      </c>
      <c r="N66" s="8"/>
      <c r="O66" s="2" t="s">
        <v>950</v>
      </c>
      <c r="P66" s="26">
        <v>0</v>
      </c>
      <c r="Q66" s="27">
        <v>0</v>
      </c>
      <c r="R66" s="30">
        <v>0</v>
      </c>
      <c r="S66" s="27">
        <v>0</v>
      </c>
      <c r="T66" s="30">
        <v>0</v>
      </c>
      <c r="U66" s="34">
        <v>1</v>
      </c>
      <c r="V66" s="34">
        <v>1</v>
      </c>
      <c r="X66" s="8"/>
      <c r="Y66" s="2"/>
      <c r="Z66" s="26"/>
      <c r="AA66" s="26"/>
      <c r="AB66" s="26"/>
      <c r="AC66" s="26"/>
      <c r="AD66" s="27"/>
      <c r="AE66" s="30"/>
      <c r="AF66" s="26"/>
      <c r="AG66" s="26"/>
      <c r="AH66" s="32"/>
      <c r="AJ66" s="8"/>
      <c r="AK66" s="2"/>
      <c r="AL66" s="26"/>
      <c r="AM66" s="26"/>
      <c r="AN66" s="26"/>
      <c r="AO66" s="27"/>
      <c r="AP66" s="30"/>
      <c r="AQ66" s="26"/>
      <c r="AR66" s="26"/>
      <c r="AS66" s="32"/>
      <c r="AT66" s="34"/>
    </row>
    <row r="67" spans="2:46" x14ac:dyDescent="0.3">
      <c r="B67" s="8"/>
      <c r="C67" s="2" t="s">
        <v>981</v>
      </c>
      <c r="D67" s="26">
        <v>0</v>
      </c>
      <c r="E67" s="26">
        <v>0</v>
      </c>
      <c r="F67" s="27">
        <v>0</v>
      </c>
      <c r="G67" s="26">
        <v>0</v>
      </c>
      <c r="H67" s="26">
        <v>0</v>
      </c>
      <c r="I67" s="27">
        <v>0</v>
      </c>
      <c r="J67" s="26">
        <v>0</v>
      </c>
      <c r="K67" s="26">
        <v>0</v>
      </c>
      <c r="L67" s="67">
        <v>1</v>
      </c>
      <c r="N67" s="8"/>
      <c r="O67" s="2" t="s">
        <v>951</v>
      </c>
      <c r="P67" s="26">
        <v>0</v>
      </c>
      <c r="Q67" s="27">
        <v>0</v>
      </c>
      <c r="R67" s="30">
        <v>0</v>
      </c>
      <c r="S67" s="27">
        <v>0</v>
      </c>
      <c r="T67" s="30">
        <v>0</v>
      </c>
      <c r="U67" s="34">
        <v>1</v>
      </c>
      <c r="V67" s="34">
        <v>1</v>
      </c>
      <c r="X67" s="8"/>
      <c r="Y67" s="2"/>
      <c r="Z67" s="26"/>
      <c r="AA67" s="26"/>
      <c r="AB67" s="26"/>
      <c r="AC67" s="26"/>
      <c r="AD67" s="27"/>
      <c r="AE67" s="30"/>
      <c r="AF67" s="26"/>
      <c r="AG67" s="26"/>
      <c r="AH67" s="32"/>
      <c r="AJ67" s="8"/>
      <c r="AK67" s="2"/>
      <c r="AL67" s="26"/>
      <c r="AM67" s="26"/>
      <c r="AN67" s="26"/>
      <c r="AO67" s="27"/>
      <c r="AP67" s="30"/>
      <c r="AQ67" s="26"/>
      <c r="AR67" s="26"/>
      <c r="AS67" s="32"/>
      <c r="AT67" s="34"/>
    </row>
    <row r="68" spans="2:46" x14ac:dyDescent="0.3">
      <c r="B68" s="8"/>
      <c r="C68" s="2" t="s">
        <v>794</v>
      </c>
      <c r="D68" s="26">
        <v>0</v>
      </c>
      <c r="E68" s="26">
        <v>0</v>
      </c>
      <c r="F68" s="27">
        <v>0</v>
      </c>
      <c r="G68" s="26">
        <v>0</v>
      </c>
      <c r="H68" s="26">
        <v>0</v>
      </c>
      <c r="I68" s="27">
        <v>0</v>
      </c>
      <c r="J68" s="26">
        <v>0</v>
      </c>
      <c r="K68" s="26">
        <v>0</v>
      </c>
      <c r="L68" s="67">
        <v>1</v>
      </c>
      <c r="N68" s="8"/>
      <c r="O68" s="2" t="s">
        <v>837</v>
      </c>
      <c r="P68" s="26">
        <v>0</v>
      </c>
      <c r="Q68" s="27">
        <v>0</v>
      </c>
      <c r="R68" s="30">
        <v>0</v>
      </c>
      <c r="S68" s="27">
        <v>0</v>
      </c>
      <c r="T68" s="30">
        <v>0</v>
      </c>
      <c r="U68" s="34">
        <v>1</v>
      </c>
      <c r="V68" s="34">
        <v>1</v>
      </c>
      <c r="X68" s="8"/>
      <c r="Y68" s="2"/>
      <c r="Z68" s="26"/>
      <c r="AA68" s="26"/>
      <c r="AB68" s="26"/>
      <c r="AC68" s="26"/>
      <c r="AD68" s="27"/>
      <c r="AE68" s="30"/>
      <c r="AF68" s="26"/>
      <c r="AG68" s="26"/>
      <c r="AH68" s="32"/>
      <c r="AJ68" s="8"/>
      <c r="AK68" s="2"/>
      <c r="AL68" s="26"/>
      <c r="AM68" s="26"/>
      <c r="AN68" s="26"/>
      <c r="AO68" s="27"/>
      <c r="AP68" s="30"/>
      <c r="AQ68" s="26"/>
      <c r="AR68" s="26"/>
      <c r="AS68" s="32"/>
      <c r="AT68" s="34"/>
    </row>
    <row r="69" spans="2:46" x14ac:dyDescent="0.3">
      <c r="B69" s="8"/>
      <c r="C69" s="2" t="s">
        <v>795</v>
      </c>
      <c r="D69" s="26">
        <v>0</v>
      </c>
      <c r="E69" s="26">
        <v>0</v>
      </c>
      <c r="F69" s="27">
        <v>0</v>
      </c>
      <c r="G69" s="26">
        <v>0</v>
      </c>
      <c r="H69" s="26">
        <v>0</v>
      </c>
      <c r="I69" s="27">
        <v>0</v>
      </c>
      <c r="J69" s="26">
        <v>0</v>
      </c>
      <c r="K69" s="26">
        <v>0</v>
      </c>
      <c r="L69" s="67">
        <v>1</v>
      </c>
      <c r="N69" s="8"/>
      <c r="O69" s="2" t="s">
        <v>838</v>
      </c>
      <c r="P69" s="26">
        <v>0</v>
      </c>
      <c r="Q69" s="27">
        <v>0</v>
      </c>
      <c r="R69" s="30">
        <v>0</v>
      </c>
      <c r="S69" s="27">
        <v>0</v>
      </c>
      <c r="T69" s="30">
        <v>0</v>
      </c>
      <c r="U69" s="34">
        <v>1</v>
      </c>
      <c r="V69" s="34">
        <v>1</v>
      </c>
      <c r="X69" s="8"/>
      <c r="Y69" s="2"/>
      <c r="Z69" s="26"/>
      <c r="AA69" s="26"/>
      <c r="AB69" s="26"/>
      <c r="AC69" s="26"/>
      <c r="AD69" s="27"/>
      <c r="AE69" s="30"/>
      <c r="AF69" s="26"/>
      <c r="AG69" s="26"/>
      <c r="AH69" s="32"/>
      <c r="AJ69" s="8"/>
      <c r="AK69" s="2"/>
      <c r="AL69" s="26"/>
      <c r="AM69" s="26"/>
      <c r="AN69" s="26"/>
      <c r="AO69" s="27"/>
      <c r="AP69" s="30"/>
      <c r="AQ69" s="26"/>
      <c r="AR69" s="26"/>
      <c r="AS69" s="32"/>
      <c r="AT69" s="34"/>
    </row>
    <row r="70" spans="2:46" x14ac:dyDescent="0.3">
      <c r="B70" s="8"/>
      <c r="C70" s="2" t="s">
        <v>796</v>
      </c>
      <c r="D70" s="26">
        <v>0</v>
      </c>
      <c r="E70" s="26">
        <v>0</v>
      </c>
      <c r="F70" s="27">
        <v>0</v>
      </c>
      <c r="G70" s="26">
        <v>0</v>
      </c>
      <c r="H70" s="26">
        <v>0</v>
      </c>
      <c r="I70" s="27">
        <v>0</v>
      </c>
      <c r="J70" s="26">
        <v>0</v>
      </c>
      <c r="K70" s="26">
        <v>0</v>
      </c>
      <c r="L70" s="67">
        <v>1</v>
      </c>
      <c r="N70" s="8"/>
      <c r="O70" s="2" t="s">
        <v>839</v>
      </c>
      <c r="P70" s="26">
        <v>0</v>
      </c>
      <c r="Q70" s="27">
        <v>0</v>
      </c>
      <c r="R70" s="30">
        <v>0</v>
      </c>
      <c r="S70" s="27">
        <v>0</v>
      </c>
      <c r="T70" s="30">
        <v>0</v>
      </c>
      <c r="U70" s="34">
        <v>1</v>
      </c>
      <c r="V70" s="34">
        <v>1</v>
      </c>
      <c r="X70" s="8"/>
      <c r="Y70" s="2"/>
      <c r="Z70" s="26"/>
      <c r="AA70" s="26"/>
      <c r="AB70" s="26"/>
      <c r="AC70" s="26"/>
      <c r="AD70" s="27"/>
      <c r="AE70" s="30"/>
      <c r="AF70" s="26"/>
      <c r="AG70" s="26"/>
      <c r="AH70" s="32"/>
      <c r="AJ70" s="8"/>
      <c r="AK70" s="2"/>
      <c r="AL70" s="26"/>
      <c r="AM70" s="26"/>
      <c r="AN70" s="26"/>
      <c r="AO70" s="27"/>
      <c r="AP70" s="30"/>
      <c r="AQ70" s="26"/>
      <c r="AR70" s="26"/>
      <c r="AS70" s="32"/>
      <c r="AT70" s="34"/>
    </row>
    <row r="71" spans="2:46" x14ac:dyDescent="0.3">
      <c r="B71" s="8"/>
      <c r="C71" s="2" t="s">
        <v>797</v>
      </c>
      <c r="D71" s="26">
        <v>0</v>
      </c>
      <c r="E71" s="26">
        <v>0</v>
      </c>
      <c r="F71" s="27">
        <v>0</v>
      </c>
      <c r="G71" s="26">
        <v>0</v>
      </c>
      <c r="H71" s="26">
        <v>0</v>
      </c>
      <c r="I71" s="27">
        <v>0</v>
      </c>
      <c r="J71" s="26">
        <v>0</v>
      </c>
      <c r="K71" s="26">
        <v>0</v>
      </c>
      <c r="L71" s="67">
        <v>1</v>
      </c>
      <c r="N71" s="8"/>
      <c r="O71" s="2" t="s">
        <v>840</v>
      </c>
      <c r="P71" s="26">
        <v>0</v>
      </c>
      <c r="Q71" s="27">
        <v>0</v>
      </c>
      <c r="R71" s="30">
        <v>0</v>
      </c>
      <c r="S71" s="27">
        <v>0</v>
      </c>
      <c r="T71" s="30">
        <v>0</v>
      </c>
      <c r="U71" s="34">
        <v>1</v>
      </c>
      <c r="V71" s="34">
        <v>1</v>
      </c>
      <c r="X71" s="8"/>
      <c r="Y71" s="2"/>
      <c r="Z71" s="26"/>
      <c r="AA71" s="26"/>
      <c r="AB71" s="26"/>
      <c r="AC71" s="26"/>
      <c r="AD71" s="27"/>
      <c r="AE71" s="30"/>
      <c r="AF71" s="26"/>
      <c r="AG71" s="26"/>
      <c r="AH71" s="32"/>
      <c r="AJ71" s="8"/>
      <c r="AK71" s="2"/>
      <c r="AL71" s="26"/>
      <c r="AM71" s="26"/>
      <c r="AN71" s="26"/>
      <c r="AO71" s="27"/>
      <c r="AP71" s="30"/>
      <c r="AQ71" s="26"/>
      <c r="AR71" s="26"/>
      <c r="AS71" s="32"/>
      <c r="AT71" s="34"/>
    </row>
    <row r="72" spans="2:46" x14ac:dyDescent="0.3">
      <c r="B72" s="8"/>
      <c r="C72" s="2" t="s">
        <v>798</v>
      </c>
      <c r="D72" s="26">
        <v>0</v>
      </c>
      <c r="E72" s="26">
        <v>0</v>
      </c>
      <c r="F72" s="27">
        <v>0</v>
      </c>
      <c r="G72" s="26">
        <v>0</v>
      </c>
      <c r="H72" s="26">
        <v>0</v>
      </c>
      <c r="I72" s="27">
        <v>0</v>
      </c>
      <c r="J72" s="26">
        <v>0</v>
      </c>
      <c r="K72" s="26">
        <v>0</v>
      </c>
      <c r="L72" s="67">
        <v>1</v>
      </c>
      <c r="N72" s="8"/>
      <c r="O72" s="2" t="s">
        <v>841</v>
      </c>
      <c r="P72" s="26">
        <v>0</v>
      </c>
      <c r="Q72" s="27">
        <v>0</v>
      </c>
      <c r="R72" s="30">
        <v>0</v>
      </c>
      <c r="S72" s="27">
        <v>0</v>
      </c>
      <c r="T72" s="30">
        <v>0</v>
      </c>
      <c r="U72" s="34">
        <v>1</v>
      </c>
      <c r="V72" s="34">
        <v>1</v>
      </c>
      <c r="X72" s="8"/>
      <c r="Y72" s="2"/>
      <c r="Z72" s="26"/>
      <c r="AA72" s="26"/>
      <c r="AB72" s="26"/>
      <c r="AC72" s="26"/>
      <c r="AD72" s="27"/>
      <c r="AE72" s="30"/>
      <c r="AF72" s="26"/>
      <c r="AG72" s="26"/>
      <c r="AH72" s="32"/>
      <c r="AJ72" s="8"/>
      <c r="AK72" s="2"/>
      <c r="AL72" s="26"/>
      <c r="AM72" s="26"/>
      <c r="AN72" s="26"/>
      <c r="AO72" s="27"/>
      <c r="AP72" s="30"/>
      <c r="AQ72" s="26"/>
      <c r="AR72" s="26"/>
      <c r="AS72" s="32"/>
      <c r="AT72" s="34"/>
    </row>
    <row r="73" spans="2:46" x14ac:dyDescent="0.3">
      <c r="B73" s="8"/>
      <c r="C73" s="2" t="s">
        <v>730</v>
      </c>
      <c r="D73" s="26">
        <v>0</v>
      </c>
      <c r="E73" s="26">
        <v>0</v>
      </c>
      <c r="F73" s="27">
        <v>0</v>
      </c>
      <c r="G73" s="26">
        <v>0</v>
      </c>
      <c r="H73" s="26">
        <v>0</v>
      </c>
      <c r="I73" s="27">
        <v>0</v>
      </c>
      <c r="J73" s="26">
        <v>0</v>
      </c>
      <c r="K73" s="26">
        <v>0</v>
      </c>
      <c r="L73" s="67">
        <v>1</v>
      </c>
      <c r="N73" s="8"/>
      <c r="O73" s="2" t="s">
        <v>666</v>
      </c>
      <c r="P73" s="26">
        <v>0</v>
      </c>
      <c r="Q73" s="27">
        <v>0</v>
      </c>
      <c r="R73" s="30">
        <v>0</v>
      </c>
      <c r="S73" s="27">
        <v>0</v>
      </c>
      <c r="T73" s="30">
        <v>0</v>
      </c>
      <c r="U73" s="34">
        <v>1</v>
      </c>
      <c r="V73" s="34">
        <v>1</v>
      </c>
      <c r="X73" s="8"/>
      <c r="Y73" s="2"/>
      <c r="Z73" s="26"/>
      <c r="AA73" s="26"/>
      <c r="AB73" s="26"/>
      <c r="AC73" s="26"/>
      <c r="AD73" s="27"/>
      <c r="AE73" s="30"/>
      <c r="AF73" s="26"/>
      <c r="AG73" s="26"/>
      <c r="AH73" s="32"/>
      <c r="AJ73" s="8"/>
      <c r="AK73" s="2"/>
      <c r="AL73" s="26"/>
      <c r="AM73" s="26"/>
      <c r="AN73" s="26"/>
      <c r="AO73" s="27"/>
      <c r="AP73" s="30"/>
      <c r="AQ73" s="26"/>
      <c r="AR73" s="26"/>
      <c r="AS73" s="32"/>
      <c r="AT73" s="34"/>
    </row>
    <row r="74" spans="2:46" x14ac:dyDescent="0.3">
      <c r="B74" s="8"/>
      <c r="C74" s="2" t="s">
        <v>799</v>
      </c>
      <c r="D74" s="26">
        <v>0</v>
      </c>
      <c r="E74" s="26">
        <v>0</v>
      </c>
      <c r="F74" s="27">
        <v>0</v>
      </c>
      <c r="G74" s="26">
        <v>0</v>
      </c>
      <c r="H74" s="26">
        <v>0</v>
      </c>
      <c r="I74" s="27">
        <v>0</v>
      </c>
      <c r="J74" s="26">
        <v>0</v>
      </c>
      <c r="K74" s="26">
        <v>0</v>
      </c>
      <c r="L74" s="67">
        <v>1</v>
      </c>
      <c r="N74" s="8"/>
      <c r="O74" s="2" t="s">
        <v>842</v>
      </c>
      <c r="P74" s="26">
        <v>0</v>
      </c>
      <c r="Q74" s="27">
        <v>0</v>
      </c>
      <c r="R74" s="30">
        <v>0</v>
      </c>
      <c r="S74" s="27">
        <v>0</v>
      </c>
      <c r="T74" s="30">
        <v>0</v>
      </c>
      <c r="U74" s="34">
        <v>1</v>
      </c>
      <c r="V74" s="34">
        <v>1</v>
      </c>
      <c r="X74" s="8"/>
      <c r="Y74" s="2"/>
      <c r="Z74" s="26"/>
      <c r="AA74" s="26"/>
      <c r="AB74" s="26"/>
      <c r="AC74" s="26"/>
      <c r="AD74" s="27"/>
      <c r="AE74" s="30"/>
      <c r="AF74" s="26"/>
      <c r="AG74" s="26"/>
      <c r="AH74" s="32"/>
      <c r="AJ74" s="8"/>
      <c r="AK74" s="2"/>
      <c r="AL74" s="26"/>
      <c r="AM74" s="26"/>
      <c r="AN74" s="26"/>
      <c r="AO74" s="27"/>
      <c r="AP74" s="30"/>
      <c r="AQ74" s="26"/>
      <c r="AR74" s="26"/>
      <c r="AS74" s="32"/>
      <c r="AT74" s="34"/>
    </row>
    <row r="75" spans="2:46" x14ac:dyDescent="0.3">
      <c r="B75" s="8"/>
      <c r="C75" s="2" t="s">
        <v>731</v>
      </c>
      <c r="D75" s="26">
        <v>0</v>
      </c>
      <c r="E75" s="26">
        <v>0</v>
      </c>
      <c r="F75" s="27">
        <v>0</v>
      </c>
      <c r="G75" s="26">
        <v>0</v>
      </c>
      <c r="H75" s="26">
        <v>0</v>
      </c>
      <c r="I75" s="27">
        <v>0</v>
      </c>
      <c r="J75" s="26">
        <v>0</v>
      </c>
      <c r="K75" s="26">
        <v>0</v>
      </c>
      <c r="L75" s="67">
        <v>1</v>
      </c>
      <c r="N75" s="8"/>
      <c r="O75" s="2" t="s">
        <v>667</v>
      </c>
      <c r="P75" s="26">
        <v>0</v>
      </c>
      <c r="Q75" s="27">
        <v>0</v>
      </c>
      <c r="R75" s="30">
        <v>0</v>
      </c>
      <c r="S75" s="27">
        <v>0</v>
      </c>
      <c r="T75" s="30">
        <v>0</v>
      </c>
      <c r="U75" s="34">
        <v>1</v>
      </c>
      <c r="V75" s="34">
        <v>1</v>
      </c>
      <c r="X75" s="8"/>
      <c r="Y75" s="2"/>
      <c r="Z75" s="26"/>
      <c r="AA75" s="26"/>
      <c r="AB75" s="26"/>
      <c r="AC75" s="26"/>
      <c r="AD75" s="27"/>
      <c r="AE75" s="30"/>
      <c r="AF75" s="26"/>
      <c r="AG75" s="26"/>
      <c r="AH75" s="32"/>
      <c r="AJ75" s="8"/>
      <c r="AK75" s="2"/>
      <c r="AL75" s="26"/>
      <c r="AM75" s="26"/>
      <c r="AN75" s="26"/>
      <c r="AO75" s="27"/>
      <c r="AP75" s="30"/>
      <c r="AQ75" s="26"/>
      <c r="AR75" s="26"/>
      <c r="AS75" s="32"/>
      <c r="AT75" s="34"/>
    </row>
    <row r="76" spans="2:46" x14ac:dyDescent="0.3">
      <c r="B76" s="8"/>
      <c r="C76" s="2" t="s">
        <v>800</v>
      </c>
      <c r="D76" s="26">
        <v>0</v>
      </c>
      <c r="E76" s="26">
        <v>0</v>
      </c>
      <c r="F76" s="27">
        <v>0</v>
      </c>
      <c r="G76" s="26">
        <v>0</v>
      </c>
      <c r="H76" s="26">
        <v>0</v>
      </c>
      <c r="I76" s="27">
        <v>0</v>
      </c>
      <c r="J76" s="26">
        <v>0</v>
      </c>
      <c r="K76" s="26">
        <v>0</v>
      </c>
      <c r="L76" s="67">
        <v>1</v>
      </c>
      <c r="N76" s="8"/>
      <c r="O76" s="2" t="s">
        <v>843</v>
      </c>
      <c r="P76" s="26">
        <v>0</v>
      </c>
      <c r="Q76" s="27">
        <v>0</v>
      </c>
      <c r="R76" s="30">
        <v>0</v>
      </c>
      <c r="S76" s="27">
        <v>0</v>
      </c>
      <c r="T76" s="30">
        <v>0</v>
      </c>
      <c r="U76" s="34">
        <v>1</v>
      </c>
      <c r="V76" s="34">
        <v>1</v>
      </c>
      <c r="X76" s="8"/>
      <c r="Y76" s="2"/>
      <c r="Z76" s="26"/>
      <c r="AA76" s="26"/>
      <c r="AB76" s="26"/>
      <c r="AC76" s="26"/>
      <c r="AD76" s="27"/>
      <c r="AE76" s="30"/>
      <c r="AF76" s="26"/>
      <c r="AG76" s="26"/>
      <c r="AH76" s="32"/>
      <c r="AJ76" s="8"/>
      <c r="AK76" s="2"/>
      <c r="AL76" s="26"/>
      <c r="AM76" s="26"/>
      <c r="AN76" s="26"/>
      <c r="AO76" s="27"/>
      <c r="AP76" s="30"/>
      <c r="AQ76" s="26"/>
      <c r="AR76" s="26"/>
      <c r="AS76" s="32"/>
      <c r="AT76" s="34"/>
    </row>
    <row r="77" spans="2:46" x14ac:dyDescent="0.3">
      <c r="B77" s="8"/>
      <c r="C77" s="2" t="s">
        <v>982</v>
      </c>
      <c r="D77" s="26">
        <v>0</v>
      </c>
      <c r="E77" s="26">
        <v>0</v>
      </c>
      <c r="F77" s="27">
        <v>0</v>
      </c>
      <c r="G77" s="26">
        <v>0</v>
      </c>
      <c r="H77" s="26">
        <v>0</v>
      </c>
      <c r="I77" s="27">
        <v>0</v>
      </c>
      <c r="J77" s="26">
        <v>0</v>
      </c>
      <c r="K77" s="26">
        <v>0</v>
      </c>
      <c r="L77" s="67">
        <v>1</v>
      </c>
      <c r="N77" s="8"/>
      <c r="O77" s="2" t="s">
        <v>952</v>
      </c>
      <c r="P77" s="26">
        <v>0</v>
      </c>
      <c r="Q77" s="27">
        <v>0</v>
      </c>
      <c r="R77" s="30">
        <v>0</v>
      </c>
      <c r="S77" s="27">
        <v>0</v>
      </c>
      <c r="T77" s="30">
        <v>0</v>
      </c>
      <c r="U77" s="34">
        <v>1</v>
      </c>
      <c r="V77" s="34">
        <v>1</v>
      </c>
      <c r="X77" s="8"/>
      <c r="Y77" s="2"/>
      <c r="Z77" s="26"/>
      <c r="AA77" s="26"/>
      <c r="AB77" s="26"/>
      <c r="AC77" s="26"/>
      <c r="AD77" s="27"/>
      <c r="AE77" s="30"/>
      <c r="AF77" s="26"/>
      <c r="AG77" s="26"/>
      <c r="AH77" s="32"/>
      <c r="AJ77" s="8"/>
      <c r="AK77" s="2"/>
      <c r="AL77" s="26"/>
      <c r="AM77" s="26"/>
      <c r="AN77" s="26"/>
      <c r="AO77" s="27"/>
      <c r="AP77" s="30"/>
      <c r="AQ77" s="26"/>
      <c r="AR77" s="26"/>
      <c r="AS77" s="32"/>
      <c r="AT77" s="34"/>
    </row>
    <row r="78" spans="2:46" x14ac:dyDescent="0.3">
      <c r="B78" s="8"/>
      <c r="C78" s="2" t="s">
        <v>983</v>
      </c>
      <c r="D78" s="26">
        <v>0</v>
      </c>
      <c r="E78" s="26">
        <v>0</v>
      </c>
      <c r="F78" s="27">
        <v>0</v>
      </c>
      <c r="G78" s="26">
        <v>0</v>
      </c>
      <c r="H78" s="26">
        <v>0</v>
      </c>
      <c r="I78" s="27">
        <v>0</v>
      </c>
      <c r="J78" s="26">
        <v>0</v>
      </c>
      <c r="K78" s="26">
        <v>0</v>
      </c>
      <c r="L78" s="67">
        <v>1</v>
      </c>
      <c r="N78" s="8"/>
      <c r="O78" s="2" t="s">
        <v>953</v>
      </c>
      <c r="P78" s="26">
        <v>0</v>
      </c>
      <c r="Q78" s="27">
        <v>0</v>
      </c>
      <c r="R78" s="30">
        <v>0</v>
      </c>
      <c r="S78" s="27">
        <v>0</v>
      </c>
      <c r="T78" s="30">
        <v>0</v>
      </c>
      <c r="U78" s="34">
        <v>1</v>
      </c>
      <c r="V78" s="34">
        <v>1</v>
      </c>
      <c r="X78" s="8"/>
      <c r="Y78" s="2"/>
      <c r="Z78" s="26"/>
      <c r="AA78" s="26"/>
      <c r="AB78" s="26"/>
      <c r="AC78" s="26"/>
      <c r="AD78" s="27"/>
      <c r="AE78" s="30"/>
      <c r="AF78" s="26"/>
      <c r="AG78" s="26"/>
      <c r="AH78" s="32"/>
      <c r="AJ78" s="8"/>
      <c r="AK78" s="2"/>
      <c r="AL78" s="26"/>
      <c r="AM78" s="26"/>
      <c r="AN78" s="26"/>
      <c r="AO78" s="27"/>
      <c r="AP78" s="30"/>
      <c r="AQ78" s="26"/>
      <c r="AR78" s="26"/>
      <c r="AS78" s="32"/>
      <c r="AT78" s="34"/>
    </row>
    <row r="79" spans="2:46" x14ac:dyDescent="0.3">
      <c r="B79" s="8"/>
      <c r="C79" s="2" t="s">
        <v>984</v>
      </c>
      <c r="D79" s="26">
        <v>0</v>
      </c>
      <c r="E79" s="26">
        <v>0</v>
      </c>
      <c r="F79" s="27">
        <v>0</v>
      </c>
      <c r="G79" s="26">
        <v>0</v>
      </c>
      <c r="H79" s="26">
        <v>0</v>
      </c>
      <c r="I79" s="27">
        <v>0</v>
      </c>
      <c r="J79" s="26">
        <v>0</v>
      </c>
      <c r="K79" s="26">
        <v>0</v>
      </c>
      <c r="L79" s="67">
        <v>1</v>
      </c>
      <c r="N79" s="8"/>
      <c r="O79" s="2" t="s">
        <v>954</v>
      </c>
      <c r="P79" s="26">
        <v>0</v>
      </c>
      <c r="Q79" s="27">
        <v>0</v>
      </c>
      <c r="R79" s="30">
        <v>0</v>
      </c>
      <c r="S79" s="27">
        <v>0</v>
      </c>
      <c r="T79" s="30">
        <v>0</v>
      </c>
      <c r="U79" s="34">
        <v>1</v>
      </c>
      <c r="V79" s="34">
        <v>1</v>
      </c>
      <c r="X79" s="8"/>
      <c r="Y79" s="2"/>
      <c r="Z79" s="26"/>
      <c r="AA79" s="26"/>
      <c r="AB79" s="26"/>
      <c r="AC79" s="26"/>
      <c r="AD79" s="27"/>
      <c r="AE79" s="30"/>
      <c r="AF79" s="26"/>
      <c r="AG79" s="26"/>
      <c r="AH79" s="32"/>
      <c r="AJ79" s="8"/>
      <c r="AK79" s="2"/>
      <c r="AL79" s="26"/>
      <c r="AM79" s="26"/>
      <c r="AN79" s="26"/>
      <c r="AO79" s="27"/>
      <c r="AP79" s="30"/>
      <c r="AQ79" s="26"/>
      <c r="AR79" s="26"/>
      <c r="AS79" s="32"/>
      <c r="AT79" s="34"/>
    </row>
    <row r="80" spans="2:46" x14ac:dyDescent="0.3">
      <c r="B80" s="8"/>
      <c r="C80" s="2" t="s">
        <v>732</v>
      </c>
      <c r="D80" s="26">
        <v>0</v>
      </c>
      <c r="E80" s="26">
        <v>0</v>
      </c>
      <c r="F80" s="27">
        <v>0</v>
      </c>
      <c r="G80" s="26">
        <v>0</v>
      </c>
      <c r="H80" s="26">
        <v>0</v>
      </c>
      <c r="I80" s="27">
        <v>0</v>
      </c>
      <c r="J80" s="26">
        <v>0</v>
      </c>
      <c r="K80" s="26">
        <v>0</v>
      </c>
      <c r="L80" s="67">
        <v>1</v>
      </c>
      <c r="N80" s="8"/>
      <c r="O80" s="2" t="s">
        <v>668</v>
      </c>
      <c r="P80" s="26">
        <v>0</v>
      </c>
      <c r="Q80" s="27">
        <v>0</v>
      </c>
      <c r="R80" s="30">
        <v>0</v>
      </c>
      <c r="S80" s="27">
        <v>0</v>
      </c>
      <c r="T80" s="30">
        <v>0</v>
      </c>
      <c r="U80" s="34">
        <v>1</v>
      </c>
      <c r="V80" s="34">
        <v>1</v>
      </c>
      <c r="X80" s="8"/>
      <c r="Y80" s="2"/>
      <c r="Z80" s="26"/>
      <c r="AA80" s="26"/>
      <c r="AB80" s="26"/>
      <c r="AC80" s="26"/>
      <c r="AD80" s="27"/>
      <c r="AE80" s="30"/>
      <c r="AF80" s="26"/>
      <c r="AG80" s="26"/>
      <c r="AH80" s="32"/>
      <c r="AJ80" s="8"/>
      <c r="AK80" s="2"/>
      <c r="AL80" s="26"/>
      <c r="AM80" s="26"/>
      <c r="AN80" s="26"/>
      <c r="AO80" s="27"/>
      <c r="AP80" s="30"/>
      <c r="AQ80" s="26"/>
      <c r="AR80" s="26"/>
      <c r="AS80" s="32"/>
      <c r="AT80" s="34"/>
    </row>
    <row r="81" spans="2:46" x14ac:dyDescent="0.3">
      <c r="B81" s="8"/>
      <c r="C81" s="2" t="s">
        <v>801</v>
      </c>
      <c r="D81" s="26">
        <v>0</v>
      </c>
      <c r="E81" s="26">
        <v>0</v>
      </c>
      <c r="F81" s="27">
        <v>0</v>
      </c>
      <c r="G81" s="26">
        <v>0</v>
      </c>
      <c r="H81" s="26">
        <v>0</v>
      </c>
      <c r="I81" s="27">
        <v>0</v>
      </c>
      <c r="J81" s="26">
        <v>0</v>
      </c>
      <c r="K81" s="26">
        <v>0</v>
      </c>
      <c r="L81" s="67">
        <v>1</v>
      </c>
      <c r="N81" s="8"/>
      <c r="O81" s="2" t="s">
        <v>844</v>
      </c>
      <c r="P81" s="26">
        <v>0</v>
      </c>
      <c r="Q81" s="27">
        <v>0</v>
      </c>
      <c r="R81" s="30">
        <v>0</v>
      </c>
      <c r="S81" s="27">
        <v>0</v>
      </c>
      <c r="T81" s="30">
        <v>0</v>
      </c>
      <c r="U81" s="34">
        <v>1</v>
      </c>
      <c r="V81" s="34">
        <v>1</v>
      </c>
      <c r="X81" s="8"/>
      <c r="Y81" s="2"/>
      <c r="Z81" s="26"/>
      <c r="AA81" s="26"/>
      <c r="AB81" s="26"/>
      <c r="AC81" s="26"/>
      <c r="AD81" s="27"/>
      <c r="AE81" s="30"/>
      <c r="AF81" s="26"/>
      <c r="AG81" s="26"/>
      <c r="AH81" s="32"/>
      <c r="AJ81" s="8"/>
      <c r="AK81" s="2"/>
      <c r="AL81" s="26"/>
      <c r="AM81" s="26"/>
      <c r="AN81" s="26"/>
      <c r="AO81" s="27"/>
      <c r="AP81" s="30"/>
      <c r="AQ81" s="26"/>
      <c r="AR81" s="26"/>
      <c r="AS81" s="32"/>
      <c r="AT81" s="34"/>
    </row>
    <row r="82" spans="2:46" x14ac:dyDescent="0.3">
      <c r="B82" s="8"/>
      <c r="C82" s="2" t="s">
        <v>802</v>
      </c>
      <c r="D82" s="26">
        <v>0</v>
      </c>
      <c r="E82" s="26">
        <v>0</v>
      </c>
      <c r="F82" s="27">
        <v>0</v>
      </c>
      <c r="G82" s="26">
        <v>0</v>
      </c>
      <c r="H82" s="26">
        <v>0</v>
      </c>
      <c r="I82" s="27">
        <v>0</v>
      </c>
      <c r="J82" s="26">
        <v>0</v>
      </c>
      <c r="K82" s="26">
        <v>0</v>
      </c>
      <c r="L82" s="67">
        <v>1</v>
      </c>
      <c r="N82" s="8"/>
      <c r="O82" s="2" t="s">
        <v>845</v>
      </c>
      <c r="P82" s="26">
        <v>0</v>
      </c>
      <c r="Q82" s="27">
        <v>0</v>
      </c>
      <c r="R82" s="30">
        <v>0</v>
      </c>
      <c r="S82" s="27">
        <v>0</v>
      </c>
      <c r="T82" s="30">
        <v>0</v>
      </c>
      <c r="U82" s="34">
        <v>1</v>
      </c>
      <c r="V82" s="34">
        <v>1</v>
      </c>
      <c r="X82" s="8"/>
      <c r="Y82" s="2"/>
      <c r="Z82" s="26"/>
      <c r="AA82" s="26"/>
      <c r="AB82" s="26"/>
      <c r="AC82" s="26"/>
      <c r="AD82" s="27"/>
      <c r="AE82" s="30"/>
      <c r="AF82" s="26"/>
      <c r="AG82" s="26"/>
      <c r="AH82" s="32"/>
      <c r="AJ82" s="8"/>
      <c r="AK82" s="2"/>
      <c r="AL82" s="26"/>
      <c r="AM82" s="26"/>
      <c r="AN82" s="26"/>
      <c r="AO82" s="27"/>
      <c r="AP82" s="30"/>
      <c r="AQ82" s="26"/>
      <c r="AR82" s="26"/>
      <c r="AS82" s="32"/>
      <c r="AT82" s="34"/>
    </row>
    <row r="83" spans="2:46" x14ac:dyDescent="0.3">
      <c r="B83" s="8"/>
      <c r="C83" s="2" t="s">
        <v>733</v>
      </c>
      <c r="D83" s="26">
        <v>0</v>
      </c>
      <c r="E83" s="26">
        <v>0</v>
      </c>
      <c r="F83" s="27">
        <v>0</v>
      </c>
      <c r="G83" s="26">
        <v>0</v>
      </c>
      <c r="H83" s="26">
        <v>0</v>
      </c>
      <c r="I83" s="27">
        <v>0</v>
      </c>
      <c r="J83" s="26">
        <v>0</v>
      </c>
      <c r="K83" s="26">
        <v>0</v>
      </c>
      <c r="L83" s="67">
        <v>1</v>
      </c>
      <c r="N83" s="8"/>
      <c r="O83" s="2" t="s">
        <v>669</v>
      </c>
      <c r="P83" s="26">
        <v>0</v>
      </c>
      <c r="Q83" s="27">
        <v>0</v>
      </c>
      <c r="R83" s="30">
        <v>0</v>
      </c>
      <c r="S83" s="27">
        <v>0</v>
      </c>
      <c r="T83" s="30">
        <v>0</v>
      </c>
      <c r="U83" s="34">
        <v>1</v>
      </c>
      <c r="V83" s="34">
        <v>1</v>
      </c>
      <c r="X83" s="8"/>
      <c r="Y83" s="2"/>
      <c r="Z83" s="26"/>
      <c r="AA83" s="26"/>
      <c r="AB83" s="26"/>
      <c r="AC83" s="26"/>
      <c r="AD83" s="27"/>
      <c r="AE83" s="30"/>
      <c r="AF83" s="26"/>
      <c r="AG83" s="26"/>
      <c r="AH83" s="32"/>
      <c r="AJ83" s="8"/>
      <c r="AK83" s="2"/>
      <c r="AL83" s="26"/>
      <c r="AM83" s="26"/>
      <c r="AN83" s="26"/>
      <c r="AO83" s="27"/>
      <c r="AP83" s="30"/>
      <c r="AQ83" s="26"/>
      <c r="AR83" s="26"/>
      <c r="AS83" s="32"/>
      <c r="AT83" s="34"/>
    </row>
    <row r="84" spans="2:46" x14ac:dyDescent="0.3">
      <c r="B84" s="8"/>
      <c r="C84" s="2" t="s">
        <v>803</v>
      </c>
      <c r="D84" s="26">
        <v>0</v>
      </c>
      <c r="E84" s="26">
        <v>0</v>
      </c>
      <c r="F84" s="27">
        <v>0</v>
      </c>
      <c r="G84" s="26">
        <v>0</v>
      </c>
      <c r="H84" s="26">
        <v>0</v>
      </c>
      <c r="I84" s="27">
        <v>0</v>
      </c>
      <c r="J84" s="26">
        <v>0</v>
      </c>
      <c r="K84" s="26">
        <v>0</v>
      </c>
      <c r="L84" s="67">
        <v>1</v>
      </c>
      <c r="N84" s="8"/>
      <c r="O84" s="2" t="s">
        <v>846</v>
      </c>
      <c r="P84" s="26">
        <v>0</v>
      </c>
      <c r="Q84" s="27">
        <v>0</v>
      </c>
      <c r="R84" s="30">
        <v>0</v>
      </c>
      <c r="S84" s="27">
        <v>0</v>
      </c>
      <c r="T84" s="30">
        <v>0</v>
      </c>
      <c r="U84" s="34">
        <v>1</v>
      </c>
      <c r="V84" s="34">
        <v>1</v>
      </c>
      <c r="X84" s="8"/>
      <c r="Y84" s="2"/>
      <c r="Z84" s="26"/>
      <c r="AA84" s="26"/>
      <c r="AB84" s="26"/>
      <c r="AC84" s="26"/>
      <c r="AD84" s="27"/>
      <c r="AE84" s="30"/>
      <c r="AF84" s="26"/>
      <c r="AG84" s="26"/>
      <c r="AH84" s="32"/>
      <c r="AJ84" s="8"/>
      <c r="AK84" s="2"/>
      <c r="AL84" s="26"/>
      <c r="AM84" s="26"/>
      <c r="AN84" s="26"/>
      <c r="AO84" s="27"/>
      <c r="AP84" s="30"/>
      <c r="AQ84" s="26"/>
      <c r="AR84" s="26"/>
      <c r="AS84" s="32"/>
      <c r="AT84" s="34"/>
    </row>
    <row r="85" spans="2:46" x14ac:dyDescent="0.3">
      <c r="B85" s="8"/>
      <c r="C85" s="2" t="s">
        <v>804</v>
      </c>
      <c r="D85" s="26">
        <v>0</v>
      </c>
      <c r="E85" s="26">
        <v>0</v>
      </c>
      <c r="F85" s="27">
        <v>0</v>
      </c>
      <c r="G85" s="26">
        <v>0</v>
      </c>
      <c r="H85" s="26">
        <v>0</v>
      </c>
      <c r="I85" s="27">
        <v>0</v>
      </c>
      <c r="J85" s="26">
        <v>0</v>
      </c>
      <c r="K85" s="26">
        <v>0</v>
      </c>
      <c r="L85" s="67">
        <v>1</v>
      </c>
      <c r="N85" s="8"/>
      <c r="O85" s="2" t="s">
        <v>847</v>
      </c>
      <c r="P85" s="26">
        <v>0</v>
      </c>
      <c r="Q85" s="27">
        <v>0</v>
      </c>
      <c r="R85" s="30">
        <v>0</v>
      </c>
      <c r="S85" s="27">
        <v>0</v>
      </c>
      <c r="T85" s="30">
        <v>0</v>
      </c>
      <c r="U85" s="34">
        <v>1</v>
      </c>
      <c r="V85" s="34">
        <v>1</v>
      </c>
      <c r="X85" s="8"/>
      <c r="Y85" s="2"/>
      <c r="Z85" s="26"/>
      <c r="AA85" s="26"/>
      <c r="AB85" s="26"/>
      <c r="AC85" s="26"/>
      <c r="AD85" s="27"/>
      <c r="AE85" s="30"/>
      <c r="AF85" s="26"/>
      <c r="AG85" s="26"/>
      <c r="AH85" s="32"/>
      <c r="AJ85" s="8"/>
      <c r="AK85" s="2"/>
      <c r="AL85" s="26"/>
      <c r="AM85" s="26"/>
      <c r="AN85" s="26"/>
      <c r="AO85" s="27"/>
      <c r="AP85" s="30"/>
      <c r="AQ85" s="26"/>
      <c r="AR85" s="26"/>
      <c r="AS85" s="32"/>
      <c r="AT85" s="34"/>
    </row>
    <row r="86" spans="2:46" x14ac:dyDescent="0.3">
      <c r="B86" s="8"/>
      <c r="C86" s="2" t="s">
        <v>805</v>
      </c>
      <c r="D86" s="26">
        <v>0</v>
      </c>
      <c r="E86" s="26">
        <v>0</v>
      </c>
      <c r="F86" s="27">
        <v>0</v>
      </c>
      <c r="G86" s="26">
        <v>0</v>
      </c>
      <c r="H86" s="26">
        <v>0</v>
      </c>
      <c r="I86" s="27">
        <v>0</v>
      </c>
      <c r="J86" s="26">
        <v>0</v>
      </c>
      <c r="K86" s="26">
        <v>0</v>
      </c>
      <c r="L86" s="67">
        <v>1</v>
      </c>
      <c r="N86" s="8"/>
      <c r="O86" s="2" t="s">
        <v>848</v>
      </c>
      <c r="P86" s="26">
        <v>0</v>
      </c>
      <c r="Q86" s="27">
        <v>0</v>
      </c>
      <c r="R86" s="30">
        <v>0</v>
      </c>
      <c r="S86" s="27">
        <v>0</v>
      </c>
      <c r="T86" s="30">
        <v>0</v>
      </c>
      <c r="U86" s="34">
        <v>1</v>
      </c>
      <c r="V86" s="34">
        <v>1</v>
      </c>
      <c r="X86" s="8"/>
      <c r="Y86" s="2"/>
      <c r="Z86" s="26"/>
      <c r="AA86" s="26"/>
      <c r="AB86" s="26"/>
      <c r="AC86" s="26"/>
      <c r="AD86" s="27"/>
      <c r="AE86" s="30"/>
      <c r="AF86" s="26"/>
      <c r="AG86" s="26"/>
      <c r="AH86" s="32"/>
      <c r="AJ86" s="8"/>
      <c r="AK86" s="2"/>
      <c r="AL86" s="26"/>
      <c r="AM86" s="26"/>
      <c r="AN86" s="26"/>
      <c r="AO86" s="27"/>
      <c r="AP86" s="30"/>
      <c r="AQ86" s="26"/>
      <c r="AR86" s="26"/>
      <c r="AS86" s="32"/>
      <c r="AT86" s="34"/>
    </row>
    <row r="87" spans="2:46" x14ac:dyDescent="0.3">
      <c r="B87" s="8"/>
      <c r="C87" s="2" t="s">
        <v>734</v>
      </c>
      <c r="D87" s="26">
        <v>0</v>
      </c>
      <c r="E87" s="26">
        <v>0</v>
      </c>
      <c r="F87" s="27">
        <v>0</v>
      </c>
      <c r="G87" s="26">
        <v>0</v>
      </c>
      <c r="H87" s="26">
        <v>0</v>
      </c>
      <c r="I87" s="27">
        <v>0</v>
      </c>
      <c r="J87" s="26">
        <v>0</v>
      </c>
      <c r="K87" s="26">
        <v>0</v>
      </c>
      <c r="L87" s="67">
        <v>1</v>
      </c>
      <c r="N87" s="8"/>
      <c r="O87" s="2" t="s">
        <v>670</v>
      </c>
      <c r="P87" s="26">
        <v>0</v>
      </c>
      <c r="Q87" s="27">
        <v>0</v>
      </c>
      <c r="R87" s="30">
        <v>0</v>
      </c>
      <c r="S87" s="27">
        <v>0</v>
      </c>
      <c r="T87" s="30">
        <v>0</v>
      </c>
      <c r="U87" s="34">
        <v>1</v>
      </c>
      <c r="V87" s="34">
        <v>1</v>
      </c>
      <c r="X87" s="8"/>
      <c r="Y87" s="2"/>
      <c r="Z87" s="26"/>
      <c r="AA87" s="26"/>
      <c r="AB87" s="26"/>
      <c r="AC87" s="26"/>
      <c r="AD87" s="27"/>
      <c r="AE87" s="30"/>
      <c r="AF87" s="26"/>
      <c r="AG87" s="26"/>
      <c r="AH87" s="32"/>
      <c r="AJ87" s="8"/>
      <c r="AK87" s="2"/>
      <c r="AL87" s="26"/>
      <c r="AM87" s="26"/>
      <c r="AN87" s="26"/>
      <c r="AO87" s="27"/>
      <c r="AP87" s="30"/>
      <c r="AQ87" s="26"/>
      <c r="AR87" s="26"/>
      <c r="AS87" s="32"/>
      <c r="AT87" s="34"/>
    </row>
    <row r="88" spans="2:46" x14ac:dyDescent="0.3">
      <c r="B88" s="8"/>
      <c r="C88" s="2" t="s">
        <v>735</v>
      </c>
      <c r="D88" s="26">
        <v>0</v>
      </c>
      <c r="E88" s="26">
        <v>0</v>
      </c>
      <c r="F88" s="27">
        <v>0</v>
      </c>
      <c r="G88" s="26">
        <v>0</v>
      </c>
      <c r="H88" s="26">
        <v>0</v>
      </c>
      <c r="I88" s="27">
        <v>0</v>
      </c>
      <c r="J88" s="26">
        <v>0</v>
      </c>
      <c r="K88" s="26">
        <v>0</v>
      </c>
      <c r="L88" s="67">
        <v>1</v>
      </c>
      <c r="N88" s="8"/>
      <c r="O88" s="2" t="s">
        <v>671</v>
      </c>
      <c r="P88" s="26">
        <v>0</v>
      </c>
      <c r="Q88" s="27">
        <v>0</v>
      </c>
      <c r="R88" s="30">
        <v>0</v>
      </c>
      <c r="S88" s="27">
        <v>0</v>
      </c>
      <c r="T88" s="30">
        <v>0</v>
      </c>
      <c r="U88" s="34">
        <v>1</v>
      </c>
      <c r="V88" s="34">
        <v>1</v>
      </c>
      <c r="X88" s="8"/>
      <c r="Y88" s="2"/>
      <c r="Z88" s="26"/>
      <c r="AA88" s="26"/>
      <c r="AB88" s="26"/>
      <c r="AC88" s="26"/>
      <c r="AD88" s="27"/>
      <c r="AE88" s="30"/>
      <c r="AF88" s="26"/>
      <c r="AG88" s="26"/>
      <c r="AH88" s="32"/>
      <c r="AJ88" s="8"/>
      <c r="AK88" s="2"/>
      <c r="AL88" s="26"/>
      <c r="AM88" s="26"/>
      <c r="AN88" s="26"/>
      <c r="AO88" s="27"/>
      <c r="AP88" s="30"/>
      <c r="AQ88" s="26"/>
      <c r="AR88" s="26"/>
      <c r="AS88" s="32"/>
      <c r="AT88" s="34"/>
    </row>
    <row r="89" spans="2:46" x14ac:dyDescent="0.3">
      <c r="B89" s="8"/>
      <c r="C89" s="2" t="s">
        <v>736</v>
      </c>
      <c r="D89" s="26">
        <v>0</v>
      </c>
      <c r="E89" s="26">
        <v>0</v>
      </c>
      <c r="F89" s="27">
        <v>0</v>
      </c>
      <c r="G89" s="26">
        <v>0</v>
      </c>
      <c r="H89" s="26">
        <v>0</v>
      </c>
      <c r="I89" s="27">
        <v>0</v>
      </c>
      <c r="J89" s="26">
        <v>0</v>
      </c>
      <c r="K89" s="26">
        <v>0</v>
      </c>
      <c r="L89" s="67">
        <v>1</v>
      </c>
      <c r="N89" s="8"/>
      <c r="O89" s="2" t="s">
        <v>672</v>
      </c>
      <c r="P89" s="26">
        <v>0</v>
      </c>
      <c r="Q89" s="27">
        <v>0</v>
      </c>
      <c r="R89" s="30">
        <v>0</v>
      </c>
      <c r="S89" s="27">
        <v>0</v>
      </c>
      <c r="T89" s="30">
        <v>0</v>
      </c>
      <c r="U89" s="34">
        <v>1</v>
      </c>
      <c r="V89" s="34">
        <v>1</v>
      </c>
      <c r="X89" s="8"/>
      <c r="Y89" s="2"/>
      <c r="Z89" s="26"/>
      <c r="AA89" s="26"/>
      <c r="AB89" s="26"/>
      <c r="AC89" s="26"/>
      <c r="AD89" s="27"/>
      <c r="AE89" s="30"/>
      <c r="AF89" s="26"/>
      <c r="AG89" s="26"/>
      <c r="AH89" s="32"/>
      <c r="AJ89" s="8"/>
      <c r="AK89" s="2"/>
      <c r="AL89" s="26"/>
      <c r="AM89" s="26"/>
      <c r="AN89" s="26"/>
      <c r="AO89" s="27"/>
      <c r="AP89" s="30"/>
      <c r="AQ89" s="26"/>
      <c r="AR89" s="26"/>
      <c r="AS89" s="32"/>
      <c r="AT89" s="34"/>
    </row>
    <row r="90" spans="2:46" x14ac:dyDescent="0.3">
      <c r="B90" s="8"/>
      <c r="C90" s="2" t="s">
        <v>737</v>
      </c>
      <c r="D90" s="26">
        <v>0</v>
      </c>
      <c r="E90" s="26">
        <v>0</v>
      </c>
      <c r="F90" s="27">
        <v>0</v>
      </c>
      <c r="G90" s="26">
        <v>0</v>
      </c>
      <c r="H90" s="26">
        <v>0</v>
      </c>
      <c r="I90" s="27">
        <v>0</v>
      </c>
      <c r="J90" s="26">
        <v>0</v>
      </c>
      <c r="K90" s="26">
        <v>0</v>
      </c>
      <c r="L90" s="67">
        <v>1</v>
      </c>
      <c r="N90" s="8"/>
      <c r="O90" s="2" t="s">
        <v>673</v>
      </c>
      <c r="P90" s="26">
        <v>0</v>
      </c>
      <c r="Q90" s="27">
        <v>0</v>
      </c>
      <c r="R90" s="30">
        <v>0</v>
      </c>
      <c r="S90" s="27">
        <v>0</v>
      </c>
      <c r="T90" s="30">
        <v>0</v>
      </c>
      <c r="U90" s="34">
        <v>1</v>
      </c>
      <c r="V90" s="34">
        <v>1</v>
      </c>
      <c r="X90" s="8"/>
      <c r="Y90" s="2"/>
      <c r="Z90" s="26"/>
      <c r="AA90" s="26"/>
      <c r="AB90" s="26"/>
      <c r="AC90" s="26"/>
      <c r="AD90" s="27"/>
      <c r="AE90" s="30"/>
      <c r="AF90" s="26"/>
      <c r="AG90" s="26"/>
      <c r="AH90" s="32"/>
      <c r="AJ90" s="8"/>
      <c r="AK90" s="2"/>
      <c r="AL90" s="26"/>
      <c r="AM90" s="26"/>
      <c r="AN90" s="26"/>
      <c r="AO90" s="27"/>
      <c r="AP90" s="30"/>
      <c r="AQ90" s="26"/>
      <c r="AR90" s="26"/>
      <c r="AS90" s="32"/>
      <c r="AT90" s="34"/>
    </row>
    <row r="91" spans="2:46" x14ac:dyDescent="0.3">
      <c r="B91" s="8"/>
      <c r="C91" s="2" t="s">
        <v>806</v>
      </c>
      <c r="D91" s="26">
        <v>0</v>
      </c>
      <c r="E91" s="26">
        <v>0</v>
      </c>
      <c r="F91" s="27">
        <v>0</v>
      </c>
      <c r="G91" s="26">
        <v>0</v>
      </c>
      <c r="H91" s="26">
        <v>0</v>
      </c>
      <c r="I91" s="27">
        <v>0</v>
      </c>
      <c r="J91" s="26">
        <v>0</v>
      </c>
      <c r="K91" s="26">
        <v>0</v>
      </c>
      <c r="L91" s="67">
        <v>1</v>
      </c>
      <c r="N91" s="8"/>
      <c r="O91" s="2" t="s">
        <v>849</v>
      </c>
      <c r="P91" s="26">
        <v>0</v>
      </c>
      <c r="Q91" s="27">
        <v>0</v>
      </c>
      <c r="R91" s="30">
        <v>0</v>
      </c>
      <c r="S91" s="27">
        <v>0</v>
      </c>
      <c r="T91" s="30">
        <v>0</v>
      </c>
      <c r="U91" s="34">
        <v>1</v>
      </c>
      <c r="V91" s="34">
        <v>1</v>
      </c>
      <c r="X91" s="8"/>
      <c r="Y91" s="2"/>
      <c r="Z91" s="26"/>
      <c r="AA91" s="26"/>
      <c r="AB91" s="26"/>
      <c r="AC91" s="26"/>
      <c r="AD91" s="27"/>
      <c r="AE91" s="30"/>
      <c r="AF91" s="26"/>
      <c r="AG91" s="26"/>
      <c r="AH91" s="32"/>
      <c r="AJ91" s="8"/>
      <c r="AK91" s="2"/>
      <c r="AL91" s="26"/>
      <c r="AM91" s="26"/>
      <c r="AN91" s="26"/>
      <c r="AO91" s="27"/>
      <c r="AP91" s="30"/>
      <c r="AQ91" s="26"/>
      <c r="AR91" s="26"/>
      <c r="AS91" s="32"/>
      <c r="AT91" s="34"/>
    </row>
    <row r="92" spans="2:46" x14ac:dyDescent="0.3">
      <c r="B92" s="8"/>
      <c r="C92" s="2" t="s">
        <v>807</v>
      </c>
      <c r="D92" s="26">
        <v>0</v>
      </c>
      <c r="E92" s="26">
        <v>0</v>
      </c>
      <c r="F92" s="27">
        <v>0</v>
      </c>
      <c r="G92" s="26">
        <v>0</v>
      </c>
      <c r="H92" s="26">
        <v>0</v>
      </c>
      <c r="I92" s="27">
        <v>0</v>
      </c>
      <c r="J92" s="26">
        <v>0</v>
      </c>
      <c r="K92" s="26">
        <v>0</v>
      </c>
      <c r="L92" s="67">
        <v>1</v>
      </c>
      <c r="N92" s="8"/>
      <c r="O92" s="2" t="s">
        <v>850</v>
      </c>
      <c r="P92" s="26">
        <v>0</v>
      </c>
      <c r="Q92" s="27">
        <v>0</v>
      </c>
      <c r="R92" s="30">
        <v>0</v>
      </c>
      <c r="S92" s="27">
        <v>0</v>
      </c>
      <c r="T92" s="30">
        <v>0</v>
      </c>
      <c r="U92" s="34">
        <v>1</v>
      </c>
      <c r="V92" s="34">
        <v>1</v>
      </c>
      <c r="X92" s="8"/>
      <c r="Y92" s="2"/>
      <c r="Z92" s="26"/>
      <c r="AA92" s="26"/>
      <c r="AB92" s="26"/>
      <c r="AC92" s="26"/>
      <c r="AD92" s="27"/>
      <c r="AE92" s="30"/>
      <c r="AF92" s="26"/>
      <c r="AG92" s="26"/>
      <c r="AH92" s="32"/>
      <c r="AJ92" s="8"/>
      <c r="AK92" s="2"/>
      <c r="AL92" s="26"/>
      <c r="AM92" s="26"/>
      <c r="AN92" s="26"/>
      <c r="AO92" s="27"/>
      <c r="AP92" s="30"/>
      <c r="AQ92" s="26"/>
      <c r="AR92" s="26"/>
      <c r="AS92" s="32"/>
      <c r="AT92" s="34"/>
    </row>
    <row r="93" spans="2:46" x14ac:dyDescent="0.3">
      <c r="B93" s="8"/>
      <c r="C93" s="2" t="s">
        <v>738</v>
      </c>
      <c r="D93" s="26">
        <v>0</v>
      </c>
      <c r="E93" s="26">
        <v>0</v>
      </c>
      <c r="F93" s="27">
        <v>0</v>
      </c>
      <c r="G93" s="26">
        <v>0</v>
      </c>
      <c r="H93" s="26">
        <v>0</v>
      </c>
      <c r="I93" s="27">
        <v>0</v>
      </c>
      <c r="J93" s="26">
        <v>0</v>
      </c>
      <c r="K93" s="26">
        <v>0</v>
      </c>
      <c r="L93" s="67">
        <v>1</v>
      </c>
      <c r="N93" s="8"/>
      <c r="O93" s="2" t="s">
        <v>674</v>
      </c>
      <c r="P93" s="26">
        <v>0</v>
      </c>
      <c r="Q93" s="27">
        <v>0</v>
      </c>
      <c r="R93" s="30">
        <v>0</v>
      </c>
      <c r="S93" s="27">
        <v>0</v>
      </c>
      <c r="T93" s="30">
        <v>0</v>
      </c>
      <c r="U93" s="34">
        <v>1</v>
      </c>
      <c r="V93" s="34">
        <v>1</v>
      </c>
      <c r="X93" s="8"/>
      <c r="Y93" s="2"/>
      <c r="Z93" s="26"/>
      <c r="AA93" s="26"/>
      <c r="AB93" s="26"/>
      <c r="AC93" s="26"/>
      <c r="AD93" s="27"/>
      <c r="AE93" s="30"/>
      <c r="AF93" s="26"/>
      <c r="AG93" s="26"/>
      <c r="AH93" s="32"/>
      <c r="AJ93" s="8"/>
      <c r="AK93" s="2"/>
      <c r="AL93" s="26"/>
      <c r="AM93" s="26"/>
      <c r="AN93" s="26"/>
      <c r="AO93" s="27"/>
      <c r="AP93" s="30"/>
      <c r="AQ93" s="26"/>
      <c r="AR93" s="26"/>
      <c r="AS93" s="32"/>
      <c r="AT93" s="34"/>
    </row>
    <row r="94" spans="2:46" x14ac:dyDescent="0.3">
      <c r="B94" s="8"/>
      <c r="C94" s="2" t="s">
        <v>739</v>
      </c>
      <c r="D94" s="26">
        <v>0</v>
      </c>
      <c r="E94" s="26">
        <v>0</v>
      </c>
      <c r="F94" s="27">
        <v>0</v>
      </c>
      <c r="G94" s="26">
        <v>0</v>
      </c>
      <c r="H94" s="26">
        <v>0</v>
      </c>
      <c r="I94" s="27">
        <v>0</v>
      </c>
      <c r="J94" s="26">
        <v>0</v>
      </c>
      <c r="K94" s="26">
        <v>0</v>
      </c>
      <c r="L94" s="67">
        <v>1</v>
      </c>
      <c r="N94" s="8"/>
      <c r="O94" s="2" t="s">
        <v>675</v>
      </c>
      <c r="P94" s="26">
        <v>0</v>
      </c>
      <c r="Q94" s="27">
        <v>0</v>
      </c>
      <c r="R94" s="30">
        <v>0</v>
      </c>
      <c r="S94" s="27">
        <v>0</v>
      </c>
      <c r="T94" s="30">
        <v>0</v>
      </c>
      <c r="U94" s="34">
        <v>1</v>
      </c>
      <c r="V94" s="34">
        <v>1</v>
      </c>
      <c r="X94" s="8"/>
      <c r="Y94" s="2"/>
      <c r="Z94" s="26"/>
      <c r="AA94" s="26"/>
      <c r="AB94" s="26"/>
      <c r="AC94" s="26"/>
      <c r="AD94" s="27"/>
      <c r="AE94" s="30"/>
      <c r="AF94" s="26"/>
      <c r="AG94" s="26"/>
      <c r="AH94" s="32"/>
      <c r="AJ94" s="8"/>
      <c r="AK94" s="2"/>
      <c r="AL94" s="26"/>
      <c r="AM94" s="26"/>
      <c r="AN94" s="26"/>
      <c r="AO94" s="27"/>
      <c r="AP94" s="30"/>
      <c r="AQ94" s="26"/>
      <c r="AR94" s="26"/>
      <c r="AS94" s="32"/>
      <c r="AT94" s="34"/>
    </row>
    <row r="95" spans="2:46" x14ac:dyDescent="0.3">
      <c r="B95" s="8"/>
      <c r="C95" s="2" t="s">
        <v>740</v>
      </c>
      <c r="D95" s="26">
        <v>0</v>
      </c>
      <c r="E95" s="26">
        <v>0</v>
      </c>
      <c r="F95" s="27">
        <v>0</v>
      </c>
      <c r="G95" s="26">
        <v>0</v>
      </c>
      <c r="H95" s="26">
        <v>0</v>
      </c>
      <c r="I95" s="27">
        <v>0</v>
      </c>
      <c r="J95" s="26">
        <v>0</v>
      </c>
      <c r="K95" s="26">
        <v>0</v>
      </c>
      <c r="L95" s="67">
        <v>1</v>
      </c>
      <c r="N95" s="8"/>
      <c r="O95" s="2" t="s">
        <v>676</v>
      </c>
      <c r="P95" s="26">
        <v>0</v>
      </c>
      <c r="Q95" s="27">
        <v>0</v>
      </c>
      <c r="R95" s="30">
        <v>0</v>
      </c>
      <c r="S95" s="27">
        <v>0</v>
      </c>
      <c r="T95" s="30">
        <v>0</v>
      </c>
      <c r="U95" s="34">
        <v>1</v>
      </c>
      <c r="V95" s="34">
        <v>1</v>
      </c>
      <c r="X95" s="8"/>
      <c r="Y95" s="2"/>
      <c r="Z95" s="26"/>
      <c r="AA95" s="26"/>
      <c r="AB95" s="26"/>
      <c r="AC95" s="26"/>
      <c r="AD95" s="27"/>
      <c r="AE95" s="30"/>
      <c r="AF95" s="26"/>
      <c r="AG95" s="26"/>
      <c r="AH95" s="32"/>
      <c r="AJ95" s="8"/>
      <c r="AK95" s="2"/>
      <c r="AL95" s="26"/>
      <c r="AM95" s="26"/>
      <c r="AN95" s="26"/>
      <c r="AO95" s="27"/>
      <c r="AP95" s="30"/>
      <c r="AQ95" s="26"/>
      <c r="AR95" s="26"/>
      <c r="AS95" s="32"/>
      <c r="AT95" s="34"/>
    </row>
    <row r="96" spans="2:46" x14ac:dyDescent="0.3">
      <c r="B96" s="8"/>
      <c r="C96" s="2" t="s">
        <v>741</v>
      </c>
      <c r="D96" s="26">
        <v>0</v>
      </c>
      <c r="E96" s="26">
        <v>0</v>
      </c>
      <c r="F96" s="27">
        <v>0</v>
      </c>
      <c r="G96" s="26">
        <v>0</v>
      </c>
      <c r="H96" s="26">
        <v>0</v>
      </c>
      <c r="I96" s="27">
        <v>0</v>
      </c>
      <c r="J96" s="26">
        <v>0</v>
      </c>
      <c r="K96" s="26">
        <v>0</v>
      </c>
      <c r="L96" s="67">
        <v>1</v>
      </c>
      <c r="N96" s="8"/>
      <c r="O96" s="2" t="s">
        <v>677</v>
      </c>
      <c r="P96" s="26">
        <v>0</v>
      </c>
      <c r="Q96" s="27">
        <v>0</v>
      </c>
      <c r="R96" s="30">
        <v>0</v>
      </c>
      <c r="S96" s="27">
        <v>0</v>
      </c>
      <c r="T96" s="30">
        <v>0</v>
      </c>
      <c r="U96" s="34">
        <v>1</v>
      </c>
      <c r="V96" s="34">
        <v>1</v>
      </c>
      <c r="X96" s="8"/>
      <c r="Y96" s="2"/>
      <c r="Z96" s="26"/>
      <c r="AA96" s="26"/>
      <c r="AB96" s="26"/>
      <c r="AC96" s="26"/>
      <c r="AD96" s="27"/>
      <c r="AE96" s="30"/>
      <c r="AF96" s="26"/>
      <c r="AG96" s="26"/>
      <c r="AH96" s="32"/>
      <c r="AJ96" s="8"/>
      <c r="AK96" s="2"/>
      <c r="AL96" s="26"/>
      <c r="AM96" s="26"/>
      <c r="AN96" s="26"/>
      <c r="AO96" s="27"/>
      <c r="AP96" s="30"/>
      <c r="AQ96" s="26"/>
      <c r="AR96" s="26"/>
      <c r="AS96" s="32"/>
      <c r="AT96" s="34"/>
    </row>
    <row r="97" spans="2:46" x14ac:dyDescent="0.3">
      <c r="B97" s="8"/>
      <c r="C97" s="2" t="s">
        <v>742</v>
      </c>
      <c r="D97" s="26">
        <v>0</v>
      </c>
      <c r="E97" s="26">
        <v>0</v>
      </c>
      <c r="F97" s="27">
        <v>0</v>
      </c>
      <c r="G97" s="26">
        <v>0</v>
      </c>
      <c r="H97" s="26">
        <v>0</v>
      </c>
      <c r="I97" s="27">
        <v>0</v>
      </c>
      <c r="J97" s="26">
        <v>0</v>
      </c>
      <c r="K97" s="26">
        <v>0</v>
      </c>
      <c r="L97" s="67">
        <v>1</v>
      </c>
      <c r="N97" s="8"/>
      <c r="O97" s="2" t="s">
        <v>678</v>
      </c>
      <c r="P97" s="26">
        <v>0</v>
      </c>
      <c r="Q97" s="27">
        <v>0</v>
      </c>
      <c r="R97" s="30">
        <v>0</v>
      </c>
      <c r="S97" s="27">
        <v>0</v>
      </c>
      <c r="T97" s="30">
        <v>0</v>
      </c>
      <c r="U97" s="34">
        <v>1</v>
      </c>
      <c r="V97" s="34">
        <v>1</v>
      </c>
      <c r="X97" s="8"/>
      <c r="Y97" s="2"/>
      <c r="Z97" s="26"/>
      <c r="AA97" s="26"/>
      <c r="AB97" s="26"/>
      <c r="AC97" s="26"/>
      <c r="AD97" s="27"/>
      <c r="AE97" s="30"/>
      <c r="AF97" s="26"/>
      <c r="AG97" s="26"/>
      <c r="AH97" s="32"/>
      <c r="AJ97" s="8"/>
      <c r="AK97" s="2"/>
      <c r="AL97" s="26"/>
      <c r="AM97" s="26"/>
      <c r="AN97" s="26"/>
      <c r="AO97" s="27"/>
      <c r="AP97" s="30"/>
      <c r="AQ97" s="26"/>
      <c r="AR97" s="26"/>
      <c r="AS97" s="32"/>
      <c r="AT97" s="34"/>
    </row>
    <row r="98" spans="2:46" x14ac:dyDescent="0.3">
      <c r="B98" s="8"/>
      <c r="C98" s="2" t="s">
        <v>743</v>
      </c>
      <c r="D98" s="26">
        <v>0</v>
      </c>
      <c r="E98" s="26">
        <v>0</v>
      </c>
      <c r="F98" s="27">
        <v>0</v>
      </c>
      <c r="G98" s="26">
        <v>0</v>
      </c>
      <c r="H98" s="26">
        <v>0</v>
      </c>
      <c r="I98" s="27">
        <v>0</v>
      </c>
      <c r="J98" s="26">
        <v>0</v>
      </c>
      <c r="K98" s="26">
        <v>0</v>
      </c>
      <c r="L98" s="67">
        <v>1</v>
      </c>
      <c r="N98" s="8"/>
      <c r="O98" s="2" t="s">
        <v>679</v>
      </c>
      <c r="P98" s="26">
        <v>0</v>
      </c>
      <c r="Q98" s="27">
        <v>0</v>
      </c>
      <c r="R98" s="30">
        <v>0</v>
      </c>
      <c r="S98" s="27">
        <v>0</v>
      </c>
      <c r="T98" s="30">
        <v>0</v>
      </c>
      <c r="U98" s="34">
        <v>1</v>
      </c>
      <c r="V98" s="34">
        <v>1</v>
      </c>
      <c r="X98" s="8"/>
      <c r="Y98" s="2"/>
      <c r="Z98" s="26"/>
      <c r="AA98" s="26"/>
      <c r="AB98" s="26"/>
      <c r="AC98" s="26"/>
      <c r="AD98" s="27"/>
      <c r="AE98" s="30"/>
      <c r="AF98" s="26"/>
      <c r="AG98" s="26"/>
      <c r="AH98" s="32"/>
      <c r="AJ98" s="8"/>
      <c r="AK98" s="2"/>
      <c r="AL98" s="26"/>
      <c r="AM98" s="26"/>
      <c r="AN98" s="26"/>
      <c r="AO98" s="27"/>
      <c r="AP98" s="30"/>
      <c r="AQ98" s="26"/>
      <c r="AR98" s="26"/>
      <c r="AS98" s="32"/>
      <c r="AT98" s="34"/>
    </row>
    <row r="99" spans="2:46" x14ac:dyDescent="0.3">
      <c r="B99" s="8"/>
      <c r="C99" s="2" t="s">
        <v>744</v>
      </c>
      <c r="D99" s="26">
        <v>0</v>
      </c>
      <c r="E99" s="26">
        <v>0</v>
      </c>
      <c r="F99" s="27">
        <v>0</v>
      </c>
      <c r="G99" s="26">
        <v>0</v>
      </c>
      <c r="H99" s="26">
        <v>0</v>
      </c>
      <c r="I99" s="27">
        <v>0</v>
      </c>
      <c r="J99" s="26">
        <v>0</v>
      </c>
      <c r="K99" s="26">
        <v>0</v>
      </c>
      <c r="L99" s="67">
        <v>1</v>
      </c>
      <c r="N99" s="8"/>
      <c r="O99" s="2" t="s">
        <v>680</v>
      </c>
      <c r="P99" s="26">
        <v>0</v>
      </c>
      <c r="Q99" s="27">
        <v>0</v>
      </c>
      <c r="R99" s="30">
        <v>0</v>
      </c>
      <c r="S99" s="27">
        <v>0</v>
      </c>
      <c r="T99" s="30">
        <v>0</v>
      </c>
      <c r="U99" s="34">
        <v>1</v>
      </c>
      <c r="V99" s="34">
        <v>1</v>
      </c>
      <c r="X99" s="8"/>
      <c r="Y99" s="2"/>
      <c r="Z99" s="26"/>
      <c r="AA99" s="26"/>
      <c r="AB99" s="26"/>
      <c r="AC99" s="26"/>
      <c r="AD99" s="27"/>
      <c r="AE99" s="30"/>
      <c r="AF99" s="26"/>
      <c r="AG99" s="26"/>
      <c r="AH99" s="32"/>
      <c r="AJ99" s="8"/>
      <c r="AK99" s="2"/>
      <c r="AL99" s="26"/>
      <c r="AM99" s="26"/>
      <c r="AN99" s="26"/>
      <c r="AO99" s="27"/>
      <c r="AP99" s="30"/>
      <c r="AQ99" s="26"/>
      <c r="AR99" s="26"/>
      <c r="AS99" s="32"/>
      <c r="AT99" s="34"/>
    </row>
    <row r="100" spans="2:46" x14ac:dyDescent="0.3">
      <c r="B100" s="8"/>
      <c r="C100" s="2" t="s">
        <v>808</v>
      </c>
      <c r="D100" s="26">
        <v>0</v>
      </c>
      <c r="E100" s="26">
        <v>0</v>
      </c>
      <c r="F100" s="27">
        <v>0</v>
      </c>
      <c r="G100" s="26">
        <v>0</v>
      </c>
      <c r="H100" s="26">
        <v>0</v>
      </c>
      <c r="I100" s="27">
        <v>0</v>
      </c>
      <c r="J100" s="26">
        <v>0</v>
      </c>
      <c r="K100" s="26">
        <v>0</v>
      </c>
      <c r="L100" s="67">
        <v>1</v>
      </c>
      <c r="N100" s="8"/>
      <c r="O100" s="2" t="s">
        <v>851</v>
      </c>
      <c r="P100" s="26">
        <v>0</v>
      </c>
      <c r="Q100" s="27">
        <v>0</v>
      </c>
      <c r="R100" s="30">
        <v>0</v>
      </c>
      <c r="S100" s="27">
        <v>0</v>
      </c>
      <c r="T100" s="30">
        <v>0</v>
      </c>
      <c r="U100" s="34">
        <v>1</v>
      </c>
      <c r="V100" s="34">
        <v>1</v>
      </c>
      <c r="X100" s="8"/>
      <c r="Y100" s="2"/>
      <c r="Z100" s="26"/>
      <c r="AA100" s="26"/>
      <c r="AB100" s="26"/>
      <c r="AC100" s="26"/>
      <c r="AD100" s="27"/>
      <c r="AE100" s="30"/>
      <c r="AF100" s="26"/>
      <c r="AG100" s="26"/>
      <c r="AH100" s="32"/>
      <c r="AJ100" s="8"/>
      <c r="AK100" s="2"/>
      <c r="AL100" s="26"/>
      <c r="AM100" s="26"/>
      <c r="AN100" s="26"/>
      <c r="AO100" s="27"/>
      <c r="AP100" s="30"/>
      <c r="AQ100" s="26"/>
      <c r="AR100" s="26"/>
      <c r="AS100" s="32"/>
      <c r="AT100" s="34"/>
    </row>
    <row r="101" spans="2:46" x14ac:dyDescent="0.3">
      <c r="B101" s="8"/>
      <c r="C101" s="2" t="s">
        <v>745</v>
      </c>
      <c r="D101" s="26">
        <v>0</v>
      </c>
      <c r="E101" s="26">
        <v>0</v>
      </c>
      <c r="F101" s="27">
        <v>0</v>
      </c>
      <c r="G101" s="26">
        <v>0</v>
      </c>
      <c r="H101" s="26">
        <v>0</v>
      </c>
      <c r="I101" s="27">
        <v>0</v>
      </c>
      <c r="J101" s="26">
        <v>0</v>
      </c>
      <c r="K101" s="26">
        <v>0</v>
      </c>
      <c r="L101" s="67">
        <v>1</v>
      </c>
      <c r="N101" s="8"/>
      <c r="O101" s="2" t="s">
        <v>681</v>
      </c>
      <c r="P101" s="26">
        <v>0</v>
      </c>
      <c r="Q101" s="27">
        <v>0</v>
      </c>
      <c r="R101" s="30">
        <v>0</v>
      </c>
      <c r="S101" s="27">
        <v>0</v>
      </c>
      <c r="T101" s="30">
        <v>0</v>
      </c>
      <c r="U101" s="34">
        <v>1</v>
      </c>
      <c r="V101" s="34">
        <v>1</v>
      </c>
      <c r="X101" s="8"/>
      <c r="Y101" s="2"/>
      <c r="Z101" s="26"/>
      <c r="AA101" s="26"/>
      <c r="AB101" s="26"/>
      <c r="AC101" s="26"/>
      <c r="AD101" s="27"/>
      <c r="AE101" s="30"/>
      <c r="AF101" s="26"/>
      <c r="AG101" s="26"/>
      <c r="AH101" s="32"/>
      <c r="AJ101" s="8"/>
      <c r="AK101" s="2"/>
      <c r="AL101" s="26"/>
      <c r="AM101" s="26"/>
      <c r="AN101" s="26"/>
      <c r="AO101" s="27"/>
      <c r="AP101" s="30"/>
      <c r="AQ101" s="26"/>
      <c r="AR101" s="26"/>
      <c r="AS101" s="32"/>
      <c r="AT101" s="34"/>
    </row>
    <row r="102" spans="2:46" x14ac:dyDescent="0.3">
      <c r="B102" s="8"/>
      <c r="C102" s="2" t="s">
        <v>746</v>
      </c>
      <c r="D102" s="26">
        <v>0</v>
      </c>
      <c r="E102" s="26">
        <v>0</v>
      </c>
      <c r="F102" s="27">
        <v>0</v>
      </c>
      <c r="G102" s="26">
        <v>0</v>
      </c>
      <c r="H102" s="26">
        <v>0</v>
      </c>
      <c r="I102" s="27">
        <v>0</v>
      </c>
      <c r="J102" s="26">
        <v>0</v>
      </c>
      <c r="K102" s="26">
        <v>0</v>
      </c>
      <c r="L102" s="67">
        <v>1</v>
      </c>
      <c r="N102" s="8"/>
      <c r="O102" s="2" t="s">
        <v>682</v>
      </c>
      <c r="P102" s="26">
        <v>0</v>
      </c>
      <c r="Q102" s="27">
        <v>0</v>
      </c>
      <c r="R102" s="30">
        <v>0</v>
      </c>
      <c r="S102" s="27">
        <v>0</v>
      </c>
      <c r="T102" s="30">
        <v>0</v>
      </c>
      <c r="U102" s="34">
        <v>1</v>
      </c>
      <c r="V102" s="34">
        <v>1</v>
      </c>
      <c r="X102" s="8"/>
      <c r="Y102" s="2"/>
      <c r="Z102" s="26"/>
      <c r="AA102" s="26"/>
      <c r="AB102" s="26"/>
      <c r="AC102" s="26"/>
      <c r="AD102" s="27"/>
      <c r="AE102" s="30"/>
      <c r="AF102" s="26"/>
      <c r="AG102" s="26"/>
      <c r="AH102" s="32"/>
      <c r="AJ102" s="8"/>
      <c r="AK102" s="2"/>
      <c r="AL102" s="26"/>
      <c r="AM102" s="26"/>
      <c r="AN102" s="26"/>
      <c r="AO102" s="27"/>
      <c r="AP102" s="30"/>
      <c r="AQ102" s="26"/>
      <c r="AR102" s="26"/>
      <c r="AS102" s="32"/>
      <c r="AT102" s="34"/>
    </row>
    <row r="103" spans="2:46" x14ac:dyDescent="0.3">
      <c r="B103" s="8"/>
      <c r="C103" s="2" t="s">
        <v>747</v>
      </c>
      <c r="D103" s="26">
        <v>0</v>
      </c>
      <c r="E103" s="26">
        <v>0</v>
      </c>
      <c r="F103" s="27">
        <v>0</v>
      </c>
      <c r="G103" s="26">
        <v>0</v>
      </c>
      <c r="H103" s="26">
        <v>0</v>
      </c>
      <c r="I103" s="27">
        <v>0</v>
      </c>
      <c r="J103" s="26">
        <v>0</v>
      </c>
      <c r="K103" s="26">
        <v>0</v>
      </c>
      <c r="L103" s="67">
        <v>1</v>
      </c>
      <c r="N103" s="8"/>
      <c r="O103" s="2" t="s">
        <v>683</v>
      </c>
      <c r="P103" s="26">
        <v>0</v>
      </c>
      <c r="Q103" s="27">
        <v>0</v>
      </c>
      <c r="R103" s="30">
        <v>0</v>
      </c>
      <c r="S103" s="27">
        <v>0</v>
      </c>
      <c r="T103" s="30">
        <v>0</v>
      </c>
      <c r="U103" s="34">
        <v>1</v>
      </c>
      <c r="V103" s="34">
        <v>1</v>
      </c>
      <c r="X103" s="8"/>
      <c r="Y103" s="2"/>
      <c r="Z103" s="26"/>
      <c r="AA103" s="26"/>
      <c r="AB103" s="26"/>
      <c r="AC103" s="26"/>
      <c r="AD103" s="27"/>
      <c r="AE103" s="30"/>
      <c r="AF103" s="26"/>
      <c r="AG103" s="26"/>
      <c r="AH103" s="32"/>
      <c r="AJ103" s="8"/>
      <c r="AK103" s="2"/>
      <c r="AL103" s="26"/>
      <c r="AM103" s="26"/>
      <c r="AN103" s="26"/>
      <c r="AO103" s="27"/>
      <c r="AP103" s="30"/>
      <c r="AQ103" s="26"/>
      <c r="AR103" s="26"/>
      <c r="AS103" s="32"/>
      <c r="AT103" s="34"/>
    </row>
    <row r="104" spans="2:46" x14ac:dyDescent="0.3">
      <c r="B104" s="8"/>
      <c r="C104" s="2" t="s">
        <v>748</v>
      </c>
      <c r="D104" s="26">
        <v>0</v>
      </c>
      <c r="E104" s="26">
        <v>0</v>
      </c>
      <c r="F104" s="27">
        <v>0</v>
      </c>
      <c r="G104" s="26">
        <v>0</v>
      </c>
      <c r="H104" s="26">
        <v>0</v>
      </c>
      <c r="I104" s="27">
        <v>0</v>
      </c>
      <c r="J104" s="26">
        <v>0</v>
      </c>
      <c r="K104" s="26">
        <v>0</v>
      </c>
      <c r="L104" s="67">
        <v>1</v>
      </c>
      <c r="N104" s="8"/>
      <c r="O104" s="2" t="s">
        <v>684</v>
      </c>
      <c r="P104" s="26">
        <v>0</v>
      </c>
      <c r="Q104" s="27">
        <v>0</v>
      </c>
      <c r="R104" s="30">
        <v>0</v>
      </c>
      <c r="S104" s="27">
        <v>0</v>
      </c>
      <c r="T104" s="30">
        <v>0</v>
      </c>
      <c r="U104" s="34">
        <v>1</v>
      </c>
      <c r="V104" s="34">
        <v>1</v>
      </c>
      <c r="X104" s="8"/>
      <c r="Y104" s="2"/>
      <c r="Z104" s="26"/>
      <c r="AA104" s="26"/>
      <c r="AB104" s="26"/>
      <c r="AC104" s="26"/>
      <c r="AD104" s="27"/>
      <c r="AE104" s="30"/>
      <c r="AF104" s="26"/>
      <c r="AG104" s="26"/>
      <c r="AH104" s="32"/>
      <c r="AJ104" s="8"/>
      <c r="AK104" s="2"/>
      <c r="AL104" s="26"/>
      <c r="AM104" s="26"/>
      <c r="AN104" s="26"/>
      <c r="AO104" s="27"/>
      <c r="AP104" s="30"/>
      <c r="AQ104" s="26"/>
      <c r="AR104" s="26"/>
      <c r="AS104" s="32"/>
      <c r="AT104" s="34"/>
    </row>
    <row r="105" spans="2:46" x14ac:dyDescent="0.3">
      <c r="B105" s="8"/>
      <c r="C105" s="2" t="s">
        <v>749</v>
      </c>
      <c r="D105" s="26">
        <v>0</v>
      </c>
      <c r="E105" s="26">
        <v>0</v>
      </c>
      <c r="F105" s="27">
        <v>0</v>
      </c>
      <c r="G105" s="26">
        <v>0</v>
      </c>
      <c r="H105" s="26">
        <v>0</v>
      </c>
      <c r="I105" s="27">
        <v>0</v>
      </c>
      <c r="J105" s="26">
        <v>0</v>
      </c>
      <c r="K105" s="26">
        <v>0</v>
      </c>
      <c r="L105" s="67">
        <v>1</v>
      </c>
      <c r="N105" s="8"/>
      <c r="O105" s="2" t="s">
        <v>685</v>
      </c>
      <c r="P105" s="26">
        <v>0</v>
      </c>
      <c r="Q105" s="27">
        <v>0</v>
      </c>
      <c r="R105" s="30">
        <v>0</v>
      </c>
      <c r="S105" s="27">
        <v>0</v>
      </c>
      <c r="T105" s="30">
        <v>0</v>
      </c>
      <c r="U105" s="34">
        <v>1</v>
      </c>
      <c r="V105" s="34">
        <v>1</v>
      </c>
      <c r="X105" s="8"/>
      <c r="Y105" s="2"/>
      <c r="Z105" s="26"/>
      <c r="AA105" s="26"/>
      <c r="AB105" s="26"/>
      <c r="AC105" s="26"/>
      <c r="AD105" s="27"/>
      <c r="AE105" s="30"/>
      <c r="AF105" s="26"/>
      <c r="AG105" s="26"/>
      <c r="AH105" s="32"/>
      <c r="AJ105" s="8"/>
      <c r="AK105" s="2"/>
      <c r="AL105" s="26"/>
      <c r="AM105" s="26"/>
      <c r="AN105" s="26"/>
      <c r="AO105" s="27"/>
      <c r="AP105" s="30"/>
      <c r="AQ105" s="26"/>
      <c r="AR105" s="26"/>
      <c r="AS105" s="32"/>
      <c r="AT105" s="34"/>
    </row>
    <row r="106" spans="2:46" x14ac:dyDescent="0.3">
      <c r="B106" s="8"/>
      <c r="C106" s="2" t="s">
        <v>750</v>
      </c>
      <c r="D106" s="26">
        <v>0</v>
      </c>
      <c r="E106" s="26">
        <v>0</v>
      </c>
      <c r="F106" s="27">
        <v>0</v>
      </c>
      <c r="G106" s="26">
        <v>0</v>
      </c>
      <c r="H106" s="26">
        <v>0</v>
      </c>
      <c r="I106" s="27">
        <v>0</v>
      </c>
      <c r="J106" s="26">
        <v>0</v>
      </c>
      <c r="K106" s="26">
        <v>0</v>
      </c>
      <c r="L106" s="67">
        <v>1</v>
      </c>
      <c r="N106" s="8"/>
      <c r="O106" s="2" t="s">
        <v>686</v>
      </c>
      <c r="P106" s="26">
        <v>0</v>
      </c>
      <c r="Q106" s="27">
        <v>0</v>
      </c>
      <c r="R106" s="30">
        <v>0</v>
      </c>
      <c r="S106" s="27">
        <v>0</v>
      </c>
      <c r="T106" s="30">
        <v>0</v>
      </c>
      <c r="U106" s="34">
        <v>1</v>
      </c>
      <c r="V106" s="34">
        <v>1</v>
      </c>
      <c r="X106" s="8"/>
      <c r="Y106" s="2"/>
      <c r="Z106" s="26"/>
      <c r="AA106" s="26"/>
      <c r="AB106" s="26"/>
      <c r="AC106" s="26"/>
      <c r="AD106" s="27"/>
      <c r="AE106" s="30"/>
      <c r="AF106" s="26"/>
      <c r="AG106" s="26"/>
      <c r="AH106" s="32"/>
      <c r="AJ106" s="8"/>
      <c r="AK106" s="2"/>
      <c r="AL106" s="26"/>
      <c r="AM106" s="26"/>
      <c r="AN106" s="26"/>
      <c r="AO106" s="27"/>
      <c r="AP106" s="30"/>
      <c r="AQ106" s="26"/>
      <c r="AR106" s="26"/>
      <c r="AS106" s="32"/>
      <c r="AT106" s="34"/>
    </row>
    <row r="107" spans="2:46" x14ac:dyDescent="0.3">
      <c r="B107" s="8"/>
      <c r="C107" s="2" t="s">
        <v>751</v>
      </c>
      <c r="D107" s="26">
        <v>0</v>
      </c>
      <c r="E107" s="26">
        <v>0</v>
      </c>
      <c r="F107" s="27">
        <v>0</v>
      </c>
      <c r="G107" s="26">
        <v>0</v>
      </c>
      <c r="H107" s="26">
        <v>0</v>
      </c>
      <c r="I107" s="27">
        <v>0</v>
      </c>
      <c r="J107" s="26">
        <v>0</v>
      </c>
      <c r="K107" s="26">
        <v>0</v>
      </c>
      <c r="L107" s="67">
        <v>1</v>
      </c>
      <c r="N107" s="8"/>
      <c r="O107" s="2" t="s">
        <v>687</v>
      </c>
      <c r="P107" s="26">
        <v>0</v>
      </c>
      <c r="Q107" s="27">
        <v>0</v>
      </c>
      <c r="R107" s="30">
        <v>0</v>
      </c>
      <c r="S107" s="27">
        <v>0</v>
      </c>
      <c r="T107" s="30">
        <v>0</v>
      </c>
      <c r="U107" s="34">
        <v>1</v>
      </c>
      <c r="V107" s="34">
        <v>1</v>
      </c>
      <c r="X107" s="8"/>
      <c r="Y107" s="2"/>
      <c r="Z107" s="26"/>
      <c r="AA107" s="26"/>
      <c r="AB107" s="26"/>
      <c r="AC107" s="26"/>
      <c r="AD107" s="27"/>
      <c r="AE107" s="30"/>
      <c r="AF107" s="26"/>
      <c r="AG107" s="26"/>
      <c r="AH107" s="32"/>
      <c r="AJ107" s="8"/>
      <c r="AK107" s="2"/>
      <c r="AL107" s="26"/>
      <c r="AM107" s="26"/>
      <c r="AN107" s="26"/>
      <c r="AO107" s="27"/>
      <c r="AP107" s="30"/>
      <c r="AQ107" s="26"/>
      <c r="AR107" s="26"/>
      <c r="AS107" s="32"/>
      <c r="AT107" s="34"/>
    </row>
    <row r="108" spans="2:46" x14ac:dyDescent="0.3">
      <c r="B108" s="8"/>
      <c r="C108" s="2" t="s">
        <v>752</v>
      </c>
      <c r="D108" s="26">
        <v>0</v>
      </c>
      <c r="E108" s="26">
        <v>0</v>
      </c>
      <c r="F108" s="27">
        <v>0</v>
      </c>
      <c r="G108" s="26">
        <v>0</v>
      </c>
      <c r="H108" s="26">
        <v>0</v>
      </c>
      <c r="I108" s="27">
        <v>0</v>
      </c>
      <c r="J108" s="26">
        <v>0</v>
      </c>
      <c r="K108" s="26">
        <v>0</v>
      </c>
      <c r="L108" s="67">
        <v>1</v>
      </c>
      <c r="N108" s="8"/>
      <c r="O108" s="2" t="s">
        <v>688</v>
      </c>
      <c r="P108" s="26">
        <v>0</v>
      </c>
      <c r="Q108" s="27">
        <v>0</v>
      </c>
      <c r="R108" s="30">
        <v>0</v>
      </c>
      <c r="S108" s="27">
        <v>0</v>
      </c>
      <c r="T108" s="30">
        <v>0</v>
      </c>
      <c r="U108" s="34">
        <v>1</v>
      </c>
      <c r="V108" s="34">
        <v>1</v>
      </c>
      <c r="X108" s="8"/>
      <c r="Y108" s="2"/>
      <c r="Z108" s="26"/>
      <c r="AA108" s="26"/>
      <c r="AB108" s="26"/>
      <c r="AC108" s="26"/>
      <c r="AD108" s="27"/>
      <c r="AE108" s="30"/>
      <c r="AF108" s="26"/>
      <c r="AG108" s="26"/>
      <c r="AH108" s="32"/>
      <c r="AJ108" s="8"/>
      <c r="AK108" s="2"/>
      <c r="AL108" s="26"/>
      <c r="AM108" s="26"/>
      <c r="AN108" s="26"/>
      <c r="AO108" s="27"/>
      <c r="AP108" s="30"/>
      <c r="AQ108" s="26"/>
      <c r="AR108" s="26"/>
      <c r="AS108" s="32"/>
      <c r="AT108" s="34"/>
    </row>
    <row r="109" spans="2:46" x14ac:dyDescent="0.3">
      <c r="B109" s="8"/>
      <c r="C109" s="2"/>
      <c r="D109" s="26"/>
      <c r="E109" s="26"/>
      <c r="F109" s="27"/>
      <c r="G109" s="26"/>
      <c r="H109" s="26"/>
      <c r="I109" s="27"/>
      <c r="J109" s="26"/>
      <c r="K109" s="26"/>
      <c r="L109" s="67"/>
      <c r="N109" s="8"/>
      <c r="O109" s="2"/>
      <c r="P109" s="26"/>
      <c r="Q109" s="27"/>
      <c r="R109" s="30"/>
      <c r="S109" s="27"/>
      <c r="T109" s="30"/>
      <c r="U109" s="34"/>
      <c r="V109" s="34"/>
      <c r="X109" s="8"/>
      <c r="Y109" s="2"/>
      <c r="Z109" s="26"/>
      <c r="AA109" s="26"/>
      <c r="AB109" s="26"/>
      <c r="AC109" s="26"/>
      <c r="AD109" s="27"/>
      <c r="AE109" s="30"/>
      <c r="AF109" s="26"/>
      <c r="AG109" s="26"/>
      <c r="AH109" s="32"/>
      <c r="AJ109" s="8"/>
      <c r="AK109" s="2"/>
      <c r="AL109" s="26"/>
      <c r="AM109" s="26"/>
      <c r="AN109" s="26"/>
      <c r="AO109" s="27"/>
      <c r="AP109" s="30"/>
      <c r="AQ109" s="26"/>
      <c r="AR109" s="26"/>
      <c r="AS109" s="32"/>
      <c r="AT109" s="34"/>
    </row>
    <row r="110" spans="2:46" x14ac:dyDescent="0.3">
      <c r="B110" s="8"/>
      <c r="C110" s="2"/>
      <c r="D110" s="26"/>
      <c r="E110" s="26"/>
      <c r="F110" s="27"/>
      <c r="G110" s="26"/>
      <c r="H110" s="26"/>
      <c r="I110" s="27"/>
      <c r="J110" s="26"/>
      <c r="K110" s="26"/>
      <c r="L110" s="67"/>
      <c r="N110" s="8"/>
      <c r="O110" s="2"/>
      <c r="P110" s="26"/>
      <c r="Q110" s="27"/>
      <c r="R110" s="30"/>
      <c r="S110" s="27"/>
      <c r="T110" s="30"/>
      <c r="U110" s="34"/>
      <c r="V110" s="34"/>
      <c r="X110" s="8"/>
      <c r="Y110" s="2"/>
      <c r="Z110" s="26"/>
      <c r="AA110" s="26"/>
      <c r="AB110" s="26"/>
      <c r="AC110" s="26"/>
      <c r="AD110" s="27"/>
      <c r="AE110" s="30"/>
      <c r="AF110" s="26"/>
      <c r="AG110" s="26"/>
      <c r="AH110" s="32"/>
      <c r="AJ110" s="8"/>
      <c r="AK110" s="2"/>
      <c r="AL110" s="26"/>
      <c r="AM110" s="26"/>
      <c r="AN110" s="26"/>
      <c r="AO110" s="27"/>
      <c r="AP110" s="30"/>
      <c r="AQ110" s="26"/>
      <c r="AR110" s="26"/>
      <c r="AS110" s="32"/>
      <c r="AT110" s="34"/>
    </row>
    <row r="111" spans="2:46" x14ac:dyDescent="0.3">
      <c r="B111" s="8"/>
      <c r="C111" s="2"/>
      <c r="D111" s="26"/>
      <c r="E111" s="26"/>
      <c r="F111" s="27"/>
      <c r="G111" s="26"/>
      <c r="H111" s="26"/>
      <c r="I111" s="27"/>
      <c r="J111" s="26"/>
      <c r="K111" s="26"/>
      <c r="L111" s="67"/>
      <c r="N111" s="8"/>
      <c r="O111" s="2"/>
      <c r="P111" s="26"/>
      <c r="Q111" s="27"/>
      <c r="R111" s="30"/>
      <c r="S111" s="27"/>
      <c r="T111" s="30"/>
      <c r="U111" s="34"/>
      <c r="V111" s="34"/>
      <c r="X111" s="8"/>
      <c r="Y111" s="2"/>
      <c r="Z111" s="26"/>
      <c r="AA111" s="26"/>
      <c r="AB111" s="26"/>
      <c r="AC111" s="26"/>
      <c r="AD111" s="27"/>
      <c r="AE111" s="30"/>
      <c r="AF111" s="26"/>
      <c r="AG111" s="26"/>
      <c r="AH111" s="32"/>
      <c r="AJ111" s="8"/>
      <c r="AK111" s="2"/>
      <c r="AL111" s="26"/>
      <c r="AM111" s="26"/>
      <c r="AN111" s="26"/>
      <c r="AO111" s="27"/>
      <c r="AP111" s="30"/>
      <c r="AQ111" s="26"/>
      <c r="AR111" s="26"/>
      <c r="AS111" s="32"/>
      <c r="AT111" s="34"/>
    </row>
    <row r="112" spans="2:46" x14ac:dyDescent="0.3">
      <c r="B112" s="8"/>
      <c r="C112" s="2"/>
      <c r="D112" s="26"/>
      <c r="E112" s="26"/>
      <c r="F112" s="27"/>
      <c r="G112" s="26"/>
      <c r="H112" s="26"/>
      <c r="I112" s="27"/>
      <c r="J112" s="26"/>
      <c r="K112" s="26"/>
      <c r="L112" s="67"/>
      <c r="N112" s="8"/>
      <c r="O112" s="2"/>
      <c r="P112" s="26"/>
      <c r="Q112" s="27"/>
      <c r="R112" s="30"/>
      <c r="S112" s="27"/>
      <c r="T112" s="30"/>
      <c r="U112" s="34"/>
      <c r="V112" s="34"/>
      <c r="X112" s="8"/>
      <c r="Y112" s="2"/>
      <c r="Z112" s="26"/>
      <c r="AA112" s="26"/>
      <c r="AB112" s="26"/>
      <c r="AC112" s="26"/>
      <c r="AD112" s="27"/>
      <c r="AE112" s="30"/>
      <c r="AF112" s="26"/>
      <c r="AG112" s="26"/>
      <c r="AH112" s="32"/>
      <c r="AJ112" s="8"/>
      <c r="AK112" s="2"/>
      <c r="AL112" s="26"/>
      <c r="AM112" s="26"/>
      <c r="AN112" s="26"/>
      <c r="AO112" s="27"/>
      <c r="AP112" s="30"/>
      <c r="AQ112" s="26"/>
      <c r="AR112" s="26"/>
      <c r="AS112" s="32"/>
      <c r="AT112" s="34"/>
    </row>
    <row r="113" spans="2:46" x14ac:dyDescent="0.3">
      <c r="B113" s="8"/>
      <c r="C113" s="2"/>
      <c r="D113" s="26"/>
      <c r="E113" s="26"/>
      <c r="F113" s="27"/>
      <c r="G113" s="26"/>
      <c r="H113" s="26"/>
      <c r="I113" s="27"/>
      <c r="J113" s="26"/>
      <c r="K113" s="26"/>
      <c r="L113" s="67"/>
      <c r="N113" s="8"/>
      <c r="O113" s="2"/>
      <c r="P113" s="26"/>
      <c r="Q113" s="27"/>
      <c r="R113" s="30"/>
      <c r="S113" s="27"/>
      <c r="T113" s="30"/>
      <c r="U113" s="34"/>
      <c r="V113" s="34"/>
      <c r="X113" s="8"/>
      <c r="Y113" s="2"/>
      <c r="Z113" s="26"/>
      <c r="AA113" s="26"/>
      <c r="AB113" s="26"/>
      <c r="AC113" s="26"/>
      <c r="AD113" s="27"/>
      <c r="AE113" s="30"/>
      <c r="AF113" s="26"/>
      <c r="AG113" s="26"/>
      <c r="AH113" s="32"/>
      <c r="AJ113" s="8"/>
      <c r="AK113" s="2"/>
      <c r="AL113" s="26"/>
      <c r="AM113" s="26"/>
      <c r="AN113" s="26"/>
      <c r="AO113" s="27"/>
      <c r="AP113" s="30"/>
      <c r="AQ113" s="26"/>
      <c r="AR113" s="26"/>
      <c r="AS113" s="32"/>
      <c r="AT113" s="34"/>
    </row>
    <row r="114" spans="2:46" x14ac:dyDescent="0.3">
      <c r="B114" s="8"/>
      <c r="C114" s="2"/>
      <c r="D114" s="26"/>
      <c r="E114" s="26"/>
      <c r="F114" s="27"/>
      <c r="G114" s="26"/>
      <c r="H114" s="26"/>
      <c r="I114" s="27"/>
      <c r="J114" s="26"/>
      <c r="K114" s="26"/>
      <c r="L114" s="67"/>
      <c r="N114" s="8"/>
      <c r="O114" s="2"/>
      <c r="P114" s="26"/>
      <c r="Q114" s="27"/>
      <c r="R114" s="30"/>
      <c r="S114" s="27"/>
      <c r="T114" s="30"/>
      <c r="U114" s="34"/>
      <c r="V114" s="34"/>
      <c r="X114" s="8"/>
      <c r="Y114" s="2"/>
      <c r="Z114" s="26"/>
      <c r="AA114" s="26"/>
      <c r="AB114" s="26"/>
      <c r="AC114" s="26"/>
      <c r="AD114" s="27"/>
      <c r="AE114" s="30"/>
      <c r="AF114" s="26"/>
      <c r="AG114" s="26"/>
      <c r="AH114" s="32"/>
      <c r="AJ114" s="8"/>
      <c r="AK114" s="2"/>
      <c r="AL114" s="26"/>
      <c r="AM114" s="26"/>
      <c r="AN114" s="26"/>
      <c r="AO114" s="27"/>
      <c r="AP114" s="30"/>
      <c r="AQ114" s="26"/>
      <c r="AR114" s="26"/>
      <c r="AS114" s="32"/>
      <c r="AT114" s="34"/>
    </row>
    <row r="115" spans="2:46" x14ac:dyDescent="0.3">
      <c r="B115" s="8"/>
      <c r="C115" s="2"/>
      <c r="D115" s="26"/>
      <c r="E115" s="26"/>
      <c r="F115" s="27"/>
      <c r="G115" s="26"/>
      <c r="H115" s="26"/>
      <c r="I115" s="27"/>
      <c r="J115" s="26"/>
      <c r="K115" s="26"/>
      <c r="L115" s="67"/>
      <c r="N115" s="8"/>
      <c r="O115" s="2"/>
      <c r="P115" s="26"/>
      <c r="Q115" s="27"/>
      <c r="R115" s="30"/>
      <c r="S115" s="27"/>
      <c r="T115" s="30"/>
      <c r="U115" s="34"/>
      <c r="V115" s="34"/>
      <c r="X115" s="8"/>
      <c r="Y115" s="2"/>
      <c r="Z115" s="26"/>
      <c r="AA115" s="26"/>
      <c r="AB115" s="26"/>
      <c r="AC115" s="26"/>
      <c r="AD115" s="27"/>
      <c r="AE115" s="30"/>
      <c r="AF115" s="26"/>
      <c r="AG115" s="26"/>
      <c r="AH115" s="32"/>
      <c r="AJ115" s="8"/>
      <c r="AK115" s="2"/>
      <c r="AL115" s="26"/>
      <c r="AM115" s="26"/>
      <c r="AN115" s="26"/>
      <c r="AO115" s="27"/>
      <c r="AP115" s="30"/>
      <c r="AQ115" s="26"/>
      <c r="AR115" s="26"/>
      <c r="AS115" s="32"/>
      <c r="AT115" s="34"/>
    </row>
    <row r="116" spans="2:46" x14ac:dyDescent="0.3">
      <c r="B116" s="8"/>
      <c r="C116" s="2"/>
      <c r="D116" s="26"/>
      <c r="E116" s="26"/>
      <c r="F116" s="27"/>
      <c r="G116" s="26"/>
      <c r="H116" s="26"/>
      <c r="I116" s="27"/>
      <c r="J116" s="26"/>
      <c r="K116" s="26"/>
      <c r="L116" s="67"/>
      <c r="N116" s="8"/>
      <c r="O116" s="2"/>
      <c r="P116" s="26"/>
      <c r="Q116" s="27"/>
      <c r="R116" s="30"/>
      <c r="S116" s="27"/>
      <c r="T116" s="30"/>
      <c r="U116" s="34"/>
      <c r="V116" s="34"/>
      <c r="X116" s="8"/>
      <c r="Y116" s="2"/>
      <c r="Z116" s="26"/>
      <c r="AA116" s="26"/>
      <c r="AB116" s="26"/>
      <c r="AC116" s="26"/>
      <c r="AD116" s="27"/>
      <c r="AE116" s="30"/>
      <c r="AF116" s="26"/>
      <c r="AG116" s="26"/>
      <c r="AH116" s="32"/>
      <c r="AJ116" s="8"/>
      <c r="AK116" s="2"/>
      <c r="AL116" s="26"/>
      <c r="AM116" s="26"/>
      <c r="AN116" s="26"/>
      <c r="AO116" s="27"/>
      <c r="AP116" s="30"/>
      <c r="AQ116" s="26"/>
      <c r="AR116" s="26"/>
      <c r="AS116" s="32"/>
      <c r="AT116" s="34"/>
    </row>
    <row r="117" spans="2:46" x14ac:dyDescent="0.3">
      <c r="B117" s="8"/>
      <c r="C117" s="2"/>
      <c r="D117" s="26"/>
      <c r="E117" s="26"/>
      <c r="F117" s="27"/>
      <c r="G117" s="26"/>
      <c r="H117" s="26"/>
      <c r="I117" s="27"/>
      <c r="J117" s="26"/>
      <c r="K117" s="26"/>
      <c r="L117" s="67"/>
      <c r="N117" s="8"/>
      <c r="O117" s="2"/>
      <c r="P117" s="26"/>
      <c r="Q117" s="27"/>
      <c r="R117" s="30"/>
      <c r="S117" s="27"/>
      <c r="T117" s="30"/>
      <c r="U117" s="34"/>
      <c r="V117" s="34"/>
      <c r="X117" s="8"/>
      <c r="Y117" s="2"/>
      <c r="Z117" s="26"/>
      <c r="AA117" s="26"/>
      <c r="AB117" s="26"/>
      <c r="AC117" s="26"/>
      <c r="AD117" s="27"/>
      <c r="AE117" s="30"/>
      <c r="AF117" s="26"/>
      <c r="AG117" s="26"/>
      <c r="AH117" s="32"/>
      <c r="AJ117" s="8"/>
      <c r="AK117" s="2"/>
      <c r="AL117" s="26"/>
      <c r="AM117" s="26"/>
      <c r="AN117" s="26"/>
      <c r="AO117" s="27"/>
      <c r="AP117" s="30"/>
      <c r="AQ117" s="26"/>
      <c r="AR117" s="26"/>
      <c r="AS117" s="32"/>
      <c r="AT117" s="34"/>
    </row>
    <row r="118" spans="2:46" x14ac:dyDescent="0.3">
      <c r="B118" s="8"/>
      <c r="C118" s="2"/>
      <c r="D118" s="26"/>
      <c r="E118" s="26"/>
      <c r="F118" s="27"/>
      <c r="G118" s="26"/>
      <c r="H118" s="26"/>
      <c r="I118" s="27"/>
      <c r="J118" s="26"/>
      <c r="K118" s="26"/>
      <c r="L118" s="67"/>
      <c r="N118" s="8"/>
      <c r="O118" s="2"/>
      <c r="P118" s="26"/>
      <c r="Q118" s="27"/>
      <c r="R118" s="30"/>
      <c r="S118" s="27"/>
      <c r="T118" s="30"/>
      <c r="U118" s="34"/>
      <c r="V118" s="34"/>
      <c r="X118" s="8"/>
      <c r="Y118" s="2"/>
      <c r="Z118" s="26"/>
      <c r="AA118" s="26"/>
      <c r="AB118" s="26"/>
      <c r="AC118" s="26"/>
      <c r="AD118" s="27"/>
      <c r="AE118" s="30"/>
      <c r="AF118" s="26"/>
      <c r="AG118" s="26"/>
      <c r="AH118" s="32"/>
      <c r="AJ118" s="8"/>
      <c r="AK118" s="2"/>
      <c r="AL118" s="26"/>
      <c r="AM118" s="26"/>
      <c r="AN118" s="26"/>
      <c r="AO118" s="27"/>
      <c r="AP118" s="30"/>
      <c r="AQ118" s="26"/>
      <c r="AR118" s="26"/>
      <c r="AS118" s="32"/>
      <c r="AT118" s="34"/>
    </row>
    <row r="119" spans="2:46" x14ac:dyDescent="0.3">
      <c r="B119" s="8"/>
      <c r="C119" s="2"/>
      <c r="D119" s="26"/>
      <c r="E119" s="26"/>
      <c r="F119" s="27"/>
      <c r="G119" s="26"/>
      <c r="H119" s="26"/>
      <c r="I119" s="27"/>
      <c r="J119" s="26"/>
      <c r="K119" s="26"/>
      <c r="L119" s="67"/>
      <c r="N119" s="8"/>
      <c r="O119" s="2"/>
      <c r="P119" s="26"/>
      <c r="Q119" s="27"/>
      <c r="R119" s="30"/>
      <c r="S119" s="27"/>
      <c r="T119" s="30"/>
      <c r="U119" s="34"/>
      <c r="V119" s="34"/>
      <c r="X119" s="8"/>
      <c r="Y119" s="2"/>
      <c r="Z119" s="26"/>
      <c r="AA119" s="26"/>
      <c r="AB119" s="26"/>
      <c r="AC119" s="26"/>
      <c r="AD119" s="27"/>
      <c r="AE119" s="30"/>
      <c r="AF119" s="26"/>
      <c r="AG119" s="26"/>
      <c r="AH119" s="32"/>
      <c r="AJ119" s="8"/>
      <c r="AK119" s="2"/>
      <c r="AL119" s="26"/>
      <c r="AM119" s="26"/>
      <c r="AN119" s="26"/>
      <c r="AO119" s="27"/>
      <c r="AP119" s="30"/>
      <c r="AQ119" s="26"/>
      <c r="AR119" s="26"/>
      <c r="AS119" s="32"/>
      <c r="AT119" s="34"/>
    </row>
    <row r="120" spans="2:46" x14ac:dyDescent="0.3">
      <c r="B120" s="8"/>
      <c r="C120" s="2"/>
      <c r="D120" s="26"/>
      <c r="E120" s="26"/>
      <c r="F120" s="27"/>
      <c r="G120" s="26"/>
      <c r="H120" s="26"/>
      <c r="I120" s="27"/>
      <c r="J120" s="26"/>
      <c r="K120" s="26"/>
      <c r="L120" s="67"/>
      <c r="N120" s="8"/>
      <c r="O120" s="2"/>
      <c r="P120" s="26"/>
      <c r="Q120" s="27"/>
      <c r="R120" s="30"/>
      <c r="S120" s="27"/>
      <c r="T120" s="30"/>
      <c r="U120" s="34"/>
      <c r="V120" s="34"/>
      <c r="X120" s="8"/>
      <c r="Y120" s="2"/>
      <c r="Z120" s="26"/>
      <c r="AA120" s="26"/>
      <c r="AB120" s="26"/>
      <c r="AC120" s="26"/>
      <c r="AD120" s="27"/>
      <c r="AE120" s="30"/>
      <c r="AF120" s="26"/>
      <c r="AG120" s="26"/>
      <c r="AH120" s="32"/>
      <c r="AJ120" s="8"/>
      <c r="AK120" s="2"/>
      <c r="AL120" s="26"/>
      <c r="AM120" s="26"/>
      <c r="AN120" s="26"/>
      <c r="AO120" s="27"/>
      <c r="AP120" s="30"/>
      <c r="AQ120" s="26"/>
      <c r="AR120" s="26"/>
      <c r="AS120" s="32"/>
      <c r="AT120" s="34"/>
    </row>
    <row r="121" spans="2:46" x14ac:dyDescent="0.3">
      <c r="B121" s="8"/>
      <c r="C121" s="2"/>
      <c r="D121" s="26"/>
      <c r="E121" s="26"/>
      <c r="F121" s="27"/>
      <c r="G121" s="26"/>
      <c r="H121" s="26"/>
      <c r="I121" s="27"/>
      <c r="J121" s="26"/>
      <c r="K121" s="26"/>
      <c r="L121" s="67"/>
      <c r="N121" s="8"/>
      <c r="O121" s="2"/>
      <c r="P121" s="26"/>
      <c r="Q121" s="27"/>
      <c r="R121" s="30"/>
      <c r="S121" s="27"/>
      <c r="T121" s="30"/>
      <c r="U121" s="34"/>
      <c r="V121" s="34"/>
      <c r="X121" s="8"/>
      <c r="Y121" s="2"/>
      <c r="Z121" s="26"/>
      <c r="AA121" s="26"/>
      <c r="AB121" s="26"/>
      <c r="AC121" s="26"/>
      <c r="AD121" s="27"/>
      <c r="AE121" s="30"/>
      <c r="AF121" s="26"/>
      <c r="AG121" s="26"/>
      <c r="AH121" s="32"/>
      <c r="AJ121" s="8"/>
      <c r="AK121" s="2"/>
      <c r="AL121" s="26"/>
      <c r="AM121" s="26"/>
      <c r="AN121" s="26"/>
      <c r="AO121" s="27"/>
      <c r="AP121" s="30"/>
      <c r="AQ121" s="26"/>
      <c r="AR121" s="26"/>
      <c r="AS121" s="32"/>
      <c r="AT121" s="34"/>
    </row>
    <row r="122" spans="2:46" x14ac:dyDescent="0.3">
      <c r="B122" s="8"/>
      <c r="C122" s="2"/>
      <c r="D122" s="26"/>
      <c r="E122" s="26"/>
      <c r="F122" s="27"/>
      <c r="G122" s="26"/>
      <c r="H122" s="26"/>
      <c r="I122" s="27"/>
      <c r="J122" s="26"/>
      <c r="K122" s="26"/>
      <c r="L122" s="67"/>
      <c r="N122" s="8"/>
      <c r="O122" s="2"/>
      <c r="P122" s="26"/>
      <c r="Q122" s="27"/>
      <c r="R122" s="30"/>
      <c r="S122" s="27"/>
      <c r="T122" s="30"/>
      <c r="U122" s="34"/>
      <c r="V122" s="34"/>
      <c r="X122" s="8"/>
      <c r="Y122" s="2"/>
      <c r="Z122" s="26"/>
      <c r="AA122" s="26"/>
      <c r="AB122" s="26"/>
      <c r="AC122" s="26"/>
      <c r="AD122" s="27"/>
      <c r="AE122" s="30"/>
      <c r="AF122" s="26"/>
      <c r="AG122" s="26"/>
      <c r="AH122" s="32"/>
      <c r="AJ122" s="8"/>
      <c r="AK122" s="2"/>
      <c r="AL122" s="26"/>
      <c r="AM122" s="26"/>
      <c r="AN122" s="26"/>
      <c r="AO122" s="27"/>
      <c r="AP122" s="30"/>
      <c r="AQ122" s="26"/>
      <c r="AR122" s="26"/>
      <c r="AS122" s="32"/>
      <c r="AT122" s="34"/>
    </row>
    <row r="123" spans="2:46" x14ac:dyDescent="0.3">
      <c r="B123" s="8"/>
      <c r="C123" s="2"/>
      <c r="D123" s="26"/>
      <c r="E123" s="26"/>
      <c r="F123" s="27"/>
      <c r="G123" s="26"/>
      <c r="H123" s="26"/>
      <c r="I123" s="27"/>
      <c r="J123" s="26"/>
      <c r="K123" s="26"/>
      <c r="L123" s="67"/>
      <c r="N123" s="8"/>
      <c r="O123" s="2"/>
      <c r="P123" s="26"/>
      <c r="Q123" s="27"/>
      <c r="R123" s="30"/>
      <c r="S123" s="27"/>
      <c r="T123" s="30"/>
      <c r="U123" s="34"/>
      <c r="V123" s="34"/>
      <c r="X123" s="8"/>
      <c r="Y123" s="2"/>
      <c r="Z123" s="26"/>
      <c r="AA123" s="26"/>
      <c r="AB123" s="26"/>
      <c r="AC123" s="26"/>
      <c r="AD123" s="27"/>
      <c r="AE123" s="30"/>
      <c r="AF123" s="26"/>
      <c r="AG123" s="26"/>
      <c r="AH123" s="32"/>
      <c r="AJ123" s="8"/>
      <c r="AK123" s="2"/>
      <c r="AL123" s="26"/>
      <c r="AM123" s="26"/>
      <c r="AN123" s="26"/>
      <c r="AO123" s="27"/>
      <c r="AP123" s="30"/>
      <c r="AQ123" s="26"/>
      <c r="AR123" s="26"/>
      <c r="AS123" s="32"/>
      <c r="AT123" s="34"/>
    </row>
    <row r="124" spans="2:46" x14ac:dyDescent="0.3">
      <c r="B124" s="8"/>
      <c r="C124" s="2"/>
      <c r="D124" s="26"/>
      <c r="E124" s="26"/>
      <c r="F124" s="27"/>
      <c r="G124" s="26"/>
      <c r="H124" s="26"/>
      <c r="I124" s="27"/>
      <c r="J124" s="26"/>
      <c r="K124" s="26"/>
      <c r="L124" s="67"/>
      <c r="N124" s="8"/>
      <c r="O124" s="2"/>
      <c r="P124" s="26"/>
      <c r="Q124" s="27"/>
      <c r="R124" s="30"/>
      <c r="S124" s="27"/>
      <c r="T124" s="30"/>
      <c r="U124" s="34"/>
      <c r="V124" s="34"/>
      <c r="X124" s="8"/>
      <c r="Y124" s="2"/>
      <c r="Z124" s="26"/>
      <c r="AA124" s="26"/>
      <c r="AB124" s="26"/>
      <c r="AC124" s="26"/>
      <c r="AD124" s="27"/>
      <c r="AE124" s="30"/>
      <c r="AF124" s="26"/>
      <c r="AG124" s="26"/>
      <c r="AH124" s="32"/>
      <c r="AJ124" s="8"/>
      <c r="AK124" s="2"/>
      <c r="AL124" s="26"/>
      <c r="AM124" s="26"/>
      <c r="AN124" s="26"/>
      <c r="AO124" s="27"/>
      <c r="AP124" s="30"/>
      <c r="AQ124" s="26"/>
      <c r="AR124" s="26"/>
      <c r="AS124" s="32"/>
      <c r="AT124" s="34"/>
    </row>
    <row r="125" spans="2:46" x14ac:dyDescent="0.3">
      <c r="B125" s="8"/>
      <c r="C125" s="2"/>
      <c r="D125" s="26"/>
      <c r="E125" s="26"/>
      <c r="F125" s="27"/>
      <c r="G125" s="26"/>
      <c r="H125" s="26"/>
      <c r="I125" s="27"/>
      <c r="J125" s="26"/>
      <c r="K125" s="26"/>
      <c r="L125" s="67"/>
      <c r="N125" s="8"/>
      <c r="O125" s="2"/>
      <c r="P125" s="26"/>
      <c r="Q125" s="27"/>
      <c r="R125" s="30"/>
      <c r="S125" s="27"/>
      <c r="T125" s="30"/>
      <c r="U125" s="34"/>
      <c r="V125" s="34"/>
      <c r="X125" s="8"/>
      <c r="Y125" s="2"/>
      <c r="Z125" s="26"/>
      <c r="AA125" s="26"/>
      <c r="AB125" s="26"/>
      <c r="AC125" s="26"/>
      <c r="AD125" s="27"/>
      <c r="AE125" s="30"/>
      <c r="AF125" s="26"/>
      <c r="AG125" s="26"/>
      <c r="AH125" s="32"/>
      <c r="AJ125" s="8"/>
      <c r="AK125" s="2"/>
      <c r="AL125" s="26"/>
      <c r="AM125" s="26"/>
      <c r="AN125" s="26"/>
      <c r="AO125" s="27"/>
      <c r="AP125" s="30"/>
      <c r="AQ125" s="26"/>
      <c r="AR125" s="26"/>
      <c r="AS125" s="32"/>
      <c r="AT125" s="34"/>
    </row>
    <row r="126" spans="2:46" x14ac:dyDescent="0.3">
      <c r="B126" s="8"/>
      <c r="C126" s="2"/>
      <c r="D126" s="26"/>
      <c r="E126" s="26"/>
      <c r="F126" s="27"/>
      <c r="G126" s="26"/>
      <c r="H126" s="26"/>
      <c r="I126" s="27"/>
      <c r="J126" s="26"/>
      <c r="K126" s="26"/>
      <c r="L126" s="67"/>
      <c r="N126" s="8"/>
      <c r="O126" s="2"/>
      <c r="P126" s="26"/>
      <c r="Q126" s="27"/>
      <c r="R126" s="30"/>
      <c r="S126" s="27"/>
      <c r="T126" s="30"/>
      <c r="U126" s="34"/>
      <c r="V126" s="34"/>
      <c r="X126" s="8"/>
      <c r="Y126" s="2"/>
      <c r="Z126" s="26"/>
      <c r="AA126" s="26"/>
      <c r="AB126" s="26"/>
      <c r="AC126" s="26"/>
      <c r="AD126" s="27"/>
      <c r="AE126" s="30"/>
      <c r="AF126" s="26"/>
      <c r="AG126" s="26"/>
      <c r="AH126" s="32"/>
      <c r="AJ126" s="8"/>
      <c r="AK126" s="2"/>
      <c r="AL126" s="26"/>
      <c r="AM126" s="26"/>
      <c r="AN126" s="26"/>
      <c r="AO126" s="27"/>
      <c r="AP126" s="30"/>
      <c r="AQ126" s="26"/>
      <c r="AR126" s="26"/>
      <c r="AS126" s="32"/>
      <c r="AT126" s="34"/>
    </row>
    <row r="127" spans="2:46" x14ac:dyDescent="0.3">
      <c r="B127" s="8"/>
      <c r="C127" s="2"/>
      <c r="D127" s="26"/>
      <c r="E127" s="26"/>
      <c r="F127" s="27"/>
      <c r="G127" s="26"/>
      <c r="H127" s="26"/>
      <c r="I127" s="27"/>
      <c r="J127" s="26"/>
      <c r="K127" s="26"/>
      <c r="L127" s="67"/>
      <c r="N127" s="8"/>
      <c r="O127" s="2"/>
      <c r="P127" s="26"/>
      <c r="Q127" s="27"/>
      <c r="R127" s="30"/>
      <c r="S127" s="27"/>
      <c r="T127" s="30"/>
      <c r="U127" s="34"/>
      <c r="V127" s="34"/>
      <c r="X127" s="8"/>
      <c r="Y127" s="2"/>
      <c r="Z127" s="26"/>
      <c r="AA127" s="26"/>
      <c r="AB127" s="26"/>
      <c r="AC127" s="26"/>
      <c r="AD127" s="27"/>
      <c r="AE127" s="30"/>
      <c r="AF127" s="26"/>
      <c r="AG127" s="26"/>
      <c r="AH127" s="32"/>
      <c r="AJ127" s="8"/>
      <c r="AK127" s="2"/>
      <c r="AL127" s="26"/>
      <c r="AM127" s="26"/>
      <c r="AN127" s="26"/>
      <c r="AO127" s="27"/>
      <c r="AP127" s="30"/>
      <c r="AQ127" s="26"/>
      <c r="AR127" s="26"/>
      <c r="AS127" s="32"/>
      <c r="AT127" s="34"/>
    </row>
    <row r="128" spans="2:46" x14ac:dyDescent="0.3">
      <c r="B128" s="8"/>
      <c r="C128" s="2"/>
      <c r="D128" s="26"/>
      <c r="E128" s="26"/>
      <c r="F128" s="27"/>
      <c r="G128" s="26"/>
      <c r="H128" s="26"/>
      <c r="I128" s="27"/>
      <c r="J128" s="26"/>
      <c r="K128" s="26"/>
      <c r="L128" s="67"/>
      <c r="N128" s="8"/>
      <c r="O128" s="2"/>
      <c r="P128" s="26"/>
      <c r="Q128" s="27"/>
      <c r="R128" s="30"/>
      <c r="S128" s="27"/>
      <c r="T128" s="30"/>
      <c r="U128" s="34"/>
      <c r="V128" s="34"/>
      <c r="X128" s="8"/>
      <c r="Y128" s="2"/>
      <c r="Z128" s="26"/>
      <c r="AA128" s="26"/>
      <c r="AB128" s="26"/>
      <c r="AC128" s="26"/>
      <c r="AD128" s="27"/>
      <c r="AE128" s="30"/>
      <c r="AF128" s="26"/>
      <c r="AG128" s="26"/>
      <c r="AH128" s="32"/>
      <c r="AJ128" s="8"/>
      <c r="AK128" s="2"/>
      <c r="AL128" s="26"/>
      <c r="AM128" s="26"/>
      <c r="AN128" s="26"/>
      <c r="AO128" s="27"/>
      <c r="AP128" s="30"/>
      <c r="AQ128" s="26"/>
      <c r="AR128" s="26"/>
      <c r="AS128" s="32"/>
      <c r="AT128" s="34"/>
    </row>
    <row r="129" spans="2:46" x14ac:dyDescent="0.3">
      <c r="B129" s="8"/>
      <c r="C129" s="2"/>
      <c r="D129" s="26"/>
      <c r="E129" s="26"/>
      <c r="F129" s="27"/>
      <c r="G129" s="26"/>
      <c r="H129" s="26"/>
      <c r="I129" s="27"/>
      <c r="J129" s="26"/>
      <c r="K129" s="26"/>
      <c r="L129" s="67"/>
      <c r="N129" s="8"/>
      <c r="O129" s="2"/>
      <c r="P129" s="26"/>
      <c r="Q129" s="27"/>
      <c r="R129" s="30"/>
      <c r="S129" s="27"/>
      <c r="T129" s="30"/>
      <c r="U129" s="34"/>
      <c r="V129" s="34"/>
      <c r="X129" s="8"/>
      <c r="Y129" s="2"/>
      <c r="Z129" s="26"/>
      <c r="AA129" s="26"/>
      <c r="AB129" s="26"/>
      <c r="AC129" s="26"/>
      <c r="AD129" s="27"/>
      <c r="AE129" s="30"/>
      <c r="AF129" s="26"/>
      <c r="AG129" s="26"/>
      <c r="AH129" s="32"/>
      <c r="AJ129" s="8"/>
      <c r="AK129" s="2"/>
      <c r="AL129" s="26"/>
      <c r="AM129" s="26"/>
      <c r="AN129" s="26"/>
      <c r="AO129" s="27"/>
      <c r="AP129" s="30"/>
      <c r="AQ129" s="26"/>
      <c r="AR129" s="26"/>
      <c r="AS129" s="32"/>
      <c r="AT129" s="34"/>
    </row>
    <row r="130" spans="2:46" x14ac:dyDescent="0.3">
      <c r="B130" s="8"/>
      <c r="C130" s="2"/>
      <c r="D130" s="26"/>
      <c r="E130" s="26"/>
      <c r="F130" s="27"/>
      <c r="G130" s="26"/>
      <c r="H130" s="26"/>
      <c r="I130" s="27"/>
      <c r="J130" s="26"/>
      <c r="K130" s="26"/>
      <c r="L130" s="67"/>
      <c r="N130" s="8"/>
      <c r="O130" s="2"/>
      <c r="P130" s="26"/>
      <c r="Q130" s="27"/>
      <c r="R130" s="30"/>
      <c r="S130" s="27"/>
      <c r="T130" s="30"/>
      <c r="U130" s="34"/>
      <c r="V130" s="34"/>
      <c r="X130" s="8"/>
      <c r="Y130" s="2"/>
      <c r="Z130" s="26"/>
      <c r="AA130" s="26"/>
      <c r="AB130" s="26"/>
      <c r="AC130" s="26"/>
      <c r="AD130" s="27"/>
      <c r="AE130" s="30"/>
      <c r="AF130" s="26"/>
      <c r="AG130" s="26"/>
      <c r="AH130" s="32"/>
      <c r="AJ130" s="8"/>
      <c r="AK130" s="2"/>
      <c r="AL130" s="26"/>
      <c r="AM130" s="26"/>
      <c r="AN130" s="26"/>
      <c r="AO130" s="27"/>
      <c r="AP130" s="30"/>
      <c r="AQ130" s="26"/>
      <c r="AR130" s="26"/>
      <c r="AS130" s="32"/>
      <c r="AT130" s="34"/>
    </row>
    <row r="131" spans="2:46" x14ac:dyDescent="0.3">
      <c r="B131" s="8"/>
      <c r="C131" s="2"/>
      <c r="D131" s="26"/>
      <c r="E131" s="26"/>
      <c r="F131" s="27"/>
      <c r="G131" s="26"/>
      <c r="H131" s="26"/>
      <c r="I131" s="27"/>
      <c r="J131" s="26"/>
      <c r="K131" s="26"/>
      <c r="L131" s="67"/>
      <c r="N131" s="8"/>
      <c r="O131" s="2"/>
      <c r="P131" s="26"/>
      <c r="Q131" s="27"/>
      <c r="R131" s="30"/>
      <c r="S131" s="27"/>
      <c r="T131" s="30"/>
      <c r="U131" s="34"/>
      <c r="V131" s="34"/>
      <c r="X131" s="8"/>
      <c r="Y131" s="2"/>
      <c r="Z131" s="26"/>
      <c r="AA131" s="26"/>
      <c r="AB131" s="26"/>
      <c r="AC131" s="26"/>
      <c r="AD131" s="27"/>
      <c r="AE131" s="30"/>
      <c r="AF131" s="26"/>
      <c r="AG131" s="26"/>
      <c r="AH131" s="32"/>
      <c r="AJ131" s="8"/>
      <c r="AK131" s="2"/>
      <c r="AL131" s="26"/>
      <c r="AM131" s="26"/>
      <c r="AN131" s="26"/>
      <c r="AO131" s="27"/>
      <c r="AP131" s="30"/>
      <c r="AQ131" s="26"/>
      <c r="AR131" s="26"/>
      <c r="AS131" s="32"/>
      <c r="AT131" s="34"/>
    </row>
    <row r="132" spans="2:46" x14ac:dyDescent="0.3">
      <c r="B132" s="8"/>
      <c r="C132" s="2"/>
      <c r="D132" s="26"/>
      <c r="E132" s="26"/>
      <c r="F132" s="27"/>
      <c r="G132" s="26"/>
      <c r="H132" s="26"/>
      <c r="I132" s="27"/>
      <c r="J132" s="26"/>
      <c r="K132" s="26"/>
      <c r="L132" s="67"/>
      <c r="N132" s="8"/>
      <c r="O132" s="2"/>
      <c r="P132" s="26"/>
      <c r="Q132" s="27"/>
      <c r="R132" s="30"/>
      <c r="S132" s="27"/>
      <c r="T132" s="30"/>
      <c r="U132" s="34"/>
      <c r="V132" s="34"/>
      <c r="X132" s="8"/>
      <c r="Y132" s="2"/>
      <c r="Z132" s="26"/>
      <c r="AA132" s="26"/>
      <c r="AB132" s="26"/>
      <c r="AC132" s="26"/>
      <c r="AD132" s="27"/>
      <c r="AE132" s="30"/>
      <c r="AF132" s="26"/>
      <c r="AG132" s="26"/>
      <c r="AH132" s="32"/>
      <c r="AJ132" s="8"/>
      <c r="AK132" s="2"/>
      <c r="AL132" s="26"/>
      <c r="AM132" s="26"/>
      <c r="AN132" s="26"/>
      <c r="AO132" s="27"/>
      <c r="AP132" s="30"/>
      <c r="AQ132" s="26"/>
      <c r="AR132" s="26"/>
      <c r="AS132" s="32"/>
      <c r="AT132" s="34"/>
    </row>
    <row r="133" spans="2:46" x14ac:dyDescent="0.3">
      <c r="B133" s="8"/>
      <c r="C133" s="2"/>
      <c r="D133" s="26"/>
      <c r="E133" s="26"/>
      <c r="F133" s="27"/>
      <c r="G133" s="26"/>
      <c r="H133" s="26"/>
      <c r="I133" s="27"/>
      <c r="J133" s="26"/>
      <c r="K133" s="26"/>
      <c r="L133" s="67"/>
      <c r="N133" s="8"/>
      <c r="O133" s="2"/>
      <c r="P133" s="26"/>
      <c r="Q133" s="27"/>
      <c r="R133" s="30"/>
      <c r="S133" s="27"/>
      <c r="T133" s="30"/>
      <c r="U133" s="34"/>
      <c r="V133" s="34"/>
      <c r="X133" s="8"/>
      <c r="Y133" s="2"/>
      <c r="Z133" s="26"/>
      <c r="AA133" s="26"/>
      <c r="AB133" s="26"/>
      <c r="AC133" s="26"/>
      <c r="AD133" s="27"/>
      <c r="AE133" s="30"/>
      <c r="AF133" s="26"/>
      <c r="AG133" s="26"/>
      <c r="AH133" s="32"/>
      <c r="AJ133" s="8"/>
      <c r="AK133" s="2"/>
      <c r="AL133" s="26"/>
      <c r="AM133" s="26"/>
      <c r="AN133" s="26"/>
      <c r="AO133" s="27"/>
      <c r="AP133" s="30"/>
      <c r="AQ133" s="26"/>
      <c r="AR133" s="26"/>
      <c r="AS133" s="32"/>
      <c r="AT133" s="34"/>
    </row>
    <row r="134" spans="2:46" x14ac:dyDescent="0.3">
      <c r="B134" s="8"/>
      <c r="C134" s="2"/>
      <c r="D134" s="26"/>
      <c r="E134" s="26"/>
      <c r="F134" s="27"/>
      <c r="G134" s="26"/>
      <c r="H134" s="26"/>
      <c r="I134" s="27"/>
      <c r="J134" s="26"/>
      <c r="K134" s="26"/>
      <c r="L134" s="67"/>
      <c r="N134" s="8"/>
      <c r="O134" s="2"/>
      <c r="P134" s="26"/>
      <c r="Q134" s="27"/>
      <c r="R134" s="30"/>
      <c r="S134" s="27"/>
      <c r="T134" s="30"/>
      <c r="U134" s="34"/>
      <c r="V134" s="34"/>
      <c r="X134" s="8"/>
      <c r="Y134" s="2"/>
      <c r="Z134" s="26"/>
      <c r="AA134" s="26"/>
      <c r="AB134" s="26"/>
      <c r="AC134" s="26"/>
      <c r="AD134" s="27"/>
      <c r="AE134" s="30"/>
      <c r="AF134" s="26"/>
      <c r="AG134" s="26"/>
      <c r="AH134" s="32"/>
      <c r="AJ134" s="8"/>
      <c r="AK134" s="2"/>
      <c r="AL134" s="26"/>
      <c r="AM134" s="26"/>
      <c r="AN134" s="26"/>
      <c r="AO134" s="27"/>
      <c r="AP134" s="30"/>
      <c r="AQ134" s="26"/>
      <c r="AR134" s="26"/>
      <c r="AS134" s="32"/>
      <c r="AT134" s="34"/>
    </row>
    <row r="135" spans="2:46" x14ac:dyDescent="0.3">
      <c r="B135" s="8"/>
      <c r="C135" s="2"/>
      <c r="D135" s="26"/>
      <c r="E135" s="26"/>
      <c r="F135" s="27"/>
      <c r="G135" s="26"/>
      <c r="H135" s="26"/>
      <c r="I135" s="27"/>
      <c r="J135" s="26"/>
      <c r="K135" s="26"/>
      <c r="L135" s="67"/>
      <c r="N135" s="8"/>
      <c r="O135" s="2"/>
      <c r="P135" s="26"/>
      <c r="Q135" s="27"/>
      <c r="R135" s="30"/>
      <c r="S135" s="27"/>
      <c r="T135" s="30"/>
      <c r="U135" s="34"/>
      <c r="V135" s="34"/>
      <c r="X135" s="8"/>
      <c r="Y135" s="2"/>
      <c r="Z135" s="26"/>
      <c r="AA135" s="26"/>
      <c r="AB135" s="26"/>
      <c r="AC135" s="26"/>
      <c r="AD135" s="27"/>
      <c r="AE135" s="30"/>
      <c r="AF135" s="26"/>
      <c r="AG135" s="26"/>
      <c r="AH135" s="32"/>
      <c r="AJ135" s="8"/>
      <c r="AK135" s="2"/>
      <c r="AL135" s="26"/>
      <c r="AM135" s="26"/>
      <c r="AN135" s="26"/>
      <c r="AO135" s="27"/>
      <c r="AP135" s="30"/>
      <c r="AQ135" s="26"/>
      <c r="AR135" s="26"/>
      <c r="AS135" s="32"/>
      <c r="AT135" s="34"/>
    </row>
    <row r="136" spans="2:46" x14ac:dyDescent="0.3">
      <c r="B136" s="8"/>
      <c r="C136" s="2"/>
      <c r="D136" s="26"/>
      <c r="E136" s="26"/>
      <c r="F136" s="27"/>
      <c r="G136" s="26"/>
      <c r="H136" s="26"/>
      <c r="I136" s="27"/>
      <c r="J136" s="26"/>
      <c r="K136" s="26"/>
      <c r="L136" s="67"/>
      <c r="N136" s="8"/>
      <c r="O136" s="2"/>
      <c r="P136" s="26"/>
      <c r="Q136" s="27"/>
      <c r="R136" s="30"/>
      <c r="S136" s="27"/>
      <c r="T136" s="30"/>
      <c r="U136" s="34"/>
      <c r="V136" s="34"/>
      <c r="X136" s="8"/>
      <c r="Y136" s="2"/>
      <c r="Z136" s="26"/>
      <c r="AA136" s="26"/>
      <c r="AB136" s="26"/>
      <c r="AC136" s="26"/>
      <c r="AD136" s="27"/>
      <c r="AE136" s="30"/>
      <c r="AF136" s="26"/>
      <c r="AG136" s="26"/>
      <c r="AH136" s="32"/>
      <c r="AJ136" s="8"/>
      <c r="AK136" s="2"/>
      <c r="AL136" s="26"/>
      <c r="AM136" s="26"/>
      <c r="AN136" s="26"/>
      <c r="AO136" s="27"/>
      <c r="AP136" s="30"/>
      <c r="AQ136" s="26"/>
      <c r="AR136" s="26"/>
      <c r="AS136" s="32"/>
      <c r="AT136" s="34"/>
    </row>
    <row r="137" spans="2:46" x14ac:dyDescent="0.3">
      <c r="B137" s="8"/>
      <c r="C137" s="2"/>
      <c r="D137" s="26"/>
      <c r="E137" s="26"/>
      <c r="F137" s="27"/>
      <c r="G137" s="26"/>
      <c r="H137" s="26"/>
      <c r="I137" s="27"/>
      <c r="J137" s="26"/>
      <c r="K137" s="26"/>
      <c r="L137" s="67"/>
      <c r="N137" s="8"/>
      <c r="O137" s="2"/>
      <c r="P137" s="26"/>
      <c r="Q137" s="27"/>
      <c r="R137" s="30"/>
      <c r="S137" s="27"/>
      <c r="T137" s="30"/>
      <c r="U137" s="34"/>
      <c r="V137" s="34"/>
      <c r="X137" s="8"/>
      <c r="Y137" s="2"/>
      <c r="Z137" s="26"/>
      <c r="AA137" s="26"/>
      <c r="AB137" s="26"/>
      <c r="AC137" s="26"/>
      <c r="AD137" s="27"/>
      <c r="AE137" s="30"/>
      <c r="AF137" s="26"/>
      <c r="AG137" s="26"/>
      <c r="AH137" s="32"/>
      <c r="AJ137" s="8"/>
      <c r="AK137" s="2"/>
      <c r="AL137" s="26"/>
      <c r="AM137" s="26"/>
      <c r="AN137" s="26"/>
      <c r="AO137" s="27"/>
      <c r="AP137" s="30"/>
      <c r="AQ137" s="26"/>
      <c r="AR137" s="26"/>
      <c r="AS137" s="32"/>
      <c r="AT137" s="34"/>
    </row>
    <row r="138" spans="2:46" x14ac:dyDescent="0.3">
      <c r="B138" s="8"/>
      <c r="C138" s="2"/>
      <c r="D138" s="26"/>
      <c r="E138" s="26"/>
      <c r="F138" s="27"/>
      <c r="G138" s="26"/>
      <c r="H138" s="26"/>
      <c r="I138" s="27"/>
      <c r="J138" s="26"/>
      <c r="K138" s="26"/>
      <c r="L138" s="67"/>
      <c r="N138" s="8"/>
      <c r="O138" s="2"/>
      <c r="P138" s="26"/>
      <c r="Q138" s="27"/>
      <c r="R138" s="30"/>
      <c r="S138" s="27"/>
      <c r="T138" s="30"/>
      <c r="U138" s="34"/>
      <c r="V138" s="34"/>
      <c r="X138" s="8"/>
      <c r="Y138" s="2"/>
      <c r="Z138" s="26"/>
      <c r="AA138" s="26"/>
      <c r="AB138" s="26"/>
      <c r="AC138" s="26"/>
      <c r="AD138" s="27"/>
      <c r="AE138" s="30"/>
      <c r="AF138" s="26"/>
      <c r="AG138" s="26"/>
      <c r="AH138" s="32"/>
      <c r="AJ138" s="8"/>
      <c r="AK138" s="2"/>
      <c r="AL138" s="26"/>
      <c r="AM138" s="26"/>
      <c r="AN138" s="26"/>
      <c r="AO138" s="27"/>
      <c r="AP138" s="30"/>
      <c r="AQ138" s="26"/>
      <c r="AR138" s="26"/>
      <c r="AS138" s="32"/>
      <c r="AT138" s="34"/>
    </row>
    <row r="139" spans="2:46" x14ac:dyDescent="0.3">
      <c r="B139" s="8"/>
      <c r="C139" s="2"/>
      <c r="D139" s="26"/>
      <c r="E139" s="26"/>
      <c r="F139" s="27"/>
      <c r="G139" s="26"/>
      <c r="H139" s="26"/>
      <c r="I139" s="27"/>
      <c r="J139" s="26"/>
      <c r="K139" s="26"/>
      <c r="L139" s="67"/>
      <c r="N139" s="8"/>
      <c r="O139" s="2"/>
      <c r="P139" s="26"/>
      <c r="Q139" s="27"/>
      <c r="R139" s="30"/>
      <c r="S139" s="27"/>
      <c r="T139" s="30"/>
      <c r="U139" s="34"/>
      <c r="V139" s="34"/>
      <c r="X139" s="8"/>
      <c r="Y139" s="2"/>
      <c r="Z139" s="26"/>
      <c r="AA139" s="26"/>
      <c r="AB139" s="26"/>
      <c r="AC139" s="26"/>
      <c r="AD139" s="27"/>
      <c r="AE139" s="30"/>
      <c r="AF139" s="26"/>
      <c r="AG139" s="26"/>
      <c r="AH139" s="32"/>
      <c r="AJ139" s="8"/>
      <c r="AK139" s="2"/>
      <c r="AL139" s="26"/>
      <c r="AM139" s="26"/>
      <c r="AN139" s="26"/>
      <c r="AO139" s="27"/>
      <c r="AP139" s="30"/>
      <c r="AQ139" s="26"/>
      <c r="AR139" s="26"/>
      <c r="AS139" s="32"/>
      <c r="AT139" s="34"/>
    </row>
    <row r="140" spans="2:46" x14ac:dyDescent="0.3">
      <c r="B140" s="8"/>
      <c r="C140" s="2"/>
      <c r="D140" s="26"/>
      <c r="E140" s="26"/>
      <c r="F140" s="27"/>
      <c r="G140" s="26"/>
      <c r="H140" s="26"/>
      <c r="I140" s="27"/>
      <c r="J140" s="26"/>
      <c r="K140" s="26"/>
      <c r="L140" s="67"/>
      <c r="N140" s="8"/>
      <c r="O140" s="2"/>
      <c r="P140" s="26"/>
      <c r="Q140" s="27"/>
      <c r="R140" s="30"/>
      <c r="S140" s="27"/>
      <c r="T140" s="30"/>
      <c r="U140" s="34"/>
      <c r="V140" s="34"/>
      <c r="X140" s="8"/>
      <c r="Y140" s="2"/>
      <c r="Z140" s="26"/>
      <c r="AA140" s="26"/>
      <c r="AB140" s="26"/>
      <c r="AC140" s="26"/>
      <c r="AD140" s="27"/>
      <c r="AE140" s="30"/>
      <c r="AF140" s="26"/>
      <c r="AG140" s="26"/>
      <c r="AH140" s="32"/>
      <c r="AJ140" s="8"/>
      <c r="AK140" s="2"/>
      <c r="AL140" s="26"/>
      <c r="AM140" s="26"/>
      <c r="AN140" s="26"/>
      <c r="AO140" s="27"/>
      <c r="AP140" s="30"/>
      <c r="AQ140" s="26"/>
      <c r="AR140" s="26"/>
      <c r="AS140" s="32"/>
      <c r="AT140" s="34"/>
    </row>
    <row r="141" spans="2:46" x14ac:dyDescent="0.3">
      <c r="B141" s="8"/>
      <c r="C141" s="2"/>
      <c r="D141" s="26"/>
      <c r="E141" s="26"/>
      <c r="F141" s="27"/>
      <c r="G141" s="26"/>
      <c r="H141" s="26"/>
      <c r="I141" s="27"/>
      <c r="J141" s="26"/>
      <c r="K141" s="26"/>
      <c r="L141" s="67"/>
      <c r="N141" s="8"/>
      <c r="O141" s="2"/>
      <c r="P141" s="26"/>
      <c r="Q141" s="27"/>
      <c r="R141" s="30"/>
      <c r="S141" s="27"/>
      <c r="T141" s="30"/>
      <c r="U141" s="34"/>
      <c r="V141" s="34"/>
      <c r="X141" s="8"/>
      <c r="Y141" s="2"/>
      <c r="Z141" s="26"/>
      <c r="AA141" s="26"/>
      <c r="AB141" s="26"/>
      <c r="AC141" s="26"/>
      <c r="AD141" s="27"/>
      <c r="AE141" s="30"/>
      <c r="AF141" s="26"/>
      <c r="AG141" s="26"/>
      <c r="AH141" s="32"/>
      <c r="AJ141" s="8"/>
      <c r="AK141" s="2"/>
      <c r="AL141" s="26"/>
      <c r="AM141" s="26"/>
      <c r="AN141" s="26"/>
      <c r="AO141" s="27"/>
      <c r="AP141" s="30"/>
      <c r="AQ141" s="26"/>
      <c r="AR141" s="26"/>
      <c r="AS141" s="32"/>
      <c r="AT141" s="34"/>
    </row>
    <row r="142" spans="2:46" x14ac:dyDescent="0.3">
      <c r="B142" s="8"/>
      <c r="C142" s="2"/>
      <c r="D142" s="26"/>
      <c r="E142" s="26"/>
      <c r="F142" s="27"/>
      <c r="G142" s="26"/>
      <c r="H142" s="26"/>
      <c r="I142" s="27"/>
      <c r="J142" s="26"/>
      <c r="K142" s="26"/>
      <c r="L142" s="67"/>
      <c r="N142" s="8"/>
      <c r="O142" s="2"/>
      <c r="P142" s="26"/>
      <c r="Q142" s="27"/>
      <c r="R142" s="30"/>
      <c r="S142" s="27"/>
      <c r="T142" s="30"/>
      <c r="U142" s="34"/>
      <c r="V142" s="34"/>
      <c r="X142" s="8"/>
      <c r="Y142" s="2"/>
      <c r="Z142" s="26"/>
      <c r="AA142" s="26"/>
      <c r="AB142" s="26"/>
      <c r="AC142" s="26"/>
      <c r="AD142" s="27"/>
      <c r="AE142" s="30"/>
      <c r="AF142" s="26"/>
      <c r="AG142" s="26"/>
      <c r="AH142" s="32"/>
      <c r="AJ142" s="8"/>
      <c r="AK142" s="2"/>
      <c r="AL142" s="26"/>
      <c r="AM142" s="26"/>
      <c r="AN142" s="26"/>
      <c r="AO142" s="27"/>
      <c r="AP142" s="30"/>
      <c r="AQ142" s="26"/>
      <c r="AR142" s="26"/>
      <c r="AS142" s="32"/>
      <c r="AT142" s="34"/>
    </row>
    <row r="143" spans="2:46" x14ac:dyDescent="0.3">
      <c r="B143" s="8"/>
      <c r="C143" s="2"/>
      <c r="D143" s="26"/>
      <c r="E143" s="26"/>
      <c r="F143" s="27"/>
      <c r="G143" s="26"/>
      <c r="H143" s="26"/>
      <c r="I143" s="27"/>
      <c r="J143" s="26"/>
      <c r="K143" s="26"/>
      <c r="L143" s="67"/>
      <c r="N143" s="8"/>
      <c r="O143" s="2"/>
      <c r="P143" s="26"/>
      <c r="Q143" s="27"/>
      <c r="R143" s="30"/>
      <c r="S143" s="27"/>
      <c r="T143" s="30"/>
      <c r="U143" s="34"/>
      <c r="V143" s="34"/>
      <c r="X143" s="8"/>
      <c r="Y143" s="2"/>
      <c r="Z143" s="26"/>
      <c r="AA143" s="26"/>
      <c r="AB143" s="26"/>
      <c r="AC143" s="26"/>
      <c r="AD143" s="27"/>
      <c r="AE143" s="30"/>
      <c r="AF143" s="26"/>
      <c r="AG143" s="26"/>
      <c r="AH143" s="32"/>
      <c r="AJ143" s="8"/>
      <c r="AK143" s="2"/>
      <c r="AL143" s="26"/>
      <c r="AM143" s="26"/>
      <c r="AN143" s="26"/>
      <c r="AO143" s="27"/>
      <c r="AP143" s="30"/>
      <c r="AQ143" s="26"/>
      <c r="AR143" s="26"/>
      <c r="AS143" s="32"/>
      <c r="AT143" s="34"/>
    </row>
    <row r="144" spans="2:46" x14ac:dyDescent="0.3">
      <c r="B144" s="8"/>
      <c r="C144" s="2"/>
      <c r="D144" s="26"/>
      <c r="E144" s="26"/>
      <c r="F144" s="27"/>
      <c r="G144" s="26"/>
      <c r="H144" s="26"/>
      <c r="I144" s="27"/>
      <c r="J144" s="26"/>
      <c r="K144" s="26"/>
      <c r="L144" s="67"/>
      <c r="N144" s="8"/>
      <c r="O144" s="2"/>
      <c r="P144" s="26"/>
      <c r="Q144" s="27"/>
      <c r="R144" s="30"/>
      <c r="S144" s="27"/>
      <c r="T144" s="30"/>
      <c r="U144" s="34"/>
      <c r="V144" s="34"/>
      <c r="X144" s="8"/>
      <c r="Y144" s="2"/>
      <c r="Z144" s="26"/>
      <c r="AA144" s="26"/>
      <c r="AB144" s="26"/>
      <c r="AC144" s="26"/>
      <c r="AD144" s="27"/>
      <c r="AE144" s="30"/>
      <c r="AF144" s="26"/>
      <c r="AG144" s="26"/>
      <c r="AH144" s="32"/>
      <c r="AJ144" s="8"/>
      <c r="AK144" s="2"/>
      <c r="AL144" s="26"/>
      <c r="AM144" s="26"/>
      <c r="AN144" s="26"/>
      <c r="AO144" s="27"/>
      <c r="AP144" s="30"/>
      <c r="AQ144" s="26"/>
      <c r="AR144" s="26"/>
      <c r="AS144" s="32"/>
      <c r="AT144" s="34"/>
    </row>
    <row r="145" spans="2:46" x14ac:dyDescent="0.3">
      <c r="B145" s="8"/>
      <c r="C145" s="2"/>
      <c r="D145" s="26"/>
      <c r="E145" s="26"/>
      <c r="F145" s="27"/>
      <c r="G145" s="26"/>
      <c r="H145" s="26"/>
      <c r="I145" s="27"/>
      <c r="J145" s="26"/>
      <c r="K145" s="26"/>
      <c r="L145" s="67"/>
      <c r="N145" s="8"/>
      <c r="O145" s="2"/>
      <c r="P145" s="26"/>
      <c r="Q145" s="27"/>
      <c r="R145" s="30"/>
      <c r="S145" s="27"/>
      <c r="T145" s="30"/>
      <c r="U145" s="34"/>
      <c r="V145" s="34"/>
      <c r="X145" s="8"/>
      <c r="Y145" s="2"/>
      <c r="Z145" s="26"/>
      <c r="AA145" s="26"/>
      <c r="AB145" s="26"/>
      <c r="AC145" s="26"/>
      <c r="AD145" s="27"/>
      <c r="AE145" s="30"/>
      <c r="AF145" s="26"/>
      <c r="AG145" s="26"/>
      <c r="AH145" s="32"/>
      <c r="AJ145" s="8"/>
      <c r="AK145" s="2"/>
      <c r="AL145" s="26"/>
      <c r="AM145" s="26"/>
      <c r="AN145" s="26"/>
      <c r="AO145" s="27"/>
      <c r="AP145" s="30"/>
      <c r="AQ145" s="26"/>
      <c r="AR145" s="26"/>
      <c r="AS145" s="32"/>
      <c r="AT145" s="34"/>
    </row>
    <row r="146" spans="2:46" x14ac:dyDescent="0.3">
      <c r="B146" s="8"/>
      <c r="C146" s="2"/>
      <c r="D146" s="26"/>
      <c r="E146" s="26"/>
      <c r="F146" s="27"/>
      <c r="G146" s="26"/>
      <c r="H146" s="26"/>
      <c r="I146" s="27"/>
      <c r="J146" s="26"/>
      <c r="K146" s="26"/>
      <c r="L146" s="67"/>
      <c r="N146" s="8"/>
      <c r="O146" s="2"/>
      <c r="P146" s="26"/>
      <c r="Q146" s="27"/>
      <c r="R146" s="30"/>
      <c r="S146" s="27"/>
      <c r="T146" s="30"/>
      <c r="U146" s="34"/>
      <c r="V146" s="34"/>
      <c r="X146" s="8"/>
      <c r="Y146" s="2"/>
      <c r="Z146" s="26"/>
      <c r="AA146" s="26"/>
      <c r="AB146" s="26"/>
      <c r="AC146" s="26"/>
      <c r="AD146" s="27"/>
      <c r="AE146" s="30"/>
      <c r="AF146" s="26"/>
      <c r="AG146" s="26"/>
      <c r="AH146" s="32"/>
      <c r="AJ146" s="8"/>
      <c r="AK146" s="2"/>
      <c r="AL146" s="26"/>
      <c r="AM146" s="26"/>
      <c r="AN146" s="26"/>
      <c r="AO146" s="27"/>
      <c r="AP146" s="30"/>
      <c r="AQ146" s="26"/>
      <c r="AR146" s="26"/>
      <c r="AS146" s="32"/>
      <c r="AT146" s="34"/>
    </row>
    <row r="147" spans="2:46" x14ac:dyDescent="0.3">
      <c r="B147" s="8"/>
      <c r="C147" s="2"/>
      <c r="D147" s="26"/>
      <c r="E147" s="26"/>
      <c r="F147" s="27"/>
      <c r="G147" s="26"/>
      <c r="H147" s="26"/>
      <c r="I147" s="27"/>
      <c r="J147" s="26"/>
      <c r="K147" s="26"/>
      <c r="L147" s="67"/>
      <c r="N147" s="8"/>
      <c r="O147" s="2"/>
      <c r="P147" s="26"/>
      <c r="Q147" s="27"/>
      <c r="R147" s="30"/>
      <c r="S147" s="27"/>
      <c r="T147" s="30"/>
      <c r="U147" s="34"/>
      <c r="V147" s="34"/>
      <c r="X147" s="8"/>
      <c r="Y147" s="2"/>
      <c r="Z147" s="26"/>
      <c r="AA147" s="26"/>
      <c r="AB147" s="26"/>
      <c r="AC147" s="26"/>
      <c r="AD147" s="27"/>
      <c r="AE147" s="30"/>
      <c r="AF147" s="26"/>
      <c r="AG147" s="26"/>
      <c r="AH147" s="32"/>
      <c r="AJ147" s="8"/>
      <c r="AK147" s="2"/>
      <c r="AL147" s="26"/>
      <c r="AM147" s="26"/>
      <c r="AN147" s="26"/>
      <c r="AO147" s="27"/>
      <c r="AP147" s="30"/>
      <c r="AQ147" s="26"/>
      <c r="AR147" s="26"/>
      <c r="AS147" s="32"/>
      <c r="AT147" s="34"/>
    </row>
    <row r="148" spans="2:46" x14ac:dyDescent="0.3">
      <c r="B148" s="8"/>
      <c r="C148" s="2"/>
      <c r="D148" s="26"/>
      <c r="E148" s="26"/>
      <c r="F148" s="27"/>
      <c r="G148" s="26"/>
      <c r="H148" s="26"/>
      <c r="I148" s="27"/>
      <c r="J148" s="26"/>
      <c r="K148" s="26"/>
      <c r="L148" s="67"/>
      <c r="N148" s="8"/>
      <c r="O148" s="2"/>
      <c r="P148" s="26"/>
      <c r="Q148" s="27"/>
      <c r="R148" s="30"/>
      <c r="S148" s="27"/>
      <c r="T148" s="30"/>
      <c r="U148" s="34"/>
      <c r="V148" s="34"/>
      <c r="X148" s="8"/>
      <c r="Y148" s="2"/>
      <c r="Z148" s="26"/>
      <c r="AA148" s="26"/>
      <c r="AB148" s="26"/>
      <c r="AC148" s="26"/>
      <c r="AD148" s="27"/>
      <c r="AE148" s="30"/>
      <c r="AF148" s="26"/>
      <c r="AG148" s="26"/>
      <c r="AH148" s="32"/>
      <c r="AJ148" s="8"/>
      <c r="AK148" s="2"/>
      <c r="AL148" s="26"/>
      <c r="AM148" s="26"/>
      <c r="AN148" s="26"/>
      <c r="AO148" s="27"/>
      <c r="AP148" s="30"/>
      <c r="AQ148" s="26"/>
      <c r="AR148" s="26"/>
      <c r="AS148" s="32"/>
      <c r="AT148" s="34"/>
    </row>
    <row r="149" spans="2:46" x14ac:dyDescent="0.3">
      <c r="B149" s="8"/>
      <c r="C149" s="2"/>
      <c r="D149" s="26"/>
      <c r="E149" s="26"/>
      <c r="F149" s="27"/>
      <c r="G149" s="26"/>
      <c r="H149" s="26"/>
      <c r="I149" s="27"/>
      <c r="J149" s="26"/>
      <c r="K149" s="26"/>
      <c r="L149" s="67"/>
      <c r="N149" s="8"/>
      <c r="O149" s="2"/>
      <c r="P149" s="26"/>
      <c r="Q149" s="27"/>
      <c r="R149" s="30"/>
      <c r="S149" s="27"/>
      <c r="T149" s="30"/>
      <c r="U149" s="34"/>
      <c r="V149" s="34"/>
      <c r="X149" s="8"/>
      <c r="Y149" s="2"/>
      <c r="Z149" s="26"/>
      <c r="AA149" s="26"/>
      <c r="AB149" s="26"/>
      <c r="AC149" s="26"/>
      <c r="AD149" s="27"/>
      <c r="AE149" s="30"/>
      <c r="AF149" s="26"/>
      <c r="AG149" s="26"/>
      <c r="AH149" s="32"/>
      <c r="AJ149" s="8"/>
      <c r="AK149" s="2"/>
      <c r="AL149" s="26"/>
      <c r="AM149" s="26"/>
      <c r="AN149" s="26"/>
      <c r="AO149" s="27"/>
      <c r="AP149" s="30"/>
      <c r="AQ149" s="26"/>
      <c r="AR149" s="26"/>
      <c r="AS149" s="32"/>
      <c r="AT149" s="34"/>
    </row>
    <row r="150" spans="2:46" x14ac:dyDescent="0.3">
      <c r="B150" s="8"/>
      <c r="C150" s="2"/>
      <c r="D150" s="26"/>
      <c r="E150" s="26"/>
      <c r="F150" s="27"/>
      <c r="G150" s="26"/>
      <c r="H150" s="26"/>
      <c r="I150" s="27"/>
      <c r="J150" s="26"/>
      <c r="K150" s="26"/>
      <c r="L150" s="67"/>
      <c r="N150" s="8"/>
      <c r="O150" s="2"/>
      <c r="P150" s="26"/>
      <c r="Q150" s="27"/>
      <c r="R150" s="30"/>
      <c r="S150" s="27"/>
      <c r="T150" s="30"/>
      <c r="U150" s="34"/>
      <c r="V150" s="34"/>
      <c r="X150" s="8"/>
      <c r="Y150" s="2"/>
      <c r="Z150" s="26"/>
      <c r="AA150" s="26"/>
      <c r="AB150" s="26"/>
      <c r="AC150" s="26"/>
      <c r="AD150" s="27"/>
      <c r="AE150" s="30"/>
      <c r="AF150" s="26"/>
      <c r="AG150" s="26"/>
      <c r="AH150" s="32"/>
      <c r="AJ150" s="8"/>
      <c r="AK150" s="2"/>
      <c r="AL150" s="26"/>
      <c r="AM150" s="26"/>
      <c r="AN150" s="26"/>
      <c r="AO150" s="27"/>
      <c r="AP150" s="30"/>
      <c r="AQ150" s="26"/>
      <c r="AR150" s="26"/>
      <c r="AS150" s="32"/>
      <c r="AT150" s="34"/>
    </row>
    <row r="151" spans="2:46" x14ac:dyDescent="0.3">
      <c r="B151" s="8"/>
      <c r="C151" s="2"/>
      <c r="D151" s="26"/>
      <c r="E151" s="26"/>
      <c r="F151" s="27"/>
      <c r="G151" s="26"/>
      <c r="H151" s="26"/>
      <c r="I151" s="27"/>
      <c r="J151" s="26"/>
      <c r="K151" s="26"/>
      <c r="L151" s="67"/>
      <c r="N151" s="8"/>
      <c r="O151" s="2"/>
      <c r="P151" s="26"/>
      <c r="Q151" s="27"/>
      <c r="R151" s="30"/>
      <c r="S151" s="27"/>
      <c r="T151" s="30"/>
      <c r="U151" s="34"/>
      <c r="V151" s="34"/>
      <c r="X151" s="8"/>
      <c r="Y151" s="2"/>
      <c r="Z151" s="26"/>
      <c r="AA151" s="26"/>
      <c r="AB151" s="26"/>
      <c r="AC151" s="26"/>
      <c r="AD151" s="27"/>
      <c r="AE151" s="30"/>
      <c r="AF151" s="26"/>
      <c r="AG151" s="26"/>
      <c r="AH151" s="32"/>
      <c r="AJ151" s="8"/>
      <c r="AK151" s="2"/>
      <c r="AL151" s="26"/>
      <c r="AM151" s="26"/>
      <c r="AN151" s="26"/>
      <c r="AO151" s="27"/>
      <c r="AP151" s="30"/>
      <c r="AQ151" s="26"/>
      <c r="AR151" s="26"/>
      <c r="AS151" s="32"/>
      <c r="AT151" s="34"/>
    </row>
    <row r="152" spans="2:46" x14ac:dyDescent="0.3">
      <c r="B152" s="8"/>
      <c r="C152" s="2"/>
      <c r="D152" s="26"/>
      <c r="E152" s="26"/>
      <c r="F152" s="27"/>
      <c r="G152" s="26"/>
      <c r="H152" s="26"/>
      <c r="I152" s="27"/>
      <c r="J152" s="26"/>
      <c r="K152" s="26"/>
      <c r="L152" s="67"/>
      <c r="N152" s="8"/>
      <c r="O152" s="2"/>
      <c r="P152" s="26"/>
      <c r="Q152" s="27"/>
      <c r="R152" s="30"/>
      <c r="S152" s="27"/>
      <c r="T152" s="30"/>
      <c r="U152" s="34"/>
      <c r="V152" s="34"/>
      <c r="X152" s="8"/>
      <c r="Y152" s="2"/>
      <c r="Z152" s="26"/>
      <c r="AA152" s="26"/>
      <c r="AB152" s="26"/>
      <c r="AC152" s="26"/>
      <c r="AD152" s="27"/>
      <c r="AE152" s="30"/>
      <c r="AF152" s="26"/>
      <c r="AG152" s="26"/>
      <c r="AH152" s="32"/>
      <c r="AJ152" s="8"/>
      <c r="AK152" s="2"/>
      <c r="AL152" s="26"/>
      <c r="AM152" s="26"/>
      <c r="AN152" s="26"/>
      <c r="AO152" s="27"/>
      <c r="AP152" s="30"/>
      <c r="AQ152" s="26"/>
      <c r="AR152" s="26"/>
      <c r="AS152" s="32"/>
      <c r="AT152" s="34"/>
    </row>
    <row r="153" spans="2:46" x14ac:dyDescent="0.3">
      <c r="B153" s="8"/>
      <c r="C153" s="2"/>
      <c r="D153" s="26"/>
      <c r="E153" s="26"/>
      <c r="F153" s="27"/>
      <c r="G153" s="26"/>
      <c r="H153" s="26"/>
      <c r="I153" s="27"/>
      <c r="J153" s="26"/>
      <c r="K153" s="26"/>
      <c r="L153" s="67"/>
      <c r="N153" s="8"/>
      <c r="O153" s="2"/>
      <c r="P153" s="26"/>
      <c r="Q153" s="27"/>
      <c r="R153" s="30"/>
      <c r="S153" s="27"/>
      <c r="T153" s="30"/>
      <c r="U153" s="34"/>
      <c r="V153" s="34"/>
      <c r="X153" s="8"/>
      <c r="Y153" s="2"/>
      <c r="Z153" s="26"/>
      <c r="AA153" s="26"/>
      <c r="AB153" s="26"/>
      <c r="AC153" s="26"/>
      <c r="AD153" s="27"/>
      <c r="AE153" s="30"/>
      <c r="AF153" s="26"/>
      <c r="AG153" s="26"/>
      <c r="AH153" s="32"/>
      <c r="AJ153" s="8"/>
      <c r="AK153" s="2"/>
      <c r="AL153" s="26"/>
      <c r="AM153" s="26"/>
      <c r="AN153" s="26"/>
      <c r="AO153" s="27"/>
      <c r="AP153" s="30"/>
      <c r="AQ153" s="26"/>
      <c r="AR153" s="26"/>
      <c r="AS153" s="32"/>
      <c r="AT153" s="34"/>
    </row>
    <row r="154" spans="2:46" x14ac:dyDescent="0.3">
      <c r="B154" s="8"/>
      <c r="C154" s="2"/>
      <c r="D154" s="26"/>
      <c r="E154" s="26"/>
      <c r="F154" s="27"/>
      <c r="G154" s="26"/>
      <c r="H154" s="26"/>
      <c r="I154" s="27"/>
      <c r="J154" s="26"/>
      <c r="K154" s="26"/>
      <c r="L154" s="67"/>
      <c r="N154" s="8"/>
      <c r="O154" s="2"/>
      <c r="P154" s="26"/>
      <c r="Q154" s="27"/>
      <c r="R154" s="30"/>
      <c r="S154" s="27"/>
      <c r="T154" s="30"/>
      <c r="U154" s="34"/>
      <c r="V154" s="34"/>
      <c r="X154" s="8"/>
      <c r="Y154" s="2"/>
      <c r="Z154" s="26"/>
      <c r="AA154" s="26"/>
      <c r="AB154" s="26"/>
      <c r="AC154" s="26"/>
      <c r="AD154" s="27"/>
      <c r="AE154" s="30"/>
      <c r="AF154" s="26"/>
      <c r="AG154" s="26"/>
      <c r="AH154" s="32"/>
      <c r="AJ154" s="8"/>
      <c r="AK154" s="2"/>
      <c r="AL154" s="26"/>
      <c r="AM154" s="26"/>
      <c r="AN154" s="26"/>
      <c r="AO154" s="27"/>
      <c r="AP154" s="30"/>
      <c r="AQ154" s="26"/>
      <c r="AR154" s="26"/>
      <c r="AS154" s="32"/>
      <c r="AT154" s="34"/>
    </row>
    <row r="155" spans="2:46" x14ac:dyDescent="0.3">
      <c r="B155" s="8"/>
      <c r="C155" s="2"/>
      <c r="D155" s="26"/>
      <c r="E155" s="26"/>
      <c r="F155" s="27"/>
      <c r="G155" s="26"/>
      <c r="H155" s="26"/>
      <c r="I155" s="27"/>
      <c r="J155" s="26"/>
      <c r="K155" s="26"/>
      <c r="L155" s="67"/>
      <c r="N155" s="8"/>
      <c r="O155" s="2"/>
      <c r="P155" s="26"/>
      <c r="Q155" s="27"/>
      <c r="R155" s="30"/>
      <c r="S155" s="27"/>
      <c r="T155" s="30"/>
      <c r="U155" s="34"/>
      <c r="V155" s="34"/>
      <c r="X155" s="8"/>
      <c r="Y155" s="2"/>
      <c r="Z155" s="26"/>
      <c r="AA155" s="26"/>
      <c r="AB155" s="26"/>
      <c r="AC155" s="26"/>
      <c r="AD155" s="27"/>
      <c r="AE155" s="30"/>
      <c r="AF155" s="26"/>
      <c r="AG155" s="26"/>
      <c r="AH155" s="32"/>
      <c r="AJ155" s="8"/>
      <c r="AK155" s="2"/>
      <c r="AL155" s="26"/>
      <c r="AM155" s="26"/>
      <c r="AN155" s="26"/>
      <c r="AO155" s="27"/>
      <c r="AP155" s="30"/>
      <c r="AQ155" s="26"/>
      <c r="AR155" s="26"/>
      <c r="AS155" s="32"/>
      <c r="AT155" s="34"/>
    </row>
    <row r="156" spans="2:46" x14ac:dyDescent="0.3">
      <c r="B156" s="8"/>
      <c r="C156" s="2"/>
      <c r="D156" s="26"/>
      <c r="E156" s="26"/>
      <c r="F156" s="27"/>
      <c r="G156" s="26"/>
      <c r="H156" s="26"/>
      <c r="I156" s="27"/>
      <c r="J156" s="26"/>
      <c r="K156" s="26"/>
      <c r="L156" s="67"/>
      <c r="N156" s="8"/>
      <c r="O156" s="2"/>
      <c r="P156" s="26"/>
      <c r="Q156" s="27"/>
      <c r="R156" s="30"/>
      <c r="S156" s="27"/>
      <c r="T156" s="30"/>
      <c r="U156" s="34"/>
      <c r="V156" s="34"/>
      <c r="X156" s="8"/>
      <c r="Y156" s="2"/>
      <c r="Z156" s="26"/>
      <c r="AA156" s="26"/>
      <c r="AB156" s="26"/>
      <c r="AC156" s="26"/>
      <c r="AD156" s="27"/>
      <c r="AE156" s="30"/>
      <c r="AF156" s="26"/>
      <c r="AG156" s="26"/>
      <c r="AH156" s="32"/>
      <c r="AJ156" s="8"/>
      <c r="AK156" s="2"/>
      <c r="AL156" s="26"/>
      <c r="AM156" s="26"/>
      <c r="AN156" s="26"/>
      <c r="AO156" s="27"/>
      <c r="AP156" s="30"/>
      <c r="AQ156" s="26"/>
      <c r="AR156" s="26"/>
      <c r="AS156" s="32"/>
      <c r="AT156" s="34"/>
    </row>
    <row r="157" spans="2:46" x14ac:dyDescent="0.3">
      <c r="B157" s="8"/>
      <c r="C157" s="2"/>
      <c r="D157" s="26"/>
      <c r="E157" s="26"/>
      <c r="F157" s="27"/>
      <c r="G157" s="26"/>
      <c r="H157" s="26"/>
      <c r="I157" s="27"/>
      <c r="J157" s="26"/>
      <c r="K157" s="26"/>
      <c r="L157" s="67"/>
      <c r="N157" s="8"/>
      <c r="O157" s="2"/>
      <c r="P157" s="26"/>
      <c r="Q157" s="27"/>
      <c r="R157" s="30"/>
      <c r="S157" s="27"/>
      <c r="T157" s="30"/>
      <c r="U157" s="34"/>
      <c r="V157" s="34"/>
      <c r="X157" s="8"/>
      <c r="Y157" s="2"/>
      <c r="Z157" s="26"/>
      <c r="AA157" s="26"/>
      <c r="AB157" s="26"/>
      <c r="AC157" s="26"/>
      <c r="AD157" s="27"/>
      <c r="AE157" s="30"/>
      <c r="AF157" s="26"/>
      <c r="AG157" s="26"/>
      <c r="AH157" s="32"/>
      <c r="AJ157" s="8"/>
      <c r="AK157" s="2"/>
      <c r="AL157" s="26"/>
      <c r="AM157" s="26"/>
      <c r="AN157" s="26"/>
      <c r="AO157" s="27"/>
      <c r="AP157" s="30"/>
      <c r="AQ157" s="26"/>
      <c r="AR157" s="26"/>
      <c r="AS157" s="32"/>
      <c r="AT157" s="34"/>
    </row>
    <row r="158" spans="2:46" x14ac:dyDescent="0.3">
      <c r="B158" s="8"/>
      <c r="C158" s="2"/>
      <c r="D158" s="26"/>
      <c r="E158" s="26"/>
      <c r="F158" s="27"/>
      <c r="G158" s="26"/>
      <c r="H158" s="26"/>
      <c r="I158" s="27"/>
      <c r="J158" s="26"/>
      <c r="K158" s="26"/>
      <c r="L158" s="67"/>
      <c r="N158" s="8"/>
      <c r="O158" s="2"/>
      <c r="P158" s="26"/>
      <c r="Q158" s="27"/>
      <c r="R158" s="30"/>
      <c r="S158" s="27"/>
      <c r="T158" s="30"/>
      <c r="U158" s="34"/>
      <c r="V158" s="34"/>
      <c r="X158" s="8"/>
      <c r="Y158" s="2"/>
      <c r="Z158" s="26"/>
      <c r="AA158" s="26"/>
      <c r="AB158" s="26"/>
      <c r="AC158" s="26"/>
      <c r="AD158" s="27"/>
      <c r="AE158" s="30"/>
      <c r="AF158" s="26"/>
      <c r="AG158" s="26"/>
      <c r="AH158" s="32"/>
      <c r="AJ158" s="8"/>
      <c r="AK158" s="2"/>
      <c r="AL158" s="26"/>
      <c r="AM158" s="26"/>
      <c r="AN158" s="26"/>
      <c r="AO158" s="27"/>
      <c r="AP158" s="30"/>
      <c r="AQ158" s="26"/>
      <c r="AR158" s="26"/>
      <c r="AS158" s="32"/>
      <c r="AT158" s="34"/>
    </row>
    <row r="159" spans="2:46" x14ac:dyDescent="0.3">
      <c r="B159" s="8"/>
      <c r="C159" s="2"/>
      <c r="D159" s="26"/>
      <c r="E159" s="26"/>
      <c r="F159" s="27"/>
      <c r="G159" s="26"/>
      <c r="H159" s="26"/>
      <c r="I159" s="27"/>
      <c r="J159" s="26"/>
      <c r="K159" s="26"/>
      <c r="L159" s="67"/>
      <c r="N159" s="8"/>
      <c r="O159" s="2"/>
      <c r="P159" s="26"/>
      <c r="Q159" s="27"/>
      <c r="R159" s="30"/>
      <c r="S159" s="27"/>
      <c r="T159" s="30"/>
      <c r="U159" s="34"/>
      <c r="V159" s="34"/>
      <c r="X159" s="8"/>
      <c r="Y159" s="2"/>
      <c r="Z159" s="26"/>
      <c r="AA159" s="26"/>
      <c r="AB159" s="26"/>
      <c r="AC159" s="26"/>
      <c r="AD159" s="27"/>
      <c r="AE159" s="30"/>
      <c r="AF159" s="26"/>
      <c r="AG159" s="26"/>
      <c r="AH159" s="32"/>
      <c r="AJ159" s="8"/>
      <c r="AK159" s="2"/>
      <c r="AL159" s="26"/>
      <c r="AM159" s="26"/>
      <c r="AN159" s="26"/>
      <c r="AO159" s="27"/>
      <c r="AP159" s="30"/>
      <c r="AQ159" s="26"/>
      <c r="AR159" s="26"/>
      <c r="AS159" s="32"/>
      <c r="AT159" s="34"/>
    </row>
    <row r="160" spans="2:46" x14ac:dyDescent="0.3">
      <c r="B160" s="8"/>
      <c r="C160" s="2"/>
      <c r="D160" s="26"/>
      <c r="E160" s="26"/>
      <c r="F160" s="27"/>
      <c r="G160" s="26"/>
      <c r="H160" s="26"/>
      <c r="I160" s="27"/>
      <c r="J160" s="26"/>
      <c r="K160" s="26"/>
      <c r="L160" s="67"/>
      <c r="N160" s="8"/>
      <c r="O160" s="2"/>
      <c r="P160" s="26"/>
      <c r="Q160" s="27"/>
      <c r="R160" s="30"/>
      <c r="S160" s="27"/>
      <c r="T160" s="30"/>
      <c r="U160" s="34"/>
      <c r="V160" s="34"/>
      <c r="X160" s="8"/>
      <c r="Y160" s="2"/>
      <c r="Z160" s="26"/>
      <c r="AA160" s="26"/>
      <c r="AB160" s="26"/>
      <c r="AC160" s="26"/>
      <c r="AD160" s="27"/>
      <c r="AE160" s="30"/>
      <c r="AF160" s="26"/>
      <c r="AG160" s="26"/>
      <c r="AH160" s="32"/>
      <c r="AJ160" s="8"/>
      <c r="AK160" s="2"/>
      <c r="AL160" s="26"/>
      <c r="AM160" s="26"/>
      <c r="AN160" s="26"/>
      <c r="AO160" s="27"/>
      <c r="AP160" s="30"/>
      <c r="AQ160" s="26"/>
      <c r="AR160" s="26"/>
      <c r="AS160" s="32"/>
      <c r="AT160" s="34"/>
    </row>
    <row r="161" spans="2:46" x14ac:dyDescent="0.3">
      <c r="B161" s="8"/>
      <c r="C161" s="2"/>
      <c r="D161" s="26"/>
      <c r="E161" s="26"/>
      <c r="F161" s="27"/>
      <c r="G161" s="26"/>
      <c r="H161" s="26"/>
      <c r="I161" s="27"/>
      <c r="J161" s="26"/>
      <c r="K161" s="26"/>
      <c r="L161" s="67"/>
      <c r="N161" s="8"/>
      <c r="O161" s="2"/>
      <c r="P161" s="26"/>
      <c r="Q161" s="27"/>
      <c r="R161" s="30"/>
      <c r="S161" s="27"/>
      <c r="T161" s="30"/>
      <c r="U161" s="34"/>
      <c r="V161" s="34"/>
      <c r="X161" s="8"/>
      <c r="Y161" s="2"/>
      <c r="Z161" s="26"/>
      <c r="AA161" s="26"/>
      <c r="AB161" s="26"/>
      <c r="AC161" s="26"/>
      <c r="AD161" s="27"/>
      <c r="AE161" s="30"/>
      <c r="AF161" s="26"/>
      <c r="AG161" s="26"/>
      <c r="AH161" s="32"/>
      <c r="AJ161" s="8"/>
      <c r="AK161" s="2"/>
      <c r="AL161" s="26"/>
      <c r="AM161" s="26"/>
      <c r="AN161" s="26"/>
      <c r="AO161" s="27"/>
      <c r="AP161" s="30"/>
      <c r="AQ161" s="26"/>
      <c r="AR161" s="26"/>
      <c r="AS161" s="32"/>
      <c r="AT161" s="34"/>
    </row>
    <row r="162" spans="2:46" x14ac:dyDescent="0.3">
      <c r="B162" s="8"/>
      <c r="C162" s="2"/>
      <c r="D162" s="26"/>
      <c r="E162" s="26"/>
      <c r="F162" s="27"/>
      <c r="G162" s="26"/>
      <c r="H162" s="26"/>
      <c r="I162" s="27"/>
      <c r="J162" s="26"/>
      <c r="K162" s="26"/>
      <c r="L162" s="67"/>
      <c r="N162" s="8"/>
      <c r="O162" s="2"/>
      <c r="P162" s="26"/>
      <c r="Q162" s="27"/>
      <c r="R162" s="30"/>
      <c r="S162" s="27"/>
      <c r="T162" s="30"/>
      <c r="U162" s="34"/>
      <c r="V162" s="34"/>
      <c r="X162" s="8"/>
      <c r="Y162" s="2"/>
      <c r="Z162" s="26"/>
      <c r="AA162" s="26"/>
      <c r="AB162" s="26"/>
      <c r="AC162" s="26"/>
      <c r="AD162" s="27"/>
      <c r="AE162" s="30"/>
      <c r="AF162" s="26"/>
      <c r="AG162" s="26"/>
      <c r="AH162" s="32"/>
      <c r="AJ162" s="8"/>
      <c r="AK162" s="2"/>
      <c r="AL162" s="26"/>
      <c r="AM162" s="26"/>
      <c r="AN162" s="26"/>
      <c r="AO162" s="27"/>
      <c r="AP162" s="30"/>
      <c r="AQ162" s="26"/>
      <c r="AR162" s="26"/>
      <c r="AS162" s="32"/>
      <c r="AT162" s="34"/>
    </row>
    <row r="163" spans="2:46" x14ac:dyDescent="0.3">
      <c r="B163" s="8"/>
      <c r="C163" s="2"/>
      <c r="D163" s="26"/>
      <c r="E163" s="26"/>
      <c r="F163" s="27"/>
      <c r="G163" s="26"/>
      <c r="H163" s="26"/>
      <c r="I163" s="27"/>
      <c r="J163" s="26"/>
      <c r="K163" s="26"/>
      <c r="L163" s="67"/>
      <c r="N163" s="8"/>
      <c r="O163" s="2"/>
      <c r="P163" s="26"/>
      <c r="Q163" s="27"/>
      <c r="R163" s="30"/>
      <c r="S163" s="27"/>
      <c r="T163" s="30"/>
      <c r="U163" s="34"/>
      <c r="V163" s="34"/>
      <c r="X163" s="8"/>
      <c r="Y163" s="2"/>
      <c r="Z163" s="26"/>
      <c r="AA163" s="26"/>
      <c r="AB163" s="26"/>
      <c r="AC163" s="26"/>
      <c r="AD163" s="27"/>
      <c r="AE163" s="30"/>
      <c r="AF163" s="26"/>
      <c r="AG163" s="26"/>
      <c r="AH163" s="32"/>
      <c r="AJ163" s="8"/>
      <c r="AK163" s="2"/>
      <c r="AL163" s="26"/>
      <c r="AM163" s="26"/>
      <c r="AN163" s="26"/>
      <c r="AO163" s="27"/>
      <c r="AP163" s="30"/>
      <c r="AQ163" s="26"/>
      <c r="AR163" s="26"/>
      <c r="AS163" s="32"/>
      <c r="AT163" s="34"/>
    </row>
    <row r="164" spans="2:46" x14ac:dyDescent="0.3">
      <c r="B164" s="8"/>
      <c r="C164" s="2"/>
      <c r="D164" s="26"/>
      <c r="E164" s="26"/>
      <c r="F164" s="27"/>
      <c r="G164" s="26"/>
      <c r="H164" s="26"/>
      <c r="I164" s="27"/>
      <c r="J164" s="26"/>
      <c r="K164" s="26"/>
      <c r="L164" s="67"/>
      <c r="N164" s="8"/>
      <c r="O164" s="2"/>
      <c r="P164" s="26"/>
      <c r="Q164" s="27"/>
      <c r="R164" s="30"/>
      <c r="S164" s="27"/>
      <c r="T164" s="30"/>
      <c r="U164" s="34"/>
      <c r="V164" s="34"/>
      <c r="X164" s="8"/>
      <c r="Y164" s="2"/>
      <c r="Z164" s="26"/>
      <c r="AA164" s="26"/>
      <c r="AB164" s="26"/>
      <c r="AC164" s="26"/>
      <c r="AD164" s="27"/>
      <c r="AE164" s="30"/>
      <c r="AF164" s="26"/>
      <c r="AG164" s="26"/>
      <c r="AH164" s="32"/>
      <c r="AJ164" s="8"/>
      <c r="AK164" s="2"/>
      <c r="AL164" s="26"/>
      <c r="AM164" s="26"/>
      <c r="AN164" s="26"/>
      <c r="AO164" s="27"/>
      <c r="AP164" s="30"/>
      <c r="AQ164" s="26"/>
      <c r="AR164" s="26"/>
      <c r="AS164" s="32"/>
      <c r="AT164" s="34"/>
    </row>
    <row r="165" spans="2:46" x14ac:dyDescent="0.3">
      <c r="B165" s="8"/>
      <c r="C165" s="2"/>
      <c r="D165" s="26"/>
      <c r="E165" s="26"/>
      <c r="F165" s="27"/>
      <c r="G165" s="26"/>
      <c r="H165" s="26"/>
      <c r="I165" s="27"/>
      <c r="J165" s="26"/>
      <c r="K165" s="26"/>
      <c r="L165" s="67"/>
      <c r="N165" s="8"/>
      <c r="O165" s="2"/>
      <c r="P165" s="26"/>
      <c r="Q165" s="27"/>
      <c r="R165" s="30"/>
      <c r="S165" s="27"/>
      <c r="T165" s="30"/>
      <c r="U165" s="34"/>
      <c r="V165" s="34"/>
      <c r="X165" s="8"/>
      <c r="Y165" s="2"/>
      <c r="Z165" s="26"/>
      <c r="AA165" s="26"/>
      <c r="AB165" s="26"/>
      <c r="AC165" s="26"/>
      <c r="AD165" s="27"/>
      <c r="AE165" s="30"/>
      <c r="AF165" s="26"/>
      <c r="AG165" s="26"/>
      <c r="AH165" s="32"/>
      <c r="AJ165" s="8"/>
      <c r="AK165" s="2"/>
      <c r="AL165" s="26"/>
      <c r="AM165" s="26"/>
      <c r="AN165" s="26"/>
      <c r="AO165" s="27"/>
      <c r="AP165" s="30"/>
      <c r="AQ165" s="26"/>
      <c r="AR165" s="26"/>
      <c r="AS165" s="32"/>
      <c r="AT165" s="34"/>
    </row>
    <row r="166" spans="2:46" x14ac:dyDescent="0.3">
      <c r="B166" s="8"/>
      <c r="C166" s="2"/>
      <c r="D166" s="26"/>
      <c r="E166" s="26"/>
      <c r="F166" s="28"/>
      <c r="G166" s="29"/>
      <c r="H166" s="29"/>
      <c r="I166" s="28"/>
      <c r="J166" s="29"/>
      <c r="K166" s="29"/>
      <c r="L166" s="68"/>
      <c r="N166" s="8"/>
      <c r="O166" s="2"/>
      <c r="P166" s="26"/>
      <c r="Q166" s="28"/>
      <c r="R166" s="31"/>
      <c r="S166" s="28"/>
      <c r="T166" s="31"/>
      <c r="U166" s="34"/>
      <c r="V166" s="34"/>
      <c r="X166" s="8"/>
      <c r="Y166" s="2"/>
      <c r="Z166" s="26"/>
      <c r="AA166" s="26"/>
      <c r="AB166" s="26"/>
      <c r="AC166" s="26"/>
      <c r="AD166" s="28"/>
      <c r="AE166" s="31"/>
      <c r="AF166" s="26"/>
      <c r="AG166" s="26"/>
      <c r="AH166" s="33"/>
      <c r="AJ166" s="8"/>
      <c r="AK166" s="2"/>
      <c r="AL166" s="26"/>
      <c r="AM166" s="26"/>
      <c r="AN166" s="26"/>
      <c r="AO166" s="28"/>
      <c r="AP166" s="31"/>
      <c r="AQ166" s="26"/>
      <c r="AR166" s="26"/>
      <c r="AS166" s="32"/>
      <c r="AT166" s="34"/>
    </row>
    <row r="167" spans="2:46" x14ac:dyDescent="0.3">
      <c r="B167" s="22"/>
      <c r="C167" s="22"/>
      <c r="D167" s="22"/>
      <c r="E167" s="22"/>
      <c r="F167" s="22"/>
      <c r="G167" s="22"/>
      <c r="H167" s="22"/>
      <c r="I167" s="22"/>
      <c r="J167" s="22"/>
      <c r="K167" s="22"/>
      <c r="L167" s="22"/>
      <c r="N167" s="22"/>
      <c r="O167" s="22"/>
      <c r="P167" s="22"/>
      <c r="Q167" s="22"/>
      <c r="R167" s="22"/>
      <c r="S167" s="22"/>
      <c r="T167" s="22"/>
      <c r="U167" s="22"/>
      <c r="V167" s="22"/>
      <c r="X167" s="22"/>
      <c r="Y167" s="22"/>
      <c r="Z167" s="22"/>
      <c r="AA167" s="22"/>
      <c r="AB167" s="22"/>
      <c r="AC167" s="22"/>
      <c r="AD167" s="22"/>
      <c r="AE167" s="22"/>
      <c r="AF167" s="22"/>
      <c r="AG167" s="22"/>
      <c r="AH167" s="22"/>
      <c r="AJ167" s="22"/>
      <c r="AK167" s="22"/>
      <c r="AL167" s="22"/>
      <c r="AM167" s="22"/>
      <c r="AN167" s="22"/>
      <c r="AO167" s="22"/>
      <c r="AP167" s="22"/>
      <c r="AQ167" s="22"/>
      <c r="AR167" s="22"/>
      <c r="AS167" s="22"/>
      <c r="AT167" s="22"/>
    </row>
  </sheetData>
  <mergeCells count="11">
    <mergeCell ref="AF4:AG4"/>
    <mergeCell ref="AO4:AP4"/>
    <mergeCell ref="AQ4:AR4"/>
    <mergeCell ref="AS4:AT4"/>
    <mergeCell ref="D4:E4"/>
    <mergeCell ref="F4:H4"/>
    <mergeCell ref="I4:K4"/>
    <mergeCell ref="Q4:R4"/>
    <mergeCell ref="AD4:AE4"/>
    <mergeCell ref="S4:T4"/>
    <mergeCell ref="U4:V4"/>
  </mergeCells>
  <conditionalFormatting sqref="D13:K13 P13:R13 Z13:AG13 AL13:AR13">
    <cfRule type="cellIs" dxfId="10" priority="11" operator="greaterThan">
      <formula>1</formula>
    </cfRule>
  </conditionalFormatting>
  <conditionalFormatting sqref="D17:K166 Z17:AG166 AL17:AR166">
    <cfRule type="cellIs" dxfId="9" priority="12" operator="lessThan">
      <formula>0</formula>
    </cfRule>
    <cfRule type="cellIs" dxfId="8" priority="13" operator="greaterThan">
      <formula>0</formula>
    </cfRule>
  </conditionalFormatting>
  <conditionalFormatting sqref="U17:V166">
    <cfRule type="cellIs" dxfId="7" priority="9" operator="greaterThan">
      <formula>1</formula>
    </cfRule>
  </conditionalFormatting>
  <conditionalFormatting sqref="AH17:AH166">
    <cfRule type="cellIs" dxfId="6" priority="8" operator="greaterThan">
      <formula>1</formula>
    </cfRule>
  </conditionalFormatting>
  <conditionalFormatting sqref="AS17:AT166">
    <cfRule type="cellIs" dxfId="5" priority="6" operator="greaterThan">
      <formula>1</formula>
    </cfRule>
  </conditionalFormatting>
  <conditionalFormatting sqref="BA7:BA24 P17:T166">
    <cfRule type="cellIs" dxfId="2" priority="3" operator="lessThan">
      <formula>0</formula>
    </cfRule>
    <cfRule type="cellIs" dxfId="1" priority="4" operator="greaterThan">
      <formula>0</formula>
    </cfRule>
  </conditionalFormatting>
  <conditionalFormatting sqref="BB7:BB24 L17:L166">
    <cfRule type="cellIs" dxfId="0" priority="5" operator="greaterThan">
      <formula>1</formula>
    </cfRule>
  </conditionalFormatting>
  <dataValidations count="4">
    <dataValidation type="whole" errorStyle="information" allowBlank="1" showInputMessage="1" showErrorMessage="1" errorTitle="Must select 1 or 2" error="1 = Multiplicative_x000a_2 = Additive" sqref="AL13:AR13 Z13:AG13 P13:R13 D13:K13 BB7:BB24" xr:uid="{49D3B819-1E61-49BA-AFCB-53680F51AC61}">
      <formula1>1</formula1>
      <formula2>2</formula2>
    </dataValidation>
    <dataValidation type="decimal" errorStyle="information" allowBlank="1" showInputMessage="1" showErrorMessage="1" errorTitle="Must select a number" error="Cannot choose letters or special characters." sqref="D17:K166 BA7:BA24 AL17:AN37 P17:T166 Z17:AG166 AO17:AR166" xr:uid="{B372A431-02F0-47DB-9567-9F9A8A3ABC28}">
      <formula1>-1000000000</formula1>
      <formula2>1000000000</formula2>
    </dataValidation>
    <dataValidation type="whole" errorStyle="information" allowBlank="1" showInputMessage="1" showErrorMessage="1" errorTitle="Must select 1 or 2" error="1 = Included in shock_x000a_2 = Excluded" sqref="U17:U166" xr:uid="{F410F214-C4CE-4F60-ADEA-9DE13A65B973}">
      <formula1>1</formula1>
      <formula2>2</formula2>
    </dataValidation>
    <dataValidation type="whole" errorStyle="information" allowBlank="1" showInputMessage="1" showErrorMessage="1" errorTitle="Must select 1 or 2" error="1 = Included in closure_x000a_2 = Excluded" sqref="V17:V166 AH17:AH166 L17:L166 AS17:AT166" xr:uid="{87713151-984C-4AAF-B0EB-956E1226E58E}">
      <formula1>1</formula1>
      <formula2>2</formula2>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ellIs" priority="15" operator="equal" id="{42B66884-923D-4D3F-808F-F62A674A99BF}">
            <xm:f>Notes!$L$4</xm:f>
            <x14:dxf>
              <font>
                <b val="0"/>
                <i val="0"/>
                <strike val="0"/>
                <color theme="0" tint="-0.34998626667073579"/>
              </font>
              <fill>
                <patternFill patternType="none">
                  <bgColor auto="1"/>
                </patternFill>
              </fill>
            </x14:dxf>
          </x14:cfRule>
          <xm:sqref>AY7:AY24 D8:K8 P8:T8 Z8:AG8 AL8:AR8</xm:sqref>
        </x14:conditionalFormatting>
        <x14:conditionalFormatting xmlns:xm="http://schemas.microsoft.com/office/excel/2006/main">
          <x14:cfRule type="cellIs" priority="14" operator="equal" id="{79046B24-85F0-449A-A27D-069DC9D5DECD}">
            <xm:f>Notes!$L$5</xm:f>
            <x14:dxf>
              <font>
                <b val="0"/>
                <i val="0"/>
                <strike val="0"/>
                <color theme="0" tint="-0.34998626667073579"/>
              </font>
              <fill>
                <patternFill patternType="none">
                  <bgColor auto="1"/>
                </patternFill>
              </fill>
            </x14:dxf>
          </x14:cfRule>
          <xm:sqref>AZ7:AZ24 D9:K9 P9:T9 Z9:AG9 AL9:AR9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Out of range" error="Time periods must fall within the range specified on the &quot;Base&quot; worksheet." xr:uid="{BF64FFF9-F5A8-4B18-8B9F-ECCFD995088D}">
          <x14:formula1>
            <xm:f>Main!$H$5:$H$58</xm:f>
          </x14:formula1>
          <xm:sqref>D8:K9 AY7:AZ24 AL8:AR9 P8:T9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9EB4C-53B1-4626-9852-379CB85D4CBD}">
  <dimension ref="A1:F226"/>
  <sheetViews>
    <sheetView workbookViewId="0">
      <pane xSplit="3" ySplit="16" topLeftCell="D17" activePane="bottomRight" state="frozen"/>
      <selection pane="topRight" activeCell="D1" sqref="D1"/>
      <selection pane="bottomLeft" activeCell="A17" sqref="A17"/>
      <selection pane="bottomRight" activeCell="D17" sqref="D17"/>
    </sheetView>
  </sheetViews>
  <sheetFormatPr defaultRowHeight="14.4" x14ac:dyDescent="0.3"/>
  <cols>
    <col min="3" max="3" width="12.44140625" bestFit="1" customWidth="1"/>
  </cols>
  <sheetData>
    <row r="1" spans="1:5" ht="18" x14ac:dyDescent="0.35">
      <c r="A1" s="6" t="s">
        <v>308</v>
      </c>
      <c r="B1" s="10"/>
      <c r="C1" s="10"/>
      <c r="D1" s="10"/>
      <c r="E1" s="10"/>
    </row>
    <row r="5" spans="1:5" x14ac:dyDescent="0.3">
      <c r="D5" t="s">
        <v>141</v>
      </c>
      <c r="E5" t="s">
        <v>142</v>
      </c>
    </row>
    <row r="6" spans="1:5" x14ac:dyDescent="0.3">
      <c r="A6" t="s">
        <v>139</v>
      </c>
      <c r="B6" t="s">
        <v>137</v>
      </c>
      <c r="C6" t="s">
        <v>309</v>
      </c>
      <c r="D6">
        <v>1</v>
      </c>
    </row>
    <row r="7" spans="1:5" x14ac:dyDescent="0.3">
      <c r="A7" t="s">
        <v>140</v>
      </c>
      <c r="B7" t="s">
        <v>138</v>
      </c>
      <c r="C7" t="s">
        <v>309</v>
      </c>
      <c r="D7">
        <v>1</v>
      </c>
    </row>
    <row r="8" spans="1:5" x14ac:dyDescent="0.3">
      <c r="A8" t="s">
        <v>139</v>
      </c>
      <c r="B8" t="s">
        <v>630</v>
      </c>
      <c r="C8" t="s">
        <v>634</v>
      </c>
      <c r="D8">
        <v>1</v>
      </c>
    </row>
    <row r="9" spans="1:5" x14ac:dyDescent="0.3">
      <c r="A9" t="s">
        <v>139</v>
      </c>
      <c r="B9" t="s">
        <v>631</v>
      </c>
      <c r="C9" t="s">
        <v>635</v>
      </c>
      <c r="D9">
        <v>1</v>
      </c>
    </row>
    <row r="10" spans="1:5" x14ac:dyDescent="0.3">
      <c r="A10" t="s">
        <v>140</v>
      </c>
      <c r="B10" t="s">
        <v>135</v>
      </c>
      <c r="C10" t="s">
        <v>632</v>
      </c>
      <c r="D10">
        <v>1</v>
      </c>
      <c r="E10">
        <v>1</v>
      </c>
    </row>
    <row r="11" spans="1:5" x14ac:dyDescent="0.3">
      <c r="A11" t="s">
        <v>140</v>
      </c>
      <c r="B11" t="s">
        <v>136</v>
      </c>
      <c r="C11" t="s">
        <v>633</v>
      </c>
      <c r="D11">
        <v>1</v>
      </c>
      <c r="E11">
        <v>1</v>
      </c>
    </row>
    <row r="12" spans="1:5" x14ac:dyDescent="0.3">
      <c r="A12" t="s">
        <v>140</v>
      </c>
      <c r="B12" t="s">
        <v>636</v>
      </c>
      <c r="C12" t="s">
        <v>641</v>
      </c>
      <c r="D12">
        <v>1</v>
      </c>
      <c r="E12">
        <v>1</v>
      </c>
    </row>
    <row r="13" spans="1:5" x14ac:dyDescent="0.3">
      <c r="A13" t="s">
        <v>140</v>
      </c>
      <c r="B13" t="s">
        <v>637</v>
      </c>
      <c r="C13" t="s">
        <v>642</v>
      </c>
      <c r="D13">
        <v>1</v>
      </c>
      <c r="E13">
        <v>1</v>
      </c>
    </row>
    <row r="14" spans="1:5" x14ac:dyDescent="0.3">
      <c r="A14" t="s">
        <v>140</v>
      </c>
      <c r="B14" t="s">
        <v>638</v>
      </c>
      <c r="C14" t="s">
        <v>643</v>
      </c>
      <c r="D14">
        <v>1</v>
      </c>
      <c r="E14">
        <v>1</v>
      </c>
    </row>
    <row r="15" spans="1:5" x14ac:dyDescent="0.3">
      <c r="A15" t="s">
        <v>140</v>
      </c>
      <c r="B15" t="s">
        <v>639</v>
      </c>
      <c r="C15" t="s">
        <v>644</v>
      </c>
      <c r="D15">
        <v>1</v>
      </c>
      <c r="E15">
        <v>1</v>
      </c>
    </row>
    <row r="16" spans="1:5" x14ac:dyDescent="0.3">
      <c r="A16" t="s">
        <v>140</v>
      </c>
      <c r="B16" t="s">
        <v>640</v>
      </c>
      <c r="C16" t="s">
        <v>645</v>
      </c>
      <c r="D16">
        <v>1</v>
      </c>
      <c r="E16">
        <v>1</v>
      </c>
    </row>
    <row r="17" spans="1:5" x14ac:dyDescent="0.3">
      <c r="A17" t="s">
        <v>140</v>
      </c>
      <c r="B17" t="s">
        <v>146</v>
      </c>
      <c r="C17" t="s">
        <v>341</v>
      </c>
      <c r="D17">
        <v>1</v>
      </c>
      <c r="E17">
        <v>1</v>
      </c>
    </row>
    <row r="18" spans="1:5" x14ac:dyDescent="0.3">
      <c r="A18" t="s">
        <v>140</v>
      </c>
      <c r="B18" t="s">
        <v>147</v>
      </c>
      <c r="C18" t="s">
        <v>342</v>
      </c>
      <c r="D18">
        <v>1</v>
      </c>
      <c r="E18">
        <v>1</v>
      </c>
    </row>
    <row r="19" spans="1:5" x14ac:dyDescent="0.3">
      <c r="A19" t="s">
        <v>140</v>
      </c>
      <c r="B19" t="s">
        <v>148</v>
      </c>
      <c r="C19" t="s">
        <v>343</v>
      </c>
      <c r="D19">
        <v>1</v>
      </c>
      <c r="E19">
        <v>1</v>
      </c>
    </row>
    <row r="20" spans="1:5" x14ac:dyDescent="0.3">
      <c r="A20" t="s">
        <v>140</v>
      </c>
      <c r="B20" t="s">
        <v>149</v>
      </c>
      <c r="C20" t="s">
        <v>344</v>
      </c>
      <c r="D20">
        <v>1</v>
      </c>
      <c r="E20">
        <v>1</v>
      </c>
    </row>
    <row r="21" spans="1:5" x14ac:dyDescent="0.3">
      <c r="A21" t="s">
        <v>140</v>
      </c>
      <c r="B21" t="s">
        <v>150</v>
      </c>
      <c r="C21" t="s">
        <v>345</v>
      </c>
      <c r="D21">
        <v>1</v>
      </c>
      <c r="E21">
        <v>1</v>
      </c>
    </row>
    <row r="22" spans="1:5" x14ac:dyDescent="0.3">
      <c r="A22" t="s">
        <v>140</v>
      </c>
      <c r="B22" t="s">
        <v>151</v>
      </c>
      <c r="C22" t="s">
        <v>346</v>
      </c>
      <c r="D22">
        <v>1</v>
      </c>
      <c r="E22">
        <v>1</v>
      </c>
    </row>
    <row r="23" spans="1:5" x14ac:dyDescent="0.3">
      <c r="A23" t="s">
        <v>140</v>
      </c>
      <c r="B23" t="s">
        <v>152</v>
      </c>
      <c r="C23" t="s">
        <v>347</v>
      </c>
      <c r="D23">
        <v>1</v>
      </c>
      <c r="E23">
        <v>1</v>
      </c>
    </row>
    <row r="24" spans="1:5" x14ac:dyDescent="0.3">
      <c r="A24" t="s">
        <v>140</v>
      </c>
      <c r="B24" t="s">
        <v>153</v>
      </c>
      <c r="C24" t="s">
        <v>348</v>
      </c>
      <c r="D24">
        <v>1</v>
      </c>
      <c r="E24">
        <v>1</v>
      </c>
    </row>
    <row r="25" spans="1:5" x14ac:dyDescent="0.3">
      <c r="A25" t="s">
        <v>140</v>
      </c>
      <c r="B25" t="s">
        <v>154</v>
      </c>
      <c r="C25" t="s">
        <v>349</v>
      </c>
      <c r="D25">
        <v>1</v>
      </c>
      <c r="E25">
        <v>1</v>
      </c>
    </row>
    <row r="26" spans="1:5" x14ac:dyDescent="0.3">
      <c r="A26" t="s">
        <v>140</v>
      </c>
      <c r="B26" t="s">
        <v>155</v>
      </c>
      <c r="C26" t="s">
        <v>350</v>
      </c>
      <c r="D26">
        <v>1</v>
      </c>
      <c r="E26">
        <v>1</v>
      </c>
    </row>
    <row r="27" spans="1:5" x14ac:dyDescent="0.3">
      <c r="A27" t="s">
        <v>140</v>
      </c>
      <c r="B27" t="s">
        <v>156</v>
      </c>
      <c r="C27" t="s">
        <v>351</v>
      </c>
      <c r="D27">
        <v>1</v>
      </c>
      <c r="E27">
        <v>1</v>
      </c>
    </row>
    <row r="28" spans="1:5" x14ac:dyDescent="0.3">
      <c r="A28" t="s">
        <v>140</v>
      </c>
      <c r="B28" t="s">
        <v>157</v>
      </c>
      <c r="C28" t="s">
        <v>352</v>
      </c>
      <c r="D28">
        <v>1</v>
      </c>
      <c r="E28">
        <v>1</v>
      </c>
    </row>
    <row r="29" spans="1:5" x14ac:dyDescent="0.3">
      <c r="A29" t="s">
        <v>140</v>
      </c>
      <c r="B29" t="s">
        <v>158</v>
      </c>
      <c r="C29" t="s">
        <v>353</v>
      </c>
      <c r="D29">
        <v>1</v>
      </c>
      <c r="E29">
        <v>1</v>
      </c>
    </row>
    <row r="30" spans="1:5" x14ac:dyDescent="0.3">
      <c r="A30" t="s">
        <v>140</v>
      </c>
      <c r="B30" t="s">
        <v>159</v>
      </c>
      <c r="C30" t="s">
        <v>354</v>
      </c>
      <c r="D30">
        <v>1</v>
      </c>
      <c r="E30">
        <v>1</v>
      </c>
    </row>
    <row r="31" spans="1:5" x14ac:dyDescent="0.3">
      <c r="A31" t="s">
        <v>140</v>
      </c>
      <c r="B31" t="s">
        <v>160</v>
      </c>
      <c r="C31" t="s">
        <v>355</v>
      </c>
      <c r="D31">
        <v>1</v>
      </c>
      <c r="E31">
        <v>1</v>
      </c>
    </row>
    <row r="32" spans="1:5" x14ac:dyDescent="0.3">
      <c r="A32" t="s">
        <v>140</v>
      </c>
      <c r="B32" t="s">
        <v>161</v>
      </c>
      <c r="C32" t="s">
        <v>356</v>
      </c>
      <c r="D32">
        <v>1</v>
      </c>
      <c r="E32">
        <v>1</v>
      </c>
    </row>
    <row r="33" spans="1:5" x14ac:dyDescent="0.3">
      <c r="A33" t="s">
        <v>140</v>
      </c>
      <c r="B33" t="s">
        <v>162</v>
      </c>
      <c r="C33" t="s">
        <v>357</v>
      </c>
      <c r="D33">
        <v>1</v>
      </c>
      <c r="E33">
        <v>1</v>
      </c>
    </row>
    <row r="34" spans="1:5" x14ac:dyDescent="0.3">
      <c r="A34" t="s">
        <v>140</v>
      </c>
      <c r="B34" t="s">
        <v>163</v>
      </c>
      <c r="C34" t="s">
        <v>358</v>
      </c>
      <c r="D34">
        <v>1</v>
      </c>
      <c r="E34">
        <v>1</v>
      </c>
    </row>
    <row r="35" spans="1:5" x14ac:dyDescent="0.3">
      <c r="A35" t="s">
        <v>140</v>
      </c>
      <c r="B35" t="s">
        <v>164</v>
      </c>
      <c r="C35" t="s">
        <v>359</v>
      </c>
      <c r="D35">
        <v>1</v>
      </c>
      <c r="E35">
        <v>1</v>
      </c>
    </row>
    <row r="36" spans="1:5" x14ac:dyDescent="0.3">
      <c r="A36" t="s">
        <v>140</v>
      </c>
      <c r="B36" t="s">
        <v>165</v>
      </c>
      <c r="C36" t="s">
        <v>360</v>
      </c>
      <c r="D36">
        <v>1</v>
      </c>
      <c r="E36">
        <v>1</v>
      </c>
    </row>
    <row r="37" spans="1:5" x14ac:dyDescent="0.3">
      <c r="A37" t="s">
        <v>140</v>
      </c>
      <c r="B37" t="s">
        <v>166</v>
      </c>
      <c r="C37" t="s">
        <v>361</v>
      </c>
      <c r="D37">
        <v>1</v>
      </c>
      <c r="E37">
        <v>1</v>
      </c>
    </row>
    <row r="38" spans="1:5" x14ac:dyDescent="0.3">
      <c r="A38" t="s">
        <v>140</v>
      </c>
      <c r="B38" t="s">
        <v>167</v>
      </c>
      <c r="C38" t="s">
        <v>362</v>
      </c>
      <c r="D38">
        <v>1</v>
      </c>
      <c r="E38">
        <v>1</v>
      </c>
    </row>
    <row r="39" spans="1:5" x14ac:dyDescent="0.3">
      <c r="A39" t="s">
        <v>140</v>
      </c>
      <c r="B39" t="s">
        <v>168</v>
      </c>
      <c r="C39" t="s">
        <v>363</v>
      </c>
      <c r="D39">
        <v>1</v>
      </c>
      <c r="E39">
        <v>1</v>
      </c>
    </row>
    <row r="40" spans="1:5" x14ac:dyDescent="0.3">
      <c r="A40" t="s">
        <v>140</v>
      </c>
      <c r="B40" t="s">
        <v>169</v>
      </c>
      <c r="C40" t="s">
        <v>364</v>
      </c>
      <c r="D40">
        <v>1</v>
      </c>
      <c r="E40">
        <v>1</v>
      </c>
    </row>
    <row r="41" spans="1:5" x14ac:dyDescent="0.3">
      <c r="A41" t="s">
        <v>140</v>
      </c>
      <c r="B41" t="s">
        <v>170</v>
      </c>
      <c r="C41" t="s">
        <v>365</v>
      </c>
      <c r="D41">
        <v>1</v>
      </c>
      <c r="E41">
        <v>1</v>
      </c>
    </row>
    <row r="42" spans="1:5" x14ac:dyDescent="0.3">
      <c r="A42" t="s">
        <v>140</v>
      </c>
      <c r="B42" t="s">
        <v>171</v>
      </c>
      <c r="C42" t="s">
        <v>366</v>
      </c>
      <c r="D42">
        <v>1</v>
      </c>
      <c r="E42">
        <v>1</v>
      </c>
    </row>
    <row r="43" spans="1:5" x14ac:dyDescent="0.3">
      <c r="A43" t="s">
        <v>140</v>
      </c>
      <c r="B43" t="s">
        <v>172</v>
      </c>
      <c r="C43" t="s">
        <v>367</v>
      </c>
      <c r="D43">
        <v>1</v>
      </c>
      <c r="E43">
        <v>1</v>
      </c>
    </row>
    <row r="44" spans="1:5" x14ac:dyDescent="0.3">
      <c r="A44" t="s">
        <v>140</v>
      </c>
      <c r="B44" t="s">
        <v>173</v>
      </c>
      <c r="C44" t="s">
        <v>368</v>
      </c>
      <c r="D44">
        <v>1</v>
      </c>
      <c r="E44">
        <v>1</v>
      </c>
    </row>
    <row r="45" spans="1:5" x14ac:dyDescent="0.3">
      <c r="A45" t="s">
        <v>140</v>
      </c>
      <c r="B45" t="s">
        <v>174</v>
      </c>
      <c r="C45" t="s">
        <v>369</v>
      </c>
      <c r="D45">
        <v>1</v>
      </c>
      <c r="E45">
        <v>1</v>
      </c>
    </row>
    <row r="46" spans="1:5" x14ac:dyDescent="0.3">
      <c r="A46" t="s">
        <v>140</v>
      </c>
      <c r="B46" t="s">
        <v>175</v>
      </c>
      <c r="C46" t="s">
        <v>370</v>
      </c>
      <c r="D46">
        <v>1</v>
      </c>
      <c r="E46">
        <v>1</v>
      </c>
    </row>
    <row r="47" spans="1:5" x14ac:dyDescent="0.3">
      <c r="A47" t="s">
        <v>140</v>
      </c>
      <c r="B47" t="s">
        <v>176</v>
      </c>
      <c r="C47" t="s">
        <v>371</v>
      </c>
      <c r="D47">
        <v>1</v>
      </c>
      <c r="E47">
        <v>1</v>
      </c>
    </row>
    <row r="48" spans="1:5" x14ac:dyDescent="0.3">
      <c r="A48" t="s">
        <v>140</v>
      </c>
      <c r="B48" t="s">
        <v>177</v>
      </c>
      <c r="C48" t="s">
        <v>372</v>
      </c>
      <c r="D48">
        <v>1</v>
      </c>
      <c r="E48">
        <v>1</v>
      </c>
    </row>
    <row r="49" spans="1:5" x14ac:dyDescent="0.3">
      <c r="A49" t="s">
        <v>140</v>
      </c>
      <c r="B49" t="s">
        <v>178</v>
      </c>
      <c r="C49" t="s">
        <v>373</v>
      </c>
      <c r="D49">
        <v>1</v>
      </c>
      <c r="E49">
        <v>1</v>
      </c>
    </row>
    <row r="50" spans="1:5" x14ac:dyDescent="0.3">
      <c r="A50" t="s">
        <v>140</v>
      </c>
      <c r="B50" t="s">
        <v>179</v>
      </c>
      <c r="C50" t="s">
        <v>374</v>
      </c>
      <c r="D50">
        <v>1</v>
      </c>
      <c r="E50">
        <v>1</v>
      </c>
    </row>
    <row r="51" spans="1:5" x14ac:dyDescent="0.3">
      <c r="A51" t="s">
        <v>140</v>
      </c>
      <c r="B51" t="s">
        <v>180</v>
      </c>
      <c r="C51" t="s">
        <v>375</v>
      </c>
      <c r="D51">
        <v>1</v>
      </c>
      <c r="E51">
        <v>1</v>
      </c>
    </row>
    <row r="52" spans="1:5" x14ac:dyDescent="0.3">
      <c r="A52" t="s">
        <v>140</v>
      </c>
      <c r="B52" t="s">
        <v>181</v>
      </c>
      <c r="C52" t="s">
        <v>376</v>
      </c>
      <c r="D52">
        <v>1</v>
      </c>
      <c r="E52">
        <v>1</v>
      </c>
    </row>
    <row r="53" spans="1:5" x14ac:dyDescent="0.3">
      <c r="A53" t="s">
        <v>140</v>
      </c>
      <c r="B53" t="s">
        <v>182</v>
      </c>
      <c r="C53" t="s">
        <v>377</v>
      </c>
      <c r="D53">
        <v>1</v>
      </c>
      <c r="E53">
        <v>1</v>
      </c>
    </row>
    <row r="54" spans="1:5" x14ac:dyDescent="0.3">
      <c r="A54" t="s">
        <v>140</v>
      </c>
      <c r="B54" t="s">
        <v>183</v>
      </c>
      <c r="C54" t="s">
        <v>378</v>
      </c>
      <c r="D54">
        <v>1</v>
      </c>
      <c r="E54">
        <v>1</v>
      </c>
    </row>
    <row r="55" spans="1:5" x14ac:dyDescent="0.3">
      <c r="A55" t="s">
        <v>140</v>
      </c>
      <c r="B55" t="s">
        <v>184</v>
      </c>
      <c r="C55" t="s">
        <v>379</v>
      </c>
      <c r="D55">
        <v>1</v>
      </c>
      <c r="E55">
        <v>1</v>
      </c>
    </row>
    <row r="56" spans="1:5" x14ac:dyDescent="0.3">
      <c r="A56" t="s">
        <v>140</v>
      </c>
      <c r="B56" t="s">
        <v>185</v>
      </c>
      <c r="C56" t="s">
        <v>380</v>
      </c>
      <c r="D56">
        <v>1</v>
      </c>
      <c r="E56">
        <v>1</v>
      </c>
    </row>
    <row r="57" spans="1:5" x14ac:dyDescent="0.3">
      <c r="A57" t="s">
        <v>140</v>
      </c>
      <c r="B57" t="s">
        <v>186</v>
      </c>
      <c r="C57" t="s">
        <v>381</v>
      </c>
      <c r="D57">
        <v>1</v>
      </c>
      <c r="E57">
        <v>1</v>
      </c>
    </row>
    <row r="58" spans="1:5" x14ac:dyDescent="0.3">
      <c r="A58" t="s">
        <v>140</v>
      </c>
      <c r="B58" t="s">
        <v>187</v>
      </c>
      <c r="C58" t="s">
        <v>382</v>
      </c>
      <c r="D58">
        <v>1</v>
      </c>
      <c r="E58">
        <v>1</v>
      </c>
    </row>
    <row r="59" spans="1:5" x14ac:dyDescent="0.3">
      <c r="A59" t="s">
        <v>140</v>
      </c>
      <c r="B59" t="s">
        <v>188</v>
      </c>
      <c r="C59" t="s">
        <v>383</v>
      </c>
      <c r="D59">
        <v>1</v>
      </c>
      <c r="E59">
        <v>1</v>
      </c>
    </row>
    <row r="60" spans="1:5" x14ac:dyDescent="0.3">
      <c r="A60" t="s">
        <v>140</v>
      </c>
      <c r="B60" t="s">
        <v>189</v>
      </c>
      <c r="C60" t="s">
        <v>384</v>
      </c>
      <c r="D60">
        <v>1</v>
      </c>
      <c r="E60">
        <v>1</v>
      </c>
    </row>
    <row r="61" spans="1:5" x14ac:dyDescent="0.3">
      <c r="A61" t="s">
        <v>140</v>
      </c>
      <c r="B61" t="s">
        <v>190</v>
      </c>
      <c r="C61" t="s">
        <v>385</v>
      </c>
      <c r="D61">
        <v>1</v>
      </c>
      <c r="E61">
        <v>1</v>
      </c>
    </row>
    <row r="62" spans="1:5" x14ac:dyDescent="0.3">
      <c r="A62" t="s">
        <v>140</v>
      </c>
      <c r="B62" t="s">
        <v>191</v>
      </c>
      <c r="C62" t="s">
        <v>386</v>
      </c>
      <c r="D62">
        <v>1</v>
      </c>
      <c r="E62">
        <v>1</v>
      </c>
    </row>
    <row r="63" spans="1:5" x14ac:dyDescent="0.3">
      <c r="A63" t="s">
        <v>140</v>
      </c>
      <c r="B63" t="s">
        <v>192</v>
      </c>
      <c r="C63" t="s">
        <v>387</v>
      </c>
      <c r="D63">
        <v>1</v>
      </c>
      <c r="E63">
        <v>1</v>
      </c>
    </row>
    <row r="64" spans="1:5" x14ac:dyDescent="0.3">
      <c r="A64" t="s">
        <v>140</v>
      </c>
      <c r="B64" t="s">
        <v>193</v>
      </c>
      <c r="C64" t="s">
        <v>388</v>
      </c>
      <c r="D64">
        <v>1</v>
      </c>
      <c r="E64">
        <v>1</v>
      </c>
    </row>
    <row r="65" spans="1:5" x14ac:dyDescent="0.3">
      <c r="A65" t="s">
        <v>140</v>
      </c>
      <c r="B65" t="s">
        <v>194</v>
      </c>
      <c r="C65" t="s">
        <v>389</v>
      </c>
      <c r="D65">
        <v>1</v>
      </c>
      <c r="E65">
        <v>1</v>
      </c>
    </row>
    <row r="66" spans="1:5" x14ac:dyDescent="0.3">
      <c r="A66" t="s">
        <v>140</v>
      </c>
      <c r="B66" t="s">
        <v>195</v>
      </c>
      <c r="C66" t="s">
        <v>390</v>
      </c>
      <c r="D66">
        <v>1</v>
      </c>
      <c r="E66">
        <v>1</v>
      </c>
    </row>
    <row r="67" spans="1:5" x14ac:dyDescent="0.3">
      <c r="A67" t="s">
        <v>140</v>
      </c>
      <c r="B67" t="s">
        <v>196</v>
      </c>
      <c r="C67" t="s">
        <v>391</v>
      </c>
      <c r="D67">
        <v>1</v>
      </c>
      <c r="E67">
        <v>1</v>
      </c>
    </row>
    <row r="68" spans="1:5" x14ac:dyDescent="0.3">
      <c r="A68" t="s">
        <v>140</v>
      </c>
      <c r="B68" t="s">
        <v>197</v>
      </c>
      <c r="C68" t="s">
        <v>392</v>
      </c>
      <c r="D68">
        <v>1</v>
      </c>
      <c r="E68">
        <v>1</v>
      </c>
    </row>
    <row r="69" spans="1:5" x14ac:dyDescent="0.3">
      <c r="A69" t="s">
        <v>140</v>
      </c>
      <c r="B69" t="s">
        <v>198</v>
      </c>
      <c r="C69" t="s">
        <v>393</v>
      </c>
      <c r="D69">
        <v>1</v>
      </c>
      <c r="E69">
        <v>1</v>
      </c>
    </row>
    <row r="70" spans="1:5" x14ac:dyDescent="0.3">
      <c r="A70" t="s">
        <v>140</v>
      </c>
      <c r="B70" t="s">
        <v>199</v>
      </c>
      <c r="C70" t="s">
        <v>394</v>
      </c>
      <c r="D70">
        <v>1</v>
      </c>
      <c r="E70">
        <v>1</v>
      </c>
    </row>
    <row r="71" spans="1:5" x14ac:dyDescent="0.3">
      <c r="A71" t="s">
        <v>140</v>
      </c>
      <c r="B71" t="s">
        <v>200</v>
      </c>
      <c r="C71" t="s">
        <v>395</v>
      </c>
      <c r="D71">
        <v>1</v>
      </c>
      <c r="E71">
        <v>1</v>
      </c>
    </row>
    <row r="72" spans="1:5" x14ac:dyDescent="0.3">
      <c r="A72" t="s">
        <v>140</v>
      </c>
      <c r="B72" t="s">
        <v>201</v>
      </c>
      <c r="C72" t="s">
        <v>396</v>
      </c>
      <c r="D72">
        <v>1</v>
      </c>
      <c r="E72">
        <v>1</v>
      </c>
    </row>
    <row r="73" spans="1:5" x14ac:dyDescent="0.3">
      <c r="A73" t="s">
        <v>140</v>
      </c>
      <c r="B73" t="s">
        <v>202</v>
      </c>
      <c r="C73" t="s">
        <v>397</v>
      </c>
      <c r="D73">
        <v>1</v>
      </c>
      <c r="E73">
        <v>1</v>
      </c>
    </row>
    <row r="74" spans="1:5" x14ac:dyDescent="0.3">
      <c r="A74" t="s">
        <v>140</v>
      </c>
      <c r="B74" t="s">
        <v>203</v>
      </c>
      <c r="C74" t="s">
        <v>398</v>
      </c>
      <c r="D74">
        <v>1</v>
      </c>
      <c r="E74">
        <v>1</v>
      </c>
    </row>
    <row r="75" spans="1:5" x14ac:dyDescent="0.3">
      <c r="A75" t="s">
        <v>140</v>
      </c>
      <c r="B75" t="s">
        <v>204</v>
      </c>
      <c r="C75" t="s">
        <v>399</v>
      </c>
      <c r="D75">
        <v>1</v>
      </c>
      <c r="E75">
        <v>1</v>
      </c>
    </row>
    <row r="76" spans="1:5" x14ac:dyDescent="0.3">
      <c r="A76" t="s">
        <v>140</v>
      </c>
      <c r="B76" t="s">
        <v>205</v>
      </c>
      <c r="C76" t="s">
        <v>400</v>
      </c>
      <c r="D76">
        <v>1</v>
      </c>
      <c r="E76">
        <v>1</v>
      </c>
    </row>
    <row r="77" spans="1:5" x14ac:dyDescent="0.3">
      <c r="A77" t="s">
        <v>140</v>
      </c>
      <c r="B77" t="s">
        <v>268</v>
      </c>
      <c r="C77" t="s">
        <v>314</v>
      </c>
      <c r="D77">
        <v>1</v>
      </c>
      <c r="E77">
        <v>1</v>
      </c>
    </row>
    <row r="78" spans="1:5" x14ac:dyDescent="0.3">
      <c r="A78" t="s">
        <v>140</v>
      </c>
      <c r="B78" t="s">
        <v>269</v>
      </c>
      <c r="C78" t="s">
        <v>315</v>
      </c>
      <c r="D78">
        <v>1</v>
      </c>
      <c r="E78">
        <v>1</v>
      </c>
    </row>
    <row r="79" spans="1:5" x14ac:dyDescent="0.3">
      <c r="A79" t="s">
        <v>140</v>
      </c>
      <c r="B79" t="s">
        <v>270</v>
      </c>
      <c r="C79" t="s">
        <v>316</v>
      </c>
      <c r="D79">
        <v>1</v>
      </c>
      <c r="E79">
        <v>1</v>
      </c>
    </row>
    <row r="80" spans="1:5" x14ac:dyDescent="0.3">
      <c r="A80" t="s">
        <v>140</v>
      </c>
      <c r="B80" t="s">
        <v>271</v>
      </c>
      <c r="C80" t="s">
        <v>317</v>
      </c>
      <c r="D80">
        <v>1</v>
      </c>
      <c r="E80">
        <v>1</v>
      </c>
    </row>
    <row r="81" spans="1:5" x14ac:dyDescent="0.3">
      <c r="A81" t="s">
        <v>140</v>
      </c>
      <c r="B81" t="s">
        <v>272</v>
      </c>
      <c r="C81" t="s">
        <v>318</v>
      </c>
      <c r="D81">
        <v>1</v>
      </c>
      <c r="E81">
        <v>1</v>
      </c>
    </row>
    <row r="82" spans="1:5" x14ac:dyDescent="0.3">
      <c r="A82" t="s">
        <v>140</v>
      </c>
      <c r="B82" t="s">
        <v>273</v>
      </c>
      <c r="C82" t="s">
        <v>319</v>
      </c>
      <c r="D82">
        <v>1</v>
      </c>
      <c r="E82">
        <v>1</v>
      </c>
    </row>
    <row r="83" spans="1:5" x14ac:dyDescent="0.3">
      <c r="A83" t="s">
        <v>140</v>
      </c>
      <c r="B83" t="s">
        <v>274</v>
      </c>
      <c r="C83" t="s">
        <v>320</v>
      </c>
      <c r="D83">
        <v>1</v>
      </c>
      <c r="E83">
        <v>1</v>
      </c>
    </row>
    <row r="84" spans="1:5" x14ac:dyDescent="0.3">
      <c r="A84" t="s">
        <v>140</v>
      </c>
      <c r="B84" t="s">
        <v>275</v>
      </c>
      <c r="C84" t="s">
        <v>321</v>
      </c>
      <c r="D84">
        <v>1</v>
      </c>
      <c r="E84">
        <v>1</v>
      </c>
    </row>
    <row r="85" spans="1:5" x14ac:dyDescent="0.3">
      <c r="A85" t="s">
        <v>140</v>
      </c>
      <c r="B85" t="s">
        <v>276</v>
      </c>
      <c r="C85" t="s">
        <v>322</v>
      </c>
      <c r="D85">
        <v>1</v>
      </c>
      <c r="E85">
        <v>1</v>
      </c>
    </row>
    <row r="86" spans="1:5" x14ac:dyDescent="0.3">
      <c r="A86" t="s">
        <v>140</v>
      </c>
      <c r="B86" t="s">
        <v>277</v>
      </c>
      <c r="C86" t="s">
        <v>323</v>
      </c>
      <c r="D86">
        <v>1</v>
      </c>
      <c r="E86">
        <v>1</v>
      </c>
    </row>
    <row r="87" spans="1:5" x14ac:dyDescent="0.3">
      <c r="A87" t="s">
        <v>140</v>
      </c>
      <c r="B87" t="s">
        <v>278</v>
      </c>
      <c r="C87" t="s">
        <v>324</v>
      </c>
      <c r="D87">
        <v>1</v>
      </c>
      <c r="E87">
        <v>1</v>
      </c>
    </row>
    <row r="88" spans="1:5" x14ac:dyDescent="0.3">
      <c r="A88" t="s">
        <v>140</v>
      </c>
      <c r="B88" t="s">
        <v>279</v>
      </c>
      <c r="C88" t="s">
        <v>325</v>
      </c>
      <c r="D88">
        <v>1</v>
      </c>
      <c r="E88">
        <v>1</v>
      </c>
    </row>
    <row r="89" spans="1:5" x14ac:dyDescent="0.3">
      <c r="A89" t="s">
        <v>140</v>
      </c>
      <c r="B89" t="s">
        <v>280</v>
      </c>
      <c r="C89" t="s">
        <v>326</v>
      </c>
      <c r="D89">
        <v>1</v>
      </c>
      <c r="E89">
        <v>1</v>
      </c>
    </row>
    <row r="90" spans="1:5" x14ac:dyDescent="0.3">
      <c r="A90" t="s">
        <v>140</v>
      </c>
      <c r="B90" t="s">
        <v>281</v>
      </c>
      <c r="C90" t="s">
        <v>327</v>
      </c>
      <c r="D90">
        <v>1</v>
      </c>
      <c r="E90">
        <v>1</v>
      </c>
    </row>
    <row r="91" spans="1:5" x14ac:dyDescent="0.3">
      <c r="A91" s="5" t="s">
        <v>140</v>
      </c>
      <c r="B91" s="5" t="s">
        <v>282</v>
      </c>
      <c r="C91" s="5" t="s">
        <v>328</v>
      </c>
      <c r="D91" s="5">
        <v>1</v>
      </c>
      <c r="E91" s="5">
        <v>1</v>
      </c>
    </row>
    <row r="92" spans="1:5" x14ac:dyDescent="0.3">
      <c r="A92" t="s">
        <v>140</v>
      </c>
      <c r="B92" t="s">
        <v>208</v>
      </c>
      <c r="C92" t="s">
        <v>461</v>
      </c>
      <c r="E92">
        <v>1</v>
      </c>
    </row>
    <row r="93" spans="1:5" x14ac:dyDescent="0.3">
      <c r="A93" t="s">
        <v>140</v>
      </c>
      <c r="B93" t="s">
        <v>209</v>
      </c>
      <c r="C93" t="s">
        <v>462</v>
      </c>
      <c r="E93">
        <v>1</v>
      </c>
    </row>
    <row r="94" spans="1:5" x14ac:dyDescent="0.3">
      <c r="A94" t="s">
        <v>140</v>
      </c>
      <c r="B94" t="s">
        <v>210</v>
      </c>
      <c r="C94" t="s">
        <v>463</v>
      </c>
      <c r="E94">
        <v>1</v>
      </c>
    </row>
    <row r="95" spans="1:5" x14ac:dyDescent="0.3">
      <c r="A95" t="s">
        <v>140</v>
      </c>
      <c r="B95" t="s">
        <v>211</v>
      </c>
      <c r="C95" t="s">
        <v>464</v>
      </c>
      <c r="E95">
        <v>1</v>
      </c>
    </row>
    <row r="96" spans="1:5" x14ac:dyDescent="0.3">
      <c r="A96" t="s">
        <v>140</v>
      </c>
      <c r="B96" t="s">
        <v>212</v>
      </c>
      <c r="C96" t="s">
        <v>465</v>
      </c>
      <c r="E96">
        <v>1</v>
      </c>
    </row>
    <row r="97" spans="1:5" x14ac:dyDescent="0.3">
      <c r="A97" t="s">
        <v>140</v>
      </c>
      <c r="B97" t="s">
        <v>213</v>
      </c>
      <c r="C97" t="s">
        <v>466</v>
      </c>
      <c r="E97">
        <v>1</v>
      </c>
    </row>
    <row r="98" spans="1:5" x14ac:dyDescent="0.3">
      <c r="A98" t="s">
        <v>140</v>
      </c>
      <c r="B98" t="s">
        <v>214</v>
      </c>
      <c r="C98" t="s">
        <v>467</v>
      </c>
      <c r="E98">
        <v>1</v>
      </c>
    </row>
    <row r="99" spans="1:5" x14ac:dyDescent="0.3">
      <c r="A99" t="s">
        <v>140</v>
      </c>
      <c r="B99" t="s">
        <v>215</v>
      </c>
      <c r="C99" t="s">
        <v>468</v>
      </c>
      <c r="E99">
        <v>1</v>
      </c>
    </row>
    <row r="100" spans="1:5" x14ac:dyDescent="0.3">
      <c r="A100" t="s">
        <v>140</v>
      </c>
      <c r="B100" t="s">
        <v>216</v>
      </c>
      <c r="C100" t="s">
        <v>469</v>
      </c>
      <c r="E100">
        <v>1</v>
      </c>
    </row>
    <row r="101" spans="1:5" x14ac:dyDescent="0.3">
      <c r="A101" t="s">
        <v>140</v>
      </c>
      <c r="B101" t="s">
        <v>217</v>
      </c>
      <c r="C101" t="s">
        <v>470</v>
      </c>
      <c r="E101">
        <v>1</v>
      </c>
    </row>
    <row r="102" spans="1:5" x14ac:dyDescent="0.3">
      <c r="A102" t="s">
        <v>140</v>
      </c>
      <c r="B102" t="s">
        <v>218</v>
      </c>
      <c r="C102" t="s">
        <v>471</v>
      </c>
      <c r="E102">
        <v>1</v>
      </c>
    </row>
    <row r="103" spans="1:5" x14ac:dyDescent="0.3">
      <c r="A103" t="s">
        <v>140</v>
      </c>
      <c r="B103" t="s">
        <v>219</v>
      </c>
      <c r="C103" t="s">
        <v>472</v>
      </c>
      <c r="E103">
        <v>1</v>
      </c>
    </row>
    <row r="104" spans="1:5" x14ac:dyDescent="0.3">
      <c r="A104" t="s">
        <v>140</v>
      </c>
      <c r="B104" t="s">
        <v>220</v>
      </c>
      <c r="C104" t="s">
        <v>473</v>
      </c>
      <c r="E104">
        <v>1</v>
      </c>
    </row>
    <row r="105" spans="1:5" x14ac:dyDescent="0.3">
      <c r="A105" t="s">
        <v>140</v>
      </c>
      <c r="B105" t="s">
        <v>221</v>
      </c>
      <c r="C105" t="s">
        <v>474</v>
      </c>
      <c r="E105">
        <v>1</v>
      </c>
    </row>
    <row r="106" spans="1:5" x14ac:dyDescent="0.3">
      <c r="A106" t="s">
        <v>140</v>
      </c>
      <c r="B106" t="s">
        <v>222</v>
      </c>
      <c r="C106" t="s">
        <v>475</v>
      </c>
      <c r="E106">
        <v>1</v>
      </c>
    </row>
    <row r="107" spans="1:5" x14ac:dyDescent="0.3">
      <c r="A107" t="s">
        <v>140</v>
      </c>
      <c r="B107" t="s">
        <v>223</v>
      </c>
      <c r="C107" t="s">
        <v>476</v>
      </c>
      <c r="E107">
        <v>1</v>
      </c>
    </row>
    <row r="108" spans="1:5" x14ac:dyDescent="0.3">
      <c r="A108" t="s">
        <v>140</v>
      </c>
      <c r="B108" t="s">
        <v>224</v>
      </c>
      <c r="C108" t="s">
        <v>477</v>
      </c>
      <c r="E108">
        <v>1</v>
      </c>
    </row>
    <row r="109" spans="1:5" x14ac:dyDescent="0.3">
      <c r="A109" t="s">
        <v>140</v>
      </c>
      <c r="B109" t="s">
        <v>225</v>
      </c>
      <c r="C109" t="s">
        <v>478</v>
      </c>
      <c r="E109">
        <v>1</v>
      </c>
    </row>
    <row r="110" spans="1:5" x14ac:dyDescent="0.3">
      <c r="A110" t="s">
        <v>140</v>
      </c>
      <c r="B110" t="s">
        <v>226</v>
      </c>
      <c r="C110" t="s">
        <v>479</v>
      </c>
      <c r="E110">
        <v>1</v>
      </c>
    </row>
    <row r="111" spans="1:5" x14ac:dyDescent="0.3">
      <c r="A111" t="s">
        <v>140</v>
      </c>
      <c r="B111" t="s">
        <v>227</v>
      </c>
      <c r="C111" t="s">
        <v>480</v>
      </c>
      <c r="E111">
        <v>1</v>
      </c>
    </row>
    <row r="112" spans="1:5" x14ac:dyDescent="0.3">
      <c r="A112" t="s">
        <v>140</v>
      </c>
      <c r="B112" t="s">
        <v>228</v>
      </c>
      <c r="C112" t="s">
        <v>481</v>
      </c>
      <c r="E112">
        <v>1</v>
      </c>
    </row>
    <row r="113" spans="1:5" x14ac:dyDescent="0.3">
      <c r="A113" t="s">
        <v>140</v>
      </c>
      <c r="B113" t="s">
        <v>229</v>
      </c>
      <c r="C113" t="s">
        <v>482</v>
      </c>
      <c r="E113">
        <v>1</v>
      </c>
    </row>
    <row r="114" spans="1:5" x14ac:dyDescent="0.3">
      <c r="A114" t="s">
        <v>140</v>
      </c>
      <c r="B114" t="s">
        <v>230</v>
      </c>
      <c r="C114" t="s">
        <v>483</v>
      </c>
      <c r="E114">
        <v>1</v>
      </c>
    </row>
    <row r="115" spans="1:5" x14ac:dyDescent="0.3">
      <c r="A115" t="s">
        <v>140</v>
      </c>
      <c r="B115" t="s">
        <v>231</v>
      </c>
      <c r="C115" t="s">
        <v>484</v>
      </c>
      <c r="E115">
        <v>1</v>
      </c>
    </row>
    <row r="116" spans="1:5" x14ac:dyDescent="0.3">
      <c r="A116" t="s">
        <v>140</v>
      </c>
      <c r="B116" t="s">
        <v>232</v>
      </c>
      <c r="C116" t="s">
        <v>485</v>
      </c>
      <c r="E116">
        <v>1</v>
      </c>
    </row>
    <row r="117" spans="1:5" x14ac:dyDescent="0.3">
      <c r="A117" t="s">
        <v>140</v>
      </c>
      <c r="B117" t="s">
        <v>233</v>
      </c>
      <c r="C117" t="s">
        <v>486</v>
      </c>
      <c r="E117">
        <v>1</v>
      </c>
    </row>
    <row r="118" spans="1:5" x14ac:dyDescent="0.3">
      <c r="A118" t="s">
        <v>140</v>
      </c>
      <c r="B118" t="s">
        <v>234</v>
      </c>
      <c r="C118" t="s">
        <v>487</v>
      </c>
      <c r="E118">
        <v>1</v>
      </c>
    </row>
    <row r="119" spans="1:5" x14ac:dyDescent="0.3">
      <c r="A119" t="s">
        <v>140</v>
      </c>
      <c r="B119" t="s">
        <v>235</v>
      </c>
      <c r="C119" t="s">
        <v>488</v>
      </c>
      <c r="E119">
        <v>1</v>
      </c>
    </row>
    <row r="120" spans="1:5" x14ac:dyDescent="0.3">
      <c r="A120" t="s">
        <v>140</v>
      </c>
      <c r="B120" t="s">
        <v>236</v>
      </c>
      <c r="C120" t="s">
        <v>489</v>
      </c>
      <c r="E120">
        <v>1</v>
      </c>
    </row>
    <row r="121" spans="1:5" x14ac:dyDescent="0.3">
      <c r="A121" t="s">
        <v>140</v>
      </c>
      <c r="B121" t="s">
        <v>237</v>
      </c>
      <c r="C121" t="s">
        <v>490</v>
      </c>
      <c r="E121">
        <v>1</v>
      </c>
    </row>
    <row r="122" spans="1:5" x14ac:dyDescent="0.3">
      <c r="A122" t="s">
        <v>140</v>
      </c>
      <c r="B122" t="s">
        <v>238</v>
      </c>
      <c r="C122" t="s">
        <v>491</v>
      </c>
      <c r="E122">
        <v>1</v>
      </c>
    </row>
    <row r="123" spans="1:5" x14ac:dyDescent="0.3">
      <c r="A123" t="s">
        <v>140</v>
      </c>
      <c r="B123" t="s">
        <v>239</v>
      </c>
      <c r="C123" t="s">
        <v>492</v>
      </c>
      <c r="E123">
        <v>1</v>
      </c>
    </row>
    <row r="124" spans="1:5" x14ac:dyDescent="0.3">
      <c r="A124" t="s">
        <v>140</v>
      </c>
      <c r="B124" t="s">
        <v>240</v>
      </c>
      <c r="C124" t="s">
        <v>493</v>
      </c>
      <c r="E124">
        <v>1</v>
      </c>
    </row>
    <row r="125" spans="1:5" x14ac:dyDescent="0.3">
      <c r="A125" t="s">
        <v>140</v>
      </c>
      <c r="B125" t="s">
        <v>241</v>
      </c>
      <c r="C125" t="s">
        <v>494</v>
      </c>
      <c r="E125">
        <v>1</v>
      </c>
    </row>
    <row r="126" spans="1:5" x14ac:dyDescent="0.3">
      <c r="A126" t="s">
        <v>140</v>
      </c>
      <c r="B126" t="s">
        <v>242</v>
      </c>
      <c r="C126" t="s">
        <v>495</v>
      </c>
      <c r="E126">
        <v>1</v>
      </c>
    </row>
    <row r="127" spans="1:5" x14ac:dyDescent="0.3">
      <c r="A127" t="s">
        <v>140</v>
      </c>
      <c r="B127" t="s">
        <v>243</v>
      </c>
      <c r="C127" t="s">
        <v>496</v>
      </c>
      <c r="E127">
        <v>1</v>
      </c>
    </row>
    <row r="128" spans="1:5" x14ac:dyDescent="0.3">
      <c r="A128" t="s">
        <v>140</v>
      </c>
      <c r="B128" t="s">
        <v>244</v>
      </c>
      <c r="C128" t="s">
        <v>497</v>
      </c>
      <c r="E128">
        <v>1</v>
      </c>
    </row>
    <row r="129" spans="1:5" x14ac:dyDescent="0.3">
      <c r="A129" t="s">
        <v>140</v>
      </c>
      <c r="B129" t="s">
        <v>245</v>
      </c>
      <c r="C129" t="s">
        <v>498</v>
      </c>
      <c r="E129">
        <v>1</v>
      </c>
    </row>
    <row r="130" spans="1:5" x14ac:dyDescent="0.3">
      <c r="A130" t="s">
        <v>140</v>
      </c>
      <c r="B130" t="s">
        <v>246</v>
      </c>
      <c r="C130" t="s">
        <v>499</v>
      </c>
      <c r="E130">
        <v>1</v>
      </c>
    </row>
    <row r="131" spans="1:5" x14ac:dyDescent="0.3">
      <c r="A131" t="s">
        <v>140</v>
      </c>
      <c r="B131" t="s">
        <v>247</v>
      </c>
      <c r="C131" t="s">
        <v>500</v>
      </c>
      <c r="E131">
        <v>1</v>
      </c>
    </row>
    <row r="132" spans="1:5" x14ac:dyDescent="0.3">
      <c r="A132" t="s">
        <v>140</v>
      </c>
      <c r="B132" t="s">
        <v>248</v>
      </c>
      <c r="C132" t="s">
        <v>501</v>
      </c>
      <c r="E132">
        <v>1</v>
      </c>
    </row>
    <row r="133" spans="1:5" x14ac:dyDescent="0.3">
      <c r="A133" t="s">
        <v>140</v>
      </c>
      <c r="B133" t="s">
        <v>249</v>
      </c>
      <c r="C133" t="s">
        <v>502</v>
      </c>
      <c r="E133">
        <v>1</v>
      </c>
    </row>
    <row r="134" spans="1:5" x14ac:dyDescent="0.3">
      <c r="A134" t="s">
        <v>140</v>
      </c>
      <c r="B134" t="s">
        <v>250</v>
      </c>
      <c r="C134" t="s">
        <v>503</v>
      </c>
      <c r="E134">
        <v>1</v>
      </c>
    </row>
    <row r="135" spans="1:5" x14ac:dyDescent="0.3">
      <c r="A135" t="s">
        <v>140</v>
      </c>
      <c r="B135" t="s">
        <v>251</v>
      </c>
      <c r="C135" t="s">
        <v>504</v>
      </c>
      <c r="E135">
        <v>1</v>
      </c>
    </row>
    <row r="136" spans="1:5" x14ac:dyDescent="0.3">
      <c r="A136" t="s">
        <v>140</v>
      </c>
      <c r="B136" t="s">
        <v>252</v>
      </c>
      <c r="C136" t="s">
        <v>505</v>
      </c>
      <c r="E136">
        <v>1</v>
      </c>
    </row>
    <row r="137" spans="1:5" x14ac:dyDescent="0.3">
      <c r="A137" t="s">
        <v>140</v>
      </c>
      <c r="B137" t="s">
        <v>253</v>
      </c>
      <c r="C137" t="s">
        <v>506</v>
      </c>
      <c r="E137">
        <v>1</v>
      </c>
    </row>
    <row r="138" spans="1:5" x14ac:dyDescent="0.3">
      <c r="A138" t="s">
        <v>140</v>
      </c>
      <c r="B138" t="s">
        <v>254</v>
      </c>
      <c r="C138" t="s">
        <v>507</v>
      </c>
      <c r="E138">
        <v>1</v>
      </c>
    </row>
    <row r="139" spans="1:5" x14ac:dyDescent="0.3">
      <c r="A139" t="s">
        <v>140</v>
      </c>
      <c r="B139" t="s">
        <v>255</v>
      </c>
      <c r="C139" t="s">
        <v>508</v>
      </c>
      <c r="E139">
        <v>1</v>
      </c>
    </row>
    <row r="140" spans="1:5" x14ac:dyDescent="0.3">
      <c r="A140" t="s">
        <v>140</v>
      </c>
      <c r="B140" t="s">
        <v>256</v>
      </c>
      <c r="C140" t="s">
        <v>509</v>
      </c>
      <c r="E140">
        <v>1</v>
      </c>
    </row>
    <row r="141" spans="1:5" x14ac:dyDescent="0.3">
      <c r="A141" t="s">
        <v>140</v>
      </c>
      <c r="B141" t="s">
        <v>257</v>
      </c>
      <c r="C141" t="s">
        <v>510</v>
      </c>
      <c r="E141">
        <v>1</v>
      </c>
    </row>
    <row r="142" spans="1:5" x14ac:dyDescent="0.3">
      <c r="A142" t="s">
        <v>140</v>
      </c>
      <c r="B142" t="s">
        <v>258</v>
      </c>
      <c r="C142" t="s">
        <v>511</v>
      </c>
      <c r="E142">
        <v>1</v>
      </c>
    </row>
    <row r="143" spans="1:5" x14ac:dyDescent="0.3">
      <c r="A143" t="s">
        <v>140</v>
      </c>
      <c r="B143" t="s">
        <v>259</v>
      </c>
      <c r="C143" t="s">
        <v>512</v>
      </c>
      <c r="E143">
        <v>1</v>
      </c>
    </row>
    <row r="144" spans="1:5" x14ac:dyDescent="0.3">
      <c r="A144" t="s">
        <v>140</v>
      </c>
      <c r="B144" t="s">
        <v>260</v>
      </c>
      <c r="C144" t="s">
        <v>513</v>
      </c>
      <c r="E144">
        <v>1</v>
      </c>
    </row>
    <row r="145" spans="1:6" x14ac:dyDescent="0.3">
      <c r="A145" t="s">
        <v>140</v>
      </c>
      <c r="B145" t="s">
        <v>261</v>
      </c>
      <c r="C145" t="s">
        <v>514</v>
      </c>
      <c r="E145">
        <v>1</v>
      </c>
    </row>
    <row r="146" spans="1:6" x14ac:dyDescent="0.3">
      <c r="A146" t="s">
        <v>140</v>
      </c>
      <c r="B146" t="s">
        <v>262</v>
      </c>
      <c r="C146" t="s">
        <v>515</v>
      </c>
      <c r="E146">
        <v>1</v>
      </c>
    </row>
    <row r="147" spans="1:6" x14ac:dyDescent="0.3">
      <c r="A147" t="s">
        <v>140</v>
      </c>
      <c r="B147" t="s">
        <v>263</v>
      </c>
      <c r="C147" t="s">
        <v>516</v>
      </c>
      <c r="E147">
        <v>1</v>
      </c>
    </row>
    <row r="148" spans="1:6" x14ac:dyDescent="0.3">
      <c r="A148" t="s">
        <v>140</v>
      </c>
      <c r="B148" t="s">
        <v>264</v>
      </c>
      <c r="C148" t="s">
        <v>517</v>
      </c>
      <c r="E148">
        <v>1</v>
      </c>
    </row>
    <row r="149" spans="1:6" x14ac:dyDescent="0.3">
      <c r="A149" t="s">
        <v>140</v>
      </c>
      <c r="B149" t="s">
        <v>265</v>
      </c>
      <c r="C149" t="s">
        <v>518</v>
      </c>
      <c r="E149">
        <v>1</v>
      </c>
    </row>
    <row r="150" spans="1:6" x14ac:dyDescent="0.3">
      <c r="A150" t="s">
        <v>140</v>
      </c>
      <c r="B150" t="s">
        <v>266</v>
      </c>
      <c r="C150" t="s">
        <v>519</v>
      </c>
      <c r="E150">
        <v>1</v>
      </c>
    </row>
    <row r="151" spans="1:6" x14ac:dyDescent="0.3">
      <c r="A151" s="5" t="s">
        <v>140</v>
      </c>
      <c r="B151" s="5" t="s">
        <v>267</v>
      </c>
      <c r="C151" s="5" t="s">
        <v>520</v>
      </c>
      <c r="D151" s="5"/>
      <c r="E151" s="5">
        <v>1</v>
      </c>
    </row>
    <row r="152" spans="1:6" x14ac:dyDescent="0.3">
      <c r="A152" t="s">
        <v>581</v>
      </c>
      <c r="B152" t="s">
        <v>401</v>
      </c>
      <c r="C152" t="s">
        <v>521</v>
      </c>
      <c r="E152">
        <v>3</v>
      </c>
      <c r="F152" t="s">
        <v>611</v>
      </c>
    </row>
    <row r="153" spans="1:6" x14ac:dyDescent="0.3">
      <c r="A153" t="s">
        <v>581</v>
      </c>
      <c r="B153" t="s">
        <v>402</v>
      </c>
      <c r="C153" t="s">
        <v>522</v>
      </c>
      <c r="E153">
        <v>3</v>
      </c>
      <c r="F153" t="s">
        <v>611</v>
      </c>
    </row>
    <row r="154" spans="1:6" x14ac:dyDescent="0.3">
      <c r="A154" t="s">
        <v>581</v>
      </c>
      <c r="B154" t="s">
        <v>403</v>
      </c>
      <c r="C154" t="s">
        <v>523</v>
      </c>
      <c r="E154">
        <v>3</v>
      </c>
      <c r="F154" t="s">
        <v>611</v>
      </c>
    </row>
    <row r="155" spans="1:6" x14ac:dyDescent="0.3">
      <c r="A155" t="s">
        <v>581</v>
      </c>
      <c r="B155" t="s">
        <v>404</v>
      </c>
      <c r="C155" t="s">
        <v>524</v>
      </c>
      <c r="E155">
        <v>3</v>
      </c>
      <c r="F155" t="s">
        <v>611</v>
      </c>
    </row>
    <row r="156" spans="1:6" x14ac:dyDescent="0.3">
      <c r="A156" t="s">
        <v>581</v>
      </c>
      <c r="B156" t="s">
        <v>405</v>
      </c>
      <c r="C156" t="s">
        <v>525</v>
      </c>
      <c r="E156">
        <v>3</v>
      </c>
      <c r="F156" t="s">
        <v>611</v>
      </c>
    </row>
    <row r="157" spans="1:6" x14ac:dyDescent="0.3">
      <c r="A157" t="s">
        <v>581</v>
      </c>
      <c r="B157" t="s">
        <v>406</v>
      </c>
      <c r="C157" t="s">
        <v>526</v>
      </c>
      <c r="E157">
        <v>3</v>
      </c>
      <c r="F157" t="s">
        <v>611</v>
      </c>
    </row>
    <row r="158" spans="1:6" x14ac:dyDescent="0.3">
      <c r="A158" t="s">
        <v>581</v>
      </c>
      <c r="B158" t="s">
        <v>407</v>
      </c>
      <c r="C158" t="s">
        <v>527</v>
      </c>
      <c r="E158">
        <v>3</v>
      </c>
      <c r="F158" t="s">
        <v>611</v>
      </c>
    </row>
    <row r="159" spans="1:6" x14ac:dyDescent="0.3">
      <c r="A159" t="s">
        <v>581</v>
      </c>
      <c r="B159" t="s">
        <v>408</v>
      </c>
      <c r="C159" t="s">
        <v>528</v>
      </c>
      <c r="E159">
        <v>3</v>
      </c>
      <c r="F159" t="s">
        <v>611</v>
      </c>
    </row>
    <row r="160" spans="1:6" x14ac:dyDescent="0.3">
      <c r="A160" t="s">
        <v>581</v>
      </c>
      <c r="B160" t="s">
        <v>409</v>
      </c>
      <c r="C160" t="s">
        <v>529</v>
      </c>
      <c r="E160">
        <v>3</v>
      </c>
      <c r="F160" t="s">
        <v>611</v>
      </c>
    </row>
    <row r="161" spans="1:6" x14ac:dyDescent="0.3">
      <c r="A161" t="s">
        <v>581</v>
      </c>
      <c r="B161" t="s">
        <v>410</v>
      </c>
      <c r="C161" t="s">
        <v>530</v>
      </c>
      <c r="E161">
        <v>3</v>
      </c>
      <c r="F161" t="s">
        <v>611</v>
      </c>
    </row>
    <row r="162" spans="1:6" x14ac:dyDescent="0.3">
      <c r="A162" t="s">
        <v>581</v>
      </c>
      <c r="B162" t="s">
        <v>411</v>
      </c>
      <c r="C162" t="s">
        <v>531</v>
      </c>
      <c r="E162">
        <v>3</v>
      </c>
      <c r="F162" t="s">
        <v>611</v>
      </c>
    </row>
    <row r="163" spans="1:6" x14ac:dyDescent="0.3">
      <c r="A163" t="s">
        <v>581</v>
      </c>
      <c r="B163" t="s">
        <v>412</v>
      </c>
      <c r="C163" t="s">
        <v>532</v>
      </c>
      <c r="E163">
        <v>3</v>
      </c>
      <c r="F163" t="s">
        <v>611</v>
      </c>
    </row>
    <row r="164" spans="1:6" x14ac:dyDescent="0.3">
      <c r="A164" t="s">
        <v>581</v>
      </c>
      <c r="B164" t="s">
        <v>413</v>
      </c>
      <c r="C164" t="s">
        <v>533</v>
      </c>
      <c r="E164">
        <v>3</v>
      </c>
      <c r="F164" t="s">
        <v>611</v>
      </c>
    </row>
    <row r="165" spans="1:6" x14ac:dyDescent="0.3">
      <c r="A165" t="s">
        <v>581</v>
      </c>
      <c r="B165" t="s">
        <v>414</v>
      </c>
      <c r="C165" t="s">
        <v>534</v>
      </c>
      <c r="E165">
        <v>3</v>
      </c>
      <c r="F165" t="s">
        <v>611</v>
      </c>
    </row>
    <row r="166" spans="1:6" x14ac:dyDescent="0.3">
      <c r="A166" t="s">
        <v>581</v>
      </c>
      <c r="B166" t="s">
        <v>415</v>
      </c>
      <c r="C166" t="s">
        <v>535</v>
      </c>
      <c r="E166">
        <v>3</v>
      </c>
      <c r="F166" t="s">
        <v>611</v>
      </c>
    </row>
    <row r="167" spans="1:6" x14ac:dyDescent="0.3">
      <c r="A167" t="s">
        <v>581</v>
      </c>
      <c r="B167" t="s">
        <v>416</v>
      </c>
      <c r="C167" t="s">
        <v>536</v>
      </c>
      <c r="E167">
        <v>3</v>
      </c>
      <c r="F167" t="s">
        <v>611</v>
      </c>
    </row>
    <row r="168" spans="1:6" x14ac:dyDescent="0.3">
      <c r="A168" t="s">
        <v>581</v>
      </c>
      <c r="B168" t="s">
        <v>417</v>
      </c>
      <c r="C168" t="s">
        <v>537</v>
      </c>
      <c r="E168">
        <v>3</v>
      </c>
      <c r="F168" t="s">
        <v>611</v>
      </c>
    </row>
    <row r="169" spans="1:6" x14ac:dyDescent="0.3">
      <c r="A169" t="s">
        <v>581</v>
      </c>
      <c r="B169" t="s">
        <v>418</v>
      </c>
      <c r="C169" t="s">
        <v>538</v>
      </c>
      <c r="E169">
        <v>3</v>
      </c>
      <c r="F169" t="s">
        <v>611</v>
      </c>
    </row>
    <row r="170" spans="1:6" x14ac:dyDescent="0.3">
      <c r="A170" t="s">
        <v>581</v>
      </c>
      <c r="B170" t="s">
        <v>419</v>
      </c>
      <c r="C170" t="s">
        <v>539</v>
      </c>
      <c r="E170">
        <v>3</v>
      </c>
      <c r="F170" t="s">
        <v>611</v>
      </c>
    </row>
    <row r="171" spans="1:6" x14ac:dyDescent="0.3">
      <c r="A171" t="s">
        <v>581</v>
      </c>
      <c r="B171" t="s">
        <v>420</v>
      </c>
      <c r="C171" t="s">
        <v>540</v>
      </c>
      <c r="E171">
        <v>3</v>
      </c>
      <c r="F171" t="s">
        <v>611</v>
      </c>
    </row>
    <row r="172" spans="1:6" x14ac:dyDescent="0.3">
      <c r="A172" t="s">
        <v>581</v>
      </c>
      <c r="B172" t="s">
        <v>421</v>
      </c>
      <c r="C172" t="s">
        <v>541</v>
      </c>
      <c r="E172">
        <v>3</v>
      </c>
      <c r="F172" t="s">
        <v>611</v>
      </c>
    </row>
    <row r="173" spans="1:6" x14ac:dyDescent="0.3">
      <c r="A173" t="s">
        <v>581</v>
      </c>
      <c r="B173" t="s">
        <v>422</v>
      </c>
      <c r="C173" t="s">
        <v>542</v>
      </c>
      <c r="E173">
        <v>3</v>
      </c>
      <c r="F173" t="s">
        <v>611</v>
      </c>
    </row>
    <row r="174" spans="1:6" x14ac:dyDescent="0.3">
      <c r="A174" t="s">
        <v>581</v>
      </c>
      <c r="B174" t="s">
        <v>423</v>
      </c>
      <c r="C174" t="s">
        <v>543</v>
      </c>
      <c r="E174">
        <v>3</v>
      </c>
      <c r="F174" t="s">
        <v>611</v>
      </c>
    </row>
    <row r="175" spans="1:6" x14ac:dyDescent="0.3">
      <c r="A175" t="s">
        <v>581</v>
      </c>
      <c r="B175" t="s">
        <v>424</v>
      </c>
      <c r="C175" t="s">
        <v>544</v>
      </c>
      <c r="E175">
        <v>3</v>
      </c>
      <c r="F175" t="s">
        <v>611</v>
      </c>
    </row>
    <row r="176" spans="1:6" x14ac:dyDescent="0.3">
      <c r="A176" t="s">
        <v>581</v>
      </c>
      <c r="B176" t="s">
        <v>425</v>
      </c>
      <c r="C176" t="s">
        <v>545</v>
      </c>
      <c r="E176">
        <v>3</v>
      </c>
      <c r="F176" t="s">
        <v>611</v>
      </c>
    </row>
    <row r="177" spans="1:6" x14ac:dyDescent="0.3">
      <c r="A177" t="s">
        <v>581</v>
      </c>
      <c r="B177" t="s">
        <v>426</v>
      </c>
      <c r="C177" t="s">
        <v>546</v>
      </c>
      <c r="E177">
        <v>3</v>
      </c>
      <c r="F177" t="s">
        <v>611</v>
      </c>
    </row>
    <row r="178" spans="1:6" x14ac:dyDescent="0.3">
      <c r="A178" t="s">
        <v>581</v>
      </c>
      <c r="B178" t="s">
        <v>427</v>
      </c>
      <c r="C178" t="s">
        <v>547</v>
      </c>
      <c r="E178">
        <v>3</v>
      </c>
      <c r="F178" t="s">
        <v>611</v>
      </c>
    </row>
    <row r="179" spans="1:6" x14ac:dyDescent="0.3">
      <c r="A179" t="s">
        <v>581</v>
      </c>
      <c r="B179" t="s">
        <v>428</v>
      </c>
      <c r="C179" t="s">
        <v>548</v>
      </c>
      <c r="E179">
        <v>3</v>
      </c>
      <c r="F179" t="s">
        <v>611</v>
      </c>
    </row>
    <row r="180" spans="1:6" x14ac:dyDescent="0.3">
      <c r="A180" t="s">
        <v>581</v>
      </c>
      <c r="B180" t="s">
        <v>429</v>
      </c>
      <c r="C180" t="s">
        <v>549</v>
      </c>
      <c r="E180">
        <v>3</v>
      </c>
      <c r="F180" t="s">
        <v>611</v>
      </c>
    </row>
    <row r="181" spans="1:6" x14ac:dyDescent="0.3">
      <c r="A181" t="s">
        <v>581</v>
      </c>
      <c r="B181" t="s">
        <v>430</v>
      </c>
      <c r="C181" t="s">
        <v>550</v>
      </c>
      <c r="E181">
        <v>3</v>
      </c>
      <c r="F181" t="s">
        <v>611</v>
      </c>
    </row>
    <row r="182" spans="1:6" x14ac:dyDescent="0.3">
      <c r="A182" t="s">
        <v>581</v>
      </c>
      <c r="B182" t="s">
        <v>431</v>
      </c>
      <c r="C182" t="s">
        <v>551</v>
      </c>
      <c r="E182">
        <v>3</v>
      </c>
      <c r="F182" t="s">
        <v>611</v>
      </c>
    </row>
    <row r="183" spans="1:6" x14ac:dyDescent="0.3">
      <c r="A183" t="s">
        <v>581</v>
      </c>
      <c r="B183" t="s">
        <v>432</v>
      </c>
      <c r="C183" t="s">
        <v>552</v>
      </c>
      <c r="E183">
        <v>3</v>
      </c>
      <c r="F183" t="s">
        <v>611</v>
      </c>
    </row>
    <row r="184" spans="1:6" x14ac:dyDescent="0.3">
      <c r="A184" t="s">
        <v>581</v>
      </c>
      <c r="B184" t="s">
        <v>433</v>
      </c>
      <c r="C184" t="s">
        <v>553</v>
      </c>
      <c r="E184">
        <v>3</v>
      </c>
      <c r="F184" t="s">
        <v>611</v>
      </c>
    </row>
    <row r="185" spans="1:6" x14ac:dyDescent="0.3">
      <c r="A185" t="s">
        <v>581</v>
      </c>
      <c r="B185" t="s">
        <v>434</v>
      </c>
      <c r="C185" t="s">
        <v>554</v>
      </c>
      <c r="E185">
        <v>3</v>
      </c>
      <c r="F185" t="s">
        <v>611</v>
      </c>
    </row>
    <row r="186" spans="1:6" x14ac:dyDescent="0.3">
      <c r="A186" t="s">
        <v>581</v>
      </c>
      <c r="B186" t="s">
        <v>435</v>
      </c>
      <c r="C186" t="s">
        <v>555</v>
      </c>
      <c r="E186">
        <v>3</v>
      </c>
      <c r="F186" t="s">
        <v>611</v>
      </c>
    </row>
    <row r="187" spans="1:6" x14ac:dyDescent="0.3">
      <c r="A187" t="s">
        <v>581</v>
      </c>
      <c r="B187" t="s">
        <v>436</v>
      </c>
      <c r="C187" t="s">
        <v>556</v>
      </c>
      <c r="E187">
        <v>3</v>
      </c>
      <c r="F187" t="s">
        <v>611</v>
      </c>
    </row>
    <row r="188" spans="1:6" x14ac:dyDescent="0.3">
      <c r="A188" t="s">
        <v>581</v>
      </c>
      <c r="B188" t="s">
        <v>437</v>
      </c>
      <c r="C188" t="s">
        <v>557</v>
      </c>
      <c r="E188">
        <v>3</v>
      </c>
      <c r="F188" t="s">
        <v>611</v>
      </c>
    </row>
    <row r="189" spans="1:6" x14ac:dyDescent="0.3">
      <c r="A189" t="s">
        <v>581</v>
      </c>
      <c r="B189" t="s">
        <v>438</v>
      </c>
      <c r="C189" t="s">
        <v>558</v>
      </c>
      <c r="E189">
        <v>3</v>
      </c>
      <c r="F189" t="s">
        <v>611</v>
      </c>
    </row>
    <row r="190" spans="1:6" x14ac:dyDescent="0.3">
      <c r="A190" t="s">
        <v>581</v>
      </c>
      <c r="B190" t="s">
        <v>439</v>
      </c>
      <c r="C190" t="s">
        <v>559</v>
      </c>
      <c r="E190">
        <v>3</v>
      </c>
      <c r="F190" t="s">
        <v>611</v>
      </c>
    </row>
    <row r="191" spans="1:6" x14ac:dyDescent="0.3">
      <c r="A191" t="s">
        <v>581</v>
      </c>
      <c r="B191" t="s">
        <v>440</v>
      </c>
      <c r="C191" t="s">
        <v>560</v>
      </c>
      <c r="E191">
        <v>3</v>
      </c>
      <c r="F191" t="s">
        <v>611</v>
      </c>
    </row>
    <row r="192" spans="1:6" x14ac:dyDescent="0.3">
      <c r="A192" t="s">
        <v>581</v>
      </c>
      <c r="B192" t="s">
        <v>441</v>
      </c>
      <c r="C192" t="s">
        <v>561</v>
      </c>
      <c r="E192">
        <v>3</v>
      </c>
      <c r="F192" t="s">
        <v>611</v>
      </c>
    </row>
    <row r="193" spans="1:6" x14ac:dyDescent="0.3">
      <c r="A193" t="s">
        <v>581</v>
      </c>
      <c r="B193" t="s">
        <v>442</v>
      </c>
      <c r="C193" t="s">
        <v>562</v>
      </c>
      <c r="E193">
        <v>3</v>
      </c>
      <c r="F193" t="s">
        <v>611</v>
      </c>
    </row>
    <row r="194" spans="1:6" x14ac:dyDescent="0.3">
      <c r="A194" t="s">
        <v>581</v>
      </c>
      <c r="B194" t="s">
        <v>443</v>
      </c>
      <c r="C194" t="s">
        <v>563</v>
      </c>
      <c r="E194">
        <v>3</v>
      </c>
      <c r="F194" t="s">
        <v>611</v>
      </c>
    </row>
    <row r="195" spans="1:6" x14ac:dyDescent="0.3">
      <c r="A195" t="s">
        <v>581</v>
      </c>
      <c r="B195" t="s">
        <v>444</v>
      </c>
      <c r="C195" t="s">
        <v>564</v>
      </c>
      <c r="E195">
        <v>3</v>
      </c>
      <c r="F195" t="s">
        <v>611</v>
      </c>
    </row>
    <row r="196" spans="1:6" x14ac:dyDescent="0.3">
      <c r="A196" t="s">
        <v>581</v>
      </c>
      <c r="B196" t="s">
        <v>445</v>
      </c>
      <c r="C196" t="s">
        <v>565</v>
      </c>
      <c r="E196">
        <v>3</v>
      </c>
      <c r="F196" t="s">
        <v>611</v>
      </c>
    </row>
    <row r="197" spans="1:6" x14ac:dyDescent="0.3">
      <c r="A197" t="s">
        <v>581</v>
      </c>
      <c r="B197" t="s">
        <v>446</v>
      </c>
      <c r="C197" t="s">
        <v>566</v>
      </c>
      <c r="E197">
        <v>3</v>
      </c>
      <c r="F197" t="s">
        <v>611</v>
      </c>
    </row>
    <row r="198" spans="1:6" x14ac:dyDescent="0.3">
      <c r="A198" t="s">
        <v>581</v>
      </c>
      <c r="B198" t="s">
        <v>447</v>
      </c>
      <c r="C198" t="s">
        <v>567</v>
      </c>
      <c r="E198">
        <v>3</v>
      </c>
      <c r="F198" t="s">
        <v>611</v>
      </c>
    </row>
    <row r="199" spans="1:6" x14ac:dyDescent="0.3">
      <c r="A199" t="s">
        <v>581</v>
      </c>
      <c r="B199" t="s">
        <v>448</v>
      </c>
      <c r="C199" t="s">
        <v>568</v>
      </c>
      <c r="E199">
        <v>3</v>
      </c>
      <c r="F199" t="s">
        <v>611</v>
      </c>
    </row>
    <row r="200" spans="1:6" x14ac:dyDescent="0.3">
      <c r="A200" t="s">
        <v>581</v>
      </c>
      <c r="B200" t="s">
        <v>449</v>
      </c>
      <c r="C200" t="s">
        <v>569</v>
      </c>
      <c r="E200">
        <v>3</v>
      </c>
      <c r="F200" t="s">
        <v>611</v>
      </c>
    </row>
    <row r="201" spans="1:6" x14ac:dyDescent="0.3">
      <c r="A201" t="s">
        <v>581</v>
      </c>
      <c r="B201" t="s">
        <v>450</v>
      </c>
      <c r="C201" t="s">
        <v>570</v>
      </c>
      <c r="E201">
        <v>3</v>
      </c>
      <c r="F201" t="s">
        <v>611</v>
      </c>
    </row>
    <row r="202" spans="1:6" x14ac:dyDescent="0.3">
      <c r="A202" t="s">
        <v>581</v>
      </c>
      <c r="B202" t="s">
        <v>451</v>
      </c>
      <c r="C202" t="s">
        <v>571</v>
      </c>
      <c r="E202">
        <v>3</v>
      </c>
      <c r="F202" t="s">
        <v>611</v>
      </c>
    </row>
    <row r="203" spans="1:6" x14ac:dyDescent="0.3">
      <c r="A203" t="s">
        <v>581</v>
      </c>
      <c r="B203" t="s">
        <v>452</v>
      </c>
      <c r="C203" t="s">
        <v>572</v>
      </c>
      <c r="E203">
        <v>3</v>
      </c>
      <c r="F203" t="s">
        <v>611</v>
      </c>
    </row>
    <row r="204" spans="1:6" x14ac:dyDescent="0.3">
      <c r="A204" t="s">
        <v>581</v>
      </c>
      <c r="B204" t="s">
        <v>453</v>
      </c>
      <c r="C204" t="s">
        <v>573</v>
      </c>
      <c r="E204">
        <v>3</v>
      </c>
      <c r="F204" t="s">
        <v>611</v>
      </c>
    </row>
    <row r="205" spans="1:6" x14ac:dyDescent="0.3">
      <c r="A205" t="s">
        <v>581</v>
      </c>
      <c r="B205" t="s">
        <v>454</v>
      </c>
      <c r="C205" t="s">
        <v>574</v>
      </c>
      <c r="E205">
        <v>3</v>
      </c>
      <c r="F205" t="s">
        <v>611</v>
      </c>
    </row>
    <row r="206" spans="1:6" x14ac:dyDescent="0.3">
      <c r="A206" t="s">
        <v>581</v>
      </c>
      <c r="B206" t="s">
        <v>455</v>
      </c>
      <c r="C206" t="s">
        <v>575</v>
      </c>
      <c r="E206">
        <v>3</v>
      </c>
      <c r="F206" t="s">
        <v>611</v>
      </c>
    </row>
    <row r="207" spans="1:6" x14ac:dyDescent="0.3">
      <c r="A207" t="s">
        <v>581</v>
      </c>
      <c r="B207" t="s">
        <v>456</v>
      </c>
      <c r="C207" t="s">
        <v>576</v>
      </c>
      <c r="E207">
        <v>3</v>
      </c>
      <c r="F207" t="s">
        <v>611</v>
      </c>
    </row>
    <row r="208" spans="1:6" x14ac:dyDescent="0.3">
      <c r="A208" t="s">
        <v>581</v>
      </c>
      <c r="B208" t="s">
        <v>457</v>
      </c>
      <c r="C208" t="s">
        <v>577</v>
      </c>
      <c r="E208">
        <v>3</v>
      </c>
      <c r="F208" t="s">
        <v>611</v>
      </c>
    </row>
    <row r="209" spans="1:6" x14ac:dyDescent="0.3">
      <c r="A209" t="s">
        <v>581</v>
      </c>
      <c r="B209" t="s">
        <v>458</v>
      </c>
      <c r="C209" t="s">
        <v>578</v>
      </c>
      <c r="E209">
        <v>3</v>
      </c>
      <c r="F209" t="s">
        <v>611</v>
      </c>
    </row>
    <row r="210" spans="1:6" x14ac:dyDescent="0.3">
      <c r="A210" t="s">
        <v>581</v>
      </c>
      <c r="B210" t="s">
        <v>459</v>
      </c>
      <c r="C210" t="s">
        <v>579</v>
      </c>
      <c r="E210">
        <v>3</v>
      </c>
      <c r="F210" t="s">
        <v>611</v>
      </c>
    </row>
    <row r="211" spans="1:6" x14ac:dyDescent="0.3">
      <c r="A211" t="s">
        <v>581</v>
      </c>
      <c r="B211" t="s">
        <v>460</v>
      </c>
      <c r="C211" t="s">
        <v>580</v>
      </c>
      <c r="E211">
        <v>3</v>
      </c>
      <c r="F211" t="s">
        <v>611</v>
      </c>
    </row>
    <row r="212" spans="1:6" x14ac:dyDescent="0.3">
      <c r="A212" t="s">
        <v>581</v>
      </c>
      <c r="B212" t="s">
        <v>582</v>
      </c>
      <c r="C212" t="s">
        <v>616</v>
      </c>
      <c r="D212">
        <v>3</v>
      </c>
      <c r="F212" t="s">
        <v>612</v>
      </c>
    </row>
    <row r="213" spans="1:6" x14ac:dyDescent="0.3">
      <c r="A213" t="s">
        <v>581</v>
      </c>
      <c r="B213" t="s">
        <v>583</v>
      </c>
      <c r="C213" t="s">
        <v>597</v>
      </c>
      <c r="D213">
        <v>3</v>
      </c>
      <c r="F213" t="s">
        <v>612</v>
      </c>
    </row>
    <row r="214" spans="1:6" x14ac:dyDescent="0.3">
      <c r="A214" t="s">
        <v>581</v>
      </c>
      <c r="B214" t="s">
        <v>584</v>
      </c>
      <c r="C214" t="s">
        <v>598</v>
      </c>
      <c r="D214">
        <v>3</v>
      </c>
      <c r="F214" t="s">
        <v>612</v>
      </c>
    </row>
    <row r="215" spans="1:6" x14ac:dyDescent="0.3">
      <c r="A215" t="s">
        <v>581</v>
      </c>
      <c r="B215" t="s">
        <v>585</v>
      </c>
      <c r="C215" t="s">
        <v>599</v>
      </c>
      <c r="D215">
        <v>3</v>
      </c>
      <c r="F215" t="s">
        <v>612</v>
      </c>
    </row>
    <row r="216" spans="1:6" x14ac:dyDescent="0.3">
      <c r="A216" t="s">
        <v>581</v>
      </c>
      <c r="B216" t="s">
        <v>586</v>
      </c>
      <c r="C216" t="s">
        <v>600</v>
      </c>
      <c r="D216">
        <v>3</v>
      </c>
      <c r="F216" t="s">
        <v>612</v>
      </c>
    </row>
    <row r="217" spans="1:6" x14ac:dyDescent="0.3">
      <c r="A217" t="s">
        <v>581</v>
      </c>
      <c r="B217" t="s">
        <v>587</v>
      </c>
      <c r="C217" t="s">
        <v>601</v>
      </c>
      <c r="D217">
        <v>3</v>
      </c>
      <c r="F217" t="s">
        <v>612</v>
      </c>
    </row>
    <row r="218" spans="1:6" x14ac:dyDescent="0.3">
      <c r="A218" t="s">
        <v>581</v>
      </c>
      <c r="B218" t="s">
        <v>588</v>
      </c>
      <c r="C218" t="s">
        <v>602</v>
      </c>
      <c r="D218">
        <v>3</v>
      </c>
      <c r="F218" t="s">
        <v>612</v>
      </c>
    </row>
    <row r="219" spans="1:6" x14ac:dyDescent="0.3">
      <c r="A219" t="s">
        <v>581</v>
      </c>
      <c r="B219" t="s">
        <v>589</v>
      </c>
      <c r="C219" t="s">
        <v>603</v>
      </c>
      <c r="D219">
        <v>3</v>
      </c>
      <c r="F219" t="s">
        <v>612</v>
      </c>
    </row>
    <row r="220" spans="1:6" x14ac:dyDescent="0.3">
      <c r="A220" t="s">
        <v>581</v>
      </c>
      <c r="B220" t="s">
        <v>590</v>
      </c>
      <c r="C220" t="s">
        <v>604</v>
      </c>
      <c r="D220">
        <v>3</v>
      </c>
      <c r="F220" t="s">
        <v>612</v>
      </c>
    </row>
    <row r="221" spans="1:6" x14ac:dyDescent="0.3">
      <c r="A221" t="s">
        <v>581</v>
      </c>
      <c r="B221" t="s">
        <v>591</v>
      </c>
      <c r="C221" t="s">
        <v>605</v>
      </c>
      <c r="D221">
        <v>3</v>
      </c>
      <c r="F221" t="s">
        <v>612</v>
      </c>
    </row>
    <row r="222" spans="1:6" x14ac:dyDescent="0.3">
      <c r="A222" t="s">
        <v>581</v>
      </c>
      <c r="B222" t="s">
        <v>592</v>
      </c>
      <c r="C222" t="s">
        <v>606</v>
      </c>
      <c r="D222">
        <v>3</v>
      </c>
      <c r="F222" t="s">
        <v>612</v>
      </c>
    </row>
    <row r="223" spans="1:6" x14ac:dyDescent="0.3">
      <c r="A223" t="s">
        <v>581</v>
      </c>
      <c r="B223" t="s">
        <v>593</v>
      </c>
      <c r="C223" t="s">
        <v>607</v>
      </c>
      <c r="D223">
        <v>3</v>
      </c>
      <c r="F223" t="s">
        <v>612</v>
      </c>
    </row>
    <row r="224" spans="1:6" x14ac:dyDescent="0.3">
      <c r="A224" t="s">
        <v>581</v>
      </c>
      <c r="B224" t="s">
        <v>594</v>
      </c>
      <c r="C224" t="s">
        <v>608</v>
      </c>
      <c r="D224">
        <v>3</v>
      </c>
      <c r="F224" t="s">
        <v>612</v>
      </c>
    </row>
    <row r="225" spans="1:6" x14ac:dyDescent="0.3">
      <c r="A225" t="s">
        <v>581</v>
      </c>
      <c r="B225" t="s">
        <v>595</v>
      </c>
      <c r="C225" t="s">
        <v>609</v>
      </c>
      <c r="D225">
        <v>3</v>
      </c>
      <c r="F225" t="s">
        <v>612</v>
      </c>
    </row>
    <row r="226" spans="1:6" x14ac:dyDescent="0.3">
      <c r="A226" t="s">
        <v>581</v>
      </c>
      <c r="B226" t="s">
        <v>596</v>
      </c>
      <c r="C226" t="s">
        <v>610</v>
      </c>
      <c r="D226">
        <v>3</v>
      </c>
      <c r="F226" t="s">
        <v>612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Notes</vt:lpstr>
      <vt:lpstr>Main</vt:lpstr>
      <vt:lpstr>Base</vt:lpstr>
      <vt:lpstr>S1</vt:lpstr>
      <vt:lpstr>S2</vt:lpstr>
      <vt:lpstr>S3</vt:lpstr>
      <vt:lpstr>S4</vt:lpstr>
      <vt:lpstr>S5</vt:lpstr>
      <vt:lpstr>S6</vt:lpstr>
      <vt:lpstr>S7</vt:lpstr>
      <vt:lpstr>S8</vt:lpstr>
      <vt:lpstr>S9</vt:lpstr>
      <vt:lpstr>S10</vt:lpstr>
      <vt:lpstr>S11</vt:lpstr>
      <vt:lpstr>S12</vt:lpstr>
      <vt:lpstr>S13</vt:lpstr>
      <vt:lpstr>S14</vt:lpstr>
      <vt:lpstr>S15</vt:lpstr>
      <vt:lpstr>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Thurlow</dc:creator>
  <cp:lastModifiedBy>Thurlow, James (IFPRI)</cp:lastModifiedBy>
  <dcterms:created xsi:type="dcterms:W3CDTF">2015-06-05T18:17:20Z</dcterms:created>
  <dcterms:modified xsi:type="dcterms:W3CDTF">2025-12-07T00:08:56Z</dcterms:modified>
</cp:coreProperties>
</file>