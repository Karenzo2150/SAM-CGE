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THURLOW\OneDrive - CGIAR\Desktop\Advanced CGE Course (NPL 2025)\4 CGE model\data\bgd_2023\"/>
    </mc:Choice>
  </mc:AlternateContent>
  <xr:revisionPtr revIDLastSave="0" documentId="13_ncr:1_{CB39B142-BBAE-43D8-A83A-484DD5955491}" xr6:coauthVersionLast="47" xr6:coauthVersionMax="47" xr10:uidLastSave="{00000000-0000-0000-0000-000000000000}"/>
  <bookViews>
    <workbookView xWindow="-132" yWindow="-132" windowWidth="23304" windowHeight="13944" firstSheet="1" activeTab="2" xr2:uid="{00000000-000D-0000-FFFF-FFFF00000000}"/>
  </bookViews>
  <sheets>
    <sheet name="Notes" sheetId="3" r:id="rId1"/>
    <sheet name="Base" sheetId="4" r:id="rId2"/>
    <sheet name="Macro" sheetId="5" r:id="rId3"/>
    <sheet name="GDP" sheetId="6" r:id="rId4"/>
    <sheet name="Sector" sheetId="13" r:id="rId5"/>
    <sheet name="Trade" sheetId="12" r:id="rId6"/>
    <sheet name="Prices" sheetId="11" r:id="rId7"/>
    <sheet name="Factors" sheetId="7" r:id="rId8"/>
    <sheet name="Households" sheetId="14" r:id="rId9"/>
    <sheet name="Sets" sheetId="10" r:id="rId10"/>
    <sheet name="RA" sheetId="8" r:id="rId11"/>
    <sheet name="RF" sheetId="9" r:id="rId12"/>
    <sheet name="RH" sheetId="2" r:id="rId13"/>
    <sheet name="Index" sheetId="1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5" i="2" l="1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W158" i="3" l="1"/>
  <c r="V158" i="3"/>
  <c r="U158" i="3"/>
  <c r="T158" i="3"/>
  <c r="W157" i="3"/>
  <c r="V157" i="3"/>
  <c r="U157" i="3"/>
  <c r="T157" i="3"/>
  <c r="C155" i="8" s="1"/>
  <c r="W156" i="3"/>
  <c r="X155" i="14" s="1"/>
  <c r="V156" i="3"/>
  <c r="X155" i="7" s="1"/>
  <c r="U156" i="3"/>
  <c r="BN155" i="11" s="1"/>
  <c r="T156" i="3"/>
  <c r="C154" i="8" s="1"/>
  <c r="W155" i="3"/>
  <c r="X154" i="14" s="1"/>
  <c r="V155" i="3"/>
  <c r="C154" i="7" s="1"/>
  <c r="U155" i="3"/>
  <c r="BN154" i="11" s="1"/>
  <c r="T155" i="3"/>
  <c r="C153" i="8" s="1"/>
  <c r="W154" i="3"/>
  <c r="X153" i="14" s="1"/>
  <c r="V154" i="3"/>
  <c r="C153" i="7" s="1"/>
  <c r="U154" i="3"/>
  <c r="BN153" i="11" s="1"/>
  <c r="T154" i="3"/>
  <c r="C152" i="8" s="1"/>
  <c r="W153" i="3"/>
  <c r="BN152" i="14" s="1"/>
  <c r="V153" i="3"/>
  <c r="U153" i="3"/>
  <c r="T153" i="3"/>
  <c r="C151" i="8" s="1"/>
  <c r="W152" i="3"/>
  <c r="C150" i="2" s="1"/>
  <c r="V152" i="3"/>
  <c r="C150" i="9" s="1"/>
  <c r="U152" i="3"/>
  <c r="BN151" i="11" s="1"/>
  <c r="T152" i="3"/>
  <c r="C151" i="13" s="1"/>
  <c r="W151" i="3"/>
  <c r="C149" i="2" s="1"/>
  <c r="V151" i="3"/>
  <c r="C149" i="9" s="1"/>
  <c r="U151" i="3"/>
  <c r="T151" i="3"/>
  <c r="C150" i="13" s="1"/>
  <c r="W150" i="3"/>
  <c r="C148" i="2" s="1"/>
  <c r="V150" i="3"/>
  <c r="X149" i="7" s="1"/>
  <c r="U150" i="3"/>
  <c r="T150" i="3"/>
  <c r="W149" i="3"/>
  <c r="C147" i="2" s="1"/>
  <c r="V149" i="3"/>
  <c r="X148" i="7" s="1"/>
  <c r="U149" i="3"/>
  <c r="T149" i="3"/>
  <c r="C148" i="13" s="1"/>
  <c r="W148" i="3"/>
  <c r="C146" i="2" s="1"/>
  <c r="V148" i="3"/>
  <c r="AS147" i="7" s="1"/>
  <c r="U148" i="3"/>
  <c r="X149" i="4" s="1"/>
  <c r="T148" i="3"/>
  <c r="C147" i="13" s="1"/>
  <c r="W147" i="3"/>
  <c r="V147" i="3"/>
  <c r="U147" i="3"/>
  <c r="X148" i="4" s="1"/>
  <c r="T147" i="3"/>
  <c r="C145" i="8" s="1"/>
  <c r="W146" i="3"/>
  <c r="C144" i="2" s="1"/>
  <c r="V146" i="3"/>
  <c r="U146" i="3"/>
  <c r="AS145" i="11" s="1"/>
  <c r="T146" i="3"/>
  <c r="X145" i="13" s="1"/>
  <c r="W145" i="3"/>
  <c r="C143" i="2" s="1"/>
  <c r="V145" i="3"/>
  <c r="AS144" i="7" s="1"/>
  <c r="U145" i="3"/>
  <c r="X146" i="4" s="1"/>
  <c r="T145" i="3"/>
  <c r="C143" i="8" s="1"/>
  <c r="W144" i="3"/>
  <c r="C142" i="2" s="1"/>
  <c r="V144" i="3"/>
  <c r="C143" i="7" s="1"/>
  <c r="U144" i="3"/>
  <c r="CI143" i="11" s="1"/>
  <c r="T144" i="3"/>
  <c r="C142" i="8" s="1"/>
  <c r="W143" i="3"/>
  <c r="C141" i="2" s="1"/>
  <c r="V143" i="3"/>
  <c r="U143" i="3"/>
  <c r="C142" i="12" s="1"/>
  <c r="T143" i="3"/>
  <c r="W142" i="3"/>
  <c r="V142" i="3"/>
  <c r="C140" i="9" s="1"/>
  <c r="U142" i="3"/>
  <c r="T142" i="3"/>
  <c r="W141" i="3"/>
  <c r="X140" i="14" s="1"/>
  <c r="V141" i="3"/>
  <c r="C139" i="9" s="1"/>
  <c r="U141" i="3"/>
  <c r="T141" i="3"/>
  <c r="C139" i="8" s="1"/>
  <c r="W140" i="3"/>
  <c r="C138" i="2" s="1"/>
  <c r="V140" i="3"/>
  <c r="C138" i="9" s="1"/>
  <c r="U140" i="3"/>
  <c r="C139" i="12" s="1"/>
  <c r="T140" i="3"/>
  <c r="C138" i="8" s="1"/>
  <c r="W139" i="3"/>
  <c r="C137" i="2" s="1"/>
  <c r="V139" i="3"/>
  <c r="C137" i="9" s="1"/>
  <c r="U139" i="3"/>
  <c r="C138" i="12" s="1"/>
  <c r="T139" i="3"/>
  <c r="W138" i="3"/>
  <c r="C136" i="2" s="1"/>
  <c r="V138" i="3"/>
  <c r="U138" i="3"/>
  <c r="C139" i="4" s="1"/>
  <c r="T138" i="3"/>
  <c r="W137" i="3"/>
  <c r="V137" i="3"/>
  <c r="C135" i="9" s="1"/>
  <c r="U137" i="3"/>
  <c r="C138" i="4" s="1"/>
  <c r="T137" i="3"/>
  <c r="W136" i="3"/>
  <c r="C134" i="2" s="1"/>
  <c r="V136" i="3"/>
  <c r="C134" i="9" s="1"/>
  <c r="U136" i="3"/>
  <c r="C137" i="4" s="1"/>
  <c r="T136" i="3"/>
  <c r="C135" i="13" s="1"/>
  <c r="W135" i="3"/>
  <c r="C133" i="2" s="1"/>
  <c r="V135" i="3"/>
  <c r="C133" i="9" s="1"/>
  <c r="U135" i="3"/>
  <c r="X134" i="11" s="1"/>
  <c r="T135" i="3"/>
  <c r="C134" i="13" s="1"/>
  <c r="W134" i="3"/>
  <c r="X133" i="14" s="1"/>
  <c r="V134" i="3"/>
  <c r="C133" i="7" s="1"/>
  <c r="U134" i="3"/>
  <c r="T134" i="3"/>
  <c r="W133" i="3"/>
  <c r="BN132" i="14" s="1"/>
  <c r="V133" i="3"/>
  <c r="U133" i="3"/>
  <c r="T133" i="3"/>
  <c r="C131" i="8" s="1"/>
  <c r="W132" i="3"/>
  <c r="V132" i="3"/>
  <c r="C130" i="9" s="1"/>
  <c r="U132" i="3"/>
  <c r="DD131" i="11" s="1"/>
  <c r="T132" i="3"/>
  <c r="X131" i="13" s="1"/>
  <c r="W131" i="3"/>
  <c r="BN130" i="14" s="1"/>
  <c r="V131" i="3"/>
  <c r="C129" i="9" s="1"/>
  <c r="U131" i="3"/>
  <c r="X130" i="12" s="1"/>
  <c r="T131" i="3"/>
  <c r="X130" i="13" s="1"/>
  <c r="W130" i="3"/>
  <c r="C128" i="2" s="1"/>
  <c r="V130" i="3"/>
  <c r="C128" i="9" s="1"/>
  <c r="U130" i="3"/>
  <c r="X129" i="12" s="1"/>
  <c r="T130" i="3"/>
  <c r="X129" i="13" s="1"/>
  <c r="W129" i="3"/>
  <c r="C127" i="2" s="1"/>
  <c r="V129" i="3"/>
  <c r="C127" i="9" s="1"/>
  <c r="U129" i="3"/>
  <c r="X128" i="12" s="1"/>
  <c r="T129" i="3"/>
  <c r="X128" i="13" s="1"/>
  <c r="W128" i="3"/>
  <c r="C126" i="2" s="1"/>
  <c r="V128" i="3"/>
  <c r="U128" i="3"/>
  <c r="X127" i="12" s="1"/>
  <c r="T128" i="3"/>
  <c r="X127" i="13" s="1"/>
  <c r="W127" i="3"/>
  <c r="V127" i="3"/>
  <c r="AS126" i="7" s="1"/>
  <c r="U127" i="3"/>
  <c r="X126" i="12" s="1"/>
  <c r="T127" i="3"/>
  <c r="X126" i="13" s="1"/>
  <c r="W126" i="3"/>
  <c r="BN125" i="14" s="1"/>
  <c r="V126" i="3"/>
  <c r="U126" i="3"/>
  <c r="T126" i="3"/>
  <c r="W125" i="3"/>
  <c r="BN124" i="14" s="1"/>
  <c r="V125" i="3"/>
  <c r="X124" i="7" s="1"/>
  <c r="U125" i="3"/>
  <c r="T125" i="3"/>
  <c r="C123" i="8" s="1"/>
  <c r="W124" i="3"/>
  <c r="BN123" i="14" s="1"/>
  <c r="V124" i="3"/>
  <c r="X123" i="7" s="1"/>
  <c r="U124" i="3"/>
  <c r="BN123" i="11" s="1"/>
  <c r="T124" i="3"/>
  <c r="C122" i="8" s="1"/>
  <c r="W123" i="3"/>
  <c r="X122" i="14" s="1"/>
  <c r="V123" i="3"/>
  <c r="U123" i="3"/>
  <c r="BN122" i="11" s="1"/>
  <c r="T123" i="3"/>
  <c r="C121" i="8" s="1"/>
  <c r="W122" i="3"/>
  <c r="V122" i="3"/>
  <c r="U122" i="3"/>
  <c r="BN121" i="11" s="1"/>
  <c r="T122" i="3"/>
  <c r="C120" i="8" s="1"/>
  <c r="W121" i="3"/>
  <c r="C119" i="2" s="1"/>
  <c r="V121" i="3"/>
  <c r="U121" i="3"/>
  <c r="X122" i="4" s="1"/>
  <c r="T121" i="3"/>
  <c r="C119" i="8" s="1"/>
  <c r="W120" i="3"/>
  <c r="C118" i="2" s="1"/>
  <c r="V120" i="3"/>
  <c r="C118" i="9" s="1"/>
  <c r="U120" i="3"/>
  <c r="BN119" i="11" s="1"/>
  <c r="T120" i="3"/>
  <c r="C119" i="13" s="1"/>
  <c r="W119" i="3"/>
  <c r="C117" i="2" s="1"/>
  <c r="V119" i="3"/>
  <c r="C117" i="9" s="1"/>
  <c r="U119" i="3"/>
  <c r="BN118" i="11" s="1"/>
  <c r="T119" i="3"/>
  <c r="C118" i="13" s="1"/>
  <c r="W118" i="3"/>
  <c r="C116" i="2" s="1"/>
  <c r="V118" i="3"/>
  <c r="U118" i="3"/>
  <c r="C117" i="12" s="1"/>
  <c r="T118" i="3"/>
  <c r="W117" i="3"/>
  <c r="V117" i="3"/>
  <c r="U117" i="3"/>
  <c r="X116" i="11" s="1"/>
  <c r="T117" i="3"/>
  <c r="C116" i="13" s="1"/>
  <c r="W116" i="3"/>
  <c r="C114" i="2" s="1"/>
  <c r="V116" i="3"/>
  <c r="U116" i="3"/>
  <c r="X117" i="4" s="1"/>
  <c r="T116" i="3"/>
  <c r="C115" i="13" s="1"/>
  <c r="W115" i="3"/>
  <c r="C113" i="2" s="1"/>
  <c r="V115" i="3"/>
  <c r="AS114" i="7" s="1"/>
  <c r="U115" i="3"/>
  <c r="X116" i="4" s="1"/>
  <c r="T115" i="3"/>
  <c r="X114" i="13" s="1"/>
  <c r="W114" i="3"/>
  <c r="C112" i="2" s="1"/>
  <c r="V114" i="3"/>
  <c r="C113" i="7" s="1"/>
  <c r="U114" i="3"/>
  <c r="AS113" i="11" s="1"/>
  <c r="T114" i="3"/>
  <c r="X113" i="13" s="1"/>
  <c r="W113" i="3"/>
  <c r="C111" i="2" s="1"/>
  <c r="V113" i="3"/>
  <c r="C111" i="9" s="1"/>
  <c r="U113" i="3"/>
  <c r="X114" i="4" s="1"/>
  <c r="T113" i="3"/>
  <c r="C112" i="13" s="1"/>
  <c r="W112" i="3"/>
  <c r="C110" i="2" s="1"/>
  <c r="V112" i="3"/>
  <c r="C111" i="7" s="1"/>
  <c r="U112" i="3"/>
  <c r="CI111" i="11" s="1"/>
  <c r="T112" i="3"/>
  <c r="C110" i="8" s="1"/>
  <c r="W111" i="3"/>
  <c r="C109" i="2" s="1"/>
  <c r="V111" i="3"/>
  <c r="C110" i="7" s="1"/>
  <c r="U111" i="3"/>
  <c r="C110" i="12" s="1"/>
  <c r="T111" i="3"/>
  <c r="C110" i="13" s="1"/>
  <c r="W110" i="3"/>
  <c r="C108" i="2" s="1"/>
  <c r="V110" i="3"/>
  <c r="C109" i="7" s="1"/>
  <c r="U110" i="3"/>
  <c r="C109" i="11" s="1"/>
  <c r="T110" i="3"/>
  <c r="C109" i="13" s="1"/>
  <c r="W109" i="3"/>
  <c r="BN108" i="14" s="1"/>
  <c r="V109" i="3"/>
  <c r="C107" i="9" s="1"/>
  <c r="U109" i="3"/>
  <c r="X110" i="4" s="1"/>
  <c r="T109" i="3"/>
  <c r="C107" i="8" s="1"/>
  <c r="W108" i="3"/>
  <c r="BN107" i="14" s="1"/>
  <c r="V108" i="3"/>
  <c r="U108" i="3"/>
  <c r="C107" i="12" s="1"/>
  <c r="T108" i="3"/>
  <c r="C106" i="8" s="1"/>
  <c r="W107" i="3"/>
  <c r="V107" i="3"/>
  <c r="C105" i="9" s="1"/>
  <c r="U107" i="3"/>
  <c r="C106" i="12" s="1"/>
  <c r="T107" i="3"/>
  <c r="C105" i="8" s="1"/>
  <c r="W106" i="3"/>
  <c r="BN105" i="14" s="1"/>
  <c r="V106" i="3"/>
  <c r="C104" i="9" s="1"/>
  <c r="U106" i="3"/>
  <c r="AS105" i="14" s="1"/>
  <c r="T106" i="3"/>
  <c r="C104" i="8" s="1"/>
  <c r="W105" i="3"/>
  <c r="C103" i="2" s="1"/>
  <c r="V105" i="3"/>
  <c r="C103" i="9" s="1"/>
  <c r="U105" i="3"/>
  <c r="C106" i="4" s="1"/>
  <c r="T105" i="3"/>
  <c r="C103" i="8" s="1"/>
  <c r="W104" i="3"/>
  <c r="C102" i="2" s="1"/>
  <c r="V104" i="3"/>
  <c r="C102" i="9" s="1"/>
  <c r="U104" i="3"/>
  <c r="C105" i="4" s="1"/>
  <c r="T104" i="3"/>
  <c r="C103" i="13" s="1"/>
  <c r="W103" i="3"/>
  <c r="C101" i="2" s="1"/>
  <c r="V103" i="3"/>
  <c r="U103" i="3"/>
  <c r="X102" i="11" s="1"/>
  <c r="T103" i="3"/>
  <c r="C102" i="13" s="1"/>
  <c r="W102" i="3"/>
  <c r="V102" i="3"/>
  <c r="U102" i="3"/>
  <c r="C101" i="12" s="1"/>
  <c r="T102" i="3"/>
  <c r="X101" i="13" s="1"/>
  <c r="W101" i="3"/>
  <c r="X100" i="14" s="1"/>
  <c r="V101" i="3"/>
  <c r="C99" i="9" s="1"/>
  <c r="U101" i="3"/>
  <c r="BN100" i="11" s="1"/>
  <c r="T101" i="3"/>
  <c r="C99" i="8" s="1"/>
  <c r="W100" i="3"/>
  <c r="X99" i="14" s="1"/>
  <c r="V100" i="3"/>
  <c r="C98" i="9" s="1"/>
  <c r="U100" i="3"/>
  <c r="DD99" i="11" s="1"/>
  <c r="T100" i="3"/>
  <c r="C98" i="8" s="1"/>
  <c r="W99" i="3"/>
  <c r="X98" i="14" s="1"/>
  <c r="V99" i="3"/>
  <c r="AS98" i="7" s="1"/>
  <c r="U99" i="3"/>
  <c r="X98" i="12" s="1"/>
  <c r="T99" i="3"/>
  <c r="X98" i="13" s="1"/>
  <c r="W98" i="3"/>
  <c r="X97" i="14" s="1"/>
  <c r="V98" i="3"/>
  <c r="U98" i="3"/>
  <c r="X97" i="12" s="1"/>
  <c r="T98" i="3"/>
  <c r="X97" i="13" s="1"/>
  <c r="W97" i="3"/>
  <c r="C95" i="2" s="1"/>
  <c r="V97" i="3"/>
  <c r="U97" i="3"/>
  <c r="X96" i="12" s="1"/>
  <c r="T97" i="3"/>
  <c r="X96" i="13" s="1"/>
  <c r="W96" i="3"/>
  <c r="C94" i="2" s="1"/>
  <c r="V96" i="3"/>
  <c r="C94" i="9" s="1"/>
  <c r="U96" i="3"/>
  <c r="X95" i="12" s="1"/>
  <c r="T96" i="3"/>
  <c r="X95" i="13" s="1"/>
  <c r="W95" i="3"/>
  <c r="BN94" i="14" s="1"/>
  <c r="V95" i="3"/>
  <c r="AS94" i="7" s="1"/>
  <c r="U95" i="3"/>
  <c r="X94" i="12" s="1"/>
  <c r="T95" i="3"/>
  <c r="X94" i="13" s="1"/>
  <c r="W94" i="3"/>
  <c r="X93" i="14" s="1"/>
  <c r="V94" i="3"/>
  <c r="AS93" i="7" s="1"/>
  <c r="U94" i="3"/>
  <c r="BN93" i="11" s="1"/>
  <c r="T94" i="3"/>
  <c r="C92" i="8" s="1"/>
  <c r="W93" i="3"/>
  <c r="C91" i="2" s="1"/>
  <c r="V93" i="3"/>
  <c r="U93" i="3"/>
  <c r="AS92" i="11" s="1"/>
  <c r="T93" i="3"/>
  <c r="C91" i="8" s="1"/>
  <c r="W92" i="3"/>
  <c r="V92" i="3"/>
  <c r="X91" i="7" s="1"/>
  <c r="U92" i="3"/>
  <c r="BN91" i="11" s="1"/>
  <c r="T92" i="3"/>
  <c r="C90" i="8" s="1"/>
  <c r="W91" i="3"/>
  <c r="BN90" i="14" s="1"/>
  <c r="V91" i="3"/>
  <c r="C89" i="9" s="1"/>
  <c r="U91" i="3"/>
  <c r="BN90" i="11" s="1"/>
  <c r="T91" i="3"/>
  <c r="C89" i="8" s="1"/>
  <c r="W90" i="3"/>
  <c r="C88" i="2" s="1"/>
  <c r="V90" i="3"/>
  <c r="C88" i="9" s="1"/>
  <c r="U90" i="3"/>
  <c r="BN89" i="11" s="1"/>
  <c r="T90" i="3"/>
  <c r="C88" i="8" s="1"/>
  <c r="W89" i="3"/>
  <c r="C87" i="2" s="1"/>
  <c r="V89" i="3"/>
  <c r="C87" i="9" s="1"/>
  <c r="U89" i="3"/>
  <c r="BN88" i="11" s="1"/>
  <c r="T89" i="3"/>
  <c r="C87" i="8" s="1"/>
  <c r="W88" i="3"/>
  <c r="C86" i="2" s="1"/>
  <c r="V88" i="3"/>
  <c r="U88" i="3"/>
  <c r="BN87" i="11" s="1"/>
  <c r="T88" i="3"/>
  <c r="C87" i="13" s="1"/>
  <c r="W87" i="3"/>
  <c r="C85" i="2" s="1"/>
  <c r="V87" i="3"/>
  <c r="C85" i="9" s="1"/>
  <c r="U87" i="3"/>
  <c r="X86" i="12" s="1"/>
  <c r="T87" i="3"/>
  <c r="C86" i="13" s="1"/>
  <c r="W86" i="3"/>
  <c r="C84" i="2" s="1"/>
  <c r="V86" i="3"/>
  <c r="U86" i="3"/>
  <c r="DD85" i="11" s="1"/>
  <c r="T86" i="3"/>
  <c r="C84" i="8" s="1"/>
  <c r="W85" i="3"/>
  <c r="C83" i="2" s="1"/>
  <c r="V85" i="3"/>
  <c r="X84" i="7" s="1"/>
  <c r="U85" i="3"/>
  <c r="BN84" i="11" s="1"/>
  <c r="T85" i="3"/>
  <c r="C84" i="13" s="1"/>
  <c r="W84" i="3"/>
  <c r="C82" i="2" s="1"/>
  <c r="V84" i="3"/>
  <c r="C82" i="9" s="1"/>
  <c r="U84" i="3"/>
  <c r="X85" i="4" s="1"/>
  <c r="T84" i="3"/>
  <c r="C83" i="13" s="1"/>
  <c r="W83" i="3"/>
  <c r="X82" i="14" s="1"/>
  <c r="V83" i="3"/>
  <c r="U83" i="3"/>
  <c r="X84" i="4" s="1"/>
  <c r="T83" i="3"/>
  <c r="C82" i="13" s="1"/>
  <c r="W82" i="3"/>
  <c r="C80" i="2" s="1"/>
  <c r="V82" i="3"/>
  <c r="U82" i="3"/>
  <c r="AS81" i="11" s="1"/>
  <c r="T82" i="3"/>
  <c r="X81" i="13" s="1"/>
  <c r="W81" i="3"/>
  <c r="C79" i="2" s="1"/>
  <c r="V81" i="3"/>
  <c r="U81" i="3"/>
  <c r="AS80" i="11" s="1"/>
  <c r="T81" i="3"/>
  <c r="C80" i="13" s="1"/>
  <c r="W80" i="3"/>
  <c r="C78" i="2" s="1"/>
  <c r="V80" i="3"/>
  <c r="C79" i="7" s="1"/>
  <c r="U80" i="3"/>
  <c r="CI79" i="11" s="1"/>
  <c r="T80" i="3"/>
  <c r="C78" i="8" s="1"/>
  <c r="W79" i="3"/>
  <c r="C77" i="2" s="1"/>
  <c r="V79" i="3"/>
  <c r="C78" i="7" s="1"/>
  <c r="U79" i="3"/>
  <c r="C78" i="12" s="1"/>
  <c r="T79" i="3"/>
  <c r="C78" i="13" s="1"/>
  <c r="W78" i="3"/>
  <c r="X77" i="14" s="1"/>
  <c r="V78" i="3"/>
  <c r="C76" i="9" s="1"/>
  <c r="U78" i="3"/>
  <c r="C77" i="11" s="1"/>
  <c r="T78" i="3"/>
  <c r="C76" i="8" s="1"/>
  <c r="W77" i="3"/>
  <c r="V77" i="3"/>
  <c r="U77" i="3"/>
  <c r="AS76" i="11" s="1"/>
  <c r="T77" i="3"/>
  <c r="C75" i="8" s="1"/>
  <c r="W76" i="3"/>
  <c r="V76" i="3"/>
  <c r="C74" i="9" s="1"/>
  <c r="U76" i="3"/>
  <c r="C75" i="12" s="1"/>
  <c r="T76" i="3"/>
  <c r="C74" i="8" s="1"/>
  <c r="W75" i="3"/>
  <c r="C73" i="2" s="1"/>
  <c r="V75" i="3"/>
  <c r="AS74" i="7" s="1"/>
  <c r="U75" i="3"/>
  <c r="C74" i="12" s="1"/>
  <c r="T75" i="3"/>
  <c r="X74" i="13" s="1"/>
  <c r="W74" i="3"/>
  <c r="C72" i="2" s="1"/>
  <c r="V74" i="3"/>
  <c r="C72" i="9" s="1"/>
  <c r="U74" i="3"/>
  <c r="X75" i="4" s="1"/>
  <c r="T74" i="3"/>
  <c r="C73" i="13" s="1"/>
  <c r="W73" i="3"/>
  <c r="X72" i="14" s="1"/>
  <c r="V73" i="3"/>
  <c r="U73" i="3"/>
  <c r="C74" i="4" s="1"/>
  <c r="T73" i="3"/>
  <c r="C71" i="8" s="1"/>
  <c r="W72" i="3"/>
  <c r="V72" i="3"/>
  <c r="C70" i="9" s="1"/>
  <c r="U72" i="3"/>
  <c r="C73" i="4" s="1"/>
  <c r="T72" i="3"/>
  <c r="C71" i="13" s="1"/>
  <c r="W71" i="3"/>
  <c r="BN70" i="14" s="1"/>
  <c r="V71" i="3"/>
  <c r="C69" i="9" s="1"/>
  <c r="U71" i="3"/>
  <c r="X70" i="11" s="1"/>
  <c r="T71" i="3"/>
  <c r="C70" i="13" s="1"/>
  <c r="W70" i="3"/>
  <c r="BN69" i="14" s="1"/>
  <c r="V70" i="3"/>
  <c r="C68" i="9" s="1"/>
  <c r="U70" i="3"/>
  <c r="X69" i="12" s="1"/>
  <c r="T70" i="3"/>
  <c r="C69" i="13" s="1"/>
  <c r="W69" i="3"/>
  <c r="X68" i="14" s="1"/>
  <c r="V69" i="3"/>
  <c r="C67" i="9" s="1"/>
  <c r="U69" i="3"/>
  <c r="BN68" i="11" s="1"/>
  <c r="T69" i="3"/>
  <c r="C67" i="8" s="1"/>
  <c r="W68" i="3"/>
  <c r="C66" i="2" s="1"/>
  <c r="V68" i="3"/>
  <c r="U68" i="3"/>
  <c r="DD67" i="11" s="1"/>
  <c r="T68" i="3"/>
  <c r="C66" i="8" s="1"/>
  <c r="W67" i="3"/>
  <c r="C65" i="2" s="1"/>
  <c r="V67" i="3"/>
  <c r="U67" i="3"/>
  <c r="X66" i="12" s="1"/>
  <c r="T67" i="3"/>
  <c r="X66" i="13" s="1"/>
  <c r="W66" i="3"/>
  <c r="C64" i="2" s="1"/>
  <c r="V66" i="3"/>
  <c r="U66" i="3"/>
  <c r="X65" i="12" s="1"/>
  <c r="T66" i="3"/>
  <c r="X65" i="13" s="1"/>
  <c r="W65" i="3"/>
  <c r="C63" i="2" s="1"/>
  <c r="V65" i="3"/>
  <c r="X64" i="7" s="1"/>
  <c r="U65" i="3"/>
  <c r="X64" i="12" s="1"/>
  <c r="T65" i="3"/>
  <c r="X64" i="13" s="1"/>
  <c r="W64" i="3"/>
  <c r="C62" i="2" s="1"/>
  <c r="V64" i="3"/>
  <c r="C62" i="9" s="1"/>
  <c r="U64" i="3"/>
  <c r="X63" i="12" s="1"/>
  <c r="T64" i="3"/>
  <c r="X63" i="13" s="1"/>
  <c r="W63" i="3"/>
  <c r="BN62" i="14" s="1"/>
  <c r="V63" i="3"/>
  <c r="U63" i="3"/>
  <c r="X62" i="12" s="1"/>
  <c r="T63" i="3"/>
  <c r="X62" i="13" s="1"/>
  <c r="W62" i="3"/>
  <c r="V62" i="3"/>
  <c r="U62" i="3"/>
  <c r="X61" i="12" s="1"/>
  <c r="T62" i="3"/>
  <c r="C60" i="8" s="1"/>
  <c r="W61" i="3"/>
  <c r="X60" i="14" s="1"/>
  <c r="V61" i="3"/>
  <c r="U61" i="3"/>
  <c r="X62" i="4" s="1"/>
  <c r="T61" i="3"/>
  <c r="C59" i="8" s="1"/>
  <c r="W60" i="3"/>
  <c r="C58" i="2" s="1"/>
  <c r="V60" i="3"/>
  <c r="X59" i="7" s="1"/>
  <c r="U60" i="3"/>
  <c r="BN59" i="11" s="1"/>
  <c r="T60" i="3"/>
  <c r="C58" i="8" s="1"/>
  <c r="W59" i="3"/>
  <c r="BN58" i="14" s="1"/>
  <c r="V59" i="3"/>
  <c r="X58" i="7" s="1"/>
  <c r="U59" i="3"/>
  <c r="BN58" i="11" s="1"/>
  <c r="T59" i="3"/>
  <c r="C57" i="8" s="1"/>
  <c r="W58" i="3"/>
  <c r="C56" i="2" s="1"/>
  <c r="V58" i="3"/>
  <c r="U58" i="3"/>
  <c r="BN57" i="11" s="1"/>
  <c r="T58" i="3"/>
  <c r="C56" i="8" s="1"/>
  <c r="W57" i="3"/>
  <c r="C55" i="2" s="1"/>
  <c r="V57" i="3"/>
  <c r="U57" i="3"/>
  <c r="BN56" i="11" s="1"/>
  <c r="T57" i="3"/>
  <c r="C55" i="8" s="1"/>
  <c r="W56" i="3"/>
  <c r="C54" i="2" s="1"/>
  <c r="V56" i="3"/>
  <c r="C54" i="9" s="1"/>
  <c r="U56" i="3"/>
  <c r="BN55" i="11" s="1"/>
  <c r="T56" i="3"/>
  <c r="C55" i="13" s="1"/>
  <c r="W55" i="3"/>
  <c r="C53" i="2" s="1"/>
  <c r="V55" i="3"/>
  <c r="C53" i="9" s="1"/>
  <c r="U55" i="3"/>
  <c r="C56" i="4" s="1"/>
  <c r="T55" i="3"/>
  <c r="C54" i="13" s="1"/>
  <c r="W54" i="3"/>
  <c r="X53" i="14" s="1"/>
  <c r="V54" i="3"/>
  <c r="AS53" i="7" s="1"/>
  <c r="U54" i="3"/>
  <c r="X55" i="4" s="1"/>
  <c r="T54" i="3"/>
  <c r="C52" i="8" s="1"/>
  <c r="W53" i="3"/>
  <c r="X52" i="14" s="1"/>
  <c r="V53" i="3"/>
  <c r="U53" i="3"/>
  <c r="X54" i="4" s="1"/>
  <c r="T53" i="3"/>
  <c r="C52" i="13" s="1"/>
  <c r="W52" i="3"/>
  <c r="C50" i="2" s="1"/>
  <c r="V52" i="3"/>
  <c r="U52" i="3"/>
  <c r="X53" i="4" s="1"/>
  <c r="T52" i="3"/>
  <c r="C51" i="13" s="1"/>
  <c r="W51" i="3"/>
  <c r="BN50" i="14" s="1"/>
  <c r="V51" i="3"/>
  <c r="U51" i="3"/>
  <c r="X52" i="4" s="1"/>
  <c r="T51" i="3"/>
  <c r="X50" i="13" s="1"/>
  <c r="W50" i="3"/>
  <c r="C48" i="2" s="1"/>
  <c r="V50" i="3"/>
  <c r="C48" i="9" s="1"/>
  <c r="U50" i="3"/>
  <c r="AS49" i="11" s="1"/>
  <c r="T50" i="3"/>
  <c r="X49" i="13" s="1"/>
  <c r="W49" i="3"/>
  <c r="C47" i="2" s="1"/>
  <c r="V49" i="3"/>
  <c r="C47" i="9" s="1"/>
  <c r="U49" i="3"/>
  <c r="AS48" i="11" s="1"/>
  <c r="T49" i="3"/>
  <c r="X48" i="13" s="1"/>
  <c r="W48" i="3"/>
  <c r="C46" i="2" s="1"/>
  <c r="V48" i="3"/>
  <c r="C47" i="7" s="1"/>
  <c r="U48" i="3"/>
  <c r="CI47" i="11" s="1"/>
  <c r="T48" i="3"/>
  <c r="C46" i="8" s="1"/>
  <c r="W47" i="3"/>
  <c r="C45" i="2" s="1"/>
  <c r="V47" i="3"/>
  <c r="C46" i="7" s="1"/>
  <c r="U47" i="3"/>
  <c r="C46" i="12" s="1"/>
  <c r="T47" i="3"/>
  <c r="C46" i="13" s="1"/>
  <c r="W46" i="3"/>
  <c r="BN45" i="14" s="1"/>
  <c r="V46" i="3"/>
  <c r="U46" i="3"/>
  <c r="X45" i="11" s="1"/>
  <c r="T46" i="3"/>
  <c r="C44" i="8" s="1"/>
  <c r="W45" i="3"/>
  <c r="BN44" i="14" s="1"/>
  <c r="V45" i="3"/>
  <c r="C43" i="9" s="1"/>
  <c r="U45" i="3"/>
  <c r="X44" i="11" s="1"/>
  <c r="T45" i="3"/>
  <c r="C43" i="8" s="1"/>
  <c r="W44" i="3"/>
  <c r="C42" i="2" s="1"/>
  <c r="V44" i="3"/>
  <c r="C42" i="9" s="1"/>
  <c r="U44" i="3"/>
  <c r="C43" i="12" s="1"/>
  <c r="T44" i="3"/>
  <c r="C42" i="8" s="1"/>
  <c r="W43" i="3"/>
  <c r="C41" i="2" s="1"/>
  <c r="V43" i="3"/>
  <c r="C41" i="9" s="1"/>
  <c r="U43" i="3"/>
  <c r="C42" i="12" s="1"/>
  <c r="T43" i="3"/>
  <c r="C42" i="13" s="1"/>
  <c r="W42" i="3"/>
  <c r="V42" i="3"/>
  <c r="U42" i="3"/>
  <c r="AS41" i="14" s="1"/>
  <c r="T42" i="3"/>
  <c r="C41" i="13" s="1"/>
  <c r="W41" i="3"/>
  <c r="BN40" i="14" s="1"/>
  <c r="V41" i="3"/>
  <c r="U41" i="3"/>
  <c r="C42" i="4" s="1"/>
  <c r="T41" i="3"/>
  <c r="C40" i="13" s="1"/>
  <c r="W40" i="3"/>
  <c r="C38" i="2" s="1"/>
  <c r="V40" i="3"/>
  <c r="C38" i="9" s="1"/>
  <c r="U40" i="3"/>
  <c r="C41" i="4" s="1"/>
  <c r="T40" i="3"/>
  <c r="C39" i="13" s="1"/>
  <c r="W39" i="3"/>
  <c r="X38" i="14" s="1"/>
  <c r="V39" i="3"/>
  <c r="C37" i="9" s="1"/>
  <c r="U39" i="3"/>
  <c r="X38" i="11" s="1"/>
  <c r="T39" i="3"/>
  <c r="C38" i="13" s="1"/>
  <c r="W38" i="3"/>
  <c r="BN37" i="14" s="1"/>
  <c r="V38" i="3"/>
  <c r="U38" i="3"/>
  <c r="X37" i="12" s="1"/>
  <c r="T38" i="3"/>
  <c r="C37" i="13" s="1"/>
  <c r="W37" i="3"/>
  <c r="X36" i="14" s="1"/>
  <c r="V37" i="3"/>
  <c r="C35" i="9" s="1"/>
  <c r="U37" i="3"/>
  <c r="AS36" i="11" s="1"/>
  <c r="T37" i="3"/>
  <c r="C35" i="8" s="1"/>
  <c r="W36" i="3"/>
  <c r="BN35" i="14" s="1"/>
  <c r="V36" i="3"/>
  <c r="C34" i="9" s="1"/>
  <c r="U36" i="3"/>
  <c r="DD35" i="11" s="1"/>
  <c r="T36" i="3"/>
  <c r="C35" i="13" s="1"/>
  <c r="W35" i="3"/>
  <c r="C33" i="2" s="1"/>
  <c r="V35" i="3"/>
  <c r="C33" i="9" s="1"/>
  <c r="U35" i="3"/>
  <c r="X34" i="12" s="1"/>
  <c r="T35" i="3"/>
  <c r="X34" i="13" s="1"/>
  <c r="W34" i="3"/>
  <c r="BN33" i="14" s="1"/>
  <c r="V34" i="3"/>
  <c r="C32" i="9" s="1"/>
  <c r="U34" i="3"/>
  <c r="X33" i="12" s="1"/>
  <c r="T34" i="3"/>
  <c r="X33" i="13" s="1"/>
  <c r="W33" i="3"/>
  <c r="C31" i="2" s="1"/>
  <c r="V33" i="3"/>
  <c r="U33" i="3"/>
  <c r="X32" i="12" s="1"/>
  <c r="T33" i="3"/>
  <c r="X32" i="13" s="1"/>
  <c r="W32" i="3"/>
  <c r="X31" i="14" s="1"/>
  <c r="V32" i="3"/>
  <c r="C30" i="9" s="1"/>
  <c r="U32" i="3"/>
  <c r="X31" i="12" s="1"/>
  <c r="T32" i="3"/>
  <c r="X31" i="13" s="1"/>
  <c r="W31" i="3"/>
  <c r="BN30" i="14" s="1"/>
  <c r="V31" i="3"/>
  <c r="AS30" i="7" s="1"/>
  <c r="U31" i="3"/>
  <c r="X30" i="12" s="1"/>
  <c r="T31" i="3"/>
  <c r="X30" i="13" s="1"/>
  <c r="W30" i="3"/>
  <c r="BN29" i="14" s="1"/>
  <c r="V30" i="3"/>
  <c r="C28" i="9" s="1"/>
  <c r="U30" i="3"/>
  <c r="X29" i="12" s="1"/>
  <c r="T30" i="3"/>
  <c r="C29" i="13" s="1"/>
  <c r="W29" i="3"/>
  <c r="BN28" i="14" s="1"/>
  <c r="V29" i="3"/>
  <c r="AS28" i="7" s="1"/>
  <c r="U29" i="3"/>
  <c r="X28" i="12" s="1"/>
  <c r="T29" i="3"/>
  <c r="C27" i="8" s="1"/>
  <c r="W28" i="3"/>
  <c r="C26" i="2" s="1"/>
  <c r="V28" i="3"/>
  <c r="X27" i="7" s="1"/>
  <c r="U28" i="3"/>
  <c r="BN27" i="11" s="1"/>
  <c r="T28" i="3"/>
  <c r="C26" i="8" s="1"/>
  <c r="W27" i="3"/>
  <c r="C25" i="2" s="1"/>
  <c r="V27" i="3"/>
  <c r="X26" i="7" s="1"/>
  <c r="U27" i="3"/>
  <c r="BN26" i="11" s="1"/>
  <c r="T27" i="3"/>
  <c r="C25" i="8" s="1"/>
  <c r="W26" i="3"/>
  <c r="C24" i="2" s="1"/>
  <c r="V26" i="3"/>
  <c r="X25" i="7" s="1"/>
  <c r="U26" i="3"/>
  <c r="BN25" i="11" s="1"/>
  <c r="T26" i="3"/>
  <c r="C24" i="8" s="1"/>
  <c r="W25" i="3"/>
  <c r="C23" i="2" s="1"/>
  <c r="V25" i="3"/>
  <c r="C23" i="9" s="1"/>
  <c r="U25" i="3"/>
  <c r="BN24" i="11" s="1"/>
  <c r="T25" i="3"/>
  <c r="C23" i="8" s="1"/>
  <c r="W24" i="3"/>
  <c r="C22" i="2" s="1"/>
  <c r="V24" i="3"/>
  <c r="X23" i="7" s="1"/>
  <c r="U24" i="3"/>
  <c r="BN23" i="11" s="1"/>
  <c r="T24" i="3"/>
  <c r="C23" i="13" s="1"/>
  <c r="W23" i="3"/>
  <c r="C21" i="2" s="1"/>
  <c r="V23" i="3"/>
  <c r="C21" i="9" s="1"/>
  <c r="U23" i="3"/>
  <c r="X22" i="11" s="1"/>
  <c r="T23" i="3"/>
  <c r="C22" i="13" s="1"/>
  <c r="W22" i="3"/>
  <c r="C20" i="2" s="1"/>
  <c r="V22" i="3"/>
  <c r="X21" i="7" s="1"/>
  <c r="U22" i="3"/>
  <c r="BN21" i="11" s="1"/>
  <c r="T22" i="3"/>
  <c r="X21" i="13" s="1"/>
  <c r="W21" i="3"/>
  <c r="X20" i="14" s="1"/>
  <c r="V21" i="3"/>
  <c r="C19" i="9" s="1"/>
  <c r="U21" i="3"/>
  <c r="X20" i="12" s="1"/>
  <c r="T21" i="3"/>
  <c r="C20" i="13" s="1"/>
  <c r="W20" i="3"/>
  <c r="X19" i="14" s="1"/>
  <c r="V20" i="3"/>
  <c r="C18" i="9" s="1"/>
  <c r="U20" i="3"/>
  <c r="X21" i="4" s="1"/>
  <c r="T20" i="3"/>
  <c r="C19" i="13" s="1"/>
  <c r="W19" i="3"/>
  <c r="X18" i="14" s="1"/>
  <c r="V19" i="3"/>
  <c r="X18" i="7" s="1"/>
  <c r="U19" i="3"/>
  <c r="X20" i="4" s="1"/>
  <c r="T19" i="3"/>
  <c r="C17" i="8" s="1"/>
  <c r="W18" i="3"/>
  <c r="C16" i="2" s="1"/>
  <c r="V18" i="3"/>
  <c r="X17" i="7" s="1"/>
  <c r="U18" i="3"/>
  <c r="AS17" i="11" s="1"/>
  <c r="T18" i="3"/>
  <c r="X17" i="13" s="1"/>
  <c r="W17" i="3"/>
  <c r="C15" i="2" s="1"/>
  <c r="V17" i="3"/>
  <c r="C16" i="7" s="1"/>
  <c r="U17" i="3"/>
  <c r="AS16" i="11" s="1"/>
  <c r="T17" i="3"/>
  <c r="X16" i="13" s="1"/>
  <c r="W16" i="3"/>
  <c r="C14" i="2" s="1"/>
  <c r="V16" i="3"/>
  <c r="C14" i="9" s="1"/>
  <c r="U16" i="3"/>
  <c r="CI15" i="11" s="1"/>
  <c r="T16" i="3"/>
  <c r="C14" i="8" s="1"/>
  <c r="W15" i="3"/>
  <c r="C13" i="2" s="1"/>
  <c r="V15" i="3"/>
  <c r="C14" i="7" s="1"/>
  <c r="U15" i="3"/>
  <c r="C14" i="12" s="1"/>
  <c r="T15" i="3"/>
  <c r="X14" i="13" s="1"/>
  <c r="W14" i="3"/>
  <c r="BN13" i="14" s="1"/>
  <c r="V14" i="3"/>
  <c r="X13" i="7" s="1"/>
  <c r="U14" i="3"/>
  <c r="DD13" i="11" s="1"/>
  <c r="T14" i="3"/>
  <c r="C12" i="8" s="1"/>
  <c r="W13" i="3"/>
  <c r="BN12" i="14" s="1"/>
  <c r="V13" i="3"/>
  <c r="U13" i="3"/>
  <c r="AS12" i="11" s="1"/>
  <c r="T13" i="3"/>
  <c r="C11" i="8" s="1"/>
  <c r="W12" i="3"/>
  <c r="C10" i="2" s="1"/>
  <c r="V12" i="3"/>
  <c r="AS11" i="7" s="1"/>
  <c r="U12" i="3"/>
  <c r="C11" i="12" s="1"/>
  <c r="T12" i="3"/>
  <c r="C10" i="8" s="1"/>
  <c r="W11" i="3"/>
  <c r="X10" i="14" s="1"/>
  <c r="V11" i="3"/>
  <c r="C10" i="7" s="1"/>
  <c r="U11" i="3"/>
  <c r="C10" i="12" s="1"/>
  <c r="T11" i="3"/>
  <c r="C9" i="8" s="1"/>
  <c r="W10" i="3"/>
  <c r="C8" i="2" s="1"/>
  <c r="V10" i="3"/>
  <c r="U10" i="3"/>
  <c r="T10" i="3"/>
  <c r="C156" i="2"/>
  <c r="C155" i="2"/>
  <c r="C154" i="2"/>
  <c r="C145" i="2"/>
  <c r="C140" i="2"/>
  <c r="C135" i="2"/>
  <c r="C131" i="2"/>
  <c r="C130" i="2"/>
  <c r="C129" i="2"/>
  <c r="C125" i="2"/>
  <c r="C124" i="2"/>
  <c r="C123" i="2"/>
  <c r="C121" i="2"/>
  <c r="C120" i="2"/>
  <c r="C115" i="2"/>
  <c r="C105" i="2"/>
  <c r="C104" i="2"/>
  <c r="C100" i="2"/>
  <c r="C99" i="2"/>
  <c r="C98" i="2"/>
  <c r="C97" i="2"/>
  <c r="C96" i="2"/>
  <c r="C92" i="2"/>
  <c r="C90" i="2"/>
  <c r="C75" i="2"/>
  <c r="C74" i="2"/>
  <c r="C71" i="2"/>
  <c r="C70" i="2"/>
  <c r="C69" i="2"/>
  <c r="C68" i="2"/>
  <c r="C67" i="2"/>
  <c r="C60" i="2"/>
  <c r="C59" i="2"/>
  <c r="C44" i="2"/>
  <c r="C40" i="2"/>
  <c r="C35" i="2"/>
  <c r="C34" i="2"/>
  <c r="C30" i="2"/>
  <c r="C156" i="9"/>
  <c r="C155" i="9"/>
  <c r="C154" i="9"/>
  <c r="C148" i="9"/>
  <c r="C145" i="9"/>
  <c r="C144" i="9"/>
  <c r="C143" i="9"/>
  <c r="C124" i="9"/>
  <c r="C120" i="9"/>
  <c r="C119" i="9"/>
  <c r="C115" i="9"/>
  <c r="C114" i="9"/>
  <c r="C113" i="9"/>
  <c r="C112" i="9"/>
  <c r="C109" i="9"/>
  <c r="C108" i="9"/>
  <c r="C100" i="9"/>
  <c r="C95" i="9"/>
  <c r="C84" i="9"/>
  <c r="C83" i="9"/>
  <c r="C80" i="9"/>
  <c r="C79" i="9"/>
  <c r="C77" i="9"/>
  <c r="C75" i="9"/>
  <c r="C73" i="9"/>
  <c r="C65" i="9"/>
  <c r="C64" i="9"/>
  <c r="C60" i="9"/>
  <c r="C59" i="9"/>
  <c r="C55" i="9"/>
  <c r="C50" i="9"/>
  <c r="C49" i="9"/>
  <c r="C44" i="9"/>
  <c r="C40" i="9"/>
  <c r="C39" i="9"/>
  <c r="C25" i="9"/>
  <c r="C24" i="9"/>
  <c r="C20" i="9"/>
  <c r="C15" i="9"/>
  <c r="C156" i="8"/>
  <c r="C148" i="8"/>
  <c r="C141" i="8"/>
  <c r="C140" i="8"/>
  <c r="C137" i="8"/>
  <c r="C136" i="8"/>
  <c r="C135" i="8"/>
  <c r="C134" i="8"/>
  <c r="C132" i="8"/>
  <c r="C130" i="8"/>
  <c r="C129" i="8"/>
  <c r="C127" i="8"/>
  <c r="C126" i="8"/>
  <c r="C125" i="8"/>
  <c r="C124" i="8"/>
  <c r="C116" i="8"/>
  <c r="C115" i="8"/>
  <c r="D156" i="2"/>
  <c r="X159" i="4"/>
  <c r="X158" i="4"/>
  <c r="X157" i="4"/>
  <c r="X156" i="4"/>
  <c r="X155" i="4"/>
  <c r="X154" i="4"/>
  <c r="X153" i="4"/>
  <c r="X152" i="4"/>
  <c r="X151" i="4"/>
  <c r="X150" i="4"/>
  <c r="X143" i="4"/>
  <c r="X142" i="4"/>
  <c r="X140" i="4"/>
  <c r="X139" i="4"/>
  <c r="X138" i="4"/>
  <c r="X137" i="4"/>
  <c r="X135" i="4"/>
  <c r="X134" i="4"/>
  <c r="X131" i="4"/>
  <c r="X130" i="4"/>
  <c r="X129" i="4"/>
  <c r="X128" i="4"/>
  <c r="X127" i="4"/>
  <c r="X126" i="4"/>
  <c r="X124" i="4"/>
  <c r="X118" i="4"/>
  <c r="X94" i="4"/>
  <c r="X89" i="4"/>
  <c r="C159" i="4"/>
  <c r="C158" i="4"/>
  <c r="C156" i="4"/>
  <c r="C155" i="4"/>
  <c r="C154" i="4"/>
  <c r="C152" i="4"/>
  <c r="C151" i="4"/>
  <c r="C150" i="4"/>
  <c r="C149" i="4"/>
  <c r="C148" i="4"/>
  <c r="C147" i="4"/>
  <c r="C146" i="4"/>
  <c r="C145" i="4"/>
  <c r="C144" i="4"/>
  <c r="C143" i="4"/>
  <c r="C142" i="4"/>
  <c r="C135" i="4"/>
  <c r="C134" i="4"/>
  <c r="C132" i="4"/>
  <c r="C130" i="4"/>
  <c r="C129" i="4"/>
  <c r="C128" i="4"/>
  <c r="C127" i="4"/>
  <c r="C126" i="4"/>
  <c r="C119" i="4"/>
  <c r="C118" i="4"/>
  <c r="C113" i="4"/>
  <c r="C103" i="4"/>
  <c r="C84" i="4"/>
  <c r="C79" i="4"/>
  <c r="C78" i="4"/>
  <c r="M2" i="4"/>
  <c r="M1" i="4"/>
  <c r="O1" i="5"/>
  <c r="P2" i="6"/>
  <c r="P1" i="6"/>
  <c r="X157" i="13"/>
  <c r="X156" i="13"/>
  <c r="X155" i="13"/>
  <c r="X154" i="13"/>
  <c r="X153" i="13"/>
  <c r="X152" i="13"/>
  <c r="X151" i="13"/>
  <c r="X150" i="13"/>
  <c r="X149" i="13"/>
  <c r="X148" i="13"/>
  <c r="X147" i="13"/>
  <c r="X146" i="13"/>
  <c r="X144" i="13"/>
  <c r="X143" i="13"/>
  <c r="X142" i="13"/>
  <c r="X141" i="13"/>
  <c r="X140" i="13"/>
  <c r="X139" i="13"/>
  <c r="X138" i="13"/>
  <c r="X137" i="13"/>
  <c r="X136" i="13"/>
  <c r="X133" i="13"/>
  <c r="X132" i="13"/>
  <c r="X125" i="13"/>
  <c r="X122" i="13"/>
  <c r="X117" i="13"/>
  <c r="X112" i="13"/>
  <c r="X107" i="13"/>
  <c r="X102" i="13"/>
  <c r="X77" i="13"/>
  <c r="C157" i="13"/>
  <c r="C156" i="13"/>
  <c r="C155" i="13"/>
  <c r="C154" i="13"/>
  <c r="C153" i="13"/>
  <c r="C152" i="13"/>
  <c r="C149" i="13"/>
  <c r="C146" i="13"/>
  <c r="C145" i="13"/>
  <c r="C144" i="13"/>
  <c r="C143" i="13"/>
  <c r="C142" i="13"/>
  <c r="C141" i="13"/>
  <c r="C140" i="13"/>
  <c r="C139" i="13"/>
  <c r="C138" i="13"/>
  <c r="C137" i="13"/>
  <c r="C136" i="13"/>
  <c r="C133" i="13"/>
  <c r="C132" i="13"/>
  <c r="C131" i="13"/>
  <c r="C130" i="13"/>
  <c r="C129" i="13"/>
  <c r="C128" i="13"/>
  <c r="C127" i="13"/>
  <c r="C125" i="13"/>
  <c r="C122" i="13"/>
  <c r="C121" i="13"/>
  <c r="C117" i="13"/>
  <c r="C107" i="13"/>
  <c r="C106" i="13"/>
  <c r="C101" i="13"/>
  <c r="N2" i="13"/>
  <c r="N1" i="13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1" i="12"/>
  <c r="C140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82" i="12"/>
  <c r="C77" i="12"/>
  <c r="C76" i="12"/>
  <c r="C71" i="12"/>
  <c r="C67" i="12"/>
  <c r="C21" i="12"/>
  <c r="X157" i="12"/>
  <c r="X156" i="12"/>
  <c r="X155" i="12"/>
  <c r="X154" i="12"/>
  <c r="X153" i="12"/>
  <c r="X152" i="12"/>
  <c r="X151" i="12"/>
  <c r="X150" i="12"/>
  <c r="X149" i="12"/>
  <c r="X148" i="12"/>
  <c r="X147" i="12"/>
  <c r="X145" i="12"/>
  <c r="X144" i="12"/>
  <c r="X143" i="12"/>
  <c r="X142" i="12"/>
  <c r="X141" i="12"/>
  <c r="X140" i="12"/>
  <c r="X139" i="12"/>
  <c r="X138" i="12"/>
  <c r="X137" i="12"/>
  <c r="X136" i="12"/>
  <c r="X135" i="12"/>
  <c r="X134" i="12"/>
  <c r="X133" i="12"/>
  <c r="X132" i="12"/>
  <c r="X131" i="12"/>
  <c r="X125" i="12"/>
  <c r="X124" i="12"/>
  <c r="X102" i="12"/>
  <c r="X92" i="12"/>
  <c r="X77" i="12"/>
  <c r="X76" i="12"/>
  <c r="X72" i="12"/>
  <c r="X12" i="12"/>
  <c r="X11" i="12"/>
  <c r="N2" i="12"/>
  <c r="N1" i="12"/>
  <c r="R3" i="11"/>
  <c r="BN157" i="11"/>
  <c r="BN156" i="11"/>
  <c r="BN152" i="11"/>
  <c r="BN150" i="11"/>
  <c r="BN149" i="11"/>
  <c r="BN148" i="11"/>
  <c r="BN147" i="11"/>
  <c r="BN146" i="11"/>
  <c r="BN145" i="11"/>
  <c r="BN144" i="11"/>
  <c r="BN143" i="11"/>
  <c r="BN142" i="11"/>
  <c r="BN141" i="11"/>
  <c r="BN140" i="11"/>
  <c r="BN139" i="11"/>
  <c r="BN138" i="11"/>
  <c r="BN137" i="11"/>
  <c r="BN136" i="11"/>
  <c r="BN135" i="11"/>
  <c r="BN134" i="11"/>
  <c r="BN133" i="11"/>
  <c r="BN132" i="11"/>
  <c r="BN131" i="11"/>
  <c r="BN130" i="11"/>
  <c r="BN129" i="11"/>
  <c r="BN128" i="11"/>
  <c r="BN127" i="11"/>
  <c r="BN126" i="11"/>
  <c r="BN125" i="11"/>
  <c r="BN124" i="11"/>
  <c r="BN117" i="11"/>
  <c r="BN116" i="11"/>
  <c r="BN112" i="11"/>
  <c r="BN111" i="11"/>
  <c r="BN107" i="11"/>
  <c r="BN101" i="11"/>
  <c r="BN97" i="11"/>
  <c r="BN96" i="11"/>
  <c r="AS157" i="11"/>
  <c r="AS156" i="11"/>
  <c r="AS155" i="11"/>
  <c r="AS154" i="11"/>
  <c r="AS153" i="11"/>
  <c r="AS152" i="11"/>
  <c r="AS151" i="11"/>
  <c r="AS150" i="11"/>
  <c r="AS149" i="11"/>
  <c r="AS148" i="11"/>
  <c r="AS147" i="11"/>
  <c r="AS144" i="11"/>
  <c r="AS141" i="11"/>
  <c r="AS140" i="11"/>
  <c r="AS139" i="11"/>
  <c r="AS138" i="11"/>
  <c r="AS137" i="11"/>
  <c r="AS136" i="11"/>
  <c r="AS135" i="11"/>
  <c r="AS134" i="11"/>
  <c r="AS133" i="11"/>
  <c r="AS132" i="11"/>
  <c r="AS131" i="11"/>
  <c r="AS130" i="11"/>
  <c r="AS129" i="11"/>
  <c r="AS128" i="11"/>
  <c r="AS127" i="11"/>
  <c r="AS125" i="11"/>
  <c r="AS124" i="11"/>
  <c r="AS117" i="11"/>
  <c r="AS37" i="11"/>
  <c r="AS31" i="11"/>
  <c r="X157" i="11"/>
  <c r="X156" i="11"/>
  <c r="X155" i="11"/>
  <c r="X154" i="11"/>
  <c r="X153" i="11"/>
  <c r="X152" i="11"/>
  <c r="X151" i="11"/>
  <c r="X150" i="11"/>
  <c r="X149" i="11"/>
  <c r="X148" i="11"/>
  <c r="X147" i="11"/>
  <c r="X146" i="11"/>
  <c r="X145" i="11"/>
  <c r="X144" i="11"/>
  <c r="X143" i="11"/>
  <c r="X142" i="11"/>
  <c r="X141" i="11"/>
  <c r="X140" i="11"/>
  <c r="X139" i="11"/>
  <c r="X138" i="11"/>
  <c r="X137" i="11"/>
  <c r="X136" i="11"/>
  <c r="X135" i="11"/>
  <c r="X133" i="11"/>
  <c r="X132" i="11"/>
  <c r="X128" i="11"/>
  <c r="X126" i="11"/>
  <c r="X125" i="11"/>
  <c r="X124" i="11"/>
  <c r="X112" i="11"/>
  <c r="X97" i="11"/>
  <c r="X92" i="11"/>
  <c r="X87" i="11"/>
  <c r="X77" i="11"/>
  <c r="X72" i="11"/>
  <c r="X21" i="11"/>
  <c r="C157" i="11"/>
  <c r="C156" i="11"/>
  <c r="C152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6" i="11"/>
  <c r="C134" i="11"/>
  <c r="C133" i="11"/>
  <c r="C132" i="11"/>
  <c r="C131" i="11"/>
  <c r="C130" i="11"/>
  <c r="C129" i="11"/>
  <c r="C128" i="11"/>
  <c r="C127" i="11"/>
  <c r="C126" i="11"/>
  <c r="C125" i="11"/>
  <c r="C124" i="11"/>
  <c r="C112" i="11"/>
  <c r="C107" i="11"/>
  <c r="C96" i="11"/>
  <c r="C37" i="11"/>
  <c r="CI157" i="11"/>
  <c r="CI156" i="11"/>
  <c r="CI155" i="11"/>
  <c r="CI154" i="11"/>
  <c r="CI153" i="11"/>
  <c r="CI152" i="11"/>
  <c r="CI151" i="11"/>
  <c r="CI150" i="11"/>
  <c r="CI149" i="11"/>
  <c r="CI148" i="11"/>
  <c r="CI147" i="11"/>
  <c r="CI146" i="11"/>
  <c r="CI145" i="11"/>
  <c r="CI144" i="11"/>
  <c r="CI141" i="11"/>
  <c r="CI140" i="11"/>
  <c r="CI138" i="11"/>
  <c r="CI136" i="11"/>
  <c r="CI134" i="11"/>
  <c r="CI133" i="11"/>
  <c r="CI132" i="11"/>
  <c r="CI131" i="11"/>
  <c r="CI130" i="11"/>
  <c r="CI129" i="11"/>
  <c r="CI128" i="11"/>
  <c r="CI127" i="11"/>
  <c r="CI126" i="11"/>
  <c r="CI125" i="11"/>
  <c r="CI124" i="11"/>
  <c r="CI121" i="11"/>
  <c r="CI120" i="11"/>
  <c r="CI117" i="11"/>
  <c r="CI77" i="11"/>
  <c r="CI36" i="11"/>
  <c r="CI26" i="11"/>
  <c r="CI17" i="11"/>
  <c r="DD157" i="11"/>
  <c r="DD156" i="11"/>
  <c r="DD155" i="11"/>
  <c r="DD154" i="11"/>
  <c r="DD153" i="11"/>
  <c r="DD152" i="11"/>
  <c r="DD151" i="11"/>
  <c r="DD150" i="11"/>
  <c r="DD149" i="11"/>
  <c r="DD148" i="11"/>
  <c r="DD147" i="11"/>
  <c r="DD146" i="11"/>
  <c r="DD144" i="11"/>
  <c r="DD143" i="11"/>
  <c r="DD142" i="11"/>
  <c r="DD141" i="11"/>
  <c r="DD140" i="11"/>
  <c r="DD139" i="11"/>
  <c r="DD138" i="11"/>
  <c r="DD137" i="11"/>
  <c r="DD136" i="11"/>
  <c r="DD135" i="11"/>
  <c r="DD134" i="11"/>
  <c r="DD133" i="11"/>
  <c r="DD132" i="11"/>
  <c r="DD129" i="11"/>
  <c r="DD128" i="11"/>
  <c r="DD127" i="11"/>
  <c r="DD126" i="11"/>
  <c r="DD125" i="11"/>
  <c r="DD124" i="11"/>
  <c r="DD117" i="11"/>
  <c r="DD102" i="11"/>
  <c r="DD101" i="11"/>
  <c r="DD96" i="11"/>
  <c r="DD92" i="11"/>
  <c r="DD91" i="11"/>
  <c r="DD87" i="11"/>
  <c r="N3" i="11"/>
  <c r="R2" i="11"/>
  <c r="N2" i="11"/>
  <c r="R1" i="11"/>
  <c r="N1" i="11"/>
  <c r="AS157" i="7"/>
  <c r="AS156" i="7"/>
  <c r="AS155" i="7"/>
  <c r="AS154" i="7"/>
  <c r="AS151" i="7"/>
  <c r="AS150" i="7"/>
  <c r="AS149" i="7"/>
  <c r="AS148" i="7"/>
  <c r="AS146" i="7"/>
  <c r="AS145" i="7"/>
  <c r="AS141" i="7"/>
  <c r="AS140" i="7"/>
  <c r="AS136" i="7"/>
  <c r="AS135" i="7"/>
  <c r="AS134" i="7"/>
  <c r="AS131" i="7"/>
  <c r="AS130" i="7"/>
  <c r="AS129" i="7"/>
  <c r="AS128" i="7"/>
  <c r="AS125" i="7"/>
  <c r="AS124" i="7"/>
  <c r="AS121" i="7"/>
  <c r="AS120" i="7"/>
  <c r="AS116" i="7"/>
  <c r="AS115" i="7"/>
  <c r="AS111" i="7"/>
  <c r="AS109" i="7"/>
  <c r="AS106" i="7"/>
  <c r="AS105" i="7"/>
  <c r="AS104" i="7"/>
  <c r="AS103" i="7"/>
  <c r="AS101" i="7"/>
  <c r="AS100" i="7"/>
  <c r="AS96" i="7"/>
  <c r="AS90" i="7"/>
  <c r="AS86" i="7"/>
  <c r="AS85" i="7"/>
  <c r="AS84" i="7"/>
  <c r="AS81" i="7"/>
  <c r="AS80" i="7"/>
  <c r="AS79" i="7"/>
  <c r="AS78" i="7"/>
  <c r="AS76" i="7"/>
  <c r="AS75" i="7"/>
  <c r="AS71" i="7"/>
  <c r="AS70" i="7"/>
  <c r="AS66" i="7"/>
  <c r="AS65" i="7"/>
  <c r="AS64" i="7"/>
  <c r="AS61" i="7"/>
  <c r="AS60" i="7"/>
  <c r="AS58" i="7"/>
  <c r="AS57" i="7"/>
  <c r="AS56" i="7"/>
  <c r="AS51" i="7"/>
  <c r="AS50" i="7"/>
  <c r="AS45" i="7"/>
  <c r="AS41" i="7"/>
  <c r="AS40" i="7"/>
  <c r="AS36" i="7"/>
  <c r="AS35" i="7"/>
  <c r="AS34" i="7"/>
  <c r="AS33" i="7"/>
  <c r="AS31" i="7"/>
  <c r="AS29" i="7"/>
  <c r="AS26" i="7"/>
  <c r="AS16" i="7"/>
  <c r="X16" i="7"/>
  <c r="X11" i="7"/>
  <c r="X10" i="7"/>
  <c r="X157" i="7"/>
  <c r="X156" i="7"/>
  <c r="X154" i="7"/>
  <c r="X153" i="7"/>
  <c r="X151" i="7"/>
  <c r="X150" i="7"/>
  <c r="X146" i="7"/>
  <c r="X145" i="7"/>
  <c r="X141" i="7"/>
  <c r="X140" i="7"/>
  <c r="X136" i="7"/>
  <c r="X135" i="7"/>
  <c r="X134" i="7"/>
  <c r="X133" i="7"/>
  <c r="X131" i="7"/>
  <c r="X130" i="7"/>
  <c r="X126" i="7"/>
  <c r="X125" i="7"/>
  <c r="X121" i="7"/>
  <c r="X120" i="7"/>
  <c r="X116" i="7"/>
  <c r="X115" i="7"/>
  <c r="X114" i="7"/>
  <c r="X113" i="7"/>
  <c r="X111" i="7"/>
  <c r="X110" i="7"/>
  <c r="X109" i="7"/>
  <c r="X106" i="7"/>
  <c r="X105" i="7"/>
  <c r="X101" i="7"/>
  <c r="X100" i="7"/>
  <c r="X96" i="7"/>
  <c r="X95" i="7"/>
  <c r="X94" i="7"/>
  <c r="X93" i="7"/>
  <c r="X90" i="7"/>
  <c r="X89" i="7"/>
  <c r="X88" i="7"/>
  <c r="X86" i="7"/>
  <c r="X85" i="7"/>
  <c r="X81" i="7"/>
  <c r="X80" i="7"/>
  <c r="X76" i="7"/>
  <c r="X75" i="7"/>
  <c r="X74" i="7"/>
  <c r="X71" i="7"/>
  <c r="X70" i="7"/>
  <c r="X69" i="7"/>
  <c r="X68" i="7"/>
  <c r="X66" i="7"/>
  <c r="X65" i="7"/>
  <c r="X61" i="7"/>
  <c r="X60" i="7"/>
  <c r="X56" i="7"/>
  <c r="X55" i="7"/>
  <c r="X51" i="7"/>
  <c r="X50" i="7"/>
  <c r="X49" i="7"/>
  <c r="X48" i="7"/>
  <c r="X45" i="7"/>
  <c r="X44" i="7"/>
  <c r="X43" i="7"/>
  <c r="X41" i="7"/>
  <c r="X40" i="7"/>
  <c r="X36" i="7"/>
  <c r="X35" i="7"/>
  <c r="C157" i="7"/>
  <c r="C156" i="7"/>
  <c r="C155" i="7"/>
  <c r="C151" i="7"/>
  <c r="C150" i="7"/>
  <c r="C146" i="7"/>
  <c r="C145" i="7"/>
  <c r="C144" i="7"/>
  <c r="C141" i="7"/>
  <c r="C140" i="7"/>
  <c r="C139" i="7"/>
  <c r="C138" i="7"/>
  <c r="C136" i="7"/>
  <c r="C135" i="7"/>
  <c r="C134" i="7"/>
  <c r="C131" i="7"/>
  <c r="C130" i="7"/>
  <c r="C126" i="7"/>
  <c r="C125" i="7"/>
  <c r="C121" i="7"/>
  <c r="C120" i="7"/>
  <c r="C119" i="7"/>
  <c r="C118" i="7"/>
  <c r="C116" i="7"/>
  <c r="C115" i="7"/>
  <c r="C114" i="7"/>
  <c r="C106" i="7"/>
  <c r="C105" i="7"/>
  <c r="C101" i="7"/>
  <c r="C100" i="7"/>
  <c r="C99" i="7"/>
  <c r="C96" i="7"/>
  <c r="C93" i="7"/>
  <c r="C91" i="7"/>
  <c r="C90" i="7"/>
  <c r="C86" i="7"/>
  <c r="C85" i="7"/>
  <c r="C81" i="7"/>
  <c r="C80" i="7"/>
  <c r="C76" i="7"/>
  <c r="C75" i="7"/>
  <c r="C74" i="7"/>
  <c r="C71" i="7"/>
  <c r="C70" i="7"/>
  <c r="C69" i="7"/>
  <c r="C68" i="7"/>
  <c r="C66" i="7"/>
  <c r="C65" i="7"/>
  <c r="C61" i="7"/>
  <c r="C60" i="7"/>
  <c r="C56" i="7"/>
  <c r="C51" i="7"/>
  <c r="C50" i="7"/>
  <c r="C49" i="7"/>
  <c r="C48" i="7"/>
  <c r="C45" i="7"/>
  <c r="C44" i="7"/>
  <c r="C43" i="7"/>
  <c r="C42" i="7"/>
  <c r="C41" i="7"/>
  <c r="C40" i="7"/>
  <c r="C36" i="7"/>
  <c r="C35" i="7"/>
  <c r="C31" i="7"/>
  <c r="C30" i="7"/>
  <c r="C29" i="7"/>
  <c r="C26" i="7"/>
  <c r="C21" i="7"/>
  <c r="C20" i="7"/>
  <c r="AS157" i="14"/>
  <c r="AS156" i="14"/>
  <c r="AS155" i="14"/>
  <c r="AS154" i="14"/>
  <c r="AS153" i="14"/>
  <c r="AS152" i="14"/>
  <c r="AS151" i="14"/>
  <c r="AS150" i="14"/>
  <c r="AS149" i="14"/>
  <c r="AS148" i="14"/>
  <c r="AS147" i="14"/>
  <c r="AS146" i="14"/>
  <c r="AS145" i="14"/>
  <c r="AS144" i="14"/>
  <c r="AS143" i="14"/>
  <c r="AS142" i="14"/>
  <c r="AS141" i="14"/>
  <c r="AS140" i="14"/>
  <c r="AS139" i="14"/>
  <c r="AS138" i="14"/>
  <c r="AS137" i="14"/>
  <c r="AS136" i="14"/>
  <c r="AS135" i="14"/>
  <c r="AS134" i="14"/>
  <c r="AS133" i="14"/>
  <c r="AS132" i="14"/>
  <c r="AS131" i="14"/>
  <c r="AS130" i="14"/>
  <c r="AS129" i="14"/>
  <c r="AS128" i="14"/>
  <c r="AS127" i="14"/>
  <c r="AS126" i="14"/>
  <c r="AS125" i="14"/>
  <c r="AS124" i="14"/>
  <c r="AS123" i="14"/>
  <c r="AS122" i="14"/>
  <c r="AS120" i="14"/>
  <c r="AS117" i="14"/>
  <c r="BN157" i="14"/>
  <c r="BN156" i="14"/>
  <c r="BN155" i="14"/>
  <c r="BN154" i="14"/>
  <c r="BN151" i="14"/>
  <c r="BN146" i="14"/>
  <c r="BN142" i="14"/>
  <c r="BN141" i="14"/>
  <c r="BN140" i="14"/>
  <c r="BN139" i="14"/>
  <c r="BN138" i="14"/>
  <c r="BN137" i="14"/>
  <c r="BN136" i="14"/>
  <c r="BN135" i="14"/>
  <c r="BN134" i="14"/>
  <c r="BN131" i="14"/>
  <c r="BN126" i="14"/>
  <c r="BN122" i="14"/>
  <c r="BN121" i="14"/>
  <c r="BN120" i="14"/>
  <c r="BN119" i="14"/>
  <c r="BN118" i="14"/>
  <c r="BN117" i="14"/>
  <c r="BN116" i="14"/>
  <c r="BN115" i="14"/>
  <c r="BN114" i="14"/>
  <c r="BN111" i="14"/>
  <c r="BN106" i="14"/>
  <c r="BN102" i="14"/>
  <c r="BN101" i="14"/>
  <c r="BN100" i="14"/>
  <c r="BN99" i="14"/>
  <c r="BN98" i="14"/>
  <c r="BN97" i="14"/>
  <c r="BN96" i="14"/>
  <c r="BN95" i="14"/>
  <c r="BN91" i="14"/>
  <c r="BN86" i="14"/>
  <c r="BN85" i="14"/>
  <c r="BN81" i="14"/>
  <c r="BN80" i="14"/>
  <c r="BN79" i="14"/>
  <c r="BN77" i="14"/>
  <c r="BN76" i="14"/>
  <c r="BN75" i="14"/>
  <c r="BN71" i="14"/>
  <c r="BN66" i="14"/>
  <c r="BN65" i="14"/>
  <c r="BN61" i="14"/>
  <c r="BN60" i="14"/>
  <c r="BN59" i="14"/>
  <c r="BN57" i="14"/>
  <c r="BN56" i="14"/>
  <c r="BN55" i="14"/>
  <c r="BN54" i="14"/>
  <c r="BN52" i="14"/>
  <c r="BN51" i="14"/>
  <c r="BN46" i="14"/>
  <c r="BN41" i="14"/>
  <c r="BN36" i="14"/>
  <c r="BN31" i="14"/>
  <c r="BN26" i="14"/>
  <c r="BN21" i="14"/>
  <c r="X157" i="14"/>
  <c r="X156" i="14"/>
  <c r="X152" i="14"/>
  <c r="X151" i="14"/>
  <c r="X150" i="14"/>
  <c r="X149" i="14"/>
  <c r="X147" i="14"/>
  <c r="X146" i="14"/>
  <c r="X145" i="14"/>
  <c r="X144" i="14"/>
  <c r="X141" i="14"/>
  <c r="X136" i="14"/>
  <c r="X132" i="14"/>
  <c r="X131" i="14"/>
  <c r="X130" i="14"/>
  <c r="X129" i="14"/>
  <c r="X128" i="14"/>
  <c r="X127" i="14"/>
  <c r="X126" i="14"/>
  <c r="X125" i="14"/>
  <c r="X124" i="14"/>
  <c r="X121" i="14"/>
  <c r="X116" i="14"/>
  <c r="X112" i="14"/>
  <c r="X111" i="14"/>
  <c r="X110" i="14"/>
  <c r="X109" i="14"/>
  <c r="X107" i="14"/>
  <c r="X106" i="14"/>
  <c r="X105" i="14"/>
  <c r="X104" i="14"/>
  <c r="X101" i="14"/>
  <c r="X96" i="14"/>
  <c r="X92" i="14"/>
  <c r="X91" i="14"/>
  <c r="X90" i="14"/>
  <c r="X89" i="14"/>
  <c r="X88" i="14"/>
  <c r="X87" i="14"/>
  <c r="X86" i="14"/>
  <c r="X85" i="14"/>
  <c r="X84" i="14"/>
  <c r="X76" i="14"/>
  <c r="X75" i="14"/>
  <c r="X71" i="14"/>
  <c r="X70" i="14"/>
  <c r="X69" i="14"/>
  <c r="X67" i="14"/>
  <c r="X66" i="14"/>
  <c r="X65" i="14"/>
  <c r="X64" i="14"/>
  <c r="X61" i="14"/>
  <c r="X56" i="14"/>
  <c r="X55" i="14"/>
  <c r="X51" i="14"/>
  <c r="X50" i="14"/>
  <c r="X47" i="14"/>
  <c r="X46" i="14"/>
  <c r="X45" i="14"/>
  <c r="X44" i="14"/>
  <c r="X43" i="14"/>
  <c r="X41" i="14"/>
  <c r="X21" i="14"/>
  <c r="X11" i="14" l="1"/>
  <c r="C39" i="2"/>
  <c r="X26" i="14"/>
  <c r="X40" i="14"/>
  <c r="X31" i="11"/>
  <c r="X118" i="11"/>
  <c r="X71" i="11"/>
  <c r="AS119" i="14"/>
  <c r="X78" i="4"/>
  <c r="X20" i="11"/>
  <c r="C92" i="13"/>
  <c r="X79" i="4"/>
  <c r="CI123" i="11"/>
  <c r="X125" i="4"/>
  <c r="X118" i="13"/>
  <c r="C120" i="4"/>
  <c r="X75" i="12"/>
  <c r="C101" i="11"/>
  <c r="X88" i="4"/>
  <c r="DD95" i="11"/>
  <c r="X65" i="11"/>
  <c r="AS118" i="11"/>
  <c r="CI51" i="11"/>
  <c r="AS119" i="11"/>
  <c r="DD116" i="11"/>
  <c r="CI76" i="11"/>
  <c r="C106" i="11"/>
  <c r="AS120" i="11"/>
  <c r="X101" i="12"/>
  <c r="AS121" i="11"/>
  <c r="X98" i="4"/>
  <c r="X119" i="13"/>
  <c r="X123" i="13"/>
  <c r="C117" i="8"/>
  <c r="DD118" i="11"/>
  <c r="AS123" i="11"/>
  <c r="DD121" i="11"/>
  <c r="CI118" i="11"/>
  <c r="X101" i="11"/>
  <c r="X67" i="13"/>
  <c r="C63" i="4"/>
  <c r="X99" i="4"/>
  <c r="AS61" i="14"/>
  <c r="C111" i="11"/>
  <c r="X118" i="12"/>
  <c r="AS118" i="14"/>
  <c r="DD123" i="11"/>
  <c r="CI119" i="11"/>
  <c r="C116" i="11"/>
  <c r="X72" i="13"/>
  <c r="C68" i="4"/>
  <c r="X103" i="4"/>
  <c r="C36" i="2"/>
  <c r="BN39" i="14"/>
  <c r="AS20" i="7"/>
  <c r="AS25" i="7"/>
  <c r="C11" i="7"/>
  <c r="X20" i="7"/>
  <c r="C24" i="7"/>
  <c r="C25" i="7"/>
  <c r="C9" i="9"/>
  <c r="C10" i="9"/>
  <c r="C96" i="13"/>
  <c r="X90" i="12"/>
  <c r="CI41" i="11"/>
  <c r="C117" i="11"/>
  <c r="X96" i="11"/>
  <c r="AS26" i="11"/>
  <c r="X91" i="12"/>
  <c r="C72" i="12"/>
  <c r="X120" i="13"/>
  <c r="C114" i="4"/>
  <c r="X119" i="4"/>
  <c r="C110" i="11"/>
  <c r="X121" i="13"/>
  <c r="AS65" i="14"/>
  <c r="DD122" i="11"/>
  <c r="C47" i="13"/>
  <c r="CI97" i="11"/>
  <c r="AS67" i="11"/>
  <c r="X116" i="12"/>
  <c r="C96" i="12"/>
  <c r="C66" i="13"/>
  <c r="C124" i="4"/>
  <c r="AS82" i="14"/>
  <c r="CI101" i="11"/>
  <c r="C11" i="11"/>
  <c r="X119" i="11"/>
  <c r="AS71" i="11"/>
  <c r="BN41" i="11"/>
  <c r="X117" i="12"/>
  <c r="C102" i="12"/>
  <c r="C67" i="13"/>
  <c r="X26" i="13"/>
  <c r="C120" i="13"/>
  <c r="DD120" i="11"/>
  <c r="AS66" i="14"/>
  <c r="AS60" i="11"/>
  <c r="X117" i="11"/>
  <c r="X106" i="12"/>
  <c r="C122" i="4"/>
  <c r="AS87" i="14"/>
  <c r="X120" i="11"/>
  <c r="C72" i="13"/>
  <c r="AS112" i="14"/>
  <c r="DD11" i="11"/>
  <c r="CI112" i="11"/>
  <c r="C20" i="11"/>
  <c r="X121" i="11"/>
  <c r="AS102" i="11"/>
  <c r="BN77" i="11"/>
  <c r="X120" i="12"/>
  <c r="C112" i="12"/>
  <c r="C77" i="13"/>
  <c r="X42" i="13"/>
  <c r="C95" i="8"/>
  <c r="AS115" i="14"/>
  <c r="DD77" i="11"/>
  <c r="CI115" i="11"/>
  <c r="C21" i="11"/>
  <c r="X122" i="11"/>
  <c r="AS106" i="11"/>
  <c r="BN82" i="11"/>
  <c r="C90" i="13"/>
  <c r="X46" i="13"/>
  <c r="C100" i="8"/>
  <c r="X85" i="12"/>
  <c r="DD119" i="11"/>
  <c r="C120" i="11"/>
  <c r="AS76" i="14"/>
  <c r="CI86" i="11"/>
  <c r="AS61" i="11"/>
  <c r="C92" i="12"/>
  <c r="AS77" i="14"/>
  <c r="CI106" i="11"/>
  <c r="C15" i="11"/>
  <c r="AS97" i="11"/>
  <c r="BN76" i="11"/>
  <c r="C111" i="12"/>
  <c r="X37" i="13"/>
  <c r="C41" i="8"/>
  <c r="AS116" i="14"/>
  <c r="DD86" i="11"/>
  <c r="CI116" i="11"/>
  <c r="C36" i="11"/>
  <c r="X16" i="11"/>
  <c r="X123" i="11"/>
  <c r="AS116" i="11"/>
  <c r="BN92" i="11"/>
  <c r="C119" i="12"/>
  <c r="C91" i="13"/>
  <c r="X61" i="13"/>
  <c r="X58" i="4"/>
  <c r="C111" i="8"/>
  <c r="X9" i="14"/>
  <c r="X25" i="14"/>
  <c r="AS10" i="7"/>
  <c r="C52" i="11"/>
  <c r="X17" i="11"/>
  <c r="AS42" i="11"/>
  <c r="X57" i="12"/>
  <c r="AS52" i="11"/>
  <c r="CI37" i="11"/>
  <c r="X27" i="11"/>
  <c r="CI42" i="11"/>
  <c r="AS62" i="11"/>
  <c r="C12" i="12"/>
  <c r="DD12" i="11"/>
  <c r="X32" i="11"/>
  <c r="AS12" i="14"/>
  <c r="DD17" i="11"/>
  <c r="X36" i="11"/>
  <c r="BN12" i="11"/>
  <c r="C26" i="12"/>
  <c r="C19" i="4"/>
  <c r="AS26" i="14"/>
  <c r="DD21" i="11"/>
  <c r="X37" i="11"/>
  <c r="BN32" i="11"/>
  <c r="C32" i="12"/>
  <c r="C38" i="4"/>
  <c r="X14" i="4"/>
  <c r="AS27" i="14"/>
  <c r="DD36" i="11"/>
  <c r="X41" i="11"/>
  <c r="BN35" i="11"/>
  <c r="C37" i="12"/>
  <c r="C39" i="4"/>
  <c r="X34" i="4"/>
  <c r="AS31" i="14"/>
  <c r="DD37" i="11"/>
  <c r="X42" i="11"/>
  <c r="BN36" i="11"/>
  <c r="C54" i="4"/>
  <c r="X38" i="4"/>
  <c r="AS32" i="14"/>
  <c r="DD47" i="11"/>
  <c r="BN37" i="11"/>
  <c r="AS47" i="14"/>
  <c r="C12" i="11"/>
  <c r="X59" i="4"/>
  <c r="AS56" i="14"/>
  <c r="BN62" i="11"/>
  <c r="X63" i="4"/>
  <c r="AS58" i="14"/>
  <c r="C16" i="11"/>
  <c r="AS60" i="14"/>
  <c r="C17" i="11"/>
  <c r="C56" i="13"/>
  <c r="C32" i="11"/>
  <c r="AS27" i="11"/>
  <c r="C61" i="13"/>
  <c r="BN24" i="14"/>
  <c r="C9" i="2"/>
  <c r="X24" i="14"/>
  <c r="C32" i="2"/>
  <c r="BN11" i="14"/>
  <c r="BN16" i="14"/>
  <c r="AS21" i="7"/>
  <c r="AS81" i="14"/>
  <c r="DD56" i="11"/>
  <c r="CI52" i="11"/>
  <c r="C41" i="11"/>
  <c r="X76" i="11"/>
  <c r="AS101" i="11"/>
  <c r="BN110" i="11"/>
  <c r="X16" i="12"/>
  <c r="C91" i="12"/>
  <c r="X110" i="13"/>
  <c r="X108" i="4"/>
  <c r="C31" i="8"/>
  <c r="AS11" i="14"/>
  <c r="DD61" i="11"/>
  <c r="CI55" i="11"/>
  <c r="X17" i="12"/>
  <c r="X111" i="13"/>
  <c r="C14" i="4"/>
  <c r="C36" i="8"/>
  <c r="C20" i="8"/>
  <c r="DD76" i="11"/>
  <c r="CI60" i="11"/>
  <c r="X21" i="12"/>
  <c r="C18" i="4"/>
  <c r="AS15" i="14"/>
  <c r="BN16" i="11"/>
  <c r="AS105" i="11"/>
  <c r="C95" i="12"/>
  <c r="X115" i="13"/>
  <c r="AS16" i="14"/>
  <c r="AS92" i="14"/>
  <c r="DD81" i="11"/>
  <c r="CI71" i="11"/>
  <c r="C85" i="11"/>
  <c r="X11" i="11"/>
  <c r="X82" i="11"/>
  <c r="AS107" i="11"/>
  <c r="BN17" i="11"/>
  <c r="X67" i="12"/>
  <c r="C97" i="12"/>
  <c r="C12" i="13"/>
  <c r="X116" i="13"/>
  <c r="C23" i="4"/>
  <c r="AS59" i="14"/>
  <c r="C76" i="11"/>
  <c r="X80" i="11"/>
  <c r="AS91" i="14"/>
  <c r="CI61" i="11"/>
  <c r="C84" i="11"/>
  <c r="X81" i="11"/>
  <c r="AS17" i="14"/>
  <c r="AS101" i="14"/>
  <c r="DD82" i="11"/>
  <c r="CI72" i="11"/>
  <c r="C92" i="11"/>
  <c r="X12" i="11"/>
  <c r="X86" i="11"/>
  <c r="AS112" i="11"/>
  <c r="BN31" i="11"/>
  <c r="X71" i="12"/>
  <c r="C32" i="13"/>
  <c r="C34" i="4"/>
  <c r="C81" i="8"/>
  <c r="C68" i="13"/>
  <c r="BN109" i="11"/>
  <c r="X43" i="13"/>
  <c r="X15" i="12"/>
  <c r="C19" i="8"/>
  <c r="DD100" i="11"/>
  <c r="AS73" i="11"/>
  <c r="BN39" i="11"/>
  <c r="C45" i="11"/>
  <c r="BN115" i="11"/>
  <c r="AS75" i="11"/>
  <c r="BN45" i="11"/>
  <c r="C13" i="13"/>
  <c r="X76" i="13"/>
  <c r="AS36" i="14"/>
  <c r="AS95" i="14"/>
  <c r="DD51" i="11"/>
  <c r="DD106" i="11"/>
  <c r="CI81" i="11"/>
  <c r="C61" i="11"/>
  <c r="X47" i="11"/>
  <c r="X106" i="11"/>
  <c r="BN51" i="11"/>
  <c r="X36" i="12"/>
  <c r="X110" i="12"/>
  <c r="C52" i="12"/>
  <c r="C14" i="13"/>
  <c r="C111" i="13"/>
  <c r="C87" i="4"/>
  <c r="X39" i="4"/>
  <c r="AS37" i="14"/>
  <c r="AS96" i="14"/>
  <c r="DD52" i="11"/>
  <c r="DD112" i="11"/>
  <c r="CI82" i="11"/>
  <c r="C71" i="11"/>
  <c r="X51" i="11"/>
  <c r="X107" i="11"/>
  <c r="AS77" i="11"/>
  <c r="BN52" i="11"/>
  <c r="X111" i="12"/>
  <c r="C56" i="12"/>
  <c r="C115" i="12"/>
  <c r="C16" i="13"/>
  <c r="C94" i="4"/>
  <c r="X41" i="4"/>
  <c r="AS46" i="14"/>
  <c r="AS97" i="14"/>
  <c r="DD53" i="11"/>
  <c r="DD115" i="11"/>
  <c r="CI12" i="11"/>
  <c r="CI85" i="11"/>
  <c r="C72" i="11"/>
  <c r="X52" i="11"/>
  <c r="X111" i="11"/>
  <c r="AS82" i="11"/>
  <c r="BN61" i="11"/>
  <c r="X41" i="12"/>
  <c r="X112" i="12"/>
  <c r="C57" i="12"/>
  <c r="C116" i="12"/>
  <c r="C21" i="13"/>
  <c r="C102" i="4"/>
  <c r="X42" i="4"/>
  <c r="C65" i="8"/>
  <c r="AS74" i="11"/>
  <c r="AS20" i="11"/>
  <c r="X51" i="12"/>
  <c r="C60" i="12"/>
  <c r="C26" i="13"/>
  <c r="AS107" i="14"/>
  <c r="DD57" i="11"/>
  <c r="CI92" i="11"/>
  <c r="X115" i="11"/>
  <c r="X52" i="12"/>
  <c r="C108" i="4"/>
  <c r="X47" i="4"/>
  <c r="C29" i="8"/>
  <c r="X60" i="11"/>
  <c r="AS85" i="11"/>
  <c r="X106" i="13"/>
  <c r="X43" i="4"/>
  <c r="AS51" i="14"/>
  <c r="CI20" i="11"/>
  <c r="X61" i="11"/>
  <c r="AS21" i="11"/>
  <c r="BN66" i="11"/>
  <c r="C61" i="12"/>
  <c r="AS52" i="14"/>
  <c r="AS111" i="14"/>
  <c r="DD60" i="11"/>
  <c r="CI21" i="11"/>
  <c r="CI96" i="11"/>
  <c r="C81" i="11"/>
  <c r="X62" i="11"/>
  <c r="AS25" i="11"/>
  <c r="AS96" i="11"/>
  <c r="BN72" i="11"/>
  <c r="X56" i="12"/>
  <c r="C66" i="12"/>
  <c r="X109" i="13"/>
  <c r="C109" i="4"/>
  <c r="C59" i="12"/>
  <c r="X53" i="13"/>
  <c r="C28" i="8"/>
  <c r="C112" i="8"/>
  <c r="AS114" i="14"/>
  <c r="C28" i="13"/>
  <c r="CI84" i="11"/>
  <c r="C93" i="13"/>
  <c r="C46" i="4"/>
  <c r="C114" i="11"/>
  <c r="C115" i="11"/>
  <c r="X85" i="11"/>
  <c r="AS45" i="11"/>
  <c r="C20" i="12"/>
  <c r="C57" i="13"/>
  <c r="C98" i="13"/>
  <c r="X78" i="13"/>
  <c r="C62" i="4"/>
  <c r="C72" i="8"/>
  <c r="C89" i="13"/>
  <c r="X75" i="13"/>
  <c r="C49" i="11"/>
  <c r="AS43" i="11"/>
  <c r="C95" i="13"/>
  <c r="X13" i="13"/>
  <c r="CI90" i="11"/>
  <c r="X84" i="11"/>
  <c r="AS44" i="11"/>
  <c r="C60" i="11"/>
  <c r="AS50" i="11"/>
  <c r="AS103" i="11"/>
  <c r="BN74" i="11"/>
  <c r="X44" i="12"/>
  <c r="C58" i="13"/>
  <c r="X28" i="13"/>
  <c r="X82" i="13"/>
  <c r="X91" i="4"/>
  <c r="C88" i="13"/>
  <c r="CI19" i="11"/>
  <c r="C113" i="11"/>
  <c r="AS100" i="11"/>
  <c r="C53" i="13"/>
  <c r="C47" i="4"/>
  <c r="X22" i="13"/>
  <c r="AS29" i="14"/>
  <c r="AS85" i="14"/>
  <c r="AS104" i="11"/>
  <c r="X45" i="12"/>
  <c r="C24" i="12"/>
  <c r="C94" i="12"/>
  <c r="C59" i="13"/>
  <c r="X29" i="13"/>
  <c r="X93" i="13"/>
  <c r="X92" i="4"/>
  <c r="C77" i="8"/>
  <c r="C18" i="13"/>
  <c r="X68" i="13"/>
  <c r="C32" i="8"/>
  <c r="X69" i="13"/>
  <c r="X84" i="12"/>
  <c r="C37" i="8"/>
  <c r="C33" i="13"/>
  <c r="DD89" i="11"/>
  <c r="X49" i="12"/>
  <c r="C25" i="12"/>
  <c r="C60" i="13"/>
  <c r="C79" i="8"/>
  <c r="AS34" i="14"/>
  <c r="AS90" i="14"/>
  <c r="DD20" i="11"/>
  <c r="DD90" i="11"/>
  <c r="CI50" i="11"/>
  <c r="C10" i="11"/>
  <c r="BN15" i="11"/>
  <c r="BN80" i="11"/>
  <c r="C62" i="13"/>
  <c r="X38" i="13"/>
  <c r="X103" i="13"/>
  <c r="C82" i="8"/>
  <c r="C44" i="11"/>
  <c r="X73" i="13"/>
  <c r="X35" i="13"/>
  <c r="DD25" i="11"/>
  <c r="CI114" i="11"/>
  <c r="BN85" i="11"/>
  <c r="X55" i="12"/>
  <c r="X115" i="12"/>
  <c r="C63" i="13"/>
  <c r="C113" i="13"/>
  <c r="X40" i="13"/>
  <c r="C85" i="4"/>
  <c r="C16" i="8"/>
  <c r="C83" i="11"/>
  <c r="C114" i="13"/>
  <c r="C86" i="4"/>
  <c r="C18" i="8"/>
  <c r="X62" i="14"/>
  <c r="X83" i="14"/>
  <c r="X103" i="14"/>
  <c r="X123" i="14"/>
  <c r="X143" i="14"/>
  <c r="BN20" i="14"/>
  <c r="BN72" i="14"/>
  <c r="BN92" i="14"/>
  <c r="BN113" i="14"/>
  <c r="BN133" i="14"/>
  <c r="BN153" i="14"/>
  <c r="C57" i="2"/>
  <c r="C89" i="2"/>
  <c r="C151" i="2"/>
  <c r="X63" i="14"/>
  <c r="BN73" i="14"/>
  <c r="BN93" i="14"/>
  <c r="C152" i="2"/>
  <c r="X42" i="14"/>
  <c r="BN22" i="14"/>
  <c r="BN53" i="14"/>
  <c r="BN74" i="14"/>
  <c r="C28" i="2"/>
  <c r="C122" i="2"/>
  <c r="C153" i="2"/>
  <c r="X113" i="14"/>
  <c r="X73" i="14"/>
  <c r="X114" i="14"/>
  <c r="X134" i="14"/>
  <c r="BN42" i="14"/>
  <c r="BN63" i="14"/>
  <c r="BN83" i="14"/>
  <c r="BN104" i="14"/>
  <c r="BN144" i="14"/>
  <c r="C106" i="2"/>
  <c r="X27" i="14"/>
  <c r="X54" i="14"/>
  <c r="X74" i="14"/>
  <c r="X95" i="14"/>
  <c r="X115" i="14"/>
  <c r="X135" i="14"/>
  <c r="BN43" i="14"/>
  <c r="BN64" i="14"/>
  <c r="BN84" i="14"/>
  <c r="BN145" i="14"/>
  <c r="C43" i="2"/>
  <c r="C76" i="2"/>
  <c r="C107" i="2"/>
  <c r="C139" i="2"/>
  <c r="BN143" i="14"/>
  <c r="X108" i="14"/>
  <c r="X148" i="14"/>
  <c r="X29" i="14"/>
  <c r="X117" i="14"/>
  <c r="X137" i="14"/>
  <c r="BN127" i="14"/>
  <c r="BN147" i="14"/>
  <c r="C49" i="2"/>
  <c r="BN82" i="14"/>
  <c r="X30" i="14"/>
  <c r="X57" i="14"/>
  <c r="X118" i="14"/>
  <c r="X138" i="14"/>
  <c r="BN10" i="14"/>
  <c r="BN67" i="14"/>
  <c r="BN87" i="14"/>
  <c r="BN128" i="14"/>
  <c r="BN148" i="14"/>
  <c r="BN103" i="14"/>
  <c r="X58" i="14"/>
  <c r="X78" i="14"/>
  <c r="X119" i="14"/>
  <c r="X139" i="14"/>
  <c r="BN47" i="14"/>
  <c r="BN68" i="14"/>
  <c r="BN88" i="14"/>
  <c r="BN109" i="14"/>
  <c r="BN129" i="14"/>
  <c r="BN149" i="14"/>
  <c r="C51" i="2"/>
  <c r="X28" i="14"/>
  <c r="X59" i="14"/>
  <c r="X79" i="14"/>
  <c r="X120" i="14"/>
  <c r="BN48" i="14"/>
  <c r="BN89" i="14"/>
  <c r="BN110" i="14"/>
  <c r="BN150" i="14"/>
  <c r="C52" i="2"/>
  <c r="BN78" i="14"/>
  <c r="BN38" i="14"/>
  <c r="C37" i="2"/>
  <c r="C132" i="2"/>
  <c r="X94" i="14"/>
  <c r="C81" i="2"/>
  <c r="X80" i="14"/>
  <c r="BN17" i="14"/>
  <c r="BN49" i="14"/>
  <c r="X39" i="14"/>
  <c r="X102" i="14"/>
  <c r="X142" i="14"/>
  <c r="BN19" i="14"/>
  <c r="BN112" i="14"/>
  <c r="X23" i="14"/>
  <c r="C27" i="2"/>
  <c r="BN18" i="14"/>
  <c r="C29" i="2"/>
  <c r="X33" i="14"/>
  <c r="X34" i="14"/>
  <c r="X12" i="14"/>
  <c r="X35" i="14"/>
  <c r="BN9" i="14"/>
  <c r="BN23" i="14"/>
  <c r="C11" i="2"/>
  <c r="C12" i="2"/>
  <c r="C18" i="2"/>
  <c r="BN27" i="14"/>
  <c r="X13" i="14"/>
  <c r="X37" i="14"/>
  <c r="BN14" i="14"/>
  <c r="C19" i="2"/>
  <c r="BN32" i="14"/>
  <c r="X15" i="14"/>
  <c r="BN34" i="14"/>
  <c r="BN15" i="14"/>
  <c r="X32" i="14"/>
  <c r="X14" i="14"/>
  <c r="X22" i="14"/>
  <c r="C31" i="9"/>
  <c r="X32" i="7"/>
  <c r="C32" i="7"/>
  <c r="AS52" i="7"/>
  <c r="C52" i="7"/>
  <c r="X52" i="7"/>
  <c r="C51" i="9"/>
  <c r="X57" i="7"/>
  <c r="C57" i="7"/>
  <c r="C56" i="9"/>
  <c r="C66" i="9"/>
  <c r="C67" i="7"/>
  <c r="AS67" i="7"/>
  <c r="C71" i="9"/>
  <c r="AS72" i="7"/>
  <c r="X72" i="7"/>
  <c r="C72" i="7"/>
  <c r="X82" i="7"/>
  <c r="C81" i="9"/>
  <c r="C82" i="7"/>
  <c r="AS82" i="7"/>
  <c r="C86" i="9"/>
  <c r="X87" i="7"/>
  <c r="C87" i="7"/>
  <c r="X92" i="7"/>
  <c r="AS92" i="7"/>
  <c r="C91" i="9"/>
  <c r="AS97" i="7"/>
  <c r="C96" i="9"/>
  <c r="X97" i="7"/>
  <c r="C97" i="7"/>
  <c r="C101" i="9"/>
  <c r="X102" i="7"/>
  <c r="C102" i="7"/>
  <c r="C106" i="9"/>
  <c r="X107" i="7"/>
  <c r="C107" i="7"/>
  <c r="AS107" i="7"/>
  <c r="AS117" i="7"/>
  <c r="C116" i="9"/>
  <c r="X117" i="7"/>
  <c r="AS122" i="7"/>
  <c r="C122" i="7"/>
  <c r="X122" i="7"/>
  <c r="C121" i="9"/>
  <c r="C131" i="9"/>
  <c r="C132" i="7"/>
  <c r="AS132" i="7"/>
  <c r="C142" i="7"/>
  <c r="AS142" i="7"/>
  <c r="X142" i="7"/>
  <c r="C152" i="7"/>
  <c r="C151" i="9"/>
  <c r="AS152" i="7"/>
  <c r="AS102" i="7"/>
  <c r="X67" i="7"/>
  <c r="C141" i="9"/>
  <c r="C17" i="7"/>
  <c r="AS32" i="7"/>
  <c r="X152" i="7"/>
  <c r="C136" i="9"/>
  <c r="C137" i="7"/>
  <c r="X137" i="7"/>
  <c r="AS137" i="7"/>
  <c r="AS77" i="7"/>
  <c r="C77" i="7"/>
  <c r="X77" i="7"/>
  <c r="C92" i="7"/>
  <c r="AS62" i="7"/>
  <c r="X62" i="7"/>
  <c r="C126" i="9"/>
  <c r="C127" i="7"/>
  <c r="X127" i="7"/>
  <c r="C117" i="7"/>
  <c r="C36" i="9"/>
  <c r="X37" i="7"/>
  <c r="C37" i="7"/>
  <c r="AS37" i="7"/>
  <c r="X147" i="7"/>
  <c r="C146" i="9"/>
  <c r="C147" i="7"/>
  <c r="X12" i="7"/>
  <c r="C12" i="7"/>
  <c r="C11" i="9"/>
  <c r="AS12" i="7"/>
  <c r="X42" i="7"/>
  <c r="AS42" i="7"/>
  <c r="C112" i="7"/>
  <c r="X112" i="7"/>
  <c r="AS112" i="7"/>
  <c r="X132" i="7"/>
  <c r="C98" i="7"/>
  <c r="X118" i="7"/>
  <c r="C153" i="9"/>
  <c r="C124" i="7"/>
  <c r="AS68" i="7"/>
  <c r="C92" i="9"/>
  <c r="C103" i="7"/>
  <c r="AS43" i="7"/>
  <c r="AS69" i="7"/>
  <c r="C58" i="9"/>
  <c r="C93" i="9"/>
  <c r="C122" i="9"/>
  <c r="C123" i="7"/>
  <c r="C13" i="9"/>
  <c r="X29" i="7"/>
  <c r="X99" i="7"/>
  <c r="X119" i="7"/>
  <c r="AS89" i="7"/>
  <c r="AS113" i="7"/>
  <c r="C57" i="9"/>
  <c r="C33" i="7"/>
  <c r="C58" i="7"/>
  <c r="C104" i="7"/>
  <c r="C148" i="7"/>
  <c r="X33" i="7"/>
  <c r="AS44" i="7"/>
  <c r="AS138" i="7"/>
  <c r="C123" i="9"/>
  <c r="C73" i="7"/>
  <c r="AS63" i="7"/>
  <c r="AS83" i="7"/>
  <c r="C147" i="9"/>
  <c r="AS108" i="7"/>
  <c r="X73" i="7"/>
  <c r="AS133" i="7"/>
  <c r="AS153" i="7"/>
  <c r="C52" i="9"/>
  <c r="X53" i="7"/>
  <c r="X138" i="7"/>
  <c r="C152" i="9"/>
  <c r="C53" i="7"/>
  <c r="X54" i="7"/>
  <c r="X98" i="7"/>
  <c r="X139" i="7"/>
  <c r="AS88" i="7"/>
  <c r="C34" i="7"/>
  <c r="C59" i="7"/>
  <c r="C83" i="7"/>
  <c r="C149" i="7"/>
  <c r="X34" i="7"/>
  <c r="X143" i="7"/>
  <c r="AS13" i="7"/>
  <c r="AS139" i="7"/>
  <c r="C84" i="7"/>
  <c r="C128" i="7"/>
  <c r="X103" i="7"/>
  <c r="AS14" i="7"/>
  <c r="AS48" i="7"/>
  <c r="C63" i="9"/>
  <c r="C97" i="9"/>
  <c r="C132" i="9"/>
  <c r="C129" i="7"/>
  <c r="X83" i="7"/>
  <c r="X104" i="7"/>
  <c r="AS49" i="7"/>
  <c r="AS73" i="7"/>
  <c r="AS118" i="7"/>
  <c r="C108" i="7"/>
  <c r="AS119" i="7"/>
  <c r="C64" i="7"/>
  <c r="C39" i="7"/>
  <c r="X63" i="7"/>
  <c r="AS99" i="7"/>
  <c r="AS143" i="7"/>
  <c r="C12" i="9"/>
  <c r="X144" i="7"/>
  <c r="C88" i="7"/>
  <c r="X128" i="7"/>
  <c r="C89" i="7"/>
  <c r="X108" i="7"/>
  <c r="X129" i="7"/>
  <c r="C18" i="7"/>
  <c r="C19" i="7"/>
  <c r="X19" i="7"/>
  <c r="AS24" i="7"/>
  <c r="X28" i="7"/>
  <c r="C13" i="7"/>
  <c r="AS17" i="7"/>
  <c r="C16" i="9"/>
  <c r="C28" i="7"/>
  <c r="AS18" i="7"/>
  <c r="C17" i="9"/>
  <c r="AS19" i="7"/>
  <c r="X22" i="7"/>
  <c r="C26" i="9"/>
  <c r="X24" i="7"/>
  <c r="C27" i="9"/>
  <c r="X15" i="7"/>
  <c r="C23" i="12"/>
  <c r="C13" i="11"/>
  <c r="C60" i="4"/>
  <c r="DD64" i="11"/>
  <c r="AS58" i="11"/>
  <c r="AS53" i="14"/>
  <c r="AS109" i="14"/>
  <c r="DD50" i="11"/>
  <c r="C38" i="11"/>
  <c r="X13" i="11"/>
  <c r="X108" i="11"/>
  <c r="AS69" i="11"/>
  <c r="BN69" i="11"/>
  <c r="BN103" i="11"/>
  <c r="C53" i="12"/>
  <c r="C84" i="12"/>
  <c r="C10" i="13"/>
  <c r="C49" i="13"/>
  <c r="X60" i="13"/>
  <c r="C81" i="4"/>
  <c r="C115" i="4"/>
  <c r="X111" i="4"/>
  <c r="C13" i="8"/>
  <c r="AS55" i="14"/>
  <c r="AS83" i="14"/>
  <c r="AS110" i="14"/>
  <c r="DD10" i="11"/>
  <c r="DD114" i="11"/>
  <c r="CI45" i="11"/>
  <c r="CI80" i="11"/>
  <c r="CI108" i="11"/>
  <c r="C39" i="11"/>
  <c r="C80" i="11"/>
  <c r="X15" i="11"/>
  <c r="X50" i="11"/>
  <c r="X109" i="11"/>
  <c r="AS39" i="11"/>
  <c r="AS70" i="11"/>
  <c r="BN104" i="11"/>
  <c r="X108" i="12"/>
  <c r="C13" i="12"/>
  <c r="C55" i="12"/>
  <c r="C85" i="12"/>
  <c r="C113" i="12"/>
  <c r="C11" i="13"/>
  <c r="C50" i="13"/>
  <c r="C85" i="13"/>
  <c r="X24" i="13"/>
  <c r="X104" i="13"/>
  <c r="C82" i="4"/>
  <c r="C116" i="4"/>
  <c r="X35" i="4"/>
  <c r="X86" i="4"/>
  <c r="C15" i="8"/>
  <c r="C68" i="8"/>
  <c r="C113" i="8"/>
  <c r="C48" i="11"/>
  <c r="CI88" i="11"/>
  <c r="X45" i="4"/>
  <c r="DD24" i="11"/>
  <c r="AS13" i="14"/>
  <c r="BN13" i="11"/>
  <c r="CI44" i="11"/>
  <c r="AS28" i="14"/>
  <c r="AS84" i="14"/>
  <c r="DD88" i="11"/>
  <c r="CI10" i="11"/>
  <c r="CI49" i="11"/>
  <c r="CI109" i="11"/>
  <c r="X110" i="11"/>
  <c r="BN34" i="11"/>
  <c r="BN73" i="11"/>
  <c r="BN105" i="11"/>
  <c r="X74" i="12"/>
  <c r="X109" i="12"/>
  <c r="C19" i="12"/>
  <c r="C90" i="12"/>
  <c r="C114" i="12"/>
  <c r="X105" i="13"/>
  <c r="C45" i="4"/>
  <c r="C117" i="4"/>
  <c r="X87" i="4"/>
  <c r="C69" i="8"/>
  <c r="C114" i="8"/>
  <c r="BN108" i="11"/>
  <c r="AS13" i="11"/>
  <c r="CI53" i="11"/>
  <c r="C55" i="4"/>
  <c r="CI89" i="11"/>
  <c r="C93" i="11"/>
  <c r="X29" i="11"/>
  <c r="X89" i="11"/>
  <c r="AS23" i="11"/>
  <c r="AS53" i="11"/>
  <c r="AS108" i="11"/>
  <c r="C64" i="12"/>
  <c r="X46" i="4"/>
  <c r="C65" i="4"/>
  <c r="DD29" i="11"/>
  <c r="CI28" i="11"/>
  <c r="C68" i="11"/>
  <c r="AS45" i="14"/>
  <c r="AS69" i="14"/>
  <c r="CI29" i="11"/>
  <c r="CI68" i="11"/>
  <c r="CI94" i="11"/>
  <c r="C28" i="11"/>
  <c r="C69" i="11"/>
  <c r="C100" i="11"/>
  <c r="X69" i="11"/>
  <c r="AS115" i="11"/>
  <c r="BN53" i="11"/>
  <c r="BN94" i="11"/>
  <c r="C33" i="12"/>
  <c r="C69" i="12"/>
  <c r="C100" i="12"/>
  <c r="C30" i="13"/>
  <c r="C100" i="13"/>
  <c r="X45" i="13"/>
  <c r="C21" i="4"/>
  <c r="C67" i="4"/>
  <c r="C107" i="4"/>
  <c r="X12" i="4"/>
  <c r="AS75" i="14"/>
  <c r="DD79" i="11"/>
  <c r="CI35" i="11"/>
  <c r="CI69" i="11"/>
  <c r="CI95" i="11"/>
  <c r="C29" i="11"/>
  <c r="C70" i="11"/>
  <c r="X100" i="11"/>
  <c r="AS28" i="11"/>
  <c r="AS93" i="11"/>
  <c r="BN60" i="11"/>
  <c r="BN95" i="11"/>
  <c r="X19" i="12"/>
  <c r="X58" i="12"/>
  <c r="X93" i="12"/>
  <c r="C36" i="12"/>
  <c r="X83" i="13"/>
  <c r="C22" i="4"/>
  <c r="X102" i="4"/>
  <c r="C93" i="8"/>
  <c r="AS88" i="14"/>
  <c r="CI18" i="11"/>
  <c r="C28" i="12"/>
  <c r="AS84" i="11"/>
  <c r="AS114" i="11"/>
  <c r="X80" i="13"/>
  <c r="AS19" i="14"/>
  <c r="DD45" i="11"/>
  <c r="X73" i="11"/>
  <c r="C30" i="4"/>
  <c r="X105" i="4"/>
  <c r="DD94" i="11"/>
  <c r="CI58" i="11"/>
  <c r="C53" i="11"/>
  <c r="X63" i="11"/>
  <c r="BN44" i="11"/>
  <c r="X53" i="12"/>
  <c r="X88" i="12"/>
  <c r="C95" i="4"/>
  <c r="X96" i="4"/>
  <c r="X68" i="11"/>
  <c r="X44" i="13"/>
  <c r="AS18" i="14"/>
  <c r="AS98" i="14"/>
  <c r="DD44" i="11"/>
  <c r="DD103" i="11"/>
  <c r="X39" i="11"/>
  <c r="AS94" i="11"/>
  <c r="X59" i="12"/>
  <c r="AS48" i="14"/>
  <c r="X100" i="12"/>
  <c r="C40" i="12"/>
  <c r="C103" i="12"/>
  <c r="X55" i="13"/>
  <c r="AS20" i="14"/>
  <c r="AS49" i="14"/>
  <c r="AS78" i="14"/>
  <c r="AS100" i="14"/>
  <c r="DD46" i="11"/>
  <c r="DD105" i="11"/>
  <c r="CI39" i="11"/>
  <c r="CI100" i="11"/>
  <c r="C34" i="11"/>
  <c r="C73" i="11"/>
  <c r="X74" i="11"/>
  <c r="X104" i="11"/>
  <c r="AS33" i="11"/>
  <c r="AS65" i="11"/>
  <c r="BN20" i="11"/>
  <c r="BN63" i="11"/>
  <c r="BN98" i="11"/>
  <c r="X24" i="12"/>
  <c r="C41" i="12"/>
  <c r="C105" i="12"/>
  <c r="X18" i="13"/>
  <c r="X56" i="13"/>
  <c r="X99" i="13"/>
  <c r="C31" i="4"/>
  <c r="C76" i="4"/>
  <c r="C111" i="4"/>
  <c r="X23" i="4"/>
  <c r="X70" i="4"/>
  <c r="X106" i="4"/>
  <c r="AS33" i="14"/>
  <c r="C88" i="11"/>
  <c r="X113" i="12"/>
  <c r="C90" i="4"/>
  <c r="AS63" i="14"/>
  <c r="X28" i="11"/>
  <c r="C94" i="13"/>
  <c r="DD68" i="11"/>
  <c r="X64" i="11"/>
  <c r="AS83" i="11"/>
  <c r="BN113" i="11"/>
  <c r="X89" i="12"/>
  <c r="AS43" i="14"/>
  <c r="DD69" i="11"/>
  <c r="X93" i="11"/>
  <c r="BN114" i="11"/>
  <c r="C29" i="12"/>
  <c r="BN18" i="11"/>
  <c r="X15" i="4"/>
  <c r="AS99" i="14"/>
  <c r="DD104" i="11"/>
  <c r="C33" i="11"/>
  <c r="C105" i="11"/>
  <c r="AS64" i="11"/>
  <c r="AS95" i="11"/>
  <c r="BN19" i="11"/>
  <c r="X60" i="12"/>
  <c r="C34" i="13"/>
  <c r="X22" i="4"/>
  <c r="AS21" i="14"/>
  <c r="AS50" i="14"/>
  <c r="AS79" i="14"/>
  <c r="DD83" i="11"/>
  <c r="CI40" i="11"/>
  <c r="CI73" i="11"/>
  <c r="C35" i="11"/>
  <c r="C74" i="11"/>
  <c r="X10" i="11"/>
  <c r="X43" i="11"/>
  <c r="X105" i="11"/>
  <c r="AS34" i="11"/>
  <c r="AS66" i="11"/>
  <c r="BN65" i="11"/>
  <c r="BN99" i="11"/>
  <c r="X25" i="12"/>
  <c r="C44" i="12"/>
  <c r="C79" i="12"/>
  <c r="C108" i="12"/>
  <c r="C45" i="13"/>
  <c r="C108" i="13"/>
  <c r="X19" i="13"/>
  <c r="X57" i="13"/>
  <c r="X100" i="13"/>
  <c r="C33" i="4"/>
  <c r="C77" i="4"/>
  <c r="C112" i="4"/>
  <c r="X30" i="4"/>
  <c r="X71" i="4"/>
  <c r="X107" i="4"/>
  <c r="C63" i="8"/>
  <c r="C108" i="8"/>
  <c r="CI13" i="11"/>
  <c r="X113" i="11"/>
  <c r="C93" i="12"/>
  <c r="X90" i="4"/>
  <c r="DD93" i="11"/>
  <c r="X88" i="11"/>
  <c r="AS64" i="14"/>
  <c r="C24" i="13"/>
  <c r="AS93" i="14"/>
  <c r="CI59" i="11"/>
  <c r="C94" i="11"/>
  <c r="AS109" i="11"/>
  <c r="X13" i="12"/>
  <c r="X54" i="12"/>
  <c r="C15" i="4"/>
  <c r="X95" i="4"/>
  <c r="DD28" i="11"/>
  <c r="C98" i="12"/>
  <c r="C33" i="8"/>
  <c r="AS44" i="14"/>
  <c r="CI93" i="11"/>
  <c r="C99" i="12"/>
  <c r="C64" i="13"/>
  <c r="DD80" i="11"/>
  <c r="C104" i="11"/>
  <c r="AS29" i="11"/>
  <c r="X99" i="12"/>
  <c r="X85" i="13"/>
  <c r="C70" i="4"/>
  <c r="X103" i="11"/>
  <c r="C71" i="4"/>
  <c r="AS23" i="14"/>
  <c r="AS80" i="14"/>
  <c r="DD48" i="11"/>
  <c r="DD84" i="11"/>
  <c r="DD108" i="11"/>
  <c r="CI74" i="11"/>
  <c r="CI104" i="11"/>
  <c r="C75" i="11"/>
  <c r="C108" i="11"/>
  <c r="AS35" i="11"/>
  <c r="AS98" i="11"/>
  <c r="BN28" i="11"/>
  <c r="X68" i="12"/>
  <c r="X104" i="12"/>
  <c r="C45" i="12"/>
  <c r="C80" i="12"/>
  <c r="C74" i="13"/>
  <c r="X20" i="13"/>
  <c r="X58" i="13"/>
  <c r="X31" i="4"/>
  <c r="X77" i="4"/>
  <c r="C64" i="8"/>
  <c r="C109" i="8"/>
  <c r="AS113" i="14"/>
  <c r="CI113" i="11"/>
  <c r="X53" i="11"/>
  <c r="C58" i="12"/>
  <c r="AS24" i="11"/>
  <c r="C100" i="4"/>
  <c r="AS94" i="14"/>
  <c r="AS59" i="11"/>
  <c r="C83" i="8"/>
  <c r="AS68" i="14"/>
  <c r="C98" i="11"/>
  <c r="X33" i="11"/>
  <c r="C68" i="12"/>
  <c r="C66" i="4"/>
  <c r="CI70" i="11"/>
  <c r="AS63" i="11"/>
  <c r="C104" i="13"/>
  <c r="C110" i="4"/>
  <c r="C109" i="12"/>
  <c r="AS24" i="14"/>
  <c r="AS108" i="14"/>
  <c r="DD49" i="11"/>
  <c r="DD109" i="11"/>
  <c r="CI105" i="11"/>
  <c r="X78" i="11"/>
  <c r="AS68" i="11"/>
  <c r="AS99" i="11"/>
  <c r="BN29" i="11"/>
  <c r="X105" i="12"/>
  <c r="C48" i="13"/>
  <c r="C75" i="13"/>
  <c r="X59" i="13"/>
  <c r="C36" i="4"/>
  <c r="X33" i="4"/>
  <c r="AS22" i="11"/>
  <c r="BN14" i="11"/>
  <c r="C17" i="4"/>
  <c r="C62" i="8"/>
  <c r="AS14" i="14"/>
  <c r="CI38" i="11"/>
  <c r="X30" i="11"/>
  <c r="BN54" i="11"/>
  <c r="X14" i="12"/>
  <c r="C22" i="12"/>
  <c r="C20" i="4"/>
  <c r="C64" i="4"/>
  <c r="C15" i="13"/>
  <c r="DD15" i="11"/>
  <c r="C62" i="12"/>
  <c r="C24" i="4"/>
  <c r="C21" i="8"/>
  <c r="C70" i="8"/>
  <c r="C38" i="7"/>
  <c r="DD16" i="11"/>
  <c r="C40" i="11"/>
  <c r="AS30" i="11"/>
  <c r="BN22" i="11"/>
  <c r="BN64" i="11"/>
  <c r="C27" i="12"/>
  <c r="C63" i="12"/>
  <c r="C17" i="13"/>
  <c r="C97" i="13"/>
  <c r="X25" i="13"/>
  <c r="C28" i="4"/>
  <c r="X44" i="4"/>
  <c r="X30" i="7"/>
  <c r="AS38" i="7"/>
  <c r="DD18" i="11"/>
  <c r="DD54" i="11"/>
  <c r="CI48" i="11"/>
  <c r="CI83" i="11"/>
  <c r="C42" i="11"/>
  <c r="C78" i="11"/>
  <c r="X40" i="11"/>
  <c r="X75" i="11"/>
  <c r="AS32" i="11"/>
  <c r="BN102" i="11"/>
  <c r="X22" i="12"/>
  <c r="X103" i="12"/>
  <c r="C65" i="12"/>
  <c r="C99" i="13"/>
  <c r="X27" i="13"/>
  <c r="X70" i="13"/>
  <c r="X108" i="13"/>
  <c r="C75" i="4"/>
  <c r="X93" i="4"/>
  <c r="C30" i="8"/>
  <c r="C73" i="8"/>
  <c r="C61" i="9"/>
  <c r="AS22" i="14"/>
  <c r="AS54" i="14"/>
  <c r="AS86" i="14"/>
  <c r="X31" i="7"/>
  <c r="X14" i="7"/>
  <c r="AS39" i="7"/>
  <c r="DD19" i="11"/>
  <c r="DD55" i="11"/>
  <c r="C43" i="11"/>
  <c r="C79" i="11"/>
  <c r="BN30" i="11"/>
  <c r="BN67" i="11"/>
  <c r="X23" i="12"/>
  <c r="C31" i="12"/>
  <c r="X71" i="13"/>
  <c r="C32" i="4"/>
  <c r="AS25" i="14"/>
  <c r="AS57" i="14"/>
  <c r="AS89" i="14"/>
  <c r="AS121" i="14"/>
  <c r="AS110" i="7"/>
  <c r="DD22" i="11"/>
  <c r="DD58" i="11"/>
  <c r="CI16" i="11"/>
  <c r="CI87" i="11"/>
  <c r="CI122" i="11"/>
  <c r="C46" i="11"/>
  <c r="C82" i="11"/>
  <c r="C118" i="11"/>
  <c r="X79" i="11"/>
  <c r="X114" i="11"/>
  <c r="AS72" i="11"/>
  <c r="AS146" i="11"/>
  <c r="BN33" i="11"/>
  <c r="BN70" i="11"/>
  <c r="BN106" i="11"/>
  <c r="X26" i="12"/>
  <c r="X107" i="12"/>
  <c r="C34" i="12"/>
  <c r="C104" i="12"/>
  <c r="C27" i="13"/>
  <c r="C65" i="13"/>
  <c r="C105" i="13"/>
  <c r="X36" i="13"/>
  <c r="C35" i="4"/>
  <c r="X56" i="4"/>
  <c r="X97" i="4"/>
  <c r="X141" i="4"/>
  <c r="C34" i="8"/>
  <c r="C80" i="8"/>
  <c r="C128" i="8"/>
  <c r="DD23" i="11"/>
  <c r="DD59" i="11"/>
  <c r="C47" i="11"/>
  <c r="BN71" i="11"/>
  <c r="X27" i="12"/>
  <c r="X70" i="12"/>
  <c r="C35" i="12"/>
  <c r="C70" i="12"/>
  <c r="C80" i="4"/>
  <c r="X57" i="4"/>
  <c r="CI54" i="11"/>
  <c r="X46" i="11"/>
  <c r="AS38" i="11"/>
  <c r="C25" i="13"/>
  <c r="C38" i="8"/>
  <c r="X38" i="7"/>
  <c r="AS46" i="7"/>
  <c r="DD26" i="11"/>
  <c r="DD62" i="11"/>
  <c r="CI56" i="11"/>
  <c r="CI91" i="11"/>
  <c r="C50" i="11"/>
  <c r="C86" i="11"/>
  <c r="X48" i="11"/>
  <c r="X83" i="11"/>
  <c r="AS40" i="11"/>
  <c r="X35" i="12"/>
  <c r="X73" i="12"/>
  <c r="C38" i="12"/>
  <c r="C73" i="12"/>
  <c r="C31" i="13"/>
  <c r="C43" i="4"/>
  <c r="C83" i="4"/>
  <c r="C123" i="4"/>
  <c r="X13" i="4"/>
  <c r="X60" i="4"/>
  <c r="C39" i="8"/>
  <c r="C133" i="8"/>
  <c r="C29" i="9"/>
  <c r="X39" i="13"/>
  <c r="AS30" i="14"/>
  <c r="AS62" i="14"/>
  <c r="X39" i="7"/>
  <c r="AS47" i="7"/>
  <c r="DD27" i="11"/>
  <c r="DD63" i="11"/>
  <c r="CI57" i="11"/>
  <c r="C14" i="11"/>
  <c r="C51" i="11"/>
  <c r="X14" i="11"/>
  <c r="X49" i="11"/>
  <c r="AS41" i="11"/>
  <c r="BN38" i="11"/>
  <c r="BN75" i="11"/>
  <c r="C39" i="12"/>
  <c r="X41" i="13"/>
  <c r="X79" i="13"/>
  <c r="C44" i="4"/>
  <c r="X61" i="4"/>
  <c r="C40" i="8"/>
  <c r="C85" i="8"/>
  <c r="DD30" i="11"/>
  <c r="CI24" i="11"/>
  <c r="C54" i="11"/>
  <c r="BN78" i="11"/>
  <c r="X39" i="12"/>
  <c r="X64" i="4"/>
  <c r="C45" i="8"/>
  <c r="C94" i="8"/>
  <c r="C93" i="2"/>
  <c r="C54" i="7"/>
  <c r="C55" i="7"/>
  <c r="DD31" i="11"/>
  <c r="DD70" i="11"/>
  <c r="CI25" i="11"/>
  <c r="C18" i="11"/>
  <c r="C56" i="11"/>
  <c r="C95" i="11"/>
  <c r="X18" i="11"/>
  <c r="BN42" i="11"/>
  <c r="BN79" i="11"/>
  <c r="X40" i="12"/>
  <c r="X78" i="12"/>
  <c r="C81" i="12"/>
  <c r="C36" i="13"/>
  <c r="C76" i="13"/>
  <c r="X84" i="13"/>
  <c r="C48" i="4"/>
  <c r="C88" i="4"/>
  <c r="X24" i="4"/>
  <c r="X65" i="4"/>
  <c r="X109" i="4"/>
  <c r="C47" i="8"/>
  <c r="C17" i="2"/>
  <c r="CI22" i="11"/>
  <c r="AS15" i="7"/>
  <c r="CI62" i="11"/>
  <c r="DD14" i="11"/>
  <c r="X38" i="12"/>
  <c r="DD71" i="11"/>
  <c r="C19" i="11"/>
  <c r="X19" i="11"/>
  <c r="X54" i="11"/>
  <c r="AS10" i="11"/>
  <c r="AS86" i="11"/>
  <c r="BN43" i="11"/>
  <c r="BN25" i="14"/>
  <c r="C23" i="7"/>
  <c r="X78" i="7"/>
  <c r="AS87" i="7"/>
  <c r="DD72" i="11"/>
  <c r="DD107" i="11"/>
  <c r="CI27" i="11"/>
  <c r="CI63" i="11"/>
  <c r="CI98" i="11"/>
  <c r="C97" i="11"/>
  <c r="X55" i="11"/>
  <c r="X90" i="11"/>
  <c r="AS11" i="11"/>
  <c r="AS51" i="11"/>
  <c r="AS87" i="11"/>
  <c r="AS122" i="11"/>
  <c r="BN81" i="11"/>
  <c r="X42" i="12"/>
  <c r="X80" i="12"/>
  <c r="X119" i="12"/>
  <c r="C48" i="12"/>
  <c r="C83" i="12"/>
  <c r="C118" i="12"/>
  <c r="X47" i="13"/>
  <c r="X86" i="13"/>
  <c r="X124" i="13"/>
  <c r="C50" i="4"/>
  <c r="C92" i="4"/>
  <c r="C131" i="4"/>
  <c r="X26" i="4"/>
  <c r="X67" i="4"/>
  <c r="C49" i="8"/>
  <c r="C97" i="8"/>
  <c r="C62" i="11"/>
  <c r="X81" i="12"/>
  <c r="C51" i="4"/>
  <c r="X27" i="4"/>
  <c r="C50" i="8"/>
  <c r="C144" i="8"/>
  <c r="C125" i="9"/>
  <c r="X23" i="13"/>
  <c r="DD39" i="11"/>
  <c r="DD74" i="11"/>
  <c r="CI65" i="11"/>
  <c r="CI135" i="11"/>
  <c r="C22" i="11"/>
  <c r="C63" i="11"/>
  <c r="C99" i="11"/>
  <c r="C135" i="11"/>
  <c r="X57" i="11"/>
  <c r="X127" i="11"/>
  <c r="AS89" i="11"/>
  <c r="BN46" i="11"/>
  <c r="BN83" i="11"/>
  <c r="BN120" i="11"/>
  <c r="X83" i="12"/>
  <c r="X121" i="12"/>
  <c r="C50" i="12"/>
  <c r="C120" i="12"/>
  <c r="X11" i="13"/>
  <c r="X88" i="13"/>
  <c r="C12" i="4"/>
  <c r="C52" i="4"/>
  <c r="X28" i="4"/>
  <c r="C51" i="8"/>
  <c r="AS35" i="14"/>
  <c r="AS67" i="14"/>
  <c r="C22" i="7"/>
  <c r="C49" i="4"/>
  <c r="X25" i="4"/>
  <c r="X66" i="4"/>
  <c r="C96" i="8"/>
  <c r="DD73" i="11"/>
  <c r="CI64" i="11"/>
  <c r="X91" i="11"/>
  <c r="X87" i="13"/>
  <c r="X16" i="14"/>
  <c r="X48" i="14"/>
  <c r="AS38" i="14"/>
  <c r="AS70" i="14"/>
  <c r="AS102" i="14"/>
  <c r="AS103" i="14"/>
  <c r="C94" i="7"/>
  <c r="AS22" i="7"/>
  <c r="C13" i="4"/>
  <c r="C53" i="4"/>
  <c r="C96" i="4"/>
  <c r="X29" i="4"/>
  <c r="X73" i="4"/>
  <c r="X120" i="4"/>
  <c r="C101" i="8"/>
  <c r="C146" i="8"/>
  <c r="C61" i="2"/>
  <c r="C48" i="8"/>
  <c r="C79" i="13"/>
  <c r="DD40" i="11"/>
  <c r="DD75" i="11"/>
  <c r="DD110" i="11"/>
  <c r="CI30" i="11"/>
  <c r="CI66" i="11"/>
  <c r="C64" i="11"/>
  <c r="X23" i="11"/>
  <c r="X58" i="11"/>
  <c r="AS18" i="11"/>
  <c r="AS54" i="11"/>
  <c r="AS90" i="11"/>
  <c r="BN10" i="11"/>
  <c r="BN47" i="11"/>
  <c r="X122" i="12"/>
  <c r="C15" i="12"/>
  <c r="C51" i="12"/>
  <c r="C86" i="12"/>
  <c r="C121" i="12"/>
  <c r="C43" i="13"/>
  <c r="C81" i="13"/>
  <c r="C123" i="13"/>
  <c r="X12" i="13"/>
  <c r="X51" i="13"/>
  <c r="X89" i="13"/>
  <c r="AS40" i="14"/>
  <c r="AS72" i="14"/>
  <c r="AS104" i="14"/>
  <c r="C27" i="7"/>
  <c r="C95" i="7"/>
  <c r="C15" i="7"/>
  <c r="AS23" i="7"/>
  <c r="AS127" i="7"/>
  <c r="DD41" i="11"/>
  <c r="DD111" i="11"/>
  <c r="DD145" i="11"/>
  <c r="CI32" i="11"/>
  <c r="CI67" i="11"/>
  <c r="CI102" i="11"/>
  <c r="CI137" i="11"/>
  <c r="C65" i="11"/>
  <c r="C137" i="11"/>
  <c r="X24" i="11"/>
  <c r="X59" i="11"/>
  <c r="X94" i="11"/>
  <c r="X129" i="11"/>
  <c r="AS19" i="11"/>
  <c r="AS55" i="11"/>
  <c r="AS91" i="11"/>
  <c r="AS126" i="11"/>
  <c r="BN11" i="11"/>
  <c r="BN48" i="11"/>
  <c r="X46" i="12"/>
  <c r="X123" i="12"/>
  <c r="C16" i="12"/>
  <c r="C87" i="12"/>
  <c r="C122" i="12"/>
  <c r="C44" i="13"/>
  <c r="C124" i="13"/>
  <c r="X52" i="13"/>
  <c r="X90" i="13"/>
  <c r="C97" i="4"/>
  <c r="X74" i="4"/>
  <c r="X121" i="4"/>
  <c r="C53" i="8"/>
  <c r="C102" i="8"/>
  <c r="C147" i="8"/>
  <c r="C45" i="9"/>
  <c r="CI23" i="11"/>
  <c r="BN40" i="11"/>
  <c r="X46" i="7"/>
  <c r="X79" i="7"/>
  <c r="AS54" i="7"/>
  <c r="DD38" i="11"/>
  <c r="X43" i="12"/>
  <c r="C49" i="12"/>
  <c r="X10" i="13"/>
  <c r="X47" i="7"/>
  <c r="AS55" i="7"/>
  <c r="X17" i="14"/>
  <c r="X49" i="14"/>
  <c r="X81" i="14"/>
  <c r="AS39" i="14"/>
  <c r="AS71" i="14"/>
  <c r="AS73" i="14"/>
  <c r="C62" i="7"/>
  <c r="DD42" i="11"/>
  <c r="CI33" i="11"/>
  <c r="CI103" i="11"/>
  <c r="C30" i="11"/>
  <c r="C66" i="11"/>
  <c r="C102" i="11"/>
  <c r="X25" i="11"/>
  <c r="X95" i="11"/>
  <c r="AS56" i="11"/>
  <c r="BN49" i="11"/>
  <c r="BN86" i="11"/>
  <c r="X47" i="12"/>
  <c r="C17" i="12"/>
  <c r="C88" i="12"/>
  <c r="C123" i="12"/>
  <c r="X91" i="13"/>
  <c r="X134" i="13"/>
  <c r="C98" i="4"/>
  <c r="C140" i="4"/>
  <c r="X79" i="12"/>
  <c r="C47" i="12"/>
  <c r="CI99" i="11"/>
  <c r="X56" i="11"/>
  <c r="AS88" i="11"/>
  <c r="AS10" i="14"/>
  <c r="AS42" i="14"/>
  <c r="AS74" i="14"/>
  <c r="AS106" i="14"/>
  <c r="C63" i="7"/>
  <c r="AS95" i="7"/>
  <c r="DD43" i="11"/>
  <c r="DD78" i="11"/>
  <c r="DD113" i="11"/>
  <c r="CI34" i="11"/>
  <c r="C31" i="11"/>
  <c r="C67" i="11"/>
  <c r="C103" i="11"/>
  <c r="X26" i="11"/>
  <c r="AS57" i="11"/>
  <c r="BN50" i="11"/>
  <c r="X10" i="12"/>
  <c r="X48" i="12"/>
  <c r="X87" i="12"/>
  <c r="C18" i="12"/>
  <c r="C54" i="12"/>
  <c r="C89" i="12"/>
  <c r="C126" i="13"/>
  <c r="X15" i="13"/>
  <c r="X54" i="13"/>
  <c r="X92" i="13"/>
  <c r="X135" i="13"/>
  <c r="C16" i="4"/>
  <c r="C99" i="4"/>
  <c r="C141" i="4"/>
  <c r="X32" i="4"/>
  <c r="X76" i="4"/>
  <c r="X123" i="4"/>
  <c r="C61" i="8"/>
  <c r="C149" i="8"/>
  <c r="C90" i="9"/>
  <c r="C46" i="9"/>
  <c r="C78" i="9"/>
  <c r="C110" i="9"/>
  <c r="C142" i="9"/>
  <c r="C25" i="4"/>
  <c r="C57" i="4"/>
  <c r="C89" i="4"/>
  <c r="C121" i="4"/>
  <c r="C153" i="4"/>
  <c r="X36" i="4"/>
  <c r="X68" i="4"/>
  <c r="X100" i="4"/>
  <c r="X132" i="4"/>
  <c r="CI31" i="11"/>
  <c r="X18" i="12"/>
  <c r="X50" i="12"/>
  <c r="X82" i="12"/>
  <c r="X114" i="12"/>
  <c r="X146" i="12"/>
  <c r="C30" i="12"/>
  <c r="C26" i="4"/>
  <c r="C58" i="4"/>
  <c r="X37" i="4"/>
  <c r="X69" i="4"/>
  <c r="X101" i="4"/>
  <c r="X133" i="4"/>
  <c r="C22" i="9"/>
  <c r="C27" i="4"/>
  <c r="C59" i="4"/>
  <c r="C91" i="4"/>
  <c r="C29" i="4"/>
  <c r="C61" i="4"/>
  <c r="C93" i="4"/>
  <c r="C125" i="4"/>
  <c r="C157" i="4"/>
  <c r="X40" i="4"/>
  <c r="X72" i="4"/>
  <c r="X104" i="4"/>
  <c r="X136" i="4"/>
  <c r="C37" i="4"/>
  <c r="C69" i="4"/>
  <c r="C101" i="4"/>
  <c r="C133" i="4"/>
  <c r="X16" i="4"/>
  <c r="X48" i="4"/>
  <c r="X80" i="4"/>
  <c r="X112" i="4"/>
  <c r="X144" i="4"/>
  <c r="C22" i="8"/>
  <c r="C54" i="8"/>
  <c r="C86" i="8"/>
  <c r="C118" i="8"/>
  <c r="C150" i="8"/>
  <c r="DD32" i="11"/>
  <c r="CI11" i="11"/>
  <c r="CI43" i="11"/>
  <c r="CI75" i="11"/>
  <c r="CI107" i="11"/>
  <c r="CI139" i="11"/>
  <c r="C23" i="11"/>
  <c r="C55" i="11"/>
  <c r="C87" i="11"/>
  <c r="C119" i="11"/>
  <c r="C151" i="11"/>
  <c r="X34" i="11"/>
  <c r="X66" i="11"/>
  <c r="X98" i="11"/>
  <c r="X130" i="11"/>
  <c r="X17" i="4"/>
  <c r="X49" i="4"/>
  <c r="X81" i="4"/>
  <c r="X113" i="4"/>
  <c r="X145" i="4"/>
  <c r="DD33" i="11"/>
  <c r="DD65" i="11"/>
  <c r="DD97" i="11"/>
  <c r="C24" i="11"/>
  <c r="X35" i="11"/>
  <c r="X67" i="11"/>
  <c r="X99" i="11"/>
  <c r="X131" i="11"/>
  <c r="AS14" i="11"/>
  <c r="AS46" i="11"/>
  <c r="AS78" i="11"/>
  <c r="AS110" i="11"/>
  <c r="AS142" i="11"/>
  <c r="X18" i="4"/>
  <c r="X50" i="4"/>
  <c r="X82" i="4"/>
  <c r="AS27" i="7"/>
  <c r="AS59" i="7"/>
  <c r="AS91" i="7"/>
  <c r="AS123" i="7"/>
  <c r="DD34" i="11"/>
  <c r="DD66" i="11"/>
  <c r="DD98" i="11"/>
  <c r="DD130" i="11"/>
  <c r="C25" i="11"/>
  <c r="C57" i="11"/>
  <c r="C89" i="11"/>
  <c r="C121" i="11"/>
  <c r="C153" i="11"/>
  <c r="AS15" i="11"/>
  <c r="AS47" i="11"/>
  <c r="AS79" i="11"/>
  <c r="AS111" i="11"/>
  <c r="AS143" i="11"/>
  <c r="C40" i="4"/>
  <c r="C72" i="4"/>
  <c r="C104" i="4"/>
  <c r="C136" i="4"/>
  <c r="X19" i="4"/>
  <c r="X51" i="4"/>
  <c r="X83" i="4"/>
  <c r="X115" i="4"/>
  <c r="X147" i="4"/>
  <c r="CI14" i="11"/>
  <c r="CI46" i="11"/>
  <c r="CI78" i="11"/>
  <c r="CI110" i="11"/>
  <c r="CI142" i="11"/>
  <c r="C26" i="11"/>
  <c r="C58" i="11"/>
  <c r="C90" i="11"/>
  <c r="C122" i="11"/>
  <c r="C154" i="11"/>
  <c r="C27" i="11"/>
  <c r="C59" i="11"/>
  <c r="C91" i="11"/>
  <c r="C123" i="11"/>
  <c r="C155" i="11"/>
  <c r="A1" i="3"/>
  <c r="U9" i="3"/>
  <c r="T9" i="3"/>
  <c r="V9" i="3"/>
  <c r="C7" i="8" l="1"/>
  <c r="X8" i="13"/>
  <c r="C8" i="13"/>
  <c r="AS8" i="7"/>
  <c r="C8" i="7"/>
  <c r="X8" i="7"/>
  <c r="C7" i="9"/>
  <c r="AS8" i="11"/>
  <c r="X8" i="12"/>
  <c r="AS8" i="14"/>
  <c r="C8" i="12"/>
  <c r="DD8" i="11"/>
  <c r="BN8" i="11"/>
  <c r="C10" i="4"/>
  <c r="X8" i="11"/>
  <c r="X10" i="4"/>
  <c r="C8" i="11"/>
  <c r="CI8" i="11"/>
  <c r="AS9" i="7"/>
  <c r="C9" i="7"/>
  <c r="C8" i="9"/>
  <c r="X9" i="7"/>
  <c r="C9" i="11"/>
  <c r="BN9" i="11"/>
  <c r="X9" i="12"/>
  <c r="C11" i="4"/>
  <c r="DD9" i="11"/>
  <c r="X11" i="4"/>
  <c r="AS9" i="14"/>
  <c r="X9" i="11"/>
  <c r="C9" i="12"/>
  <c r="AS9" i="11"/>
  <c r="CI9" i="11"/>
  <c r="N3" i="7"/>
  <c r="N2" i="7"/>
  <c r="N1" i="7"/>
  <c r="R2" i="14"/>
  <c r="R1" i="14"/>
  <c r="N3" i="14"/>
  <c r="N2" i="14"/>
  <c r="N1" i="14"/>
  <c r="CI157" i="14"/>
  <c r="CI156" i="14"/>
  <c r="C149" i="14"/>
  <c r="C148" i="14"/>
  <c r="C147" i="14"/>
  <c r="C135" i="14"/>
  <c r="CI134" i="14"/>
  <c r="CI133" i="14"/>
  <c r="CI132" i="14"/>
  <c r="CI131" i="14"/>
  <c r="CI130" i="14"/>
  <c r="CI129" i="14"/>
  <c r="CI128" i="14"/>
  <c r="CI127" i="14"/>
  <c r="CI126" i="14"/>
  <c r="CI125" i="14"/>
  <c r="CI124" i="14"/>
  <c r="C117" i="14"/>
  <c r="C115" i="14"/>
  <c r="C103" i="14"/>
  <c r="CI102" i="14"/>
  <c r="CI101" i="14"/>
  <c r="CI100" i="14"/>
  <c r="CI99" i="14"/>
  <c r="CI98" i="14"/>
  <c r="CI97" i="14"/>
  <c r="CI96" i="14"/>
  <c r="CI95" i="14"/>
  <c r="CI94" i="14"/>
  <c r="CI93" i="14"/>
  <c r="CI92" i="14"/>
  <c r="CI85" i="14"/>
  <c r="CI84" i="14"/>
  <c r="CI83" i="14"/>
  <c r="C71" i="14"/>
  <c r="CI70" i="14"/>
  <c r="CI69" i="14"/>
  <c r="CI68" i="14"/>
  <c r="CI67" i="14"/>
  <c r="CI66" i="14"/>
  <c r="CI65" i="14"/>
  <c r="CI64" i="14"/>
  <c r="CI63" i="14"/>
  <c r="CI62" i="14"/>
  <c r="CI61" i="14"/>
  <c r="CI60" i="14"/>
  <c r="CI53" i="14"/>
  <c r="CI52" i="14"/>
  <c r="CI51" i="14"/>
  <c r="C39" i="14"/>
  <c r="CI38" i="14"/>
  <c r="CI37" i="14"/>
  <c r="CI36" i="14"/>
  <c r="CI35" i="14"/>
  <c r="CI34" i="14"/>
  <c r="CI33" i="14"/>
  <c r="CI32" i="14"/>
  <c r="CI31" i="14"/>
  <c r="CI30" i="14"/>
  <c r="CI29" i="14"/>
  <c r="CI28" i="14"/>
  <c r="W9" i="3"/>
  <c r="BN8" i="14" l="1"/>
  <c r="C7" i="2"/>
  <c r="C8" i="8"/>
  <c r="X9" i="13"/>
  <c r="C9" i="13"/>
  <c r="CI135" i="14"/>
  <c r="CI136" i="14"/>
  <c r="CI122" i="14"/>
  <c r="CI148" i="14"/>
  <c r="CI123" i="14"/>
  <c r="CI140" i="14"/>
  <c r="CI154" i="14"/>
  <c r="CI155" i="14"/>
  <c r="C8" i="14"/>
  <c r="X8" i="14"/>
  <c r="CI8" i="14"/>
  <c r="CI26" i="14"/>
  <c r="C20" i="14"/>
  <c r="CI39" i="14"/>
  <c r="C116" i="14"/>
  <c r="CI40" i="14"/>
  <c r="CI71" i="14"/>
  <c r="CI72" i="14"/>
  <c r="CI116" i="14"/>
  <c r="CI112" i="14"/>
  <c r="C17" i="14"/>
  <c r="CI27" i="14"/>
  <c r="CI113" i="14"/>
  <c r="C18" i="14"/>
  <c r="CI114" i="14"/>
  <c r="C19" i="14"/>
  <c r="CI115" i="14"/>
  <c r="CI44" i="14"/>
  <c r="C21" i="14"/>
  <c r="CI45" i="14"/>
  <c r="CI117" i="14"/>
  <c r="C44" i="14"/>
  <c r="CI46" i="14"/>
  <c r="C49" i="14"/>
  <c r="CI48" i="14"/>
  <c r="C50" i="14"/>
  <c r="CI49" i="14"/>
  <c r="C51" i="14"/>
  <c r="CI50" i="14"/>
  <c r="C52" i="14"/>
  <c r="C53" i="14"/>
  <c r="CI141" i="14"/>
  <c r="C76" i="14"/>
  <c r="CI142" i="14"/>
  <c r="C81" i="14"/>
  <c r="CI58" i="14"/>
  <c r="CI144" i="14"/>
  <c r="C82" i="14"/>
  <c r="CI59" i="14"/>
  <c r="CI145" i="14"/>
  <c r="C83" i="14"/>
  <c r="CI146" i="14"/>
  <c r="C84" i="14"/>
  <c r="CI147" i="14"/>
  <c r="C85" i="14"/>
  <c r="CI76" i="14"/>
  <c r="C108" i="14"/>
  <c r="CI77" i="14"/>
  <c r="CI149" i="14"/>
  <c r="C113" i="14"/>
  <c r="CI78" i="14"/>
  <c r="C114" i="14"/>
  <c r="CI80" i="14"/>
  <c r="CI81" i="14"/>
  <c r="CI82" i="14"/>
  <c r="CI12" i="14"/>
  <c r="C140" i="14"/>
  <c r="CI13" i="14"/>
  <c r="C145" i="14"/>
  <c r="CI14" i="14"/>
  <c r="C146" i="14"/>
  <c r="CI16" i="14"/>
  <c r="CI90" i="14"/>
  <c r="CI17" i="14"/>
  <c r="CI91" i="14"/>
  <c r="CI18" i="14"/>
  <c r="CI103" i="14"/>
  <c r="CI19" i="14"/>
  <c r="CI104" i="14"/>
  <c r="CI20" i="14"/>
  <c r="CI108" i="14"/>
  <c r="CI21" i="14"/>
  <c r="CI109" i="14"/>
  <c r="C12" i="14"/>
  <c r="C40" i="14"/>
  <c r="C72" i="14"/>
  <c r="C104" i="14"/>
  <c r="C136" i="14"/>
  <c r="C9" i="14"/>
  <c r="C41" i="14"/>
  <c r="C73" i="14"/>
  <c r="C105" i="14"/>
  <c r="C137" i="14"/>
  <c r="CI9" i="14"/>
  <c r="CI41" i="14"/>
  <c r="CI73" i="14"/>
  <c r="CI105" i="14"/>
  <c r="CI137" i="14"/>
  <c r="C10" i="14"/>
  <c r="C42" i="14"/>
  <c r="C74" i="14"/>
  <c r="C106" i="14"/>
  <c r="C138" i="14"/>
  <c r="CI10" i="14"/>
  <c r="CI42" i="14"/>
  <c r="CI74" i="14"/>
  <c r="CI106" i="14"/>
  <c r="CI138" i="14"/>
  <c r="C11" i="14"/>
  <c r="C43" i="14"/>
  <c r="C75" i="14"/>
  <c r="C107" i="14"/>
  <c r="C139" i="14"/>
  <c r="CI11" i="14"/>
  <c r="CI43" i="14"/>
  <c r="CI75" i="14"/>
  <c r="CI107" i="14"/>
  <c r="CI139" i="14"/>
  <c r="C13" i="14"/>
  <c r="C45" i="14"/>
  <c r="C77" i="14"/>
  <c r="C109" i="14"/>
  <c r="C141" i="14"/>
  <c r="C14" i="14"/>
  <c r="C46" i="14"/>
  <c r="C78" i="14"/>
  <c r="C110" i="14"/>
  <c r="C142" i="14"/>
  <c r="C15" i="14"/>
  <c r="C47" i="14"/>
  <c r="C79" i="14"/>
  <c r="C111" i="14"/>
  <c r="C143" i="14"/>
  <c r="CI110" i="14"/>
  <c r="CI15" i="14"/>
  <c r="CI47" i="14"/>
  <c r="CI79" i="14"/>
  <c r="CI111" i="14"/>
  <c r="CI143" i="14"/>
  <c r="C16" i="14"/>
  <c r="C48" i="14"/>
  <c r="C80" i="14"/>
  <c r="C112" i="14"/>
  <c r="C144" i="14"/>
  <c r="C22" i="14"/>
  <c r="C54" i="14"/>
  <c r="C86" i="14"/>
  <c r="C118" i="14"/>
  <c r="C150" i="14"/>
  <c r="CI22" i="14"/>
  <c r="CI54" i="14"/>
  <c r="CI86" i="14"/>
  <c r="CI118" i="14"/>
  <c r="CI150" i="14"/>
  <c r="C23" i="14"/>
  <c r="C55" i="14"/>
  <c r="C87" i="14"/>
  <c r="C119" i="14"/>
  <c r="C151" i="14"/>
  <c r="CI23" i="14"/>
  <c r="CI55" i="14"/>
  <c r="CI87" i="14"/>
  <c r="CI119" i="14"/>
  <c r="CI151" i="14"/>
  <c r="C24" i="14"/>
  <c r="C56" i="14"/>
  <c r="C88" i="14"/>
  <c r="C120" i="14"/>
  <c r="C152" i="14"/>
  <c r="CI24" i="14"/>
  <c r="CI56" i="14"/>
  <c r="CI88" i="14"/>
  <c r="CI120" i="14"/>
  <c r="CI152" i="14"/>
  <c r="C25" i="14"/>
  <c r="C57" i="14"/>
  <c r="C89" i="14"/>
  <c r="C121" i="14"/>
  <c r="C153" i="14"/>
  <c r="CI25" i="14"/>
  <c r="CI57" i="14"/>
  <c r="CI89" i="14"/>
  <c r="CI121" i="14"/>
  <c r="CI153" i="14"/>
  <c r="C26" i="14"/>
  <c r="C58" i="14"/>
  <c r="C90" i="14"/>
  <c r="C122" i="14"/>
  <c r="C154" i="14"/>
  <c r="C27" i="14"/>
  <c r="C59" i="14"/>
  <c r="C91" i="14"/>
  <c r="C123" i="14"/>
  <c r="C155" i="14"/>
  <c r="C28" i="14"/>
  <c r="C60" i="14"/>
  <c r="C92" i="14"/>
  <c r="C124" i="14"/>
  <c r="C156" i="14"/>
  <c r="C29" i="14"/>
  <c r="C61" i="14"/>
  <c r="C93" i="14"/>
  <c r="C125" i="14"/>
  <c r="C157" i="14"/>
  <c r="C30" i="14"/>
  <c r="C62" i="14"/>
  <c r="C94" i="14"/>
  <c r="C126" i="14"/>
  <c r="C31" i="14"/>
  <c r="C63" i="14"/>
  <c r="C95" i="14"/>
  <c r="C127" i="14"/>
  <c r="C32" i="14"/>
  <c r="C64" i="14"/>
  <c r="C96" i="14"/>
  <c r="C128" i="14"/>
  <c r="C33" i="14"/>
  <c r="C65" i="14"/>
  <c r="C97" i="14"/>
  <c r="C129" i="14"/>
  <c r="C34" i="14"/>
  <c r="C66" i="14"/>
  <c r="C98" i="14"/>
  <c r="C130" i="14"/>
  <c r="C35" i="14"/>
  <c r="C67" i="14"/>
  <c r="C99" i="14"/>
  <c r="C131" i="14"/>
  <c r="C36" i="14"/>
  <c r="C68" i="14"/>
  <c r="C100" i="14"/>
  <c r="C132" i="14"/>
  <c r="C37" i="14"/>
  <c r="C69" i="14"/>
  <c r="C101" i="14"/>
  <c r="C133" i="14"/>
  <c r="C38" i="14"/>
  <c r="C70" i="14"/>
  <c r="C102" i="14"/>
  <c r="C134" i="14"/>
</calcChain>
</file>

<file path=xl/sharedStrings.xml><?xml version="1.0" encoding="utf-8"?>
<sst xmlns="http://schemas.openxmlformats.org/spreadsheetml/2006/main" count="29748" uniqueCount="783">
  <si>
    <t>Country</t>
  </si>
  <si>
    <t>Year</t>
  </si>
  <si>
    <t>Units</t>
  </si>
  <si>
    <t>Activities and commodities</t>
  </si>
  <si>
    <t>Factors</t>
  </si>
  <si>
    <t>Households</t>
  </si>
  <si>
    <t>flnd</t>
  </si>
  <si>
    <t>f_lnd</t>
  </si>
  <si>
    <t>All households</t>
  </si>
  <si>
    <t>Rural households</t>
  </si>
  <si>
    <t>Urban households</t>
  </si>
  <si>
    <t>Activities</t>
  </si>
  <si>
    <t>RA</t>
  </si>
  <si>
    <t>RF</t>
  </si>
  <si>
    <t>RFA</t>
  </si>
  <si>
    <t>RAA</t>
  </si>
  <si>
    <t>RH</t>
  </si>
  <si>
    <t>RHA</t>
  </si>
  <si>
    <t>rdim</t>
  </si>
  <si>
    <t>cdim</t>
  </si>
  <si>
    <t>dset</t>
  </si>
  <si>
    <t>ra</t>
  </si>
  <si>
    <t>sets!c7</t>
  </si>
  <si>
    <t>sets!d7</t>
  </si>
  <si>
    <t>sets!e7</t>
  </si>
  <si>
    <t>sets!f7</t>
  </si>
  <si>
    <t>raa</t>
  </si>
  <si>
    <t>rf</t>
  </si>
  <si>
    <t>rfa</t>
  </si>
  <si>
    <t>rh</t>
  </si>
  <si>
    <t>rha</t>
  </si>
  <si>
    <t>GAMS GDX Index</t>
  </si>
  <si>
    <t>mapra</t>
  </si>
  <si>
    <t>maprf</t>
  </si>
  <si>
    <t>maprh</t>
  </si>
  <si>
    <t>par</t>
  </si>
  <si>
    <t>Mapping Activities to Reporting Accounts</t>
  </si>
  <si>
    <t>Level</t>
  </si>
  <si>
    <t>Mapping Factors to Reporting Accounts</t>
  </si>
  <si>
    <t>Mapping Households to Reporting Accounts</t>
  </si>
  <si>
    <t>r_strucbase</t>
  </si>
  <si>
    <t>r_taxbase</t>
  </si>
  <si>
    <t>base</t>
  </si>
  <si>
    <t>sim11</t>
  </si>
  <si>
    <t>sim12</t>
  </si>
  <si>
    <t>sim13</t>
  </si>
  <si>
    <t>sim14</t>
  </si>
  <si>
    <t>sim15</t>
  </si>
  <si>
    <t>Eps</t>
  </si>
  <si>
    <t>Household Incomes and Expenditures</t>
  </si>
  <si>
    <r>
      <t>Total household income</t>
    </r>
    <r>
      <rPr>
        <sz val="12"/>
        <color theme="0" tint="-4.9989318521683403E-2"/>
        <rFont val="Calibri"/>
        <family val="2"/>
        <scheme val="minor"/>
      </rPr>
      <t xml:space="preserve"> (YI)</t>
    </r>
  </si>
  <si>
    <r>
      <t>Total household consumption</t>
    </r>
    <r>
      <rPr>
        <sz val="12"/>
        <color theme="0" tint="-4.9989318521683403E-2"/>
        <rFont val="Calibri"/>
        <family val="2"/>
        <scheme val="minor"/>
      </rPr>
      <t xml:space="preserve"> (QH)</t>
    </r>
  </si>
  <si>
    <r>
      <t xml:space="preserve">Household direct tax rates </t>
    </r>
    <r>
      <rPr>
        <sz val="12"/>
        <color theme="0" tint="-4.9989318521683403E-2"/>
        <rFont val="Calibri"/>
        <family val="2"/>
        <scheme val="minor"/>
      </rPr>
      <t>(TINS)</t>
    </r>
  </si>
  <si>
    <r>
      <t xml:space="preserve">Household marginal savings rates </t>
    </r>
    <r>
      <rPr>
        <sz val="12"/>
        <color theme="0" tint="-4.9989318521683403E-2"/>
        <rFont val="Calibri"/>
        <family val="2"/>
        <scheme val="minor"/>
      </rPr>
      <t>(MPS)</t>
    </r>
  </si>
  <si>
    <t>Factor Supply and Earnings</t>
  </si>
  <si>
    <r>
      <t>Total factor income</t>
    </r>
    <r>
      <rPr>
        <sz val="12"/>
        <color theme="0" tint="-4.9989318521683403E-2"/>
        <rFont val="Calibri"/>
        <family val="2"/>
        <scheme val="minor"/>
      </rPr>
      <t xml:space="preserve"> (YF)</t>
    </r>
  </si>
  <si>
    <r>
      <t xml:space="preserve">Total factor supply </t>
    </r>
    <r>
      <rPr>
        <sz val="12"/>
        <color theme="0" tint="-4.9989318521683403E-2"/>
        <rFont val="Calibri"/>
        <family val="2"/>
        <scheme val="minor"/>
      </rPr>
      <t>(QFS)</t>
    </r>
  </si>
  <si>
    <r>
      <t xml:space="preserve">Average economywide wages or rents </t>
    </r>
    <r>
      <rPr>
        <sz val="12"/>
        <color theme="0" tint="-4.9989318521683403E-2"/>
        <rFont val="Calibri"/>
        <family val="2"/>
        <scheme val="minor"/>
      </rPr>
      <t>(WF)</t>
    </r>
  </si>
  <si>
    <t>Account</t>
  </si>
  <si>
    <t>Description (activities)</t>
  </si>
  <si>
    <t>Description (commodities)</t>
  </si>
  <si>
    <t>Description</t>
  </si>
  <si>
    <t>Appearance in reporting tables</t>
  </si>
  <si>
    <t>Commodities</t>
  </si>
  <si>
    <r>
      <t xml:space="preserve">Household commodity consumption </t>
    </r>
    <r>
      <rPr>
        <sz val="12"/>
        <color theme="0" tint="-4.9989318521683403E-2"/>
        <rFont val="Calibri"/>
        <family val="2"/>
        <scheme val="minor"/>
      </rPr>
      <t>(QH+QHA)</t>
    </r>
  </si>
  <si>
    <t xml:space="preserve">Tables: </t>
  </si>
  <si>
    <t>households!d7</t>
  </si>
  <si>
    <t>factors!d7</t>
  </si>
  <si>
    <r>
      <t xml:space="preserve">Average output price </t>
    </r>
    <r>
      <rPr>
        <sz val="12"/>
        <color theme="0" tint="-4.9989318521683403E-2"/>
        <rFont val="Calibri"/>
        <family val="2"/>
        <scheme val="minor"/>
      </rPr>
      <t>(PX)</t>
    </r>
  </si>
  <si>
    <r>
      <t xml:space="preserve">Composite commodity price </t>
    </r>
    <r>
      <rPr>
        <sz val="12"/>
        <color theme="0" tint="-4.9989318521683403E-2"/>
        <rFont val="Calibri"/>
        <family val="2"/>
        <scheme val="minor"/>
      </rPr>
      <t>(PQ)</t>
    </r>
  </si>
  <si>
    <r>
      <t xml:space="preserve">Export price incl. transaction costs </t>
    </r>
    <r>
      <rPr>
        <sz val="12"/>
        <color theme="0" tint="-4.9989318521683403E-2"/>
        <rFont val="Calibri"/>
        <family val="2"/>
        <scheme val="minor"/>
      </rPr>
      <t>(PE)</t>
    </r>
  </si>
  <si>
    <r>
      <t xml:space="preserve">Import price incl. transaction costs </t>
    </r>
    <r>
      <rPr>
        <sz val="12"/>
        <color theme="0" tint="-4.9989318521683403E-2"/>
        <rFont val="Calibri"/>
        <family val="2"/>
        <scheme val="minor"/>
      </rPr>
      <t>(PM)</t>
    </r>
  </si>
  <si>
    <r>
      <t xml:space="preserve">World export price excl. transaction costs </t>
    </r>
    <r>
      <rPr>
        <sz val="12"/>
        <color theme="0" tint="-4.9989318521683403E-2"/>
        <rFont val="Calibri"/>
        <family val="2"/>
        <scheme val="minor"/>
      </rPr>
      <t>(pwe)</t>
    </r>
  </si>
  <si>
    <r>
      <t xml:space="preserve">World import price excl. transaction costs </t>
    </r>
    <r>
      <rPr>
        <sz val="12"/>
        <color theme="0" tint="-4.9989318521683403E-2"/>
        <rFont val="Calibri"/>
        <family val="2"/>
        <scheme val="minor"/>
      </rPr>
      <t>(pwm)</t>
    </r>
  </si>
  <si>
    <t>prices!d7</t>
  </si>
  <si>
    <t>Price Indices</t>
  </si>
  <si>
    <r>
      <t xml:space="preserve">Export value </t>
    </r>
    <r>
      <rPr>
        <sz val="12"/>
        <color theme="0" tint="-4.9989318521683403E-2"/>
        <rFont val="Calibri"/>
        <family val="2"/>
        <scheme val="minor"/>
      </rPr>
      <t>(PE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QE)</t>
    </r>
  </si>
  <si>
    <r>
      <t xml:space="preserve">Import value </t>
    </r>
    <r>
      <rPr>
        <sz val="12"/>
        <color theme="0" tint="-4.9989318521683403E-2"/>
        <rFont val="Calibri"/>
        <family val="2"/>
        <scheme val="minor"/>
      </rPr>
      <t>(PM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QM)</t>
    </r>
  </si>
  <si>
    <t>International Trade</t>
  </si>
  <si>
    <t>trade!d7</t>
  </si>
  <si>
    <t>Sectoral Gross Domestic Product (GDP)</t>
  </si>
  <si>
    <r>
      <t xml:space="preserve">GDP at factor cost </t>
    </r>
    <r>
      <rPr>
        <sz val="12"/>
        <color theme="0" tint="-4.9989318521683403E-2"/>
        <rFont val="Calibri"/>
        <family val="2"/>
        <scheme val="minor"/>
      </rPr>
      <t>(PVA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QVA)</t>
    </r>
  </si>
  <si>
    <r>
      <t xml:space="preserve">Share of total GDP at factor cost </t>
    </r>
    <r>
      <rPr>
        <sz val="12"/>
        <color theme="0" tint="-4.9989318521683403E-2"/>
        <rFont val="Calibri"/>
        <family val="2"/>
        <scheme val="minor"/>
      </rPr>
      <t>(PVA</t>
    </r>
    <r>
      <rPr>
        <sz val="12"/>
        <color theme="0" tint="-4.9989318521683403E-2"/>
        <rFont val="Aptos Narrow"/>
        <family val="2"/>
      </rPr>
      <t>×</t>
    </r>
    <r>
      <rPr>
        <sz val="12"/>
        <color theme="0" tint="-4.9989318521683403E-2"/>
        <rFont val="Calibri"/>
        <family val="2"/>
      </rPr>
      <t>QVA)</t>
    </r>
  </si>
  <si>
    <t>sector!d7</t>
  </si>
  <si>
    <t xml:space="preserve">Gross Domestic Product (GDP) </t>
  </si>
  <si>
    <t>NOMINAL</t>
  </si>
  <si>
    <t>r_GDPFC</t>
  </si>
  <si>
    <t>r_NETITAX</t>
  </si>
  <si>
    <t>r_GDPMP</t>
  </si>
  <si>
    <t>r_ABSORP</t>
  </si>
  <si>
    <t>r_PRVCON</t>
  </si>
  <si>
    <t>r_GOVCON</t>
  </si>
  <si>
    <t>r_GCF</t>
  </si>
  <si>
    <t>r_GFCF</t>
  </si>
  <si>
    <t>r_STK</t>
  </si>
  <si>
    <t>r_TRDBAL</t>
  </si>
  <si>
    <t>r_EXP</t>
  </si>
  <si>
    <t>r_IMP</t>
  </si>
  <si>
    <t>REAL</t>
  </si>
  <si>
    <t>gdp!e7</t>
  </si>
  <si>
    <t>Nominal</t>
  </si>
  <si>
    <t>Real</t>
  </si>
  <si>
    <t>GDP at factor cost</t>
  </si>
  <si>
    <t xml:space="preserve">  Net indirect taxes</t>
  </si>
  <si>
    <t>GDP at market prices</t>
  </si>
  <si>
    <t xml:space="preserve">  Absorption</t>
  </si>
  <si>
    <t xml:space="preserve">    Private consumption</t>
  </si>
  <si>
    <t xml:space="preserve">    Government consumption</t>
  </si>
  <si>
    <t xml:space="preserve">    Gross capital formation</t>
  </si>
  <si>
    <t xml:space="preserve">      Fixed capital formation</t>
  </si>
  <si>
    <t xml:space="preserve">      Change in stocks</t>
  </si>
  <si>
    <t xml:space="preserve">  Net trade balance</t>
  </si>
  <si>
    <t xml:space="preserve">    Exports</t>
  </si>
  <si>
    <t xml:space="preserve">    Imports</t>
  </si>
  <si>
    <t>Share of total GDP at market prices</t>
  </si>
  <si>
    <t>GDP by expenditure component</t>
  </si>
  <si>
    <t>Macroeconomic Results</t>
  </si>
  <si>
    <t>Quantities, price indices, and GDP shares</t>
  </si>
  <si>
    <t>QABSTOT</t>
  </si>
  <si>
    <t>QHTOT</t>
  </si>
  <si>
    <t>QGTOT</t>
  </si>
  <si>
    <t>QINVTOT</t>
  </si>
  <si>
    <t>QETOT</t>
  </si>
  <si>
    <t>QMTOT</t>
  </si>
  <si>
    <t>REXR</t>
  </si>
  <si>
    <t>NEXR</t>
  </si>
  <si>
    <t>PWEIND</t>
  </si>
  <si>
    <t>PWMIND</t>
  </si>
  <si>
    <t>PWIND</t>
  </si>
  <si>
    <t>PDIND</t>
  </si>
  <si>
    <t>CPI</t>
  </si>
  <si>
    <t>TOFT</t>
  </si>
  <si>
    <t>INVGDP</t>
  </si>
  <si>
    <t>PRVSAVGDP</t>
  </si>
  <si>
    <t>FORSAVGDP</t>
  </si>
  <si>
    <t>TRDDEFGDP</t>
  </si>
  <si>
    <t>GOVSAVGDP</t>
  </si>
  <si>
    <t>TOTTXGDP</t>
  </si>
  <si>
    <t>INDTXGDP</t>
  </si>
  <si>
    <t>ACTTXGDP</t>
  </si>
  <si>
    <t>VADTXGDP</t>
  </si>
  <si>
    <t>COMTXGDP</t>
  </si>
  <si>
    <t>EXPTXGDP</t>
  </si>
  <si>
    <t>IMPTXGDP</t>
  </si>
  <si>
    <t>DIRTXGDP</t>
  </si>
  <si>
    <t>FACTXGDP</t>
  </si>
  <si>
    <t>INSTXGDP</t>
  </si>
  <si>
    <t>Quantities</t>
  </si>
  <si>
    <t>Price indices</t>
  </si>
  <si>
    <t>GDP shares</t>
  </si>
  <si>
    <t>Absorption</t>
  </si>
  <si>
    <t xml:space="preserve">  Private consumption</t>
  </si>
  <si>
    <t xml:space="preserve">  Government consumption</t>
  </si>
  <si>
    <t xml:space="preserve">  Gross capital formation</t>
  </si>
  <si>
    <t>Exports</t>
  </si>
  <si>
    <t>Imports</t>
  </si>
  <si>
    <t>Real exchange rate</t>
  </si>
  <si>
    <t>Nominal exchange rate</t>
  </si>
  <si>
    <t>World export price index</t>
  </si>
  <si>
    <t>World import price index</t>
  </si>
  <si>
    <t>World price index</t>
  </si>
  <si>
    <t>Domestic price index</t>
  </si>
  <si>
    <t>Consumer price index</t>
  </si>
  <si>
    <t>Terms-of-trade</t>
  </si>
  <si>
    <t>r_macrotab</t>
  </si>
  <si>
    <t>macro!e7</t>
  </si>
  <si>
    <t>TSAVGDP</t>
  </si>
  <si>
    <r>
      <t xml:space="preserve">Investment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</si>
  <si>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Savings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</si>
  <si>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Tax revenue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</si>
  <si>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Indirect tax revenue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</si>
  <si>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Direct tax revenue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</si>
  <si>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  Factor taxes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</si>
  <si>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  Institution taxes </t>
    </r>
    <r>
      <rPr>
        <sz val="11"/>
        <color theme="0" tint="-0.34998626667073579"/>
        <rFont val="Calibri"/>
        <family val="2"/>
        <scheme val="minor"/>
      </rPr>
      <t>/ GDP</t>
    </r>
  </si>
  <si>
    <r>
      <t xml:space="preserve">  Private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</si>
  <si>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Government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</si>
  <si>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Foreign savings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</si>
  <si>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Trade deficit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</si>
  <si>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Activity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</si>
  <si>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Value-added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</si>
  <si>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Sales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</si>
  <si>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Export taxes </t>
    </r>
    <r>
      <rPr>
        <sz val="11"/>
        <color theme="0" tint="-0.249977111117893"/>
        <rFont val="Calibri"/>
        <family val="2"/>
        <scheme val="minor"/>
      </rPr>
      <t>/ GDP</t>
    </r>
  </si>
  <si>
    <r>
      <t xml:space="preserve">    Import tariffs </t>
    </r>
    <r>
      <rPr>
        <sz val="11"/>
        <color theme="0" tint="-0.249977111117893"/>
        <rFont val="Calibri"/>
        <family val="2"/>
        <scheme val="minor"/>
      </rPr>
      <t>/ GDP</t>
    </r>
  </si>
  <si>
    <t>VAshr</t>
  </si>
  <si>
    <t>PRDshr</t>
  </si>
  <si>
    <t>EMPshr</t>
  </si>
  <si>
    <t>QQshr</t>
  </si>
  <si>
    <t>HHDshr</t>
  </si>
  <si>
    <t>OWNshr</t>
  </si>
  <si>
    <t>MKTshr</t>
  </si>
  <si>
    <t>GOVshr</t>
  </si>
  <si>
    <t>INVshr</t>
  </si>
  <si>
    <t>EXPshr</t>
  </si>
  <si>
    <t>IMPshr</t>
  </si>
  <si>
    <t>OWN-OUTshr</t>
  </si>
  <si>
    <t>EXP-OUTshr</t>
  </si>
  <si>
    <t>IMP-DEMshr</t>
  </si>
  <si>
    <t>Share of total (%)</t>
  </si>
  <si>
    <t>Value-</t>
  </si>
  <si>
    <t>added</t>
  </si>
  <si>
    <t>Output</t>
  </si>
  <si>
    <t>value</t>
  </si>
  <si>
    <t>Employ-</t>
  </si>
  <si>
    <t>ment</t>
  </si>
  <si>
    <t>Comp.</t>
  </si>
  <si>
    <t>supply</t>
  </si>
  <si>
    <t>Private consumption</t>
  </si>
  <si>
    <t>Total</t>
  </si>
  <si>
    <t>Own</t>
  </si>
  <si>
    <t>Market</t>
  </si>
  <si>
    <t>Gov.</t>
  </si>
  <si>
    <t>cons.</t>
  </si>
  <si>
    <t>demand</t>
  </si>
  <si>
    <t>Invest.</t>
  </si>
  <si>
    <t>Import</t>
  </si>
  <si>
    <t>Export</t>
  </si>
  <si>
    <t>Intensity ratios</t>
  </si>
  <si>
    <t>Own con.</t>
  </si>
  <si>
    <t>/ output</t>
  </si>
  <si>
    <t>/ demand</t>
  </si>
  <si>
    <t>tIMPshr</t>
  </si>
  <si>
    <t>tIMPtax</t>
  </si>
  <si>
    <t>tIMPrev</t>
  </si>
  <si>
    <t>tEXPshr</t>
  </si>
  <si>
    <t>tEXPtax</t>
  </si>
  <si>
    <t>tEXPrev</t>
  </si>
  <si>
    <t>tSALshr</t>
  </si>
  <si>
    <t>tSALtax</t>
  </si>
  <si>
    <t>tSALrev</t>
  </si>
  <si>
    <t>tACTshr</t>
  </si>
  <si>
    <t>tACTtax</t>
  </si>
  <si>
    <t>tACTrev</t>
  </si>
  <si>
    <t>tVADshr</t>
  </si>
  <si>
    <t>tVADtax</t>
  </si>
  <si>
    <t>tVADrev</t>
  </si>
  <si>
    <t>base!d9</t>
  </si>
  <si>
    <t>Import tariffs</t>
  </si>
  <si>
    <t>Export taxes</t>
  </si>
  <si>
    <t>Sales taxes</t>
  </si>
  <si>
    <t>Activity taxes</t>
  </si>
  <si>
    <t>Value-added taxes</t>
  </si>
  <si>
    <t>Economic structure</t>
  </si>
  <si>
    <t>Indirect taxes</t>
  </si>
  <si>
    <t>share</t>
  </si>
  <si>
    <t>Tax base</t>
  </si>
  <si>
    <t>shares</t>
  </si>
  <si>
    <t>Tax</t>
  </si>
  <si>
    <t>rate</t>
  </si>
  <si>
    <t>Revenue</t>
  </si>
  <si>
    <t>sets!g7</t>
  </si>
  <si>
    <t>sets!h7</t>
  </si>
  <si>
    <t xml:space="preserve">  Activities</t>
  </si>
  <si>
    <t xml:space="preserve">  Factors</t>
  </si>
  <si>
    <t xml:space="preserve">  Households</t>
  </si>
  <si>
    <t>Reporting Set Definitions</t>
  </si>
  <si>
    <t xml:space="preserve"> All</t>
  </si>
  <si>
    <t xml:space="preserve"> Aggregates</t>
  </si>
  <si>
    <t>ra!d6</t>
  </si>
  <si>
    <t>rf!d6</t>
  </si>
  <si>
    <t>rh!d6</t>
  </si>
  <si>
    <t>init</t>
  </si>
  <si>
    <t>Base Year Economic Structure and Tax Revenues</t>
  </si>
  <si>
    <t>trade!y7</t>
  </si>
  <si>
    <t>sector!y7</t>
  </si>
  <si>
    <t>prices!y7</t>
  </si>
  <si>
    <t>prices!at7</t>
  </si>
  <si>
    <t>prices!bo7</t>
  </si>
  <si>
    <t>prices!cj7</t>
  </si>
  <si>
    <t>prices!de7</t>
  </si>
  <si>
    <t>factors!y7</t>
  </si>
  <si>
    <t>factors!at7</t>
  </si>
  <si>
    <t>households!y7</t>
  </si>
  <si>
    <t>households!at7</t>
  </si>
  <si>
    <t>households!bo7</t>
  </si>
  <si>
    <t>households!cj7</t>
  </si>
  <si>
    <t>r_yitab</t>
  </si>
  <si>
    <t>r_qhhtab</t>
  </si>
  <si>
    <t>r_qhctab</t>
  </si>
  <si>
    <t>r_mpstab</t>
  </si>
  <si>
    <t>r_yftab</t>
  </si>
  <si>
    <t>r_qfstab</t>
  </si>
  <si>
    <t>r_wftab</t>
  </si>
  <si>
    <t>r_pxtab</t>
  </si>
  <si>
    <t>r_pqtab</t>
  </si>
  <si>
    <t>r_petab</t>
  </si>
  <si>
    <t>r_pmtab</t>
  </si>
  <si>
    <t>r_pwetab</t>
  </si>
  <si>
    <t>r_pwmtab</t>
  </si>
  <si>
    <t>r_qetab</t>
  </si>
  <si>
    <t>r_qmtab</t>
  </si>
  <si>
    <t>r_gdpfcs</t>
  </si>
  <si>
    <t>r_gdpfcp</t>
  </si>
  <si>
    <t>r_gdpmps</t>
  </si>
  <si>
    <t>r_gdpmpp</t>
  </si>
  <si>
    <t>r_titab</t>
  </si>
  <si>
    <t>gdp!ab7</t>
  </si>
  <si>
    <t>aa_GDP</t>
  </si>
  <si>
    <t>All sectors</t>
  </si>
  <si>
    <t>All products</t>
  </si>
  <si>
    <t xml:space="preserve"> </t>
  </si>
  <si>
    <t>ff_LAB</t>
  </si>
  <si>
    <t>Labor</t>
  </si>
  <si>
    <t>hh_ALL</t>
  </si>
  <si>
    <t>aa_AGRI</t>
  </si>
  <si>
    <t>Agriculture</t>
  </si>
  <si>
    <t>aa_CROP</t>
  </si>
  <si>
    <t>Crops</t>
  </si>
  <si>
    <t>Labor - primary</t>
  </si>
  <si>
    <t>a_maiz</t>
  </si>
  <si>
    <t>Maize</t>
  </si>
  <si>
    <t>Labor - secondary</t>
  </si>
  <si>
    <t>Labor - tertiary</t>
  </si>
  <si>
    <t>f_lab-rn</t>
  </si>
  <si>
    <t>hh_RUR</t>
  </si>
  <si>
    <t>a_ocer</t>
  </si>
  <si>
    <t>Other cereals</t>
  </si>
  <si>
    <t>f_lab-rp</t>
  </si>
  <si>
    <t>a_puls</t>
  </si>
  <si>
    <t>Pulses</t>
  </si>
  <si>
    <t>f_lab-rs</t>
  </si>
  <si>
    <t>f_lab-rt</t>
  </si>
  <si>
    <t>a_oils</t>
  </si>
  <si>
    <t>ff_URB</t>
  </si>
  <si>
    <t>f_lab-un</t>
  </si>
  <si>
    <t>f_lab-up</t>
  </si>
  <si>
    <t>hh_URB</t>
  </si>
  <si>
    <t>f_lab-us</t>
  </si>
  <si>
    <t>a_root</t>
  </si>
  <si>
    <t>f_lab-ut</t>
  </si>
  <si>
    <t>Crop land</t>
  </si>
  <si>
    <t>a_vege</t>
  </si>
  <si>
    <t>ff_CAP</t>
  </si>
  <si>
    <t>Capital</t>
  </si>
  <si>
    <t>a_sugr</t>
  </si>
  <si>
    <t>Sugarcane</t>
  </si>
  <si>
    <t>f_cap-c</t>
  </si>
  <si>
    <t>a_toba</t>
  </si>
  <si>
    <t>Tobacco</t>
  </si>
  <si>
    <t>f_cap-l</t>
  </si>
  <si>
    <t>a_cott</t>
  </si>
  <si>
    <t>Cotton and fibres</t>
  </si>
  <si>
    <t>f_cap-m</t>
  </si>
  <si>
    <t>a_frui</t>
  </si>
  <si>
    <t>a_coff</t>
  </si>
  <si>
    <t>a_ocrp</t>
  </si>
  <si>
    <t>Other crops</t>
  </si>
  <si>
    <t>aa_LIVE</t>
  </si>
  <si>
    <t>Livestock</t>
  </si>
  <si>
    <t>a_catt</t>
  </si>
  <si>
    <t>a_poul</t>
  </si>
  <si>
    <t>a_oliv</t>
  </si>
  <si>
    <t>Other livestock</t>
  </si>
  <si>
    <t>aa_OAGR</t>
  </si>
  <si>
    <t>Other agriculture</t>
  </si>
  <si>
    <t>a_fore</t>
  </si>
  <si>
    <t>Forestry</t>
  </si>
  <si>
    <t>a_fish</t>
  </si>
  <si>
    <t>aa_INDU</t>
  </si>
  <si>
    <t>Industry</t>
  </si>
  <si>
    <t>Mining</t>
  </si>
  <si>
    <t>aa_MANU</t>
  </si>
  <si>
    <t>Manufacturing</t>
  </si>
  <si>
    <t>a_mmll</t>
  </si>
  <si>
    <t>a_smll</t>
  </si>
  <si>
    <t>a_rmll</t>
  </si>
  <si>
    <t>a_wmll</t>
  </si>
  <si>
    <t>a_gmll</t>
  </si>
  <si>
    <t>a_sref</t>
  </si>
  <si>
    <t>a_pcof</t>
  </si>
  <si>
    <t>a_ptea</t>
  </si>
  <si>
    <t>a_food</t>
  </si>
  <si>
    <t>a_feed</t>
  </si>
  <si>
    <t>a_beve</t>
  </si>
  <si>
    <t>a_ptob</t>
  </si>
  <si>
    <t>aa_TEXT</t>
  </si>
  <si>
    <t>a_text</t>
  </si>
  <si>
    <t>a_clth</t>
  </si>
  <si>
    <t>a_leat</t>
  </si>
  <si>
    <t>aa_WOOD</t>
  </si>
  <si>
    <t>Wood and paper products</t>
  </si>
  <si>
    <t>a_wood</t>
  </si>
  <si>
    <t>a_papr</t>
  </si>
  <si>
    <t>aa_CHEM</t>
  </si>
  <si>
    <t>a_petr</t>
  </si>
  <si>
    <t>a_fert</t>
  </si>
  <si>
    <t>a_chem</t>
  </si>
  <si>
    <t>a_nmet</t>
  </si>
  <si>
    <t>Non-metal minerals</t>
  </si>
  <si>
    <t>a_metl</t>
  </si>
  <si>
    <t>aa_MACH</t>
  </si>
  <si>
    <t>a_mach</t>
  </si>
  <si>
    <t>a_equi</t>
  </si>
  <si>
    <t>a_vehi</t>
  </si>
  <si>
    <t>a_oman</t>
  </si>
  <si>
    <t>Other manufacturing</t>
  </si>
  <si>
    <t>aa_UTIL</t>
  </si>
  <si>
    <t>Utilities</t>
  </si>
  <si>
    <t>a_elec</t>
  </si>
  <si>
    <t>Electricity, gas and steam</t>
  </si>
  <si>
    <t>a_watr</t>
  </si>
  <si>
    <t>Water supply and sewage</t>
  </si>
  <si>
    <t>a_cons</t>
  </si>
  <si>
    <t>Construction</t>
  </si>
  <si>
    <t>aa_SERV</t>
  </si>
  <si>
    <t>Services</t>
  </si>
  <si>
    <t>aa_TRAD</t>
  </si>
  <si>
    <t>Trade and food services</t>
  </si>
  <si>
    <t>a_trad</t>
  </si>
  <si>
    <t>Wholesale and retail trade</t>
  </si>
  <si>
    <t>aa_TRAN</t>
  </si>
  <si>
    <t>Transport and communication</t>
  </si>
  <si>
    <t>a_tran</t>
  </si>
  <si>
    <t>Transportation and storage</t>
  </si>
  <si>
    <t>a_hotl</t>
  </si>
  <si>
    <t>a_rest</t>
  </si>
  <si>
    <t>a_comm</t>
  </si>
  <si>
    <t>Information and communication</t>
  </si>
  <si>
    <t>aa_FBSV</t>
  </si>
  <si>
    <t>Finance and business services</t>
  </si>
  <si>
    <t>a_fsrv</t>
  </si>
  <si>
    <t>Finance and insurance</t>
  </si>
  <si>
    <t>a_real</t>
  </si>
  <si>
    <t>Real estate activities</t>
  </si>
  <si>
    <t>a_bsrv</t>
  </si>
  <si>
    <t>Business services</t>
  </si>
  <si>
    <t>aa_GSRV</t>
  </si>
  <si>
    <t>Public and social services</t>
  </si>
  <si>
    <t>a_padm</t>
  </si>
  <si>
    <t>Public administration</t>
  </si>
  <si>
    <t>a_educ</t>
  </si>
  <si>
    <t>Education</t>
  </si>
  <si>
    <t>a_heal</t>
  </si>
  <si>
    <t>Health and social work</t>
  </si>
  <si>
    <t>a_osrv</t>
  </si>
  <si>
    <t>Other services</t>
  </si>
  <si>
    <t>amaiz</t>
  </si>
  <si>
    <t>aocer</t>
  </si>
  <si>
    <t>apuls</t>
  </si>
  <si>
    <t>aoils</t>
  </si>
  <si>
    <t>aroot</t>
  </si>
  <si>
    <t>avege</t>
  </si>
  <si>
    <t>asugr</t>
  </si>
  <si>
    <t>atoba</t>
  </si>
  <si>
    <t>acott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</si>
  <si>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</si>
  <si>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</si>
  <si>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</si>
  <si>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</si>
  <si>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</si>
  <si>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</si>
  <si>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</si>
  <si>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</si>
  <si>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afood</t>
  </si>
  <si>
    <t>abeve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</si>
  <si>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</si>
  <si>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</si>
  <si>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</si>
  <si>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</si>
  <si>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</si>
  <si>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</si>
  <si>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</si>
  <si>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</si>
  <si>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</si>
  <si>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</si>
  <si>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</si>
  <si>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</si>
  <si>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</si>
  <si>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</si>
  <si>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</si>
  <si>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</si>
  <si>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</si>
  <si>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</si>
  <si>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</si>
  <si>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</si>
  <si>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</si>
  <si>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Transaction cost rates (%)</t>
  </si>
  <si>
    <t>Domestic</t>
  </si>
  <si>
    <t>base!y9</t>
  </si>
  <si>
    <t>TRErate</t>
  </si>
  <si>
    <t>TRMrate</t>
  </si>
  <si>
    <t>TRDrate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</si>
  <si>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</si>
  <si>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</si>
  <si>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</si>
  <si>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</si>
  <si>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</si>
  <si>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</si>
  <si>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</si>
  <si>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</si>
  <si>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</si>
  <si>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Metals and metal products</t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</si>
  <si>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GDP at market prices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Final deviation in share from base year (%-point)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final share from baseline final share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</si>
  <si>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GDP at market prices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</si>
  <si>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value or share of total GDP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</si>
  <si>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GDP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</si>
  <si>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GDP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Final deviation in share from base year (%-point)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final share from baseline final share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</si>
  <si>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exports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</si>
  <si>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imports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</si>
  <si>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price index weight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</si>
  <si>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factor income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</si>
  <si>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total factor quantities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</si>
  <si>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average factor earnings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</si>
  <si>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household income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</si>
  <si>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household consumption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</si>
  <si>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household direct tax payments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</si>
  <si>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r>
      <rPr>
        <b/>
        <sz val="11"/>
        <color theme="0" tint="-0.499984740745262"/>
        <rFont val="Calibri"/>
        <family val="2"/>
        <scheme val="minor"/>
      </rPr>
      <t xml:space="preserve">Init </t>
    </r>
    <r>
      <rPr>
        <sz val="11"/>
        <color theme="0" tint="-0.499984740745262"/>
        <rFont val="Calibri"/>
        <family val="2"/>
        <scheme val="minor"/>
      </rPr>
      <t xml:space="preserve">= Base year share of total household savings  |  </t>
    </r>
    <r>
      <rPr>
        <b/>
        <sz val="11"/>
        <color theme="0" tint="-0.499984740745262"/>
        <rFont val="Calibri"/>
        <family val="2"/>
        <scheme val="minor"/>
      </rPr>
      <t xml:space="preserve">Base </t>
    </r>
    <r>
      <rPr>
        <sz val="11"/>
        <color theme="0" tint="-0.499984740745262"/>
        <rFont val="Calibri"/>
        <family val="2"/>
        <scheme val="minor"/>
      </rPr>
      <t xml:space="preserve">= Average annual growth rate (%)  |  </t>
    </r>
    <r>
      <rPr>
        <b/>
        <sz val="11"/>
        <color theme="0" tint="-0.499984740745262"/>
        <rFont val="Calibri"/>
        <family val="2"/>
        <scheme val="minor"/>
      </rPr>
      <t xml:space="preserve">Sims </t>
    </r>
    <r>
      <rPr>
        <sz val="11"/>
        <color theme="0" tint="-0.499984740745262"/>
        <rFont val="Calibri"/>
        <family val="2"/>
        <scheme val="minor"/>
      </rPr>
      <t>= Deviation in average annual growth rate from baseline (%-point)</t>
    </r>
  </si>
  <si>
    <t>Nepal</t>
  </si>
  <si>
    <t>Billions of Nepalese Rupee</t>
  </si>
  <si>
    <t>a_sorg</t>
  </si>
  <si>
    <t>Sorghum and millet</t>
  </si>
  <si>
    <t>a_whea</t>
  </si>
  <si>
    <t>Wheat and barley</t>
  </si>
  <si>
    <t>a_gnut</t>
  </si>
  <si>
    <t>Groundnuts</t>
  </si>
  <si>
    <t>Other oilseeds</t>
  </si>
  <si>
    <t>a_cass</t>
  </si>
  <si>
    <t>Cassava</t>
  </si>
  <si>
    <t>a_ipot</t>
  </si>
  <si>
    <t>Irish potatoes</t>
  </si>
  <si>
    <t>a_spot</t>
  </si>
  <si>
    <t>Sweet potatoes</t>
  </si>
  <si>
    <t>Other roots</t>
  </si>
  <si>
    <t>a_nuts</t>
  </si>
  <si>
    <t>a_bana</t>
  </si>
  <si>
    <t>Other fruits</t>
  </si>
  <si>
    <t>a_teal</t>
  </si>
  <si>
    <t>Leaf tea</t>
  </si>
  <si>
    <t>Coffee</t>
  </si>
  <si>
    <t>a_coco</t>
  </si>
  <si>
    <t>Cocoa</t>
  </si>
  <si>
    <t>a_flwr</t>
  </si>
  <si>
    <t>Cut flowers</t>
  </si>
  <si>
    <t>a_rubb</t>
  </si>
  <si>
    <t>Rubber</t>
  </si>
  <si>
    <t>Cattle</t>
  </si>
  <si>
    <t>a_milk</t>
  </si>
  <si>
    <t>Raw milk</t>
  </si>
  <si>
    <t>Poultry</t>
  </si>
  <si>
    <t>a_eggs</t>
  </si>
  <si>
    <t>Eggs</t>
  </si>
  <si>
    <t>a_smlr</t>
  </si>
  <si>
    <t>Small ruminants</t>
  </si>
  <si>
    <t>a_aqua</t>
  </si>
  <si>
    <t>Aquaculture</t>
  </si>
  <si>
    <t>Capture fisheries</t>
  </si>
  <si>
    <t>aa_MINE</t>
  </si>
  <si>
    <t>a_coal</t>
  </si>
  <si>
    <t>Coal and lignite</t>
  </si>
  <si>
    <t>a_coil</t>
  </si>
  <si>
    <t>Crude oil</t>
  </si>
  <si>
    <t>a_ngas</t>
  </si>
  <si>
    <t>Natural gas</t>
  </si>
  <si>
    <t>a_omin</t>
  </si>
  <si>
    <t>Other mining</t>
  </si>
  <si>
    <t>aa_FOOD</t>
  </si>
  <si>
    <t>Food processing</t>
  </si>
  <si>
    <t>a_meat</t>
  </si>
  <si>
    <t>a_fsea</t>
  </si>
  <si>
    <t>Fish and seafood processing</t>
  </si>
  <si>
    <t>a_dair</t>
  </si>
  <si>
    <t>Fruit and vegetable processing</t>
  </si>
  <si>
    <t>a_fveg</t>
  </si>
  <si>
    <t>Fats and oils</t>
  </si>
  <si>
    <t>a_foil</t>
  </si>
  <si>
    <t>Dairy</t>
  </si>
  <si>
    <t>Sugar refining</t>
  </si>
  <si>
    <t>Coffee processing</t>
  </si>
  <si>
    <t>Tea processing</t>
  </si>
  <si>
    <t>Other foods</t>
  </si>
  <si>
    <t>Animal feed</t>
  </si>
  <si>
    <t>aa_BEVE</t>
  </si>
  <si>
    <t>Beverages and tobacco</t>
  </si>
  <si>
    <t>Beverages</t>
  </si>
  <si>
    <t>Tobacco processing</t>
  </si>
  <si>
    <t>Textiles, clothing and leather</t>
  </si>
  <si>
    <t>Textiles</t>
  </si>
  <si>
    <t>Clothing</t>
  </si>
  <si>
    <t>Leather and footwear</t>
  </si>
  <si>
    <t>Wood products</t>
  </si>
  <si>
    <t>Chemical products</t>
  </si>
  <si>
    <t>Petroleum products</t>
  </si>
  <si>
    <t>Fertilizers and herbicides</t>
  </si>
  <si>
    <t>Other chemicals</t>
  </si>
  <si>
    <t>Machinery and equipment</t>
  </si>
  <si>
    <t>Electrical equipment</t>
  </si>
  <si>
    <t>Machinery and other equipment</t>
  </si>
  <si>
    <t>Accommodation</t>
  </si>
  <si>
    <t>Restaurants and food services</t>
  </si>
  <si>
    <t>ff_LAB_N</t>
  </si>
  <si>
    <t>Labor - uneducated</t>
  </si>
  <si>
    <t>ff_LAB_P</t>
  </si>
  <si>
    <t>ff_LAB_S</t>
  </si>
  <si>
    <t>ff_LAB_T</t>
  </si>
  <si>
    <t>ff_RUR</t>
  </si>
  <si>
    <t>Labor - rural</t>
  </si>
  <si>
    <t>Labor - rural uneducated</t>
  </si>
  <si>
    <t>Labor - rural primary</t>
  </si>
  <si>
    <t>Labor - rural secondary</t>
  </si>
  <si>
    <t>Labor - rural tertiary</t>
  </si>
  <si>
    <t>Labor - urban</t>
  </si>
  <si>
    <t>Labor - urban uneducated</t>
  </si>
  <si>
    <t>Labor - urban primary</t>
  </si>
  <si>
    <t>Labor - urban secondary</t>
  </si>
  <si>
    <t>Labor - urban tertiary</t>
  </si>
  <si>
    <t>Capital - crops</t>
  </si>
  <si>
    <t>Capital - livestock</t>
  </si>
  <si>
    <t>Capital - mining</t>
  </si>
  <si>
    <t>f_cap-n</t>
  </si>
  <si>
    <t>Capital - non-primary</t>
  </si>
  <si>
    <t>hh_D1</t>
  </si>
  <si>
    <t>Decile 1 (low)</t>
  </si>
  <si>
    <t>hh_D2</t>
  </si>
  <si>
    <t>Decile 2</t>
  </si>
  <si>
    <t>hh_D3</t>
  </si>
  <si>
    <t>Decile 3</t>
  </si>
  <si>
    <t>hh_D4</t>
  </si>
  <si>
    <t>Decile 4</t>
  </si>
  <si>
    <t>hh_D5</t>
  </si>
  <si>
    <t>Decile 5</t>
  </si>
  <si>
    <t>hh_D6</t>
  </si>
  <si>
    <t>Decile 6</t>
  </si>
  <si>
    <t>hh_D7</t>
  </si>
  <si>
    <t>Decile 7</t>
  </si>
  <si>
    <t>hh_D8</t>
  </si>
  <si>
    <t>Decile 8</t>
  </si>
  <si>
    <t>hh_D9</t>
  </si>
  <si>
    <t>Decile 9</t>
  </si>
  <si>
    <t>hh_D10</t>
  </si>
  <si>
    <t>Decile 10 (high)</t>
  </si>
  <si>
    <t>Rural - decile 1 (low)</t>
  </si>
  <si>
    <t>Rural - decile 2</t>
  </si>
  <si>
    <t>Rural - decile 3</t>
  </si>
  <si>
    <t>Rural - decile 4</t>
  </si>
  <si>
    <t>Rural - decile 5</t>
  </si>
  <si>
    <t>Rural - decile 6</t>
  </si>
  <si>
    <t>Rural - decile 7</t>
  </si>
  <si>
    <t>Rural - decile 8</t>
  </si>
  <si>
    <t>Rural - decile 9</t>
  </si>
  <si>
    <t>Rural - decile 10 (high)</t>
  </si>
  <si>
    <t>Urban - decile 1 (low)</t>
  </si>
  <si>
    <t>Urban - decile 2</t>
  </si>
  <si>
    <t>Urban - decile 3</t>
  </si>
  <si>
    <t>Urban - decile 4</t>
  </si>
  <si>
    <t>Urban - decile 5</t>
  </si>
  <si>
    <t>Urban - decile 6</t>
  </si>
  <si>
    <t>Urban - decile 7</t>
  </si>
  <si>
    <t>Urban - decile 8</t>
  </si>
  <si>
    <t>Urban - decile 9</t>
  </si>
  <si>
    <t>Urban - decile 10 (high)</t>
  </si>
  <si>
    <t>asorg</t>
  </si>
  <si>
    <t>awhea</t>
  </si>
  <si>
    <t>agnut</t>
  </si>
  <si>
    <t>acass</t>
  </si>
  <si>
    <t>aipot</t>
  </si>
  <si>
    <t>aspot</t>
  </si>
  <si>
    <t>anuts</t>
  </si>
  <si>
    <t>abana</t>
  </si>
  <si>
    <t>ateal</t>
  </si>
  <si>
    <t>acoco</t>
  </si>
  <si>
    <t>aflwr</t>
  </si>
  <si>
    <t>arubb</t>
  </si>
  <si>
    <t>amilk</t>
  </si>
  <si>
    <t>aeggs</t>
  </si>
  <si>
    <t>asmlr</t>
  </si>
  <si>
    <t>aaqua</t>
  </si>
  <si>
    <t>acoal</t>
  </si>
  <si>
    <t>acoil</t>
  </si>
  <si>
    <t>angas</t>
  </si>
  <si>
    <t>aomin</t>
  </si>
  <si>
    <t>ameat</t>
  </si>
  <si>
    <t>afsea</t>
  </si>
  <si>
    <t>adair</t>
  </si>
  <si>
    <t>afveg</t>
  </si>
  <si>
    <t>afoil</t>
  </si>
  <si>
    <t>ammll</t>
  </si>
  <si>
    <t>asmll</t>
  </si>
  <si>
    <t>armll</t>
  </si>
  <si>
    <t>awmll</t>
  </si>
  <si>
    <t>agmll</t>
  </si>
  <si>
    <t>asref</t>
  </si>
  <si>
    <t>apcof</t>
  </si>
  <si>
    <t>aptea</t>
  </si>
  <si>
    <t>afeed</t>
  </si>
  <si>
    <t>aptob</t>
  </si>
  <si>
    <t>aclth</t>
  </si>
  <si>
    <t>aleat</t>
  </si>
  <si>
    <t>apapr</t>
  </si>
  <si>
    <t>apetr</t>
  </si>
  <si>
    <t>afert</t>
  </si>
  <si>
    <t>aequi</t>
  </si>
  <si>
    <t>avehi</t>
  </si>
  <si>
    <t>arest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</si>
  <si>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</si>
  <si>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</si>
  <si>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</si>
  <si>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</si>
  <si>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</si>
  <si>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</si>
  <si>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</si>
  <si>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</si>
  <si>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fcap-c</t>
  </si>
  <si>
    <t>fcap-l</t>
  </si>
  <si>
    <t>fcap-m</t>
  </si>
  <si>
    <t>fcap-n</t>
  </si>
  <si>
    <t>sim1</t>
  </si>
  <si>
    <t>a_aman</t>
  </si>
  <si>
    <t>Rice paddy (Aman)</t>
  </si>
  <si>
    <t>a_boro</t>
  </si>
  <si>
    <t>Rice paddy (Boro)</t>
  </si>
  <si>
    <t>a_leaf</t>
  </si>
  <si>
    <t>Leafy vegetables</t>
  </si>
  <si>
    <t>Other vegetables</t>
  </si>
  <si>
    <t>a_jute</t>
  </si>
  <si>
    <t>Jute</t>
  </si>
  <si>
    <t>Nuts</t>
  </si>
  <si>
    <t>Bananas and plantains</t>
  </si>
  <si>
    <t>Meat processing</t>
  </si>
  <si>
    <t>Maize milling</t>
  </si>
  <si>
    <t>Sorghum and millet milling</t>
  </si>
  <si>
    <t>Rice milling</t>
  </si>
  <si>
    <t>a_rmlc</t>
  </si>
  <si>
    <t>Rice milling - coarse</t>
  </si>
  <si>
    <t>a_rmlo</t>
  </si>
  <si>
    <t>Rice milling - other</t>
  </si>
  <si>
    <t>Wheat and barley milling</t>
  </si>
  <si>
    <t>Other grain milling</t>
  </si>
  <si>
    <t>a_bale</t>
  </si>
  <si>
    <t>Jute baling</t>
  </si>
  <si>
    <t>a_pjut</t>
  </si>
  <si>
    <t>Jute fabrication</t>
  </si>
  <si>
    <t>a_yarn</t>
  </si>
  <si>
    <t>Cotton yarn</t>
  </si>
  <si>
    <t>Paper products and publishing</t>
  </si>
  <si>
    <t>Vehicles and transport equipment</t>
  </si>
  <si>
    <t>h_hhd-r0</t>
  </si>
  <si>
    <t>h_hhd-r1</t>
  </si>
  <si>
    <t>h_hhd-r2</t>
  </si>
  <si>
    <t>h_hhd-r3</t>
  </si>
  <si>
    <t>h_hhd-r4</t>
  </si>
  <si>
    <t>h_hhd-r5</t>
  </si>
  <si>
    <t>h_hhd-r6</t>
  </si>
  <si>
    <t>h_hhd-r7</t>
  </si>
  <si>
    <t>h_hhd-r8</t>
  </si>
  <si>
    <t>h_hhd-r9</t>
  </si>
  <si>
    <t>h_hhd-u0</t>
  </si>
  <si>
    <t>h_hhd-u1</t>
  </si>
  <si>
    <t>h_hhd-u2</t>
  </si>
  <si>
    <t>h_hhd-u3</t>
  </si>
  <si>
    <t>h_hhd-u4</t>
  </si>
  <si>
    <t>h_hhd-u5</t>
  </si>
  <si>
    <t>h_hhd-u6</t>
  </si>
  <si>
    <t>h_hhd-u7</t>
  </si>
  <si>
    <t>h_hhd-u8</t>
  </si>
  <si>
    <t>h_hhd-u9</t>
  </si>
  <si>
    <t>aaman</t>
  </si>
  <si>
    <t>aboro</t>
  </si>
  <si>
    <t>aleaf</t>
  </si>
  <si>
    <t>ajute</t>
  </si>
  <si>
    <t>armlc</t>
  </si>
  <si>
    <t>armlo</t>
  </si>
  <si>
    <t>abale</t>
  </si>
  <si>
    <t>apjut</t>
  </si>
  <si>
    <t>ayarn</t>
  </si>
  <si>
    <t>hhd-r0</t>
  </si>
  <si>
    <t>hhd-r1</t>
  </si>
  <si>
    <t>hhd-r2</t>
  </si>
  <si>
    <t>hhd-r3</t>
  </si>
  <si>
    <t>hhd-r4</t>
  </si>
  <si>
    <t>hhd-r5</t>
  </si>
  <si>
    <t>hhd-r6</t>
  </si>
  <si>
    <t>hhd-r7</t>
  </si>
  <si>
    <t>hhd-r8</t>
  </si>
  <si>
    <t>hhd-r9</t>
  </si>
  <si>
    <t>hhd-u0</t>
  </si>
  <si>
    <t>hhd-u1</t>
  </si>
  <si>
    <t>hhd-u2</t>
  </si>
  <si>
    <t>hhd-u3</t>
  </si>
  <si>
    <t>hhd-u4</t>
  </si>
  <si>
    <t>hhd-u5</t>
  </si>
  <si>
    <t>hhd-u6</t>
  </si>
  <si>
    <t>hhd-u7</t>
  </si>
  <si>
    <t>hhd-u8</t>
  </si>
  <si>
    <t>hhd-u9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</si>
</sst>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2"/>
      <color theme="0" tint="-4.9989318521683403E-2"/>
      <name val="Aptos Narrow"/>
      <family val="2"/>
    </font>
    <font>
      <sz val="12"/>
      <color theme="0" tint="-4.9989318521683403E-2"/>
      <name val="Calibri"/>
      <family val="2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ck">
        <color theme="0" tint="-0.249977111117893"/>
      </left>
      <right/>
      <top/>
      <bottom/>
      <diagonal/>
    </border>
    <border>
      <left/>
      <right/>
      <top style="dashed">
        <color theme="1" tint="0.499984740745262"/>
      </top>
      <bottom/>
      <diagonal/>
    </border>
    <border>
      <left style="dashed">
        <color theme="1" tint="0.499984740745262"/>
      </left>
      <right/>
      <top/>
      <bottom/>
      <diagonal/>
    </border>
    <border>
      <left style="dashed">
        <color theme="1" tint="0.499984740745262"/>
      </left>
      <right style="dashed">
        <color theme="1" tint="0.499984740745262"/>
      </right>
      <top/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/>
      <bottom/>
      <diagonal/>
    </border>
    <border>
      <left/>
      <right/>
      <top/>
      <bottom style="dashed">
        <color theme="1" tint="0.499984740745262"/>
      </bottom>
      <diagonal/>
    </border>
    <border>
      <left style="dashed">
        <color theme="1" tint="0.499984740745262"/>
      </left>
      <right/>
      <top/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/>
      <diagonal/>
    </border>
    <border>
      <left style="dashed">
        <color theme="1" tint="0.499984740745262"/>
      </left>
      <right/>
      <top style="dashed">
        <color theme="1" tint="0.499984740745262"/>
      </top>
      <bottom/>
      <diagonal/>
    </border>
    <border>
      <left/>
      <right style="dashed">
        <color theme="1" tint="0.499984740745262"/>
      </right>
      <top/>
      <bottom/>
      <diagonal/>
    </border>
    <border>
      <left/>
      <right style="dashed">
        <color theme="1" tint="0.499984740745262"/>
      </right>
      <top/>
      <bottom style="dashed">
        <color theme="1" tint="0.499984740745262"/>
      </bottom>
      <diagonal/>
    </border>
    <border>
      <left style="dashed">
        <color theme="0" tint="-0.14999847407452621"/>
      </left>
      <right/>
      <top/>
      <bottom/>
      <diagonal/>
    </border>
    <border>
      <left style="dashed">
        <color theme="0" tint="-0.249977111117893"/>
      </left>
      <right/>
      <top/>
      <bottom/>
      <diagonal/>
    </border>
    <border>
      <left style="dashed">
        <color theme="0" tint="-0.249977111117893"/>
      </left>
      <right style="thick">
        <color theme="1" tint="0.499984740745262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quotePrefix="1" applyFont="1" applyProtection="1">
      <protection locked="0"/>
    </xf>
    <xf numFmtId="0" fontId="0" fillId="0" borderId="0" xfId="0" applyProtection="1">
      <protection locked="0"/>
    </xf>
    <xf numFmtId="0" fontId="7" fillId="2" borderId="0" xfId="0" applyFont="1" applyFill="1"/>
    <xf numFmtId="0" fontId="9" fillId="0" borderId="0" xfId="0" applyFont="1" applyAlignment="1">
      <alignment horizontal="right"/>
    </xf>
    <xf numFmtId="0" fontId="10" fillId="0" borderId="0" xfId="0" applyFont="1"/>
    <xf numFmtId="0" fontId="12" fillId="3" borderId="0" xfId="0" applyFont="1" applyFill="1"/>
    <xf numFmtId="0" fontId="11" fillId="3" borderId="0" xfId="0" applyFont="1" applyFill="1"/>
    <xf numFmtId="0" fontId="13" fillId="2" borderId="0" xfId="0" applyFont="1" applyFill="1"/>
    <xf numFmtId="0" fontId="11" fillId="0" borderId="0" xfId="0" applyFont="1"/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15" fillId="2" borderId="0" xfId="0" applyFont="1" applyFill="1"/>
    <xf numFmtId="0" fontId="0" fillId="2" borderId="0" xfId="0" applyFill="1"/>
    <xf numFmtId="0" fontId="11" fillId="4" borderId="3" xfId="0" applyFont="1" applyFill="1" applyBorder="1"/>
    <xf numFmtId="0" fontId="7" fillId="4" borderId="0" xfId="0" applyFont="1" applyFill="1"/>
    <xf numFmtId="0" fontId="11" fillId="4" borderId="0" xfId="0" applyFont="1" applyFill="1"/>
    <xf numFmtId="0" fontId="0" fillId="0" borderId="0" xfId="0" applyAlignment="1">
      <alignment horizontal="center"/>
    </xf>
    <xf numFmtId="0" fontId="16" fillId="0" borderId="3" xfId="0" applyFont="1" applyBorder="1"/>
    <xf numFmtId="0" fontId="5" fillId="0" borderId="1" xfId="0" applyFont="1" applyBorder="1"/>
    <xf numFmtId="0" fontId="16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5" borderId="1" xfId="0" applyFill="1" applyBorder="1"/>
    <xf numFmtId="0" fontId="1" fillId="5" borderId="0" xfId="0" applyFont="1" applyFill="1"/>
    <xf numFmtId="0" fontId="16" fillId="5" borderId="3" xfId="0" applyFont="1" applyFill="1" applyBorder="1"/>
    <xf numFmtId="0" fontId="17" fillId="5" borderId="0" xfId="0" applyFont="1" applyFill="1"/>
    <xf numFmtId="0" fontId="8" fillId="0" borderId="1" xfId="0" applyFont="1" applyBorder="1"/>
    <xf numFmtId="0" fontId="6" fillId="5" borderId="0" xfId="0" applyFont="1" applyFill="1" applyProtection="1">
      <protection locked="0"/>
    </xf>
    <xf numFmtId="0" fontId="10" fillId="5" borderId="0" xfId="0" applyFont="1" applyFill="1"/>
    <xf numFmtId="0" fontId="0" fillId="5" borderId="0" xfId="0" applyFill="1"/>
    <xf numFmtId="0" fontId="0" fillId="0" borderId="4" xfId="0" applyBorder="1"/>
    <xf numFmtId="0" fontId="6" fillId="0" borderId="0" xfId="0" applyFont="1"/>
    <xf numFmtId="0" fontId="6" fillId="5" borderId="0" xfId="0" quotePrefix="1" applyFont="1" applyFill="1" applyProtection="1">
      <protection locked="0"/>
    </xf>
    <xf numFmtId="4" fontId="6" fillId="0" borderId="0" xfId="0" applyNumberFormat="1" applyFont="1" applyAlignment="1" applyProtection="1">
      <alignment horizontal="right"/>
      <protection locked="0"/>
    </xf>
    <xf numFmtId="0" fontId="6" fillId="5" borderId="5" xfId="0" quotePrefix="1" applyFont="1" applyFill="1" applyBorder="1" applyProtection="1">
      <protection locked="0"/>
    </xf>
    <xf numFmtId="4" fontId="6" fillId="0" borderId="5" xfId="0" applyNumberFormat="1" applyFont="1" applyBorder="1" applyAlignment="1" applyProtection="1">
      <alignment horizontal="right"/>
      <protection locked="0"/>
    </xf>
    <xf numFmtId="0" fontId="6" fillId="5" borderId="7" xfId="0" quotePrefix="1" applyFont="1" applyFill="1" applyBorder="1" applyProtection="1">
      <protection locked="0"/>
    </xf>
    <xf numFmtId="4" fontId="6" fillId="0" borderId="7" xfId="0" applyNumberFormat="1" applyFont="1" applyBorder="1" applyAlignment="1" applyProtection="1">
      <alignment horizontal="right"/>
      <protection locked="0"/>
    </xf>
    <xf numFmtId="4" fontId="6" fillId="0" borderId="6" xfId="0" applyNumberFormat="1" applyFont="1" applyBorder="1" applyAlignment="1" applyProtection="1">
      <alignment horizontal="right"/>
      <protection locked="0"/>
    </xf>
    <xf numFmtId="4" fontId="6" fillId="0" borderId="7" xfId="0" quotePrefix="1" applyNumberFormat="1" applyFont="1" applyBorder="1" applyAlignment="1" applyProtection="1">
      <alignment horizontal="right"/>
      <protection locked="0"/>
    </xf>
    <xf numFmtId="4" fontId="6" fillId="0" borderId="5" xfId="0" quotePrefix="1" applyNumberFormat="1" applyFont="1" applyBorder="1" applyAlignment="1" applyProtection="1">
      <alignment horizontal="right"/>
      <protection locked="0"/>
    </xf>
    <xf numFmtId="4" fontId="6" fillId="0" borderId="0" xfId="0" quotePrefix="1" applyNumberFormat="1" applyFont="1" applyAlignment="1" applyProtection="1">
      <alignment horizontal="right"/>
      <protection locked="0"/>
    </xf>
    <xf numFmtId="0" fontId="0" fillId="0" borderId="0" xfId="0" quotePrefix="1"/>
    <xf numFmtId="0" fontId="8" fillId="0" borderId="1" xfId="0" quotePrefix="1" applyFont="1" applyBorder="1"/>
    <xf numFmtId="0" fontId="6" fillId="5" borderId="0" xfId="0" applyFont="1" applyFill="1"/>
    <xf numFmtId="0" fontId="20" fillId="0" borderId="0" xfId="0" applyFont="1"/>
    <xf numFmtId="0" fontId="20" fillId="0" borderId="8" xfId="0" applyFont="1" applyBorder="1"/>
    <xf numFmtId="4" fontId="6" fillId="0" borderId="9" xfId="0" applyNumberFormat="1" applyFont="1" applyBorder="1" applyAlignment="1" applyProtection="1">
      <alignment horizontal="right"/>
      <protection locked="0"/>
    </xf>
    <xf numFmtId="4" fontId="6" fillId="0" borderId="8" xfId="0" applyNumberFormat="1" applyFont="1" applyBorder="1" applyAlignment="1" applyProtection="1">
      <alignment horizontal="right"/>
      <protection locked="0"/>
    </xf>
    <xf numFmtId="0" fontId="6" fillId="0" borderId="4" xfId="0" applyFont="1" applyBorder="1"/>
    <xf numFmtId="4" fontId="6" fillId="0" borderId="4" xfId="0" applyNumberFormat="1" applyFont="1" applyBorder="1" applyAlignment="1" applyProtection="1">
      <alignment horizontal="right"/>
      <protection locked="0"/>
    </xf>
    <xf numFmtId="0" fontId="20" fillId="0" borderId="4" xfId="0" applyFont="1" applyBorder="1"/>
    <xf numFmtId="0" fontId="6" fillId="0" borderId="4" xfId="0" quotePrefix="1" applyFont="1" applyBorder="1" applyProtection="1">
      <protection locked="0"/>
    </xf>
    <xf numFmtId="4" fontId="6" fillId="0" borderId="10" xfId="0" quotePrefix="1" applyNumberFormat="1" applyFont="1" applyBorder="1" applyAlignment="1" applyProtection="1">
      <alignment horizontal="right"/>
      <protection locked="0"/>
    </xf>
    <xf numFmtId="4" fontId="6" fillId="0" borderId="11" xfId="0" applyNumberFormat="1" applyFont="1" applyBorder="1" applyAlignment="1" applyProtection="1">
      <alignment horizontal="right"/>
      <protection locked="0"/>
    </xf>
    <xf numFmtId="4" fontId="6" fillId="0" borderId="10" xfId="0" applyNumberFormat="1" applyFont="1" applyBorder="1" applyAlignment="1" applyProtection="1">
      <alignment horizontal="right"/>
      <protection locked="0"/>
    </xf>
    <xf numFmtId="0" fontId="21" fillId="0" borderId="0" xfId="0" applyFont="1"/>
    <xf numFmtId="0" fontId="21" fillId="0" borderId="0" xfId="0" quotePrefix="1" applyFont="1" applyProtection="1">
      <protection locked="0"/>
    </xf>
    <xf numFmtId="4" fontId="21" fillId="0" borderId="7" xfId="0" applyNumberFormat="1" applyFont="1" applyBorder="1" applyAlignment="1" applyProtection="1">
      <alignment horizontal="right"/>
      <protection locked="0"/>
    </xf>
    <xf numFmtId="4" fontId="21" fillId="0" borderId="5" xfId="0" quotePrefix="1" applyNumberFormat="1" applyFont="1" applyBorder="1" applyAlignment="1" applyProtection="1">
      <alignment horizontal="right"/>
      <protection locked="0"/>
    </xf>
    <xf numFmtId="4" fontId="21" fillId="0" borderId="0" xfId="0" quotePrefix="1" applyNumberFormat="1" applyFont="1" applyAlignment="1" applyProtection="1">
      <alignment horizontal="right"/>
      <protection locked="0"/>
    </xf>
    <xf numFmtId="4" fontId="21" fillId="0" borderId="5" xfId="0" applyNumberFormat="1" applyFont="1" applyBorder="1" applyAlignment="1" applyProtection="1">
      <alignment horizontal="right"/>
      <protection locked="0"/>
    </xf>
    <xf numFmtId="4" fontId="21" fillId="0" borderId="0" xfId="0" applyNumberFormat="1" applyFont="1" applyAlignment="1" applyProtection="1">
      <alignment horizontal="right"/>
      <protection locked="0"/>
    </xf>
    <xf numFmtId="4" fontId="6" fillId="0" borderId="12" xfId="0" applyNumberFormat="1" applyFont="1" applyBorder="1" applyAlignment="1" applyProtection="1">
      <alignment horizontal="right"/>
      <protection locked="0"/>
    </xf>
    <xf numFmtId="4" fontId="6" fillId="0" borderId="12" xfId="0" quotePrefix="1" applyNumberFormat="1" applyFont="1" applyBorder="1" applyAlignment="1" applyProtection="1">
      <alignment horizontal="right"/>
      <protection locked="0"/>
    </xf>
    <xf numFmtId="4" fontId="6" fillId="0" borderId="13" xfId="0" applyNumberFormat="1" applyFont="1" applyBorder="1" applyAlignment="1" applyProtection="1">
      <alignment horizontal="right"/>
      <protection locked="0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0" xfId="0" quotePrefix="1" applyFill="1" applyAlignment="1">
      <alignment horizontal="center"/>
    </xf>
    <xf numFmtId="0" fontId="16" fillId="5" borderId="0" xfId="0" quotePrefix="1" applyFont="1" applyFill="1" applyProtection="1">
      <protection locked="0"/>
    </xf>
    <xf numFmtId="0" fontId="16" fillId="5" borderId="5" xfId="0" quotePrefix="1" applyFont="1" applyFill="1" applyBorder="1" applyProtection="1">
      <protection locked="0"/>
    </xf>
    <xf numFmtId="0" fontId="16" fillId="5" borderId="12" xfId="0" quotePrefix="1" applyFont="1" applyFill="1" applyBorder="1" applyProtection="1">
      <protection locked="0"/>
    </xf>
    <xf numFmtId="0" fontId="0" fillId="5" borderId="5" xfId="0" applyFill="1" applyBorder="1"/>
    <xf numFmtId="0" fontId="7" fillId="2" borderId="1" xfId="0" applyFont="1" applyFill="1" applyBorder="1"/>
    <xf numFmtId="0" fontId="8" fillId="5" borderId="1" xfId="0" applyFont="1" applyFill="1" applyBorder="1"/>
    <xf numFmtId="0" fontId="16" fillId="0" borderId="0" xfId="0" applyFont="1" applyProtection="1">
      <protection locked="0"/>
    </xf>
    <xf numFmtId="0" fontId="16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9" xfId="0" applyBorder="1" applyProtection="1">
      <protection locked="0"/>
    </xf>
    <xf numFmtId="0" fontId="7" fillId="2" borderId="16" xfId="0" applyFont="1" applyFill="1" applyBorder="1"/>
    <xf numFmtId="4" fontId="6" fillId="0" borderId="11" xfId="0" quotePrefix="1" applyNumberFormat="1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3" fontId="6" fillId="0" borderId="7" xfId="0" applyNumberFormat="1" applyFont="1" applyBorder="1" applyAlignment="1" applyProtection="1">
      <alignment horizontal="right"/>
      <protection locked="0"/>
    </xf>
    <xf numFmtId="3" fontId="21" fillId="0" borderId="7" xfId="0" applyNumberFormat="1" applyFont="1" applyBorder="1" applyAlignment="1" applyProtection="1">
      <alignment horizontal="right"/>
      <protection locked="0"/>
    </xf>
    <xf numFmtId="3" fontId="21" fillId="0" borderId="7" xfId="0" quotePrefix="1" applyNumberFormat="1" applyFont="1" applyBorder="1" applyAlignment="1" applyProtection="1">
      <alignment horizontal="right"/>
      <protection locked="0"/>
    </xf>
    <xf numFmtId="3" fontId="6" fillId="0" borderId="7" xfId="0" quotePrefix="1" applyNumberFormat="1" applyFont="1" applyBorder="1" applyAlignment="1" applyProtection="1">
      <alignment horizontal="right"/>
      <protection locked="0"/>
    </xf>
    <xf numFmtId="3" fontId="6" fillId="0" borderId="6" xfId="0" applyNumberFormat="1" applyFont="1" applyBorder="1" applyAlignment="1" applyProtection="1">
      <alignment horizontal="right"/>
      <protection locked="0"/>
    </xf>
    <xf numFmtId="4" fontId="21" fillId="0" borderId="7" xfId="0" quotePrefix="1" applyNumberFormat="1" applyFont="1" applyBorder="1" applyAlignment="1" applyProtection="1">
      <alignment horizontal="right"/>
      <protection locked="0"/>
    </xf>
    <xf numFmtId="0" fontId="5" fillId="0" borderId="0" xfId="0" quotePrefix="1" applyFont="1" applyProtection="1">
      <protection locked="0"/>
    </xf>
    <xf numFmtId="4" fontId="5" fillId="0" borderId="7" xfId="0" quotePrefix="1" applyNumberFormat="1" applyFont="1" applyBorder="1" applyAlignment="1" applyProtection="1">
      <alignment horizontal="right"/>
      <protection locked="0"/>
    </xf>
    <xf numFmtId="4" fontId="5" fillId="0" borderId="5" xfId="0" applyNumberFormat="1" applyFont="1" applyBorder="1" applyAlignment="1" applyProtection="1">
      <alignment horizontal="right"/>
      <protection locked="0"/>
    </xf>
    <xf numFmtId="4" fontId="5" fillId="0" borderId="0" xfId="0" applyNumberFormat="1" applyFont="1" applyAlignment="1" applyProtection="1">
      <alignment horizontal="right"/>
      <protection locked="0"/>
    </xf>
    <xf numFmtId="0" fontId="21" fillId="0" borderId="8" xfId="0" applyFont="1" applyBorder="1"/>
    <xf numFmtId="0" fontId="21" fillId="0" borderId="8" xfId="0" quotePrefix="1" applyFont="1" applyBorder="1" applyProtection="1">
      <protection locked="0"/>
    </xf>
    <xf numFmtId="4" fontId="21" fillId="0" borderId="6" xfId="0" applyNumberFormat="1" applyFont="1" applyBorder="1" applyAlignment="1" applyProtection="1">
      <alignment horizontal="right"/>
      <protection locked="0"/>
    </xf>
    <xf numFmtId="4" fontId="21" fillId="0" borderId="9" xfId="0" applyNumberFormat="1" applyFont="1" applyBorder="1" applyAlignment="1" applyProtection="1">
      <alignment horizontal="right"/>
      <protection locked="0"/>
    </xf>
    <xf numFmtId="4" fontId="21" fillId="0" borderId="8" xfId="0" applyNumberFormat="1" applyFont="1" applyBorder="1" applyAlignment="1" applyProtection="1">
      <alignment horizontal="right"/>
      <protection locked="0"/>
    </xf>
    <xf numFmtId="4" fontId="5" fillId="0" borderId="7" xfId="0" applyNumberFormat="1" applyFont="1" applyBorder="1" applyAlignment="1" applyProtection="1">
      <alignment horizontal="right"/>
      <protection locked="0"/>
    </xf>
    <xf numFmtId="0" fontId="1" fillId="4" borderId="1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2" xfId="0" applyFill="1" applyBorder="1" applyAlignment="1">
      <alignment horizontal="center"/>
    </xf>
  </cellXfs>
  <cellStyles count="1">
    <cellStyle name="Normal" xfId="0" builtinId="0"/>
  </cellStyles>
  <dxfs count="24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1593-3BDF-4A58-BFA5-28C683454D4E}">
  <sheetPr>
    <tabColor theme="1"/>
  </sheetPr>
  <dimension ref="A1:X159"/>
  <sheetViews>
    <sheetView zoomScale="85" zoomScaleNormal="85" workbookViewId="0">
      <pane ySplit="8" topLeftCell="A9" activePane="bottomLeft" state="frozen"/>
      <selection pane="bottomLeft" activeCell="R9" sqref="R9"/>
    </sheetView>
  </sheetViews>
  <sheetFormatPr defaultColWidth="0" defaultRowHeight="14.4" zeroHeight="1" x14ac:dyDescent="0.3"/>
  <cols>
    <col min="1" max="2" width="2.44140625" customWidth="1"/>
    <col min="3" max="3" width="6.44140625" customWidth="1"/>
    <col min="4" max="4" width="14.5546875" customWidth="1"/>
    <col min="5" max="6" width="25.88671875" customWidth="1"/>
    <col min="7" max="8" width="2.44140625" customWidth="1"/>
    <col min="9" max="9" width="6.44140625" customWidth="1"/>
    <col min="10" max="10" width="14.5546875" customWidth="1"/>
    <col min="11" max="11" width="25.88671875" customWidth="1"/>
    <col min="12" max="13" width="2.44140625" customWidth="1"/>
    <col min="14" max="14" width="6.44140625" customWidth="1"/>
    <col min="15" max="15" width="14.5546875" customWidth="1"/>
    <col min="16" max="16" width="25.88671875" customWidth="1"/>
    <col min="17" max="19" width="2.44140625" customWidth="1"/>
    <col min="20" max="23" width="25.88671875" customWidth="1"/>
    <col min="24" max="24" width="2.44140625" customWidth="1"/>
    <col min="25" max="16384" width="9.109375" hidden="1"/>
  </cols>
  <sheetData>
    <row r="1" spans="1:24" ht="18" x14ac:dyDescent="0.35">
      <c r="A1" s="9" t="str">
        <f>"Static Standard Reporting  |  "&amp;E3&amp;" ("&amp;E4&amp;")"</f>
        <v>Static Standard Reporting  |  Nepal (2022)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x14ac:dyDescent="0.3"/>
    <row r="3" spans="1:24" x14ac:dyDescent="0.3">
      <c r="D3" s="1" t="s">
        <v>0</v>
      </c>
      <c r="E3" s="90" t="s">
        <v>506</v>
      </c>
      <c r="F3" s="17"/>
      <c r="G3" s="17"/>
      <c r="H3" s="17"/>
      <c r="I3" s="17"/>
      <c r="J3" s="17"/>
      <c r="K3" s="17"/>
      <c r="L3" s="17"/>
      <c r="M3" s="17"/>
    </row>
    <row r="4" spans="1:24" x14ac:dyDescent="0.3">
      <c r="D4" s="1" t="s">
        <v>1</v>
      </c>
      <c r="E4" s="90">
        <v>2022</v>
      </c>
      <c r="F4" s="17"/>
      <c r="G4" s="17"/>
      <c r="H4" s="17"/>
      <c r="I4" s="17"/>
      <c r="J4" s="17"/>
      <c r="K4" s="17"/>
      <c r="L4" s="17"/>
      <c r="M4" s="17"/>
    </row>
    <row r="5" spans="1:24" x14ac:dyDescent="0.3">
      <c r="D5" s="1" t="s">
        <v>2</v>
      </c>
      <c r="E5" s="90" t="s">
        <v>507</v>
      </c>
      <c r="F5" s="17"/>
      <c r="G5" s="17"/>
      <c r="H5" s="17"/>
      <c r="I5" s="17"/>
      <c r="J5" s="17"/>
      <c r="K5" s="17"/>
      <c r="L5" s="17"/>
      <c r="M5" s="17"/>
    </row>
    <row r="6" spans="1:24" x14ac:dyDescent="0.3"/>
    <row r="7" spans="1:24" ht="15.6" x14ac:dyDescent="0.3">
      <c r="B7" s="13"/>
      <c r="C7" s="18" t="s">
        <v>3</v>
      </c>
      <c r="D7" s="19"/>
      <c r="E7" s="19"/>
      <c r="F7" s="19"/>
      <c r="H7" s="13"/>
      <c r="I7" s="18" t="s">
        <v>4</v>
      </c>
      <c r="J7" s="18"/>
      <c r="K7" s="18"/>
      <c r="M7" s="13"/>
      <c r="N7" s="18" t="s">
        <v>5</v>
      </c>
      <c r="O7" s="18"/>
      <c r="P7" s="18"/>
      <c r="S7" s="20"/>
      <c r="T7" s="21" t="s">
        <v>62</v>
      </c>
      <c r="U7" s="22"/>
      <c r="V7" s="22"/>
      <c r="W7" s="22"/>
    </row>
    <row r="8" spans="1:24" x14ac:dyDescent="0.3">
      <c r="B8" s="29"/>
      <c r="C8" s="30" t="s">
        <v>37</v>
      </c>
      <c r="D8" s="30" t="s">
        <v>58</v>
      </c>
      <c r="E8" s="30" t="s">
        <v>59</v>
      </c>
      <c r="F8" s="30" t="s">
        <v>60</v>
      </c>
      <c r="H8" s="29"/>
      <c r="I8" s="30" t="s">
        <v>37</v>
      </c>
      <c r="J8" s="30" t="s">
        <v>58</v>
      </c>
      <c r="K8" s="30" t="s">
        <v>61</v>
      </c>
      <c r="M8" s="29"/>
      <c r="N8" s="30" t="s">
        <v>37</v>
      </c>
      <c r="O8" s="30" t="s">
        <v>58</v>
      </c>
      <c r="P8" s="30" t="s">
        <v>61</v>
      </c>
      <c r="S8" s="31"/>
      <c r="T8" s="32" t="s">
        <v>11</v>
      </c>
      <c r="U8" s="32" t="s">
        <v>63</v>
      </c>
      <c r="V8" s="32" t="s">
        <v>4</v>
      </c>
      <c r="W8" s="32" t="s">
        <v>5</v>
      </c>
    </row>
    <row r="9" spans="1:24" x14ac:dyDescent="0.3">
      <c r="B9" s="25"/>
      <c r="C9" s="27">
        <v>1</v>
      </c>
      <c r="D9" s="5" t="s">
        <v>296</v>
      </c>
      <c r="E9" s="5" t="s">
        <v>297</v>
      </c>
      <c r="F9" s="5" t="s">
        <v>298</v>
      </c>
      <c r="G9" s="23" t="s">
        <v>299</v>
      </c>
      <c r="H9" s="14"/>
      <c r="I9" s="27">
        <v>1</v>
      </c>
      <c r="J9" s="5" t="s">
        <v>300</v>
      </c>
      <c r="K9" s="5" t="s">
        <v>301</v>
      </c>
      <c r="L9" s="23" t="s">
        <v>299</v>
      </c>
      <c r="M9" s="14"/>
      <c r="N9" s="27">
        <v>1</v>
      </c>
      <c r="O9" s="5" t="s">
        <v>302</v>
      </c>
      <c r="P9" s="5" t="s">
        <v>8</v>
      </c>
      <c r="Q9" s="23" t="s">
        <v>299</v>
      </c>
      <c r="S9" s="24"/>
      <c r="T9" s="26" t="str">
        <f t="shared" ref="T9" si="0">IF(C9=1,E9,IF(C9=2,"   "&amp;E9,IF(C9=3,"      "&amp;E9,IF(C9=4,"         "&amp;E9,"               "&amp;E9))))</f>
        <v>All sectors</v>
      </c>
      <c r="U9" s="26" t="str">
        <f>IF(C9=1,F9,IF(C9=2,"   "&amp;F9,IF(C9=3,"      "&amp;F9,IF(C9=4,"         "&amp;F9,"               "&amp;F9))))</f>
        <v>All products</v>
      </c>
      <c r="V9" s="26" t="str">
        <f>IF(I9=1,K9,IF(I9=2,"   "&amp;K9,IF(I9=3,"      "&amp;K9,IF(I9=4,"         "&amp;K9,"               "&amp;K9))))</f>
        <v>Labor</v>
      </c>
      <c r="W9" s="26" t="str">
        <f>IF(N9=1,P9,IF(N9=2,"   "&amp;P9,IF(N9=3,"      "&amp;P9,IF(N9=4,"         "&amp;P9,"               "&amp;P9))))</f>
        <v>All households</v>
      </c>
    </row>
    <row r="10" spans="1:24" x14ac:dyDescent="0.3">
      <c r="B10" s="25"/>
      <c r="C10" s="27">
        <v>1</v>
      </c>
      <c r="D10" s="5" t="s">
        <v>303</v>
      </c>
      <c r="E10" s="5" t="s">
        <v>304</v>
      </c>
      <c r="F10" s="5" t="s">
        <v>304</v>
      </c>
      <c r="G10" s="23"/>
      <c r="H10" s="14"/>
      <c r="I10" s="27">
        <v>3</v>
      </c>
      <c r="J10" s="5" t="s">
        <v>588</v>
      </c>
      <c r="K10" s="5" t="s">
        <v>589</v>
      </c>
      <c r="L10" s="23" t="s">
        <v>299</v>
      </c>
      <c r="M10" s="14"/>
      <c r="N10" s="27">
        <v>3</v>
      </c>
      <c r="O10" s="5" t="s">
        <v>609</v>
      </c>
      <c r="P10" s="5" t="s">
        <v>610</v>
      </c>
      <c r="Q10" s="23" t="s">
        <v>299</v>
      </c>
      <c r="S10" s="24"/>
      <c r="T10" s="26" t="str">
        <f t="shared" ref="T10:T73" si="1">IF(C10=1,E10,IF(C10=2,"   "&amp;E10,IF(C10=3,"      "&amp;E10,IF(C10=4,"         "&amp;E10,"               "&amp;E10))))</f>
        <v>Agriculture</v>
      </c>
      <c r="U10" s="26" t="str">
        <f t="shared" ref="U10:U73" si="2">IF(C10=1,F10,IF(C10=2,"   "&amp;F10,IF(C10=3,"      "&amp;F10,IF(C10=4,"         "&amp;F10,"               "&amp;F10))))</f>
        <v>Agriculture</v>
      </c>
      <c r="V10" s="26" t="str">
        <f t="shared" ref="V10:V73" si="3">IF(I10=1,K10,IF(I10=2,"   "&amp;K10,IF(I10=3,"      "&amp;K10,IF(I10=4,"         "&amp;K10,"               "&amp;K10))))</f>
        <v xml:space="preserve">      Labor - uneducated</v>
      </c>
      <c r="W10" s="26" t="str">
        <f t="shared" ref="W10:W73" si="4">IF(N10=1,P10,IF(N10=2,"   "&amp;P10,IF(N10=3,"      "&amp;P10,IF(N10=4,"         "&amp;P10,"               "&amp;P10))))</f>
        <v xml:space="preserve">      Decile 1 (low)</v>
      </c>
    </row>
    <row r="11" spans="1:24" x14ac:dyDescent="0.3">
      <c r="B11" s="25"/>
      <c r="C11" s="27">
        <v>2</v>
      </c>
      <c r="D11" s="5" t="s">
        <v>305</v>
      </c>
      <c r="E11" s="5" t="s">
        <v>306</v>
      </c>
      <c r="F11" s="5" t="s">
        <v>306</v>
      </c>
      <c r="G11" s="23"/>
      <c r="H11" s="14"/>
      <c r="I11" s="27">
        <v>3</v>
      </c>
      <c r="J11" s="5" t="s">
        <v>590</v>
      </c>
      <c r="K11" s="5" t="s">
        <v>307</v>
      </c>
      <c r="L11" s="23" t="s">
        <v>299</v>
      </c>
      <c r="M11" s="14"/>
      <c r="N11" s="27">
        <v>3</v>
      </c>
      <c r="O11" s="5" t="s">
        <v>611</v>
      </c>
      <c r="P11" s="5" t="s">
        <v>612</v>
      </c>
      <c r="Q11" s="23" t="s">
        <v>299</v>
      </c>
      <c r="S11" s="24"/>
      <c r="T11" s="26" t="str">
        <f t="shared" si="1"/>
        <v xml:space="preserve">   Crops</v>
      </c>
      <c r="U11" s="26" t="str">
        <f t="shared" si="2"/>
        <v xml:space="preserve">   Crops</v>
      </c>
      <c r="V11" s="26" t="str">
        <f t="shared" si="3"/>
        <v xml:space="preserve">      Labor - primary</v>
      </c>
      <c r="W11" s="26" t="str">
        <f t="shared" si="4"/>
        <v xml:space="preserve">      Decile 2</v>
      </c>
    </row>
    <row r="12" spans="1:24" x14ac:dyDescent="0.3">
      <c r="B12" s="25"/>
      <c r="C12" s="27">
        <v>3</v>
      </c>
      <c r="D12" s="5" t="s">
        <v>308</v>
      </c>
      <c r="E12" s="5" t="s">
        <v>309</v>
      </c>
      <c r="F12" s="5" t="s">
        <v>309</v>
      </c>
      <c r="G12" s="23"/>
      <c r="H12" s="14"/>
      <c r="I12" s="27">
        <v>3</v>
      </c>
      <c r="J12" s="5" t="s">
        <v>591</v>
      </c>
      <c r="K12" s="5" t="s">
        <v>310</v>
      </c>
      <c r="L12" s="23" t="s">
        <v>299</v>
      </c>
      <c r="M12" s="14"/>
      <c r="N12" s="27">
        <v>3</v>
      </c>
      <c r="O12" s="5" t="s">
        <v>613</v>
      </c>
      <c r="P12" s="5" t="s">
        <v>614</v>
      </c>
      <c r="Q12" s="23" t="s">
        <v>299</v>
      </c>
      <c r="S12" s="24"/>
      <c r="T12" s="26" t="str">
        <f t="shared" si="1"/>
        <v xml:space="preserve">      Maize</v>
      </c>
      <c r="U12" s="26" t="str">
        <f t="shared" si="2"/>
        <v xml:space="preserve">      Maize</v>
      </c>
      <c r="V12" s="26" t="str">
        <f t="shared" si="3"/>
        <v xml:space="preserve">      Labor - secondary</v>
      </c>
      <c r="W12" s="26" t="str">
        <f t="shared" si="4"/>
        <v xml:space="preserve">      Decile 3</v>
      </c>
    </row>
    <row r="13" spans="1:24" x14ac:dyDescent="0.3">
      <c r="B13" s="25"/>
      <c r="C13" s="27">
        <v>3</v>
      </c>
      <c r="D13" s="5" t="s">
        <v>508</v>
      </c>
      <c r="E13" s="5" t="s">
        <v>509</v>
      </c>
      <c r="F13" s="5" t="s">
        <v>509</v>
      </c>
      <c r="G13" s="23"/>
      <c r="H13" s="14"/>
      <c r="I13" s="27">
        <v>3</v>
      </c>
      <c r="J13" s="5" t="s">
        <v>592</v>
      </c>
      <c r="K13" s="5" t="s">
        <v>311</v>
      </c>
      <c r="L13" s="23" t="s">
        <v>299</v>
      </c>
      <c r="M13" s="14"/>
      <c r="N13" s="27">
        <v>3</v>
      </c>
      <c r="O13" s="5" t="s">
        <v>615</v>
      </c>
      <c r="P13" s="5" t="s">
        <v>616</v>
      </c>
      <c r="Q13" s="23" t="s">
        <v>299</v>
      </c>
      <c r="S13" s="24"/>
      <c r="T13" s="26" t="str">
        <f t="shared" si="1"/>
        <v xml:space="preserve">      Sorghum and millet</v>
      </c>
      <c r="U13" s="26" t="str">
        <f t="shared" si="2"/>
        <v xml:space="preserve">      Sorghum and millet</v>
      </c>
      <c r="V13" s="26" t="str">
        <f t="shared" si="3"/>
        <v xml:space="preserve">      Labor - tertiary</v>
      </c>
      <c r="W13" s="26" t="str">
        <f t="shared" si="4"/>
        <v xml:space="preserve">      Decile 4</v>
      </c>
    </row>
    <row r="14" spans="1:24" x14ac:dyDescent="0.3">
      <c r="B14" s="25"/>
      <c r="C14" s="27">
        <v>3</v>
      </c>
      <c r="D14" s="5" t="s">
        <v>705</v>
      </c>
      <c r="E14" s="5" t="s">
        <v>706</v>
      </c>
      <c r="F14" s="5" t="s">
        <v>706</v>
      </c>
      <c r="G14" s="23"/>
      <c r="H14" s="14"/>
      <c r="I14" s="27">
        <v>2</v>
      </c>
      <c r="J14" s="5" t="s">
        <v>593</v>
      </c>
      <c r="K14" s="5" t="s">
        <v>594</v>
      </c>
      <c r="L14" s="23" t="s">
        <v>299</v>
      </c>
      <c r="M14" s="14"/>
      <c r="N14" s="27">
        <v>3</v>
      </c>
      <c r="O14" s="5" t="s">
        <v>617</v>
      </c>
      <c r="P14" s="5" t="s">
        <v>618</v>
      </c>
      <c r="Q14" s="23" t="s">
        <v>299</v>
      </c>
      <c r="S14" s="24"/>
      <c r="T14" s="26" t="str">
        <f t="shared" si="1"/>
        <v xml:space="preserve">      Rice paddy (Aman)</v>
      </c>
      <c r="U14" s="26" t="str">
        <f t="shared" si="2"/>
        <v xml:space="preserve">      Rice paddy (Aman)</v>
      </c>
      <c r="V14" s="26" t="str">
        <f t="shared" si="3"/>
        <v xml:space="preserve">   Labor - rural</v>
      </c>
      <c r="W14" s="26" t="str">
        <f t="shared" si="4"/>
        <v xml:space="preserve">      Decile 5</v>
      </c>
    </row>
    <row r="15" spans="1:24" x14ac:dyDescent="0.3">
      <c r="B15" s="25"/>
      <c r="C15" s="27">
        <v>3</v>
      </c>
      <c r="D15" s="5" t="s">
        <v>707</v>
      </c>
      <c r="E15" s="5" t="s">
        <v>708</v>
      </c>
      <c r="F15" s="5" t="s">
        <v>708</v>
      </c>
      <c r="G15" s="23"/>
      <c r="H15" s="14"/>
      <c r="I15" s="27">
        <v>3</v>
      </c>
      <c r="J15" s="5" t="s">
        <v>312</v>
      </c>
      <c r="K15" s="5" t="s">
        <v>595</v>
      </c>
      <c r="L15" s="23" t="s">
        <v>299</v>
      </c>
      <c r="M15" s="14"/>
      <c r="N15" s="27">
        <v>3</v>
      </c>
      <c r="O15" s="5" t="s">
        <v>619</v>
      </c>
      <c r="P15" s="5" t="s">
        <v>620</v>
      </c>
      <c r="Q15" s="23" t="s">
        <v>299</v>
      </c>
      <c r="S15" s="24"/>
      <c r="T15" s="26" t="str">
        <f t="shared" si="1"/>
        <v xml:space="preserve">      Rice paddy (Boro)</v>
      </c>
      <c r="U15" s="26" t="str">
        <f t="shared" si="2"/>
        <v xml:space="preserve">      Rice paddy (Boro)</v>
      </c>
      <c r="V15" s="26" t="str">
        <f t="shared" si="3"/>
        <v xml:space="preserve">      Labor - rural uneducated</v>
      </c>
      <c r="W15" s="26" t="str">
        <f t="shared" si="4"/>
        <v xml:space="preserve">      Decile 6</v>
      </c>
    </row>
    <row r="16" spans="1:24" x14ac:dyDescent="0.3">
      <c r="B16" s="25"/>
      <c r="C16" s="27">
        <v>3</v>
      </c>
      <c r="D16" s="5" t="s">
        <v>510</v>
      </c>
      <c r="E16" s="5" t="s">
        <v>511</v>
      </c>
      <c r="F16" s="5" t="s">
        <v>511</v>
      </c>
      <c r="G16" s="23"/>
      <c r="H16" s="14"/>
      <c r="I16" s="27">
        <v>3</v>
      </c>
      <c r="J16" s="5" t="s">
        <v>316</v>
      </c>
      <c r="K16" s="5" t="s">
        <v>596</v>
      </c>
      <c r="L16" s="23" t="s">
        <v>299</v>
      </c>
      <c r="M16" s="14"/>
      <c r="N16" s="27">
        <v>3</v>
      </c>
      <c r="O16" s="5" t="s">
        <v>621</v>
      </c>
      <c r="P16" s="5" t="s">
        <v>622</v>
      </c>
      <c r="Q16" s="23" t="s">
        <v>299</v>
      </c>
      <c r="S16" s="24"/>
      <c r="T16" s="26" t="str">
        <f t="shared" si="1"/>
        <v xml:space="preserve">      Wheat and barley</v>
      </c>
      <c r="U16" s="26" t="str">
        <f t="shared" si="2"/>
        <v xml:space="preserve">      Wheat and barley</v>
      </c>
      <c r="V16" s="26" t="str">
        <f t="shared" si="3"/>
        <v xml:space="preserve">      Labor - rural primary</v>
      </c>
      <c r="W16" s="26" t="str">
        <f t="shared" si="4"/>
        <v xml:space="preserve">      Decile 7</v>
      </c>
    </row>
    <row r="17" spans="2:23" x14ac:dyDescent="0.3">
      <c r="B17" s="25"/>
      <c r="C17" s="27">
        <v>3</v>
      </c>
      <c r="D17" s="5" t="s">
        <v>314</v>
      </c>
      <c r="E17" s="5" t="s">
        <v>315</v>
      </c>
      <c r="F17" s="5" t="s">
        <v>315</v>
      </c>
      <c r="G17" s="23"/>
      <c r="H17" s="14"/>
      <c r="I17" s="27">
        <v>3</v>
      </c>
      <c r="J17" s="5" t="s">
        <v>319</v>
      </c>
      <c r="K17" s="5" t="s">
        <v>597</v>
      </c>
      <c r="L17" s="23" t="s">
        <v>299</v>
      </c>
      <c r="M17" s="14"/>
      <c r="N17" s="27">
        <v>3</v>
      </c>
      <c r="O17" s="5" t="s">
        <v>623</v>
      </c>
      <c r="P17" s="5" t="s">
        <v>624</v>
      </c>
      <c r="Q17" s="23" t="s">
        <v>299</v>
      </c>
      <c r="S17" s="24"/>
      <c r="T17" s="26" t="str">
        <f t="shared" si="1"/>
        <v xml:space="preserve">      Other cereals</v>
      </c>
      <c r="U17" s="26" t="str">
        <f t="shared" si="2"/>
        <v xml:space="preserve">      Other cereals</v>
      </c>
      <c r="V17" s="26" t="str">
        <f t="shared" si="3"/>
        <v xml:space="preserve">      Labor - rural secondary</v>
      </c>
      <c r="W17" s="26" t="str">
        <f t="shared" si="4"/>
        <v xml:space="preserve">      Decile 8</v>
      </c>
    </row>
    <row r="18" spans="2:23" x14ac:dyDescent="0.3">
      <c r="B18" s="25"/>
      <c r="C18" s="27">
        <v>3</v>
      </c>
      <c r="D18" s="5" t="s">
        <v>317</v>
      </c>
      <c r="E18" s="5" t="s">
        <v>318</v>
      </c>
      <c r="F18" s="5" t="s">
        <v>318</v>
      </c>
      <c r="G18" s="23"/>
      <c r="H18" s="14"/>
      <c r="I18" s="27">
        <v>3</v>
      </c>
      <c r="J18" s="5" t="s">
        <v>320</v>
      </c>
      <c r="K18" s="5" t="s">
        <v>598</v>
      </c>
      <c r="L18" s="23" t="s">
        <v>299</v>
      </c>
      <c r="M18" s="14"/>
      <c r="N18" s="27">
        <v>3</v>
      </c>
      <c r="O18" s="5" t="s">
        <v>625</v>
      </c>
      <c r="P18" s="5" t="s">
        <v>626</v>
      </c>
      <c r="Q18" s="23" t="s">
        <v>299</v>
      </c>
      <c r="S18" s="24"/>
      <c r="T18" s="26" t="str">
        <f t="shared" si="1"/>
        <v xml:space="preserve">      Pulses</v>
      </c>
      <c r="U18" s="26" t="str">
        <f t="shared" si="2"/>
        <v xml:space="preserve">      Pulses</v>
      </c>
      <c r="V18" s="26" t="str">
        <f t="shared" si="3"/>
        <v xml:space="preserve">      Labor - rural tertiary</v>
      </c>
      <c r="W18" s="26" t="str">
        <f t="shared" si="4"/>
        <v xml:space="preserve">      Decile 9</v>
      </c>
    </row>
    <row r="19" spans="2:23" x14ac:dyDescent="0.3">
      <c r="B19" s="25"/>
      <c r="C19" s="27">
        <v>3</v>
      </c>
      <c r="D19" s="5" t="s">
        <v>512</v>
      </c>
      <c r="E19" s="5" t="s">
        <v>513</v>
      </c>
      <c r="F19" s="5" t="s">
        <v>513</v>
      </c>
      <c r="G19" s="23"/>
      <c r="H19" s="14"/>
      <c r="I19" s="27">
        <v>2</v>
      </c>
      <c r="J19" s="5" t="s">
        <v>322</v>
      </c>
      <c r="K19" s="5" t="s">
        <v>599</v>
      </c>
      <c r="L19" s="23" t="s">
        <v>299</v>
      </c>
      <c r="M19" s="14"/>
      <c r="N19" s="27">
        <v>3</v>
      </c>
      <c r="O19" s="5" t="s">
        <v>627</v>
      </c>
      <c r="P19" s="5" t="s">
        <v>628</v>
      </c>
      <c r="Q19" s="23" t="s">
        <v>299</v>
      </c>
      <c r="S19" s="24"/>
      <c r="T19" s="26" t="str">
        <f t="shared" si="1"/>
        <v xml:space="preserve">      Groundnuts</v>
      </c>
      <c r="U19" s="26" t="str">
        <f t="shared" si="2"/>
        <v xml:space="preserve">      Groundnuts</v>
      </c>
      <c r="V19" s="26" t="str">
        <f t="shared" si="3"/>
        <v xml:space="preserve">   Labor - urban</v>
      </c>
      <c r="W19" s="26" t="str">
        <f t="shared" si="4"/>
        <v xml:space="preserve">      Decile 10 (high)</v>
      </c>
    </row>
    <row r="20" spans="2:23" x14ac:dyDescent="0.3">
      <c r="B20" s="25"/>
      <c r="C20" s="27">
        <v>3</v>
      </c>
      <c r="D20" s="5" t="s">
        <v>321</v>
      </c>
      <c r="E20" s="5" t="s">
        <v>514</v>
      </c>
      <c r="F20" s="5" t="s">
        <v>514</v>
      </c>
      <c r="G20" s="23"/>
      <c r="H20" s="14"/>
      <c r="I20" s="27">
        <v>3</v>
      </c>
      <c r="J20" s="5" t="s">
        <v>323</v>
      </c>
      <c r="K20" s="5" t="s">
        <v>600</v>
      </c>
      <c r="L20" s="23" t="s">
        <v>299</v>
      </c>
      <c r="M20" s="14"/>
      <c r="N20" s="27">
        <v>2</v>
      </c>
      <c r="O20" s="5" t="s">
        <v>313</v>
      </c>
      <c r="P20" s="5" t="s">
        <v>9</v>
      </c>
      <c r="Q20" s="23" t="s">
        <v>299</v>
      </c>
      <c r="S20" s="24"/>
      <c r="T20" s="26" t="str">
        <f t="shared" si="1"/>
        <v xml:space="preserve">      Other oilseeds</v>
      </c>
      <c r="U20" s="26" t="str">
        <f t="shared" si="2"/>
        <v xml:space="preserve">      Other oilseeds</v>
      </c>
      <c r="V20" s="26" t="str">
        <f t="shared" si="3"/>
        <v xml:space="preserve">      Labor - urban uneducated</v>
      </c>
      <c r="W20" s="26" t="str">
        <f t="shared" si="4"/>
        <v xml:space="preserve">   Rural households</v>
      </c>
    </row>
    <row r="21" spans="2:23" x14ac:dyDescent="0.3">
      <c r="B21" s="25"/>
      <c r="C21" s="27">
        <v>3</v>
      </c>
      <c r="D21" s="5" t="s">
        <v>515</v>
      </c>
      <c r="E21" s="5" t="s">
        <v>516</v>
      </c>
      <c r="F21" s="5" t="s">
        <v>516</v>
      </c>
      <c r="G21" s="23"/>
      <c r="H21" s="14"/>
      <c r="I21" s="27">
        <v>3</v>
      </c>
      <c r="J21" s="5" t="s">
        <v>324</v>
      </c>
      <c r="K21" s="5" t="s">
        <v>601</v>
      </c>
      <c r="L21" s="23" t="s">
        <v>299</v>
      </c>
      <c r="M21" s="14"/>
      <c r="N21" s="27">
        <v>3</v>
      </c>
      <c r="O21" s="5" t="s">
        <v>734</v>
      </c>
      <c r="P21" s="5" t="s">
        <v>629</v>
      </c>
      <c r="Q21" s="23" t="s">
        <v>299</v>
      </c>
      <c r="S21" s="24"/>
      <c r="T21" s="26" t="str">
        <f t="shared" si="1"/>
        <v xml:space="preserve">      Cassava</v>
      </c>
      <c r="U21" s="26" t="str">
        <f t="shared" si="2"/>
        <v xml:space="preserve">      Cassava</v>
      </c>
      <c r="V21" s="26" t="str">
        <f t="shared" si="3"/>
        <v xml:space="preserve">      Labor - urban primary</v>
      </c>
      <c r="W21" s="26" t="str">
        <f t="shared" si="4"/>
        <v xml:space="preserve">      Rural - decile 1 (low)</v>
      </c>
    </row>
    <row r="22" spans="2:23" x14ac:dyDescent="0.3">
      <c r="B22" s="25"/>
      <c r="C22" s="27">
        <v>3</v>
      </c>
      <c r="D22" s="5" t="s">
        <v>517</v>
      </c>
      <c r="E22" s="5" t="s">
        <v>518</v>
      </c>
      <c r="F22" s="5" t="s">
        <v>518</v>
      </c>
      <c r="G22" s="23"/>
      <c r="H22" s="14"/>
      <c r="I22" s="27">
        <v>3</v>
      </c>
      <c r="J22" s="5" t="s">
        <v>326</v>
      </c>
      <c r="K22" s="5" t="s">
        <v>602</v>
      </c>
      <c r="L22" s="23" t="s">
        <v>299</v>
      </c>
      <c r="M22" s="14"/>
      <c r="N22" s="27">
        <v>3</v>
      </c>
      <c r="O22" s="5" t="s">
        <v>735</v>
      </c>
      <c r="P22" s="5" t="s">
        <v>630</v>
      </c>
      <c r="Q22" s="23" t="s">
        <v>299</v>
      </c>
      <c r="S22" s="24"/>
      <c r="T22" s="26" t="str">
        <f t="shared" si="1"/>
        <v xml:space="preserve">      Irish potatoes</v>
      </c>
      <c r="U22" s="26" t="str">
        <f t="shared" si="2"/>
        <v xml:space="preserve">      Irish potatoes</v>
      </c>
      <c r="V22" s="26" t="str">
        <f t="shared" si="3"/>
        <v xml:space="preserve">      Labor - urban secondary</v>
      </c>
      <c r="W22" s="26" t="str">
        <f t="shared" si="4"/>
        <v xml:space="preserve">      Rural - decile 2</v>
      </c>
    </row>
    <row r="23" spans="2:23" x14ac:dyDescent="0.3">
      <c r="B23" s="25"/>
      <c r="C23" s="27">
        <v>3</v>
      </c>
      <c r="D23" s="5" t="s">
        <v>519</v>
      </c>
      <c r="E23" s="5" t="s">
        <v>520</v>
      </c>
      <c r="F23" s="5" t="s">
        <v>520</v>
      </c>
      <c r="G23" s="23"/>
      <c r="H23" s="14"/>
      <c r="I23" s="27">
        <v>3</v>
      </c>
      <c r="J23" s="5" t="s">
        <v>328</v>
      </c>
      <c r="K23" s="5" t="s">
        <v>603</v>
      </c>
      <c r="L23" s="23" t="s">
        <v>299</v>
      </c>
      <c r="M23" s="14"/>
      <c r="N23" s="27">
        <v>3</v>
      </c>
      <c r="O23" s="5" t="s">
        <v>736</v>
      </c>
      <c r="P23" s="5" t="s">
        <v>631</v>
      </c>
      <c r="Q23" s="23" t="s">
        <v>299</v>
      </c>
      <c r="S23" s="24"/>
      <c r="T23" s="26" t="str">
        <f t="shared" si="1"/>
        <v xml:space="preserve">      Sweet potatoes</v>
      </c>
      <c r="U23" s="26" t="str">
        <f t="shared" si="2"/>
        <v xml:space="preserve">      Sweet potatoes</v>
      </c>
      <c r="V23" s="26" t="str">
        <f t="shared" si="3"/>
        <v xml:space="preserve">      Labor - urban tertiary</v>
      </c>
      <c r="W23" s="26" t="str">
        <f t="shared" si="4"/>
        <v xml:space="preserve">      Rural - decile 3</v>
      </c>
    </row>
    <row r="24" spans="2:23" x14ac:dyDescent="0.3">
      <c r="B24" s="25"/>
      <c r="C24" s="27">
        <v>3</v>
      </c>
      <c r="D24" s="5" t="s">
        <v>327</v>
      </c>
      <c r="E24" s="5" t="s">
        <v>521</v>
      </c>
      <c r="F24" s="5" t="s">
        <v>521</v>
      </c>
      <c r="G24" s="23"/>
      <c r="H24" s="14"/>
      <c r="I24" s="27">
        <v>1</v>
      </c>
      <c r="J24" s="5" t="s">
        <v>7</v>
      </c>
      <c r="K24" s="5" t="s">
        <v>329</v>
      </c>
      <c r="L24" s="23" t="s">
        <v>299</v>
      </c>
      <c r="M24" s="14"/>
      <c r="N24" s="27">
        <v>3</v>
      </c>
      <c r="O24" s="5" t="s">
        <v>737</v>
      </c>
      <c r="P24" s="5" t="s">
        <v>632</v>
      </c>
      <c r="Q24" s="23" t="s">
        <v>299</v>
      </c>
      <c r="S24" s="24"/>
      <c r="T24" s="26" t="str">
        <f t="shared" si="1"/>
        <v xml:space="preserve">      Other roots</v>
      </c>
      <c r="U24" s="26" t="str">
        <f t="shared" si="2"/>
        <v xml:space="preserve">      Other roots</v>
      </c>
      <c r="V24" s="26" t="str">
        <f t="shared" si="3"/>
        <v>Crop land</v>
      </c>
      <c r="W24" s="26" t="str">
        <f t="shared" si="4"/>
        <v xml:space="preserve">      Rural - decile 4</v>
      </c>
    </row>
    <row r="25" spans="2:23" x14ac:dyDescent="0.3">
      <c r="B25" s="25"/>
      <c r="C25" s="27">
        <v>3</v>
      </c>
      <c r="D25" s="5" t="s">
        <v>709</v>
      </c>
      <c r="E25" s="5" t="s">
        <v>710</v>
      </c>
      <c r="F25" s="5" t="s">
        <v>710</v>
      </c>
      <c r="G25" s="23"/>
      <c r="H25" s="14"/>
      <c r="I25" s="27">
        <v>1</v>
      </c>
      <c r="J25" s="5" t="s">
        <v>331</v>
      </c>
      <c r="K25" s="5" t="s">
        <v>332</v>
      </c>
      <c r="L25" s="23" t="s">
        <v>299</v>
      </c>
      <c r="M25" s="14"/>
      <c r="N25" s="27">
        <v>3</v>
      </c>
      <c r="O25" s="5" t="s">
        <v>738</v>
      </c>
      <c r="P25" s="5" t="s">
        <v>633</v>
      </c>
      <c r="Q25" s="23" t="s">
        <v>299</v>
      </c>
      <c r="S25" s="24"/>
      <c r="T25" s="26" t="str">
        <f t="shared" si="1"/>
        <v xml:space="preserve">      Leafy vegetables</v>
      </c>
      <c r="U25" s="26" t="str">
        <f t="shared" si="2"/>
        <v xml:space="preserve">      Leafy vegetables</v>
      </c>
      <c r="V25" s="26" t="str">
        <f t="shared" si="3"/>
        <v>Capital</v>
      </c>
      <c r="W25" s="26" t="str">
        <f t="shared" si="4"/>
        <v xml:space="preserve">      Rural - decile 5</v>
      </c>
    </row>
    <row r="26" spans="2:23" x14ac:dyDescent="0.3">
      <c r="B26" s="25"/>
      <c r="C26" s="27">
        <v>3</v>
      </c>
      <c r="D26" s="5" t="s">
        <v>330</v>
      </c>
      <c r="E26" s="5" t="s">
        <v>711</v>
      </c>
      <c r="F26" s="5" t="s">
        <v>711</v>
      </c>
      <c r="G26" s="23"/>
      <c r="H26" s="14"/>
      <c r="I26" s="27">
        <v>2</v>
      </c>
      <c r="J26" s="5" t="s">
        <v>335</v>
      </c>
      <c r="K26" s="5" t="s">
        <v>604</v>
      </c>
      <c r="L26" s="23" t="s">
        <v>299</v>
      </c>
      <c r="M26" s="14"/>
      <c r="N26" s="27">
        <v>3</v>
      </c>
      <c r="O26" s="5" t="s">
        <v>739</v>
      </c>
      <c r="P26" s="5" t="s">
        <v>634</v>
      </c>
      <c r="Q26" s="23" t="s">
        <v>299</v>
      </c>
      <c r="S26" s="24"/>
      <c r="T26" s="26" t="str">
        <f t="shared" si="1"/>
        <v xml:space="preserve">      Other vegetables</v>
      </c>
      <c r="U26" s="26" t="str">
        <f t="shared" si="2"/>
        <v xml:space="preserve">      Other vegetables</v>
      </c>
      <c r="V26" s="26" t="str">
        <f t="shared" si="3"/>
        <v xml:space="preserve">   Capital - crops</v>
      </c>
      <c r="W26" s="26" t="str">
        <f t="shared" si="4"/>
        <v xml:space="preserve">      Rural - decile 6</v>
      </c>
    </row>
    <row r="27" spans="2:23" x14ac:dyDescent="0.3">
      <c r="B27" s="25"/>
      <c r="C27" s="27">
        <v>3</v>
      </c>
      <c r="D27" s="5" t="s">
        <v>333</v>
      </c>
      <c r="E27" s="5" t="s">
        <v>334</v>
      </c>
      <c r="F27" s="5" t="s">
        <v>334</v>
      </c>
      <c r="G27" s="23"/>
      <c r="H27" s="14"/>
      <c r="I27" s="27">
        <v>2</v>
      </c>
      <c r="J27" s="5" t="s">
        <v>338</v>
      </c>
      <c r="K27" s="5" t="s">
        <v>605</v>
      </c>
      <c r="L27" s="23" t="s">
        <v>299</v>
      </c>
      <c r="M27" s="14"/>
      <c r="N27" s="27">
        <v>3</v>
      </c>
      <c r="O27" s="5" t="s">
        <v>740</v>
      </c>
      <c r="P27" s="5" t="s">
        <v>635</v>
      </c>
      <c r="Q27" s="23" t="s">
        <v>299</v>
      </c>
      <c r="S27" s="24"/>
      <c r="T27" s="26" t="str">
        <f t="shared" si="1"/>
        <v xml:space="preserve">      Sugarcane</v>
      </c>
      <c r="U27" s="26" t="str">
        <f t="shared" si="2"/>
        <v xml:space="preserve">      Sugarcane</v>
      </c>
      <c r="V27" s="26" t="str">
        <f t="shared" si="3"/>
        <v xml:space="preserve">   Capital - livestock</v>
      </c>
      <c r="W27" s="26" t="str">
        <f t="shared" si="4"/>
        <v xml:space="preserve">      Rural - decile 7</v>
      </c>
    </row>
    <row r="28" spans="2:23" x14ac:dyDescent="0.3">
      <c r="B28" s="25"/>
      <c r="C28" s="27">
        <v>3</v>
      </c>
      <c r="D28" s="5" t="s">
        <v>336</v>
      </c>
      <c r="E28" s="5" t="s">
        <v>337</v>
      </c>
      <c r="F28" s="5" t="s">
        <v>337</v>
      </c>
      <c r="G28" s="23"/>
      <c r="H28" s="14"/>
      <c r="I28" s="27">
        <v>2</v>
      </c>
      <c r="J28" s="5" t="s">
        <v>341</v>
      </c>
      <c r="K28" s="5" t="s">
        <v>606</v>
      </c>
      <c r="L28" s="23" t="s">
        <v>299</v>
      </c>
      <c r="M28" s="14"/>
      <c r="N28" s="27">
        <v>3</v>
      </c>
      <c r="O28" s="5" t="s">
        <v>741</v>
      </c>
      <c r="P28" s="5" t="s">
        <v>636</v>
      </c>
      <c r="Q28" s="23" t="s">
        <v>299</v>
      </c>
      <c r="S28" s="24"/>
      <c r="T28" s="26" t="str">
        <f t="shared" si="1"/>
        <v xml:space="preserve">      Tobacco</v>
      </c>
      <c r="U28" s="26" t="str">
        <f t="shared" si="2"/>
        <v xml:space="preserve">      Tobacco</v>
      </c>
      <c r="V28" s="26" t="str">
        <f t="shared" si="3"/>
        <v xml:space="preserve">   Capital - mining</v>
      </c>
      <c r="W28" s="26" t="str">
        <f t="shared" si="4"/>
        <v xml:space="preserve">      Rural - decile 8</v>
      </c>
    </row>
    <row r="29" spans="2:23" x14ac:dyDescent="0.3">
      <c r="B29" s="25"/>
      <c r="C29" s="27">
        <v>3</v>
      </c>
      <c r="D29" s="5" t="s">
        <v>339</v>
      </c>
      <c r="E29" s="5" t="s">
        <v>340</v>
      </c>
      <c r="F29" s="5" t="s">
        <v>340</v>
      </c>
      <c r="G29" s="23"/>
      <c r="H29" s="14"/>
      <c r="I29" s="27">
        <v>2</v>
      </c>
      <c r="J29" s="5" t="s">
        <v>607</v>
      </c>
      <c r="K29" s="5" t="s">
        <v>608</v>
      </c>
      <c r="L29" s="23" t="s">
        <v>299</v>
      </c>
      <c r="M29" s="14"/>
      <c r="N29" s="27">
        <v>3</v>
      </c>
      <c r="O29" s="5" t="s">
        <v>742</v>
      </c>
      <c r="P29" s="5" t="s">
        <v>637</v>
      </c>
      <c r="Q29" s="23" t="s">
        <v>299</v>
      </c>
      <c r="S29" s="24"/>
      <c r="T29" s="26" t="str">
        <f t="shared" si="1"/>
        <v xml:space="preserve">      Cotton and fibres</v>
      </c>
      <c r="U29" s="26" t="str">
        <f t="shared" si="2"/>
        <v xml:space="preserve">      Cotton and fibres</v>
      </c>
      <c r="V29" s="26" t="str">
        <f t="shared" si="3"/>
        <v xml:space="preserve">   Capital - non-primary</v>
      </c>
      <c r="W29" s="26" t="str">
        <f t="shared" si="4"/>
        <v xml:space="preserve">      Rural - decile 9</v>
      </c>
    </row>
    <row r="30" spans="2:23" x14ac:dyDescent="0.3">
      <c r="B30" s="25"/>
      <c r="C30" s="27">
        <v>3</v>
      </c>
      <c r="D30" s="5" t="s">
        <v>712</v>
      </c>
      <c r="E30" s="5" t="s">
        <v>713</v>
      </c>
      <c r="F30" s="5" t="s">
        <v>713</v>
      </c>
      <c r="G30" s="23"/>
      <c r="H30" s="14"/>
      <c r="I30" s="27"/>
      <c r="J30" s="5"/>
      <c r="K30" s="5"/>
      <c r="L30" s="23" t="s">
        <v>299</v>
      </c>
      <c r="M30" s="14"/>
      <c r="N30" s="27">
        <v>3</v>
      </c>
      <c r="O30" s="5" t="s">
        <v>743</v>
      </c>
      <c r="P30" s="5" t="s">
        <v>638</v>
      </c>
      <c r="Q30" s="23" t="s">
        <v>299</v>
      </c>
      <c r="S30" s="24"/>
      <c r="T30" s="26" t="str">
        <f t="shared" si="1"/>
        <v xml:space="preserve">      Jute</v>
      </c>
      <c r="U30" s="26" t="str">
        <f t="shared" si="2"/>
        <v xml:space="preserve">      Jute</v>
      </c>
      <c r="V30" s="26" t="str">
        <f t="shared" si="3"/>
        <v xml:space="preserve">               </v>
      </c>
      <c r="W30" s="26" t="str">
        <f t="shared" si="4"/>
        <v xml:space="preserve">      Rural - decile 10 (high)</v>
      </c>
    </row>
    <row r="31" spans="2:23" x14ac:dyDescent="0.3">
      <c r="B31" s="25"/>
      <c r="C31" s="27">
        <v>3</v>
      </c>
      <c r="D31" s="5" t="s">
        <v>522</v>
      </c>
      <c r="E31" s="5" t="s">
        <v>714</v>
      </c>
      <c r="F31" s="5" t="s">
        <v>714</v>
      </c>
      <c r="G31" s="23"/>
      <c r="H31" s="14"/>
      <c r="I31" s="27"/>
      <c r="J31" s="5"/>
      <c r="K31" s="5"/>
      <c r="L31" s="23" t="s">
        <v>299</v>
      </c>
      <c r="M31" s="14"/>
      <c r="N31" s="27">
        <v>2</v>
      </c>
      <c r="O31" s="5" t="s">
        <v>325</v>
      </c>
      <c r="P31" s="5" t="s">
        <v>10</v>
      </c>
      <c r="Q31" s="23" t="s">
        <v>299</v>
      </c>
      <c r="S31" s="24"/>
      <c r="T31" s="26" t="str">
        <f t="shared" si="1"/>
        <v xml:space="preserve">      Nuts</v>
      </c>
      <c r="U31" s="26" t="str">
        <f t="shared" si="2"/>
        <v xml:space="preserve">      Nuts</v>
      </c>
      <c r="V31" s="26" t="str">
        <f t="shared" si="3"/>
        <v xml:space="preserve">               </v>
      </c>
      <c r="W31" s="26" t="str">
        <f t="shared" si="4"/>
        <v xml:space="preserve">   Urban households</v>
      </c>
    </row>
    <row r="32" spans="2:23" x14ac:dyDescent="0.3">
      <c r="B32" s="25"/>
      <c r="C32" s="27">
        <v>3</v>
      </c>
      <c r="D32" s="5" t="s">
        <v>523</v>
      </c>
      <c r="E32" s="5" t="s">
        <v>715</v>
      </c>
      <c r="F32" s="5" t="s">
        <v>715</v>
      </c>
      <c r="G32" s="23"/>
      <c r="H32" s="14"/>
      <c r="I32" s="27"/>
      <c r="J32" s="5"/>
      <c r="K32" s="5"/>
      <c r="L32" s="23" t="s">
        <v>299</v>
      </c>
      <c r="M32" s="14"/>
      <c r="N32" s="27">
        <v>3</v>
      </c>
      <c r="O32" s="5" t="s">
        <v>744</v>
      </c>
      <c r="P32" s="5" t="s">
        <v>639</v>
      </c>
      <c r="Q32" s="23" t="s">
        <v>299</v>
      </c>
      <c r="S32" s="24"/>
      <c r="T32" s="26" t="str">
        <f t="shared" si="1"/>
        <v xml:space="preserve">      Bananas and plantains</v>
      </c>
      <c r="U32" s="26" t="str">
        <f t="shared" si="2"/>
        <v xml:space="preserve">      Bananas and plantains</v>
      </c>
      <c r="V32" s="26" t="str">
        <f t="shared" si="3"/>
        <v xml:space="preserve">               </v>
      </c>
      <c r="W32" s="26" t="str">
        <f t="shared" si="4"/>
        <v xml:space="preserve">      Urban - decile 1 (low)</v>
      </c>
    </row>
    <row r="33" spans="2:23" x14ac:dyDescent="0.3">
      <c r="B33" s="25"/>
      <c r="C33" s="27">
        <v>3</v>
      </c>
      <c r="D33" s="5" t="s">
        <v>342</v>
      </c>
      <c r="E33" s="5" t="s">
        <v>524</v>
      </c>
      <c r="F33" s="5" t="s">
        <v>524</v>
      </c>
      <c r="G33" s="23"/>
      <c r="H33" s="14"/>
      <c r="I33" s="27"/>
      <c r="J33" s="5"/>
      <c r="K33" s="5"/>
      <c r="L33" s="23" t="s">
        <v>299</v>
      </c>
      <c r="M33" s="14"/>
      <c r="N33" s="27">
        <v>3</v>
      </c>
      <c r="O33" s="5" t="s">
        <v>745</v>
      </c>
      <c r="P33" s="5" t="s">
        <v>640</v>
      </c>
      <c r="Q33" s="23" t="s">
        <v>299</v>
      </c>
      <c r="S33" s="24"/>
      <c r="T33" s="26" t="str">
        <f t="shared" si="1"/>
        <v xml:space="preserve">      Other fruits</v>
      </c>
      <c r="U33" s="26" t="str">
        <f t="shared" si="2"/>
        <v xml:space="preserve">      Other fruits</v>
      </c>
      <c r="V33" s="26" t="str">
        <f t="shared" si="3"/>
        <v xml:space="preserve">               </v>
      </c>
      <c r="W33" s="26" t="str">
        <f t="shared" si="4"/>
        <v xml:space="preserve">      Urban - decile 2</v>
      </c>
    </row>
    <row r="34" spans="2:23" x14ac:dyDescent="0.3">
      <c r="B34" s="25"/>
      <c r="C34" s="27">
        <v>3</v>
      </c>
      <c r="D34" s="5" t="s">
        <v>525</v>
      </c>
      <c r="E34" s="5" t="s">
        <v>526</v>
      </c>
      <c r="F34" s="5" t="s">
        <v>526</v>
      </c>
      <c r="G34" s="23"/>
      <c r="H34" s="14"/>
      <c r="I34" s="27"/>
      <c r="J34" s="5"/>
      <c r="K34" s="5"/>
      <c r="L34" s="23" t="s">
        <v>299</v>
      </c>
      <c r="M34" s="14"/>
      <c r="N34" s="27">
        <v>3</v>
      </c>
      <c r="O34" s="5" t="s">
        <v>746</v>
      </c>
      <c r="P34" s="5" t="s">
        <v>641</v>
      </c>
      <c r="Q34" s="23" t="s">
        <v>299</v>
      </c>
      <c r="S34" s="24"/>
      <c r="T34" s="26" t="str">
        <f t="shared" si="1"/>
        <v xml:space="preserve">      Leaf tea</v>
      </c>
      <c r="U34" s="26" t="str">
        <f t="shared" si="2"/>
        <v xml:space="preserve">      Leaf tea</v>
      </c>
      <c r="V34" s="26" t="str">
        <f t="shared" si="3"/>
        <v xml:space="preserve">               </v>
      </c>
      <c r="W34" s="26" t="str">
        <f t="shared" si="4"/>
        <v xml:space="preserve">      Urban - decile 3</v>
      </c>
    </row>
    <row r="35" spans="2:23" x14ac:dyDescent="0.3">
      <c r="B35" s="25"/>
      <c r="C35" s="27">
        <v>3</v>
      </c>
      <c r="D35" s="5" t="s">
        <v>343</v>
      </c>
      <c r="E35" s="5" t="s">
        <v>527</v>
      </c>
      <c r="F35" s="5" t="s">
        <v>527</v>
      </c>
      <c r="G35" s="23"/>
      <c r="H35" s="14"/>
      <c r="I35" s="27"/>
      <c r="J35" s="5"/>
      <c r="K35" s="5"/>
      <c r="L35" s="23" t="s">
        <v>299</v>
      </c>
      <c r="M35" s="14"/>
      <c r="N35" s="27">
        <v>3</v>
      </c>
      <c r="O35" s="5" t="s">
        <v>747</v>
      </c>
      <c r="P35" s="5" t="s">
        <v>642</v>
      </c>
      <c r="Q35" s="23" t="s">
        <v>299</v>
      </c>
      <c r="S35" s="24"/>
      <c r="T35" s="26" t="str">
        <f t="shared" si="1"/>
        <v xml:space="preserve">      Coffee</v>
      </c>
      <c r="U35" s="26" t="str">
        <f t="shared" si="2"/>
        <v xml:space="preserve">      Coffee</v>
      </c>
      <c r="V35" s="26" t="str">
        <f t="shared" si="3"/>
        <v xml:space="preserve">               </v>
      </c>
      <c r="W35" s="26" t="str">
        <f t="shared" si="4"/>
        <v xml:space="preserve">      Urban - decile 4</v>
      </c>
    </row>
    <row r="36" spans="2:23" x14ac:dyDescent="0.3">
      <c r="B36" s="25"/>
      <c r="C36" s="27">
        <v>3</v>
      </c>
      <c r="D36" s="5" t="s">
        <v>528</v>
      </c>
      <c r="E36" s="5" t="s">
        <v>529</v>
      </c>
      <c r="F36" s="5" t="s">
        <v>529</v>
      </c>
      <c r="G36" s="23"/>
      <c r="H36" s="14"/>
      <c r="I36" s="27"/>
      <c r="J36" s="5"/>
      <c r="K36" s="5"/>
      <c r="L36" s="23" t="s">
        <v>299</v>
      </c>
      <c r="M36" s="14"/>
      <c r="N36" s="27">
        <v>3</v>
      </c>
      <c r="O36" s="5" t="s">
        <v>748</v>
      </c>
      <c r="P36" s="5" t="s">
        <v>643</v>
      </c>
      <c r="Q36" s="23" t="s">
        <v>299</v>
      </c>
      <c r="S36" s="24"/>
      <c r="T36" s="26" t="str">
        <f t="shared" si="1"/>
        <v xml:space="preserve">      Cocoa</v>
      </c>
      <c r="U36" s="26" t="str">
        <f t="shared" si="2"/>
        <v xml:space="preserve">      Cocoa</v>
      </c>
      <c r="V36" s="26" t="str">
        <f t="shared" si="3"/>
        <v xml:space="preserve">               </v>
      </c>
      <c r="W36" s="26" t="str">
        <f t="shared" si="4"/>
        <v xml:space="preserve">      Urban - decile 5</v>
      </c>
    </row>
    <row r="37" spans="2:23" x14ac:dyDescent="0.3">
      <c r="B37" s="25"/>
      <c r="C37" s="27">
        <v>3</v>
      </c>
      <c r="D37" s="5" t="s">
        <v>530</v>
      </c>
      <c r="E37" s="5" t="s">
        <v>531</v>
      </c>
      <c r="F37" s="5" t="s">
        <v>531</v>
      </c>
      <c r="G37" s="23"/>
      <c r="H37" s="14"/>
      <c r="I37" s="27"/>
      <c r="J37" s="5"/>
      <c r="K37" s="5"/>
      <c r="L37" s="23" t="s">
        <v>299</v>
      </c>
      <c r="M37" s="14"/>
      <c r="N37" s="27">
        <v>3</v>
      </c>
      <c r="O37" s="5" t="s">
        <v>749</v>
      </c>
      <c r="P37" s="5" t="s">
        <v>644</v>
      </c>
      <c r="Q37" s="23" t="s">
        <v>299</v>
      </c>
      <c r="S37" s="24"/>
      <c r="T37" s="26" t="str">
        <f t="shared" si="1"/>
        <v xml:space="preserve">      Cut flowers</v>
      </c>
      <c r="U37" s="26" t="str">
        <f t="shared" si="2"/>
        <v xml:space="preserve">      Cut flowers</v>
      </c>
      <c r="V37" s="26" t="str">
        <f t="shared" si="3"/>
        <v xml:space="preserve">               </v>
      </c>
      <c r="W37" s="26" t="str">
        <f t="shared" si="4"/>
        <v xml:space="preserve">      Urban - decile 6</v>
      </c>
    </row>
    <row r="38" spans="2:23" x14ac:dyDescent="0.3">
      <c r="B38" s="25"/>
      <c r="C38" s="27">
        <v>3</v>
      </c>
      <c r="D38" s="5" t="s">
        <v>532</v>
      </c>
      <c r="E38" s="5" t="s">
        <v>533</v>
      </c>
      <c r="F38" s="5" t="s">
        <v>533</v>
      </c>
      <c r="G38" s="23"/>
      <c r="H38" s="14"/>
      <c r="I38" s="27"/>
      <c r="J38" s="5"/>
      <c r="K38" s="5"/>
      <c r="L38" s="23" t="s">
        <v>299</v>
      </c>
      <c r="M38" s="14"/>
      <c r="N38" s="27">
        <v>3</v>
      </c>
      <c r="O38" s="5" t="s">
        <v>750</v>
      </c>
      <c r="P38" s="5" t="s">
        <v>645</v>
      </c>
      <c r="Q38" s="23" t="s">
        <v>299</v>
      </c>
      <c r="S38" s="24"/>
      <c r="T38" s="26" t="str">
        <f t="shared" si="1"/>
        <v xml:space="preserve">      Rubber</v>
      </c>
      <c r="U38" s="26" t="str">
        <f t="shared" si="2"/>
        <v xml:space="preserve">      Rubber</v>
      </c>
      <c r="V38" s="26" t="str">
        <f t="shared" si="3"/>
        <v xml:space="preserve">               </v>
      </c>
      <c r="W38" s="26" t="str">
        <f t="shared" si="4"/>
        <v xml:space="preserve">      Urban - decile 7</v>
      </c>
    </row>
    <row r="39" spans="2:23" x14ac:dyDescent="0.3">
      <c r="B39" s="25"/>
      <c r="C39" s="27">
        <v>3</v>
      </c>
      <c r="D39" s="5" t="s">
        <v>344</v>
      </c>
      <c r="E39" s="5" t="s">
        <v>345</v>
      </c>
      <c r="F39" s="5" t="s">
        <v>345</v>
      </c>
      <c r="G39" s="23"/>
      <c r="H39" s="14"/>
      <c r="I39" s="27"/>
      <c r="J39" s="5"/>
      <c r="K39" s="5"/>
      <c r="L39" s="23" t="s">
        <v>299</v>
      </c>
      <c r="M39" s="14"/>
      <c r="N39" s="27">
        <v>3</v>
      </c>
      <c r="O39" s="5" t="s">
        <v>751</v>
      </c>
      <c r="P39" s="5" t="s">
        <v>646</v>
      </c>
      <c r="Q39" s="23" t="s">
        <v>299</v>
      </c>
      <c r="S39" s="24"/>
      <c r="T39" s="26" t="str">
        <f t="shared" si="1"/>
        <v xml:space="preserve">      Other crops</v>
      </c>
      <c r="U39" s="26" t="str">
        <f t="shared" si="2"/>
        <v xml:space="preserve">      Other crops</v>
      </c>
      <c r="V39" s="26" t="str">
        <f t="shared" si="3"/>
        <v xml:space="preserve">               </v>
      </c>
      <c r="W39" s="26" t="str">
        <f t="shared" si="4"/>
        <v xml:space="preserve">      Urban - decile 8</v>
      </c>
    </row>
    <row r="40" spans="2:23" x14ac:dyDescent="0.3">
      <c r="B40" s="25"/>
      <c r="C40" s="27">
        <v>2</v>
      </c>
      <c r="D40" s="5" t="s">
        <v>346</v>
      </c>
      <c r="E40" s="5" t="s">
        <v>347</v>
      </c>
      <c r="F40" s="5" t="s">
        <v>347</v>
      </c>
      <c r="G40" s="23"/>
      <c r="H40" s="14"/>
      <c r="I40" s="27"/>
      <c r="J40" s="5"/>
      <c r="K40" s="5"/>
      <c r="L40" s="23" t="s">
        <v>299</v>
      </c>
      <c r="M40" s="14"/>
      <c r="N40" s="27">
        <v>3</v>
      </c>
      <c r="O40" s="5" t="s">
        <v>752</v>
      </c>
      <c r="P40" s="5" t="s">
        <v>647</v>
      </c>
      <c r="Q40" s="23" t="s">
        <v>299</v>
      </c>
      <c r="S40" s="24"/>
      <c r="T40" s="26" t="str">
        <f t="shared" si="1"/>
        <v xml:space="preserve">   Livestock</v>
      </c>
      <c r="U40" s="26" t="str">
        <f t="shared" si="2"/>
        <v xml:space="preserve">   Livestock</v>
      </c>
      <c r="V40" s="26" t="str">
        <f t="shared" si="3"/>
        <v xml:space="preserve">               </v>
      </c>
      <c r="W40" s="26" t="str">
        <f t="shared" si="4"/>
        <v xml:space="preserve">      Urban - decile 9</v>
      </c>
    </row>
    <row r="41" spans="2:23" x14ac:dyDescent="0.3">
      <c r="B41" s="25"/>
      <c r="C41" s="27">
        <v>3</v>
      </c>
      <c r="D41" s="5" t="s">
        <v>348</v>
      </c>
      <c r="E41" s="5" t="s">
        <v>534</v>
      </c>
      <c r="F41" s="5" t="s">
        <v>534</v>
      </c>
      <c r="G41" s="23"/>
      <c r="H41" s="14"/>
      <c r="I41" s="27"/>
      <c r="J41" s="5"/>
      <c r="K41" s="5"/>
      <c r="L41" s="23" t="s">
        <v>299</v>
      </c>
      <c r="M41" s="14"/>
      <c r="N41" s="27">
        <v>3</v>
      </c>
      <c r="O41" s="5" t="s">
        <v>753</v>
      </c>
      <c r="P41" s="5" t="s">
        <v>648</v>
      </c>
      <c r="Q41" s="23" t="s">
        <v>299</v>
      </c>
      <c r="S41" s="24"/>
      <c r="T41" s="26" t="str">
        <f t="shared" si="1"/>
        <v xml:space="preserve">      Cattle</v>
      </c>
      <c r="U41" s="26" t="str">
        <f t="shared" si="2"/>
        <v xml:space="preserve">      Cattle</v>
      </c>
      <c r="V41" s="26" t="str">
        <f t="shared" si="3"/>
        <v xml:space="preserve">               </v>
      </c>
      <c r="W41" s="26" t="str">
        <f t="shared" si="4"/>
        <v xml:space="preserve">      Urban - decile 10 (high)</v>
      </c>
    </row>
    <row r="42" spans="2:23" x14ac:dyDescent="0.3">
      <c r="B42" s="25"/>
      <c r="C42" s="27">
        <v>3</v>
      </c>
      <c r="D42" s="5" t="s">
        <v>535</v>
      </c>
      <c r="E42" s="5" t="s">
        <v>536</v>
      </c>
      <c r="F42" s="5" t="s">
        <v>536</v>
      </c>
      <c r="G42" s="23"/>
      <c r="H42" s="14"/>
      <c r="I42" s="27"/>
      <c r="J42" s="5"/>
      <c r="K42" s="5"/>
      <c r="L42" s="23" t="s">
        <v>299</v>
      </c>
      <c r="M42" s="14"/>
      <c r="N42" s="27"/>
      <c r="O42" s="5"/>
      <c r="P42" s="5"/>
      <c r="Q42" s="23" t="s">
        <v>299</v>
      </c>
      <c r="S42" s="24"/>
      <c r="T42" s="26" t="str">
        <f t="shared" si="1"/>
        <v xml:space="preserve">      Raw milk</v>
      </c>
      <c r="U42" s="26" t="str">
        <f t="shared" si="2"/>
        <v xml:space="preserve">      Raw milk</v>
      </c>
      <c r="V42" s="26" t="str">
        <f t="shared" si="3"/>
        <v xml:space="preserve">               </v>
      </c>
      <c r="W42" s="26" t="str">
        <f t="shared" si="4"/>
        <v xml:space="preserve">               </v>
      </c>
    </row>
    <row r="43" spans="2:23" x14ac:dyDescent="0.3">
      <c r="B43" s="25"/>
      <c r="C43" s="27">
        <v>3</v>
      </c>
      <c r="D43" s="5" t="s">
        <v>349</v>
      </c>
      <c r="E43" s="5" t="s">
        <v>537</v>
      </c>
      <c r="F43" s="5" t="s">
        <v>537</v>
      </c>
      <c r="G43" s="23"/>
      <c r="H43" s="14"/>
      <c r="I43" s="27"/>
      <c r="J43" s="5"/>
      <c r="K43" s="5"/>
      <c r="L43" s="23" t="s">
        <v>299</v>
      </c>
      <c r="M43" s="14"/>
      <c r="N43" s="27"/>
      <c r="O43" s="5"/>
      <c r="P43" s="5"/>
      <c r="Q43" s="23" t="s">
        <v>299</v>
      </c>
      <c r="S43" s="24"/>
      <c r="T43" s="26" t="str">
        <f t="shared" si="1"/>
        <v xml:space="preserve">      Poultry</v>
      </c>
      <c r="U43" s="26" t="str">
        <f t="shared" si="2"/>
        <v xml:space="preserve">      Poultry</v>
      </c>
      <c r="V43" s="26" t="str">
        <f t="shared" si="3"/>
        <v xml:space="preserve">               </v>
      </c>
      <c r="W43" s="26" t="str">
        <f t="shared" si="4"/>
        <v xml:space="preserve">               </v>
      </c>
    </row>
    <row r="44" spans="2:23" x14ac:dyDescent="0.3">
      <c r="B44" s="25"/>
      <c r="C44" s="27">
        <v>3</v>
      </c>
      <c r="D44" s="5" t="s">
        <v>538</v>
      </c>
      <c r="E44" s="5" t="s">
        <v>539</v>
      </c>
      <c r="F44" s="5" t="s">
        <v>539</v>
      </c>
      <c r="G44" s="23"/>
      <c r="H44" s="14"/>
      <c r="I44" s="27"/>
      <c r="J44" s="5"/>
      <c r="K44" s="5"/>
      <c r="L44" s="23" t="s">
        <v>299</v>
      </c>
      <c r="M44" s="14"/>
      <c r="N44" s="27"/>
      <c r="O44" s="5"/>
      <c r="P44" s="5"/>
      <c r="Q44" s="23" t="s">
        <v>299</v>
      </c>
      <c r="S44" s="24"/>
      <c r="T44" s="26" t="str">
        <f t="shared" si="1"/>
        <v xml:space="preserve">      Eggs</v>
      </c>
      <c r="U44" s="26" t="str">
        <f t="shared" si="2"/>
        <v xml:space="preserve">      Eggs</v>
      </c>
      <c r="V44" s="26" t="str">
        <f t="shared" si="3"/>
        <v xml:space="preserve">               </v>
      </c>
      <c r="W44" s="26" t="str">
        <f t="shared" si="4"/>
        <v xml:space="preserve">               </v>
      </c>
    </row>
    <row r="45" spans="2:23" x14ac:dyDescent="0.3">
      <c r="B45" s="25"/>
      <c r="C45" s="27">
        <v>3</v>
      </c>
      <c r="D45" s="5" t="s">
        <v>540</v>
      </c>
      <c r="E45" s="5" t="s">
        <v>541</v>
      </c>
      <c r="F45" s="5" t="s">
        <v>541</v>
      </c>
      <c r="G45" s="23"/>
      <c r="H45" s="14"/>
      <c r="I45" s="27"/>
      <c r="J45" s="5"/>
      <c r="K45" s="5"/>
      <c r="L45" s="23" t="s">
        <v>299</v>
      </c>
      <c r="M45" s="14"/>
      <c r="N45" s="27"/>
      <c r="O45" s="5"/>
      <c r="P45" s="5"/>
      <c r="Q45" s="23" t="s">
        <v>299</v>
      </c>
      <c r="S45" s="24"/>
      <c r="T45" s="26" t="str">
        <f t="shared" si="1"/>
        <v xml:space="preserve">      Small ruminants</v>
      </c>
      <c r="U45" s="26" t="str">
        <f t="shared" si="2"/>
        <v xml:space="preserve">      Small ruminants</v>
      </c>
      <c r="V45" s="26" t="str">
        <f t="shared" si="3"/>
        <v xml:space="preserve">               </v>
      </c>
      <c r="W45" s="26" t="str">
        <f t="shared" si="4"/>
        <v xml:space="preserve">               </v>
      </c>
    </row>
    <row r="46" spans="2:23" x14ac:dyDescent="0.3">
      <c r="B46" s="25"/>
      <c r="C46" s="27">
        <v>3</v>
      </c>
      <c r="D46" s="5" t="s">
        <v>350</v>
      </c>
      <c r="E46" s="5" t="s">
        <v>351</v>
      </c>
      <c r="F46" s="5" t="s">
        <v>351</v>
      </c>
      <c r="G46" s="23"/>
      <c r="H46" s="14"/>
      <c r="I46" s="27"/>
      <c r="J46" s="5"/>
      <c r="K46" s="5"/>
      <c r="L46" s="23" t="s">
        <v>299</v>
      </c>
      <c r="M46" s="14"/>
      <c r="N46" s="27"/>
      <c r="O46" s="5"/>
      <c r="P46" s="5"/>
      <c r="Q46" s="23" t="s">
        <v>299</v>
      </c>
      <c r="S46" s="24"/>
      <c r="T46" s="26" t="str">
        <f t="shared" si="1"/>
        <v xml:space="preserve">      Other livestock</v>
      </c>
      <c r="U46" s="26" t="str">
        <f t="shared" si="2"/>
        <v xml:space="preserve">      Other livestock</v>
      </c>
      <c r="V46" s="26" t="str">
        <f t="shared" si="3"/>
        <v xml:space="preserve">               </v>
      </c>
      <c r="W46" s="26" t="str">
        <f t="shared" si="4"/>
        <v xml:space="preserve">               </v>
      </c>
    </row>
    <row r="47" spans="2:23" x14ac:dyDescent="0.3">
      <c r="B47" s="25"/>
      <c r="C47" s="27">
        <v>2</v>
      </c>
      <c r="D47" s="5" t="s">
        <v>352</v>
      </c>
      <c r="E47" s="5" t="s">
        <v>353</v>
      </c>
      <c r="F47" s="5" t="s">
        <v>353</v>
      </c>
      <c r="G47" s="23"/>
      <c r="H47" s="14"/>
      <c r="I47" s="27"/>
      <c r="J47" s="5"/>
      <c r="K47" s="5"/>
      <c r="L47" s="23" t="s">
        <v>299</v>
      </c>
      <c r="M47" s="14"/>
      <c r="N47" s="27"/>
      <c r="O47" s="5"/>
      <c r="P47" s="5"/>
      <c r="Q47" s="23" t="s">
        <v>299</v>
      </c>
      <c r="S47" s="24"/>
      <c r="T47" s="26" t="str">
        <f t="shared" si="1"/>
        <v xml:space="preserve">   Other agriculture</v>
      </c>
      <c r="U47" s="26" t="str">
        <f t="shared" si="2"/>
        <v xml:space="preserve">   Other agriculture</v>
      </c>
      <c r="V47" s="26" t="str">
        <f t="shared" si="3"/>
        <v xml:space="preserve">               </v>
      </c>
      <c r="W47" s="26" t="str">
        <f t="shared" si="4"/>
        <v xml:space="preserve">               </v>
      </c>
    </row>
    <row r="48" spans="2:23" x14ac:dyDescent="0.3">
      <c r="B48" s="25"/>
      <c r="C48" s="27">
        <v>3</v>
      </c>
      <c r="D48" s="5" t="s">
        <v>354</v>
      </c>
      <c r="E48" s="5" t="s">
        <v>355</v>
      </c>
      <c r="F48" s="5" t="s">
        <v>355</v>
      </c>
      <c r="G48" s="23"/>
      <c r="H48" s="14"/>
      <c r="I48" s="27"/>
      <c r="J48" s="5"/>
      <c r="K48" s="5"/>
      <c r="L48" s="23" t="s">
        <v>299</v>
      </c>
      <c r="M48" s="14"/>
      <c r="N48" s="27"/>
      <c r="O48" s="5"/>
      <c r="P48" s="5"/>
      <c r="Q48" s="23" t="s">
        <v>299</v>
      </c>
      <c r="S48" s="24"/>
      <c r="T48" s="26" t="str">
        <f t="shared" si="1"/>
        <v xml:space="preserve">      Forestry</v>
      </c>
      <c r="U48" s="26" t="str">
        <f t="shared" si="2"/>
        <v xml:space="preserve">      Forestry</v>
      </c>
      <c r="V48" s="26" t="str">
        <f t="shared" si="3"/>
        <v xml:space="preserve">               </v>
      </c>
      <c r="W48" s="26" t="str">
        <f t="shared" si="4"/>
        <v xml:space="preserve">               </v>
      </c>
    </row>
    <row r="49" spans="2:23" x14ac:dyDescent="0.3">
      <c r="B49" s="25"/>
      <c r="C49" s="27">
        <v>3</v>
      </c>
      <c r="D49" s="5" t="s">
        <v>542</v>
      </c>
      <c r="E49" s="5" t="s">
        <v>543</v>
      </c>
      <c r="F49" s="5" t="s">
        <v>543</v>
      </c>
      <c r="G49" s="23"/>
      <c r="H49" s="14"/>
      <c r="I49" s="27"/>
      <c r="J49" s="5"/>
      <c r="K49" s="5"/>
      <c r="L49" s="23" t="s">
        <v>299</v>
      </c>
      <c r="M49" s="14"/>
      <c r="N49" s="27"/>
      <c r="O49" s="5"/>
      <c r="P49" s="5"/>
      <c r="Q49" s="23" t="s">
        <v>299</v>
      </c>
      <c r="S49" s="24"/>
      <c r="T49" s="26" t="str">
        <f t="shared" si="1"/>
        <v xml:space="preserve">      Aquaculture</v>
      </c>
      <c r="U49" s="26" t="str">
        <f t="shared" si="2"/>
        <v xml:space="preserve">      Aquaculture</v>
      </c>
      <c r="V49" s="26" t="str">
        <f t="shared" si="3"/>
        <v xml:space="preserve">               </v>
      </c>
      <c r="W49" s="26" t="str">
        <f t="shared" si="4"/>
        <v xml:space="preserve">               </v>
      </c>
    </row>
    <row r="50" spans="2:23" x14ac:dyDescent="0.3">
      <c r="B50" s="25"/>
      <c r="C50" s="27">
        <v>3</v>
      </c>
      <c r="D50" s="5" t="s">
        <v>356</v>
      </c>
      <c r="E50" s="5" t="s">
        <v>544</v>
      </c>
      <c r="F50" s="5" t="s">
        <v>544</v>
      </c>
      <c r="G50" s="23"/>
      <c r="H50" s="14"/>
      <c r="I50" s="27"/>
      <c r="J50" s="5"/>
      <c r="K50" s="5"/>
      <c r="L50" s="23" t="s">
        <v>299</v>
      </c>
      <c r="M50" s="14"/>
      <c r="N50" s="27"/>
      <c r="O50" s="5"/>
      <c r="P50" s="5"/>
      <c r="Q50" s="23" t="s">
        <v>299</v>
      </c>
      <c r="S50" s="24"/>
      <c r="T50" s="26" t="str">
        <f t="shared" si="1"/>
        <v xml:space="preserve">      Capture fisheries</v>
      </c>
      <c r="U50" s="26" t="str">
        <f t="shared" si="2"/>
        <v xml:space="preserve">      Capture fisheries</v>
      </c>
      <c r="V50" s="26" t="str">
        <f t="shared" si="3"/>
        <v xml:space="preserve">               </v>
      </c>
      <c r="W50" s="26" t="str">
        <f t="shared" si="4"/>
        <v xml:space="preserve">               </v>
      </c>
    </row>
    <row r="51" spans="2:23" x14ac:dyDescent="0.3">
      <c r="B51" s="25"/>
      <c r="C51" s="27">
        <v>1</v>
      </c>
      <c r="D51" s="5" t="s">
        <v>357</v>
      </c>
      <c r="E51" s="5" t="s">
        <v>358</v>
      </c>
      <c r="F51" s="5" t="s">
        <v>358</v>
      </c>
      <c r="G51" s="23"/>
      <c r="H51" s="14"/>
      <c r="I51" s="27"/>
      <c r="J51" s="5"/>
      <c r="K51" s="5"/>
      <c r="L51" s="23" t="s">
        <v>299</v>
      </c>
      <c r="M51" s="14"/>
      <c r="N51" s="27"/>
      <c r="O51" s="5"/>
      <c r="P51" s="5"/>
      <c r="Q51" s="23" t="s">
        <v>299</v>
      </c>
      <c r="S51" s="24"/>
      <c r="T51" s="26" t="str">
        <f t="shared" si="1"/>
        <v>Industry</v>
      </c>
      <c r="U51" s="26" t="str">
        <f t="shared" si="2"/>
        <v>Industry</v>
      </c>
      <c r="V51" s="26" t="str">
        <f t="shared" si="3"/>
        <v xml:space="preserve">               </v>
      </c>
      <c r="W51" s="26" t="str">
        <f t="shared" si="4"/>
        <v xml:space="preserve">               </v>
      </c>
    </row>
    <row r="52" spans="2:23" x14ac:dyDescent="0.3">
      <c r="B52" s="25"/>
      <c r="C52" s="27">
        <v>2</v>
      </c>
      <c r="D52" s="5" t="s">
        <v>545</v>
      </c>
      <c r="E52" s="5" t="s">
        <v>359</v>
      </c>
      <c r="F52" s="5" t="s">
        <v>359</v>
      </c>
      <c r="G52" s="23"/>
      <c r="H52" s="14"/>
      <c r="I52" s="27"/>
      <c r="J52" s="5"/>
      <c r="K52" s="5"/>
      <c r="L52" s="23" t="s">
        <v>299</v>
      </c>
      <c r="M52" s="14"/>
      <c r="N52" s="27"/>
      <c r="O52" s="5"/>
      <c r="P52" s="5"/>
      <c r="Q52" s="23" t="s">
        <v>299</v>
      </c>
      <c r="S52" s="24"/>
      <c r="T52" s="26" t="str">
        <f t="shared" si="1"/>
        <v xml:space="preserve">   Mining</v>
      </c>
      <c r="U52" s="26" t="str">
        <f t="shared" si="2"/>
        <v xml:space="preserve">   Mining</v>
      </c>
      <c r="V52" s="26" t="str">
        <f t="shared" si="3"/>
        <v xml:space="preserve">               </v>
      </c>
      <c r="W52" s="26" t="str">
        <f t="shared" si="4"/>
        <v xml:space="preserve">               </v>
      </c>
    </row>
    <row r="53" spans="2:23" x14ac:dyDescent="0.3">
      <c r="B53" s="25"/>
      <c r="C53" s="27">
        <v>3</v>
      </c>
      <c r="D53" s="5" t="s">
        <v>546</v>
      </c>
      <c r="E53" s="5" t="s">
        <v>547</v>
      </c>
      <c r="F53" s="5" t="s">
        <v>547</v>
      </c>
      <c r="G53" s="23"/>
      <c r="H53" s="14"/>
      <c r="I53" s="27"/>
      <c r="J53" s="5"/>
      <c r="K53" s="5"/>
      <c r="L53" s="23" t="s">
        <v>299</v>
      </c>
      <c r="M53" s="14"/>
      <c r="N53" s="27"/>
      <c r="O53" s="5"/>
      <c r="P53" s="5"/>
      <c r="Q53" s="23" t="s">
        <v>299</v>
      </c>
      <c r="S53" s="24"/>
      <c r="T53" s="26" t="str">
        <f t="shared" si="1"/>
        <v xml:space="preserve">      Coal and lignite</v>
      </c>
      <c r="U53" s="26" t="str">
        <f t="shared" si="2"/>
        <v xml:space="preserve">      Coal and lignite</v>
      </c>
      <c r="V53" s="26" t="str">
        <f t="shared" si="3"/>
        <v xml:space="preserve">               </v>
      </c>
      <c r="W53" s="26" t="str">
        <f t="shared" si="4"/>
        <v xml:space="preserve">               </v>
      </c>
    </row>
    <row r="54" spans="2:23" x14ac:dyDescent="0.3">
      <c r="B54" s="25"/>
      <c r="C54" s="27">
        <v>3</v>
      </c>
      <c r="D54" s="5" t="s">
        <v>548</v>
      </c>
      <c r="E54" s="5" t="s">
        <v>549</v>
      </c>
      <c r="F54" s="5" t="s">
        <v>549</v>
      </c>
      <c r="G54" s="23"/>
      <c r="H54" s="14"/>
      <c r="I54" s="27"/>
      <c r="J54" s="5"/>
      <c r="K54" s="5"/>
      <c r="L54" s="23" t="s">
        <v>299</v>
      </c>
      <c r="M54" s="14"/>
      <c r="N54" s="27"/>
      <c r="O54" s="5"/>
      <c r="P54" s="5"/>
      <c r="Q54" s="23" t="s">
        <v>299</v>
      </c>
      <c r="S54" s="24"/>
      <c r="T54" s="26" t="str">
        <f t="shared" si="1"/>
        <v xml:space="preserve">      Crude oil</v>
      </c>
      <c r="U54" s="26" t="str">
        <f t="shared" si="2"/>
        <v xml:space="preserve">      Crude oil</v>
      </c>
      <c r="V54" s="26" t="str">
        <f t="shared" si="3"/>
        <v xml:space="preserve">               </v>
      </c>
      <c r="W54" s="26" t="str">
        <f t="shared" si="4"/>
        <v xml:space="preserve">               </v>
      </c>
    </row>
    <row r="55" spans="2:23" x14ac:dyDescent="0.3">
      <c r="B55" s="25"/>
      <c r="C55" s="27">
        <v>3</v>
      </c>
      <c r="D55" s="5" t="s">
        <v>550</v>
      </c>
      <c r="E55" s="5" t="s">
        <v>551</v>
      </c>
      <c r="F55" s="5" t="s">
        <v>551</v>
      </c>
      <c r="G55" s="23"/>
      <c r="H55" s="14"/>
      <c r="I55" s="27"/>
      <c r="J55" s="5"/>
      <c r="K55" s="5"/>
      <c r="L55" s="23" t="s">
        <v>299</v>
      </c>
      <c r="M55" s="14"/>
      <c r="N55" s="27"/>
      <c r="O55" s="5"/>
      <c r="P55" s="5"/>
      <c r="Q55" s="23" t="s">
        <v>299</v>
      </c>
      <c r="S55" s="24"/>
      <c r="T55" s="26" t="str">
        <f t="shared" si="1"/>
        <v xml:space="preserve">      Natural gas</v>
      </c>
      <c r="U55" s="26" t="str">
        <f t="shared" si="2"/>
        <v xml:space="preserve">      Natural gas</v>
      </c>
      <c r="V55" s="26" t="str">
        <f t="shared" si="3"/>
        <v xml:space="preserve">               </v>
      </c>
      <c r="W55" s="26" t="str">
        <f t="shared" si="4"/>
        <v xml:space="preserve">               </v>
      </c>
    </row>
    <row r="56" spans="2:23" x14ac:dyDescent="0.3">
      <c r="B56" s="25"/>
      <c r="C56" s="27">
        <v>3</v>
      </c>
      <c r="D56" s="5" t="s">
        <v>552</v>
      </c>
      <c r="E56" s="5" t="s">
        <v>553</v>
      </c>
      <c r="F56" s="5" t="s">
        <v>553</v>
      </c>
      <c r="G56" s="23"/>
      <c r="H56" s="14"/>
      <c r="I56" s="27"/>
      <c r="J56" s="5"/>
      <c r="K56" s="5"/>
      <c r="L56" s="23" t="s">
        <v>299</v>
      </c>
      <c r="M56" s="14"/>
      <c r="N56" s="27"/>
      <c r="O56" s="5"/>
      <c r="P56" s="5"/>
      <c r="Q56" s="23" t="s">
        <v>299</v>
      </c>
      <c r="S56" s="24"/>
      <c r="T56" s="26" t="str">
        <f t="shared" si="1"/>
        <v xml:space="preserve">      Other mining</v>
      </c>
      <c r="U56" s="26" t="str">
        <f t="shared" si="2"/>
        <v xml:space="preserve">      Other mining</v>
      </c>
      <c r="V56" s="26" t="str">
        <f t="shared" si="3"/>
        <v xml:space="preserve">               </v>
      </c>
      <c r="W56" s="26" t="str">
        <f t="shared" si="4"/>
        <v xml:space="preserve">               </v>
      </c>
    </row>
    <row r="57" spans="2:23" x14ac:dyDescent="0.3">
      <c r="B57" s="25"/>
      <c r="C57" s="27">
        <v>2</v>
      </c>
      <c r="D57" s="5" t="s">
        <v>360</v>
      </c>
      <c r="E57" s="5" t="s">
        <v>361</v>
      </c>
      <c r="F57" s="5" t="s">
        <v>361</v>
      </c>
      <c r="G57" s="23"/>
      <c r="H57" s="14"/>
      <c r="I57" s="27"/>
      <c r="J57" s="5"/>
      <c r="K57" s="5"/>
      <c r="L57" s="23" t="s">
        <v>299</v>
      </c>
      <c r="M57" s="14"/>
      <c r="N57" s="27"/>
      <c r="O57" s="5"/>
      <c r="P57" s="5"/>
      <c r="Q57" s="23" t="s">
        <v>299</v>
      </c>
      <c r="S57" s="24"/>
      <c r="T57" s="26" t="str">
        <f t="shared" si="1"/>
        <v xml:space="preserve">   Manufacturing</v>
      </c>
      <c r="U57" s="26" t="str">
        <f t="shared" si="2"/>
        <v xml:space="preserve">   Manufacturing</v>
      </c>
      <c r="V57" s="26" t="str">
        <f t="shared" si="3"/>
        <v xml:space="preserve">               </v>
      </c>
      <c r="W57" s="26" t="str">
        <f t="shared" si="4"/>
        <v xml:space="preserve">               </v>
      </c>
    </row>
    <row r="58" spans="2:23" x14ac:dyDescent="0.3">
      <c r="B58" s="25"/>
      <c r="C58" s="27">
        <v>3</v>
      </c>
      <c r="D58" s="5" t="s">
        <v>554</v>
      </c>
      <c r="E58" s="5" t="s">
        <v>555</v>
      </c>
      <c r="F58" s="5" t="s">
        <v>555</v>
      </c>
      <c r="G58" s="23"/>
      <c r="H58" s="14"/>
      <c r="I58" s="27"/>
      <c r="J58" s="5"/>
      <c r="K58" s="5"/>
      <c r="L58" s="23" t="s">
        <v>299</v>
      </c>
      <c r="M58" s="14"/>
      <c r="N58" s="27"/>
      <c r="O58" s="5"/>
      <c r="P58" s="5"/>
      <c r="Q58" s="23" t="s">
        <v>299</v>
      </c>
      <c r="S58" s="24"/>
      <c r="T58" s="26" t="str">
        <f t="shared" si="1"/>
        <v xml:space="preserve">      Food processing</v>
      </c>
      <c r="U58" s="26" t="str">
        <f t="shared" si="2"/>
        <v xml:space="preserve">      Food processing</v>
      </c>
      <c r="V58" s="26" t="str">
        <f t="shared" si="3"/>
        <v xml:space="preserve">               </v>
      </c>
      <c r="W58" s="26" t="str">
        <f t="shared" si="4"/>
        <v xml:space="preserve">               </v>
      </c>
    </row>
    <row r="59" spans="2:23" x14ac:dyDescent="0.3">
      <c r="B59" s="25"/>
      <c r="C59" s="27">
        <v>4</v>
      </c>
      <c r="D59" s="5" t="s">
        <v>556</v>
      </c>
      <c r="E59" s="5" t="s">
        <v>716</v>
      </c>
      <c r="F59" s="5" t="s">
        <v>716</v>
      </c>
      <c r="G59" s="23"/>
      <c r="H59" s="14"/>
      <c r="I59" s="27"/>
      <c r="J59" s="5"/>
      <c r="K59" s="5"/>
      <c r="L59" s="23" t="s">
        <v>299</v>
      </c>
      <c r="M59" s="14"/>
      <c r="N59" s="27"/>
      <c r="O59" s="5"/>
      <c r="P59" s="5"/>
      <c r="Q59" s="23" t="s">
        <v>299</v>
      </c>
      <c r="S59" s="24"/>
      <c r="T59" s="26" t="str">
        <f t="shared" si="1"/>
        <v xml:space="preserve">         Meat processing</v>
      </c>
      <c r="U59" s="26" t="str">
        <f t="shared" si="2"/>
        <v xml:space="preserve">         Meat processing</v>
      </c>
      <c r="V59" s="26" t="str">
        <f t="shared" si="3"/>
        <v xml:space="preserve">               </v>
      </c>
      <c r="W59" s="26" t="str">
        <f t="shared" si="4"/>
        <v xml:space="preserve">               </v>
      </c>
    </row>
    <row r="60" spans="2:23" x14ac:dyDescent="0.3">
      <c r="B60" s="25"/>
      <c r="C60" s="27">
        <v>4</v>
      </c>
      <c r="D60" s="5" t="s">
        <v>557</v>
      </c>
      <c r="E60" s="5" t="s">
        <v>558</v>
      </c>
      <c r="F60" s="5" t="s">
        <v>558</v>
      </c>
      <c r="G60" s="23"/>
      <c r="H60" s="14"/>
      <c r="I60" s="27"/>
      <c r="J60" s="5"/>
      <c r="K60" s="5"/>
      <c r="L60" s="23" t="s">
        <v>299</v>
      </c>
      <c r="M60" s="14"/>
      <c r="N60" s="27"/>
      <c r="O60" s="5"/>
      <c r="P60" s="5"/>
      <c r="Q60" s="23" t="s">
        <v>299</v>
      </c>
      <c r="S60" s="24"/>
      <c r="T60" s="26" t="str">
        <f t="shared" si="1"/>
        <v xml:space="preserve">         Fish and seafood processing</v>
      </c>
      <c r="U60" s="26" t="str">
        <f t="shared" si="2"/>
        <v xml:space="preserve">         Fish and seafood processing</v>
      </c>
      <c r="V60" s="26" t="str">
        <f t="shared" si="3"/>
        <v xml:space="preserve">               </v>
      </c>
      <c r="W60" s="26" t="str">
        <f t="shared" si="4"/>
        <v xml:space="preserve">               </v>
      </c>
    </row>
    <row r="61" spans="2:23" x14ac:dyDescent="0.3">
      <c r="B61" s="25"/>
      <c r="C61" s="27">
        <v>4</v>
      </c>
      <c r="D61" s="5" t="s">
        <v>559</v>
      </c>
      <c r="E61" s="5" t="s">
        <v>564</v>
      </c>
      <c r="F61" s="5" t="s">
        <v>564</v>
      </c>
      <c r="G61" s="23"/>
      <c r="H61" s="14"/>
      <c r="I61" s="27"/>
      <c r="J61" s="5"/>
      <c r="K61" s="5"/>
      <c r="L61" s="23" t="s">
        <v>299</v>
      </c>
      <c r="M61" s="14"/>
      <c r="N61" s="27"/>
      <c r="O61" s="5"/>
      <c r="P61" s="5"/>
      <c r="Q61" s="23" t="s">
        <v>299</v>
      </c>
      <c r="S61" s="24"/>
      <c r="T61" s="26" t="str">
        <f t="shared" si="1"/>
        <v xml:space="preserve">         Dairy</v>
      </c>
      <c r="U61" s="26" t="str">
        <f t="shared" si="2"/>
        <v xml:space="preserve">         Dairy</v>
      </c>
      <c r="V61" s="26" t="str">
        <f t="shared" si="3"/>
        <v xml:space="preserve">               </v>
      </c>
      <c r="W61" s="26" t="str">
        <f t="shared" si="4"/>
        <v xml:space="preserve">               </v>
      </c>
    </row>
    <row r="62" spans="2:23" x14ac:dyDescent="0.3">
      <c r="B62" s="25"/>
      <c r="C62" s="27">
        <v>4</v>
      </c>
      <c r="D62" s="5" t="s">
        <v>561</v>
      </c>
      <c r="E62" s="5" t="s">
        <v>560</v>
      </c>
      <c r="F62" s="5" t="s">
        <v>560</v>
      </c>
      <c r="G62" s="23"/>
      <c r="H62" s="14"/>
      <c r="I62" s="27"/>
      <c r="J62" s="5"/>
      <c r="K62" s="5"/>
      <c r="L62" s="23" t="s">
        <v>299</v>
      </c>
      <c r="M62" s="14"/>
      <c r="N62" s="27"/>
      <c r="O62" s="5"/>
      <c r="P62" s="5"/>
      <c r="Q62" s="23" t="s">
        <v>299</v>
      </c>
      <c r="S62" s="24"/>
      <c r="T62" s="26" t="str">
        <f t="shared" si="1"/>
        <v xml:space="preserve">         Fruit and vegetable processing</v>
      </c>
      <c r="U62" s="26" t="str">
        <f t="shared" si="2"/>
        <v xml:space="preserve">         Fruit and vegetable processing</v>
      </c>
      <c r="V62" s="26" t="str">
        <f t="shared" si="3"/>
        <v xml:space="preserve">               </v>
      </c>
      <c r="W62" s="26" t="str">
        <f t="shared" si="4"/>
        <v xml:space="preserve">               </v>
      </c>
    </row>
    <row r="63" spans="2:23" x14ac:dyDescent="0.3">
      <c r="B63" s="25"/>
      <c r="C63" s="27">
        <v>4</v>
      </c>
      <c r="D63" s="5" t="s">
        <v>563</v>
      </c>
      <c r="E63" s="5" t="s">
        <v>562</v>
      </c>
      <c r="F63" s="5" t="s">
        <v>562</v>
      </c>
      <c r="G63" s="23"/>
      <c r="H63" s="14"/>
      <c r="I63" s="27"/>
      <c r="J63" s="5"/>
      <c r="K63" s="5"/>
      <c r="L63" s="23" t="s">
        <v>299</v>
      </c>
      <c r="M63" s="14"/>
      <c r="N63" s="27"/>
      <c r="O63" s="5"/>
      <c r="P63" s="5"/>
      <c r="Q63" s="23" t="s">
        <v>299</v>
      </c>
      <c r="S63" s="24"/>
      <c r="T63" s="26" t="str">
        <f t="shared" si="1"/>
        <v xml:space="preserve">         Fats and oils</v>
      </c>
      <c r="U63" s="26" t="str">
        <f t="shared" si="2"/>
        <v xml:space="preserve">         Fats and oils</v>
      </c>
      <c r="V63" s="26" t="str">
        <f t="shared" si="3"/>
        <v xml:space="preserve">               </v>
      </c>
      <c r="W63" s="26" t="str">
        <f t="shared" si="4"/>
        <v xml:space="preserve">               </v>
      </c>
    </row>
    <row r="64" spans="2:23" x14ac:dyDescent="0.3">
      <c r="B64" s="25"/>
      <c r="C64" s="27">
        <v>4</v>
      </c>
      <c r="D64" s="5" t="s">
        <v>362</v>
      </c>
      <c r="E64" s="5" t="s">
        <v>717</v>
      </c>
      <c r="F64" s="5" t="s">
        <v>717</v>
      </c>
      <c r="G64" s="23"/>
      <c r="H64" s="14"/>
      <c r="I64" s="27"/>
      <c r="J64" s="5"/>
      <c r="K64" s="5"/>
      <c r="L64" s="23" t="s">
        <v>299</v>
      </c>
      <c r="M64" s="14"/>
      <c r="N64" s="27"/>
      <c r="O64" s="5"/>
      <c r="P64" s="5"/>
      <c r="Q64" s="23" t="s">
        <v>299</v>
      </c>
      <c r="S64" s="24"/>
      <c r="T64" s="26" t="str">
        <f t="shared" si="1"/>
        <v xml:space="preserve">         Maize milling</v>
      </c>
      <c r="U64" s="26" t="str">
        <f t="shared" si="2"/>
        <v xml:space="preserve">         Maize milling</v>
      </c>
      <c r="V64" s="26" t="str">
        <f t="shared" si="3"/>
        <v xml:space="preserve">               </v>
      </c>
      <c r="W64" s="26" t="str">
        <f t="shared" si="4"/>
        <v xml:space="preserve">               </v>
      </c>
    </row>
    <row r="65" spans="2:23" x14ac:dyDescent="0.3">
      <c r="B65" s="25"/>
      <c r="C65" s="27">
        <v>4</v>
      </c>
      <c r="D65" s="5" t="s">
        <v>363</v>
      </c>
      <c r="E65" s="5" t="s">
        <v>718</v>
      </c>
      <c r="F65" s="5" t="s">
        <v>718</v>
      </c>
      <c r="G65" s="23"/>
      <c r="H65" s="14"/>
      <c r="I65" s="27"/>
      <c r="J65" s="5"/>
      <c r="K65" s="5"/>
      <c r="L65" s="23" t="s">
        <v>299</v>
      </c>
      <c r="M65" s="14"/>
      <c r="N65" s="27"/>
      <c r="O65" s="5"/>
      <c r="P65" s="5"/>
      <c r="Q65" s="23" t="s">
        <v>299</v>
      </c>
      <c r="S65" s="24"/>
      <c r="T65" s="26" t="str">
        <f t="shared" si="1"/>
        <v xml:space="preserve">         Sorghum and millet milling</v>
      </c>
      <c r="U65" s="26" t="str">
        <f t="shared" si="2"/>
        <v xml:space="preserve">         Sorghum and millet milling</v>
      </c>
      <c r="V65" s="26" t="str">
        <f t="shared" si="3"/>
        <v xml:space="preserve">               </v>
      </c>
      <c r="W65" s="26" t="str">
        <f t="shared" si="4"/>
        <v xml:space="preserve">               </v>
      </c>
    </row>
    <row r="66" spans="2:23" x14ac:dyDescent="0.3">
      <c r="B66" s="25"/>
      <c r="C66" s="27">
        <v>4</v>
      </c>
      <c r="D66" s="5" t="s">
        <v>364</v>
      </c>
      <c r="E66" s="5" t="s">
        <v>719</v>
      </c>
      <c r="F66" s="5" t="s">
        <v>719</v>
      </c>
      <c r="G66" s="23"/>
      <c r="H66" s="14"/>
      <c r="I66" s="27"/>
      <c r="J66" s="5"/>
      <c r="K66" s="5"/>
      <c r="L66" s="23" t="s">
        <v>299</v>
      </c>
      <c r="M66" s="14"/>
      <c r="N66" s="27"/>
      <c r="O66" s="5"/>
      <c r="P66" s="5"/>
      <c r="Q66" s="23" t="s">
        <v>299</v>
      </c>
      <c r="S66" s="24"/>
      <c r="T66" s="26" t="str">
        <f t="shared" si="1"/>
        <v xml:space="preserve">         Rice milling</v>
      </c>
      <c r="U66" s="26" t="str">
        <f t="shared" si="2"/>
        <v xml:space="preserve">         Rice milling</v>
      </c>
      <c r="V66" s="26" t="str">
        <f t="shared" si="3"/>
        <v xml:space="preserve">               </v>
      </c>
      <c r="W66" s="26" t="str">
        <f t="shared" si="4"/>
        <v xml:space="preserve">               </v>
      </c>
    </row>
    <row r="67" spans="2:23" x14ac:dyDescent="0.3">
      <c r="B67" s="25"/>
      <c r="C67" s="27">
        <v>4</v>
      </c>
      <c r="D67" s="5" t="s">
        <v>720</v>
      </c>
      <c r="E67" s="5" t="s">
        <v>721</v>
      </c>
      <c r="F67" s="5" t="s">
        <v>721</v>
      </c>
      <c r="G67" s="23"/>
      <c r="H67" s="14"/>
      <c r="I67" s="27"/>
      <c r="J67" s="5"/>
      <c r="K67" s="5"/>
      <c r="L67" s="23" t="s">
        <v>299</v>
      </c>
      <c r="M67" s="14"/>
      <c r="N67" s="27"/>
      <c r="O67" s="5"/>
      <c r="P67" s="5"/>
      <c r="Q67" s="23" t="s">
        <v>299</v>
      </c>
      <c r="S67" s="24"/>
      <c r="T67" s="26" t="str">
        <f t="shared" si="1"/>
        <v xml:space="preserve">         Rice milling - coarse</v>
      </c>
      <c r="U67" s="26" t="str">
        <f t="shared" si="2"/>
        <v xml:space="preserve">         Rice milling - coarse</v>
      </c>
      <c r="V67" s="26" t="str">
        <f t="shared" si="3"/>
        <v xml:space="preserve">               </v>
      </c>
      <c r="W67" s="26" t="str">
        <f t="shared" si="4"/>
        <v xml:space="preserve">               </v>
      </c>
    </row>
    <row r="68" spans="2:23" x14ac:dyDescent="0.3">
      <c r="B68" s="25"/>
      <c r="C68" s="27">
        <v>4</v>
      </c>
      <c r="D68" s="5" t="s">
        <v>722</v>
      </c>
      <c r="E68" s="5" t="s">
        <v>723</v>
      </c>
      <c r="F68" s="5" t="s">
        <v>723</v>
      </c>
      <c r="G68" s="23"/>
      <c r="H68" s="14"/>
      <c r="I68" s="27"/>
      <c r="J68" s="5"/>
      <c r="K68" s="5"/>
      <c r="L68" s="23" t="s">
        <v>299</v>
      </c>
      <c r="M68" s="14"/>
      <c r="N68" s="27"/>
      <c r="O68" s="5"/>
      <c r="P68" s="5"/>
      <c r="Q68" s="23" t="s">
        <v>299</v>
      </c>
      <c r="S68" s="24"/>
      <c r="T68" s="26" t="str">
        <f t="shared" si="1"/>
        <v xml:space="preserve">         Rice milling - other</v>
      </c>
      <c r="U68" s="26" t="str">
        <f t="shared" si="2"/>
        <v xml:space="preserve">         Rice milling - other</v>
      </c>
      <c r="V68" s="26" t="str">
        <f t="shared" si="3"/>
        <v xml:space="preserve">               </v>
      </c>
      <c r="W68" s="26" t="str">
        <f t="shared" si="4"/>
        <v xml:space="preserve">               </v>
      </c>
    </row>
    <row r="69" spans="2:23" x14ac:dyDescent="0.3">
      <c r="B69" s="25"/>
      <c r="C69" s="27">
        <v>4</v>
      </c>
      <c r="D69" s="5" t="s">
        <v>365</v>
      </c>
      <c r="E69" s="5" t="s">
        <v>724</v>
      </c>
      <c r="F69" s="5" t="s">
        <v>724</v>
      </c>
      <c r="G69" s="23"/>
      <c r="H69" s="14"/>
      <c r="I69" s="27"/>
      <c r="J69" s="5"/>
      <c r="K69" s="5"/>
      <c r="L69" s="23" t="s">
        <v>299</v>
      </c>
      <c r="M69" s="14"/>
      <c r="N69" s="27"/>
      <c r="O69" s="5"/>
      <c r="P69" s="5"/>
      <c r="Q69" s="23" t="s">
        <v>299</v>
      </c>
      <c r="S69" s="24"/>
      <c r="T69" s="26" t="str">
        <f t="shared" si="1"/>
        <v xml:space="preserve">         Wheat and barley milling</v>
      </c>
      <c r="U69" s="26" t="str">
        <f t="shared" si="2"/>
        <v xml:space="preserve">         Wheat and barley milling</v>
      </c>
      <c r="V69" s="26" t="str">
        <f t="shared" si="3"/>
        <v xml:space="preserve">               </v>
      </c>
      <c r="W69" s="26" t="str">
        <f t="shared" si="4"/>
        <v xml:space="preserve">               </v>
      </c>
    </row>
    <row r="70" spans="2:23" x14ac:dyDescent="0.3">
      <c r="B70" s="25"/>
      <c r="C70" s="27">
        <v>4</v>
      </c>
      <c r="D70" s="5" t="s">
        <v>366</v>
      </c>
      <c r="E70" s="5" t="s">
        <v>725</v>
      </c>
      <c r="F70" s="5" t="s">
        <v>725</v>
      </c>
      <c r="G70" s="23"/>
      <c r="H70" s="14"/>
      <c r="I70" s="27"/>
      <c r="J70" s="5"/>
      <c r="K70" s="5"/>
      <c r="L70" s="23" t="s">
        <v>299</v>
      </c>
      <c r="M70" s="14"/>
      <c r="N70" s="27"/>
      <c r="O70" s="5"/>
      <c r="P70" s="5"/>
      <c r="Q70" s="23" t="s">
        <v>299</v>
      </c>
      <c r="S70" s="24"/>
      <c r="T70" s="26" t="str">
        <f t="shared" si="1"/>
        <v xml:space="preserve">         Other grain milling</v>
      </c>
      <c r="U70" s="26" t="str">
        <f t="shared" si="2"/>
        <v xml:space="preserve">         Other grain milling</v>
      </c>
      <c r="V70" s="26" t="str">
        <f t="shared" si="3"/>
        <v xml:space="preserve">               </v>
      </c>
      <c r="W70" s="26" t="str">
        <f t="shared" si="4"/>
        <v xml:space="preserve">               </v>
      </c>
    </row>
    <row r="71" spans="2:23" x14ac:dyDescent="0.3">
      <c r="B71" s="25"/>
      <c r="C71" s="27">
        <v>4</v>
      </c>
      <c r="D71" s="5" t="s">
        <v>367</v>
      </c>
      <c r="E71" s="5" t="s">
        <v>565</v>
      </c>
      <c r="F71" s="5" t="s">
        <v>565</v>
      </c>
      <c r="G71" s="23"/>
      <c r="H71" s="14"/>
      <c r="I71" s="27"/>
      <c r="J71" s="5"/>
      <c r="K71" s="5"/>
      <c r="L71" s="23" t="s">
        <v>299</v>
      </c>
      <c r="M71" s="14"/>
      <c r="N71" s="27"/>
      <c r="O71" s="5"/>
      <c r="P71" s="5"/>
      <c r="Q71" s="23" t="s">
        <v>299</v>
      </c>
      <c r="S71" s="24"/>
      <c r="T71" s="26" t="str">
        <f t="shared" si="1"/>
        <v xml:space="preserve">         Sugar refining</v>
      </c>
      <c r="U71" s="26" t="str">
        <f t="shared" si="2"/>
        <v xml:space="preserve">         Sugar refining</v>
      </c>
      <c r="V71" s="26" t="str">
        <f t="shared" si="3"/>
        <v xml:space="preserve">               </v>
      </c>
      <c r="W71" s="26" t="str">
        <f t="shared" si="4"/>
        <v xml:space="preserve">               </v>
      </c>
    </row>
    <row r="72" spans="2:23" x14ac:dyDescent="0.3">
      <c r="B72" s="25"/>
      <c r="C72" s="27">
        <v>4</v>
      </c>
      <c r="D72" s="5" t="s">
        <v>368</v>
      </c>
      <c r="E72" s="5" t="s">
        <v>566</v>
      </c>
      <c r="F72" s="5" t="s">
        <v>566</v>
      </c>
      <c r="G72" s="23"/>
      <c r="H72" s="14"/>
      <c r="I72" s="27"/>
      <c r="J72" s="5"/>
      <c r="K72" s="5"/>
      <c r="L72" s="23" t="s">
        <v>299</v>
      </c>
      <c r="M72" s="14"/>
      <c r="N72" s="27"/>
      <c r="O72" s="5"/>
      <c r="P72" s="5"/>
      <c r="Q72" s="23" t="s">
        <v>299</v>
      </c>
      <c r="S72" s="24"/>
      <c r="T72" s="26" t="str">
        <f t="shared" si="1"/>
        <v xml:space="preserve">         Coffee processing</v>
      </c>
      <c r="U72" s="26" t="str">
        <f t="shared" si="2"/>
        <v xml:space="preserve">         Coffee processing</v>
      </c>
      <c r="V72" s="26" t="str">
        <f t="shared" si="3"/>
        <v xml:space="preserve">               </v>
      </c>
      <c r="W72" s="26" t="str">
        <f t="shared" si="4"/>
        <v xml:space="preserve">               </v>
      </c>
    </row>
    <row r="73" spans="2:23" x14ac:dyDescent="0.3">
      <c r="B73" s="25"/>
      <c r="C73" s="27">
        <v>4</v>
      </c>
      <c r="D73" s="5" t="s">
        <v>369</v>
      </c>
      <c r="E73" s="5" t="s">
        <v>567</v>
      </c>
      <c r="F73" s="5" t="s">
        <v>567</v>
      </c>
      <c r="G73" s="23"/>
      <c r="H73" s="14"/>
      <c r="I73" s="27"/>
      <c r="J73" s="5"/>
      <c r="K73" s="5"/>
      <c r="L73" s="23" t="s">
        <v>299</v>
      </c>
      <c r="M73" s="14"/>
      <c r="N73" s="27"/>
      <c r="O73" s="5"/>
      <c r="P73" s="5"/>
      <c r="Q73" s="23" t="s">
        <v>299</v>
      </c>
      <c r="S73" s="24"/>
      <c r="T73" s="26" t="str">
        <f t="shared" si="1"/>
        <v xml:space="preserve">         Tea processing</v>
      </c>
      <c r="U73" s="26" t="str">
        <f t="shared" si="2"/>
        <v xml:space="preserve">         Tea processing</v>
      </c>
      <c r="V73" s="26" t="str">
        <f t="shared" si="3"/>
        <v xml:space="preserve">               </v>
      </c>
      <c r="W73" s="26" t="str">
        <f t="shared" si="4"/>
        <v xml:space="preserve">               </v>
      </c>
    </row>
    <row r="74" spans="2:23" x14ac:dyDescent="0.3">
      <c r="B74" s="25"/>
      <c r="C74" s="27">
        <v>4</v>
      </c>
      <c r="D74" s="5" t="s">
        <v>370</v>
      </c>
      <c r="E74" s="5" t="s">
        <v>568</v>
      </c>
      <c r="F74" s="5" t="s">
        <v>568</v>
      </c>
      <c r="G74" s="23"/>
      <c r="H74" s="14"/>
      <c r="I74" s="27"/>
      <c r="J74" s="5"/>
      <c r="K74" s="5"/>
      <c r="L74" s="23" t="s">
        <v>299</v>
      </c>
      <c r="M74" s="14"/>
      <c r="N74" s="27"/>
      <c r="O74" s="5"/>
      <c r="P74" s="5"/>
      <c r="Q74" s="23" t="s">
        <v>299</v>
      </c>
      <c r="S74" s="24"/>
      <c r="T74" s="26" t="str">
        <f t="shared" ref="T74:T137" si="5">IF(C74=1,E74,IF(C74=2,"   "&amp;E74,IF(C74=3,"      "&amp;E74,IF(C74=4,"         "&amp;E74,"               "&amp;E74))))</f>
        <v xml:space="preserve">         Other foods</v>
      </c>
      <c r="U74" s="26" t="str">
        <f t="shared" ref="U74:U137" si="6">IF(C74=1,F74,IF(C74=2,"   "&amp;F74,IF(C74=3,"      "&amp;F74,IF(C74=4,"         "&amp;F74,"               "&amp;F74))))</f>
        <v xml:space="preserve">         Other foods</v>
      </c>
      <c r="V74" s="26" t="str">
        <f t="shared" ref="V74:V137" si="7">IF(I74=1,K74,IF(I74=2,"   "&amp;K74,IF(I74=3,"      "&amp;K74,IF(I74=4,"         "&amp;K74,"               "&amp;K74))))</f>
        <v xml:space="preserve">               </v>
      </c>
      <c r="W74" s="26" t="str">
        <f t="shared" ref="W74:W137" si="8">IF(N74=1,P74,IF(N74=2,"   "&amp;P74,IF(N74=3,"      "&amp;P74,IF(N74=4,"         "&amp;P74,"               "&amp;P74))))</f>
        <v xml:space="preserve">               </v>
      </c>
    </row>
    <row r="75" spans="2:23" x14ac:dyDescent="0.3">
      <c r="B75" s="25"/>
      <c r="C75" s="27">
        <v>4</v>
      </c>
      <c r="D75" s="5" t="s">
        <v>371</v>
      </c>
      <c r="E75" s="5" t="s">
        <v>569</v>
      </c>
      <c r="F75" s="5" t="s">
        <v>569</v>
      </c>
      <c r="G75" s="23"/>
      <c r="H75" s="14"/>
      <c r="I75" s="27"/>
      <c r="J75" s="5"/>
      <c r="K75" s="5"/>
      <c r="L75" s="23" t="s">
        <v>299</v>
      </c>
      <c r="M75" s="14"/>
      <c r="N75" s="27"/>
      <c r="O75" s="5"/>
      <c r="P75" s="5"/>
      <c r="Q75" s="23" t="s">
        <v>299</v>
      </c>
      <c r="S75" s="24"/>
      <c r="T75" s="26" t="str">
        <f t="shared" si="5"/>
        <v xml:space="preserve">         Animal feed</v>
      </c>
      <c r="U75" s="26" t="str">
        <f t="shared" si="6"/>
        <v xml:space="preserve">         Animal feed</v>
      </c>
      <c r="V75" s="26" t="str">
        <f t="shared" si="7"/>
        <v xml:space="preserve">               </v>
      </c>
      <c r="W75" s="26" t="str">
        <f t="shared" si="8"/>
        <v xml:space="preserve">               </v>
      </c>
    </row>
    <row r="76" spans="2:23" x14ac:dyDescent="0.3">
      <c r="B76" s="25"/>
      <c r="C76" s="27">
        <v>3</v>
      </c>
      <c r="D76" s="5" t="s">
        <v>570</v>
      </c>
      <c r="E76" s="5" t="s">
        <v>571</v>
      </c>
      <c r="F76" s="5" t="s">
        <v>571</v>
      </c>
      <c r="G76" s="23"/>
      <c r="H76" s="14"/>
      <c r="I76" s="27"/>
      <c r="J76" s="5"/>
      <c r="K76" s="5"/>
      <c r="L76" s="23" t="s">
        <v>299</v>
      </c>
      <c r="M76" s="14"/>
      <c r="N76" s="27"/>
      <c r="O76" s="5"/>
      <c r="P76" s="5"/>
      <c r="Q76" s="23" t="s">
        <v>299</v>
      </c>
      <c r="S76" s="24"/>
      <c r="T76" s="26" t="str">
        <f t="shared" si="5"/>
        <v xml:space="preserve">      Beverages and tobacco</v>
      </c>
      <c r="U76" s="26" t="str">
        <f t="shared" si="6"/>
        <v xml:space="preserve">      Beverages and tobacco</v>
      </c>
      <c r="V76" s="26" t="str">
        <f t="shared" si="7"/>
        <v xml:space="preserve">               </v>
      </c>
      <c r="W76" s="26" t="str">
        <f t="shared" si="8"/>
        <v xml:space="preserve">               </v>
      </c>
    </row>
    <row r="77" spans="2:23" x14ac:dyDescent="0.3">
      <c r="B77" s="25"/>
      <c r="C77" s="27">
        <v>4</v>
      </c>
      <c r="D77" s="5" t="s">
        <v>372</v>
      </c>
      <c r="E77" s="5" t="s">
        <v>572</v>
      </c>
      <c r="F77" s="5" t="s">
        <v>572</v>
      </c>
      <c r="G77" s="23"/>
      <c r="H77" s="14"/>
      <c r="I77" s="27"/>
      <c r="J77" s="5"/>
      <c r="K77" s="5"/>
      <c r="L77" s="23" t="s">
        <v>299</v>
      </c>
      <c r="M77" s="14"/>
      <c r="N77" s="27"/>
      <c r="O77" s="5"/>
      <c r="P77" s="5"/>
      <c r="Q77" s="23" t="s">
        <v>299</v>
      </c>
      <c r="S77" s="24"/>
      <c r="T77" s="26" t="str">
        <f t="shared" si="5"/>
        <v xml:space="preserve">         Beverages</v>
      </c>
      <c r="U77" s="26" t="str">
        <f t="shared" si="6"/>
        <v xml:space="preserve">         Beverages</v>
      </c>
      <c r="V77" s="26" t="str">
        <f t="shared" si="7"/>
        <v xml:space="preserve">               </v>
      </c>
      <c r="W77" s="26" t="str">
        <f t="shared" si="8"/>
        <v xml:space="preserve">               </v>
      </c>
    </row>
    <row r="78" spans="2:23" x14ac:dyDescent="0.3">
      <c r="B78" s="25"/>
      <c r="C78" s="27">
        <v>4</v>
      </c>
      <c r="D78" s="5" t="s">
        <v>373</v>
      </c>
      <c r="E78" s="5" t="s">
        <v>573</v>
      </c>
      <c r="F78" s="5" t="s">
        <v>573</v>
      </c>
      <c r="G78" s="23"/>
      <c r="H78" s="14"/>
      <c r="I78" s="27"/>
      <c r="J78" s="5"/>
      <c r="K78" s="5"/>
      <c r="L78" s="23" t="s">
        <v>299</v>
      </c>
      <c r="M78" s="14"/>
      <c r="N78" s="27"/>
      <c r="O78" s="5"/>
      <c r="P78" s="5"/>
      <c r="Q78" s="23" t="s">
        <v>299</v>
      </c>
      <c r="S78" s="24"/>
      <c r="T78" s="26" t="str">
        <f t="shared" si="5"/>
        <v xml:space="preserve">         Tobacco processing</v>
      </c>
      <c r="U78" s="26" t="str">
        <f t="shared" si="6"/>
        <v xml:space="preserve">         Tobacco processing</v>
      </c>
      <c r="V78" s="26" t="str">
        <f t="shared" si="7"/>
        <v xml:space="preserve">               </v>
      </c>
      <c r="W78" s="26" t="str">
        <f t="shared" si="8"/>
        <v xml:space="preserve">               </v>
      </c>
    </row>
    <row r="79" spans="2:23" x14ac:dyDescent="0.3">
      <c r="B79" s="25"/>
      <c r="C79" s="27">
        <v>3</v>
      </c>
      <c r="D79" s="5" t="s">
        <v>374</v>
      </c>
      <c r="E79" s="5" t="s">
        <v>574</v>
      </c>
      <c r="F79" s="5" t="s">
        <v>574</v>
      </c>
      <c r="G79" s="23"/>
      <c r="H79" s="14"/>
      <c r="I79" s="27"/>
      <c r="J79" s="5"/>
      <c r="K79" s="5"/>
      <c r="L79" s="23" t="s">
        <v>299</v>
      </c>
      <c r="M79" s="14"/>
      <c r="N79" s="27"/>
      <c r="O79" s="5"/>
      <c r="P79" s="5"/>
      <c r="Q79" s="23" t="s">
        <v>299</v>
      </c>
      <c r="S79" s="24"/>
      <c r="T79" s="26" t="str">
        <f t="shared" si="5"/>
        <v xml:space="preserve">      Textiles, clothing and leather</v>
      </c>
      <c r="U79" s="26" t="str">
        <f t="shared" si="6"/>
        <v xml:space="preserve">      Textiles, clothing and leather</v>
      </c>
      <c r="V79" s="26" t="str">
        <f t="shared" si="7"/>
        <v xml:space="preserve">               </v>
      </c>
      <c r="W79" s="26" t="str">
        <f t="shared" si="8"/>
        <v xml:space="preserve">               </v>
      </c>
    </row>
    <row r="80" spans="2:23" x14ac:dyDescent="0.3">
      <c r="B80" s="25"/>
      <c r="C80" s="27">
        <v>4</v>
      </c>
      <c r="D80" s="5" t="s">
        <v>726</v>
      </c>
      <c r="E80" s="5" t="s">
        <v>727</v>
      </c>
      <c r="F80" s="5" t="s">
        <v>727</v>
      </c>
      <c r="G80" s="23"/>
      <c r="H80" s="14"/>
      <c r="I80" s="27"/>
      <c r="J80" s="5"/>
      <c r="K80" s="5"/>
      <c r="L80" s="23" t="s">
        <v>299</v>
      </c>
      <c r="M80" s="14"/>
      <c r="N80" s="27"/>
      <c r="O80" s="5"/>
      <c r="P80" s="5"/>
      <c r="Q80" s="23" t="s">
        <v>299</v>
      </c>
      <c r="S80" s="24"/>
      <c r="T80" s="26" t="str">
        <f t="shared" si="5"/>
        <v xml:space="preserve">         Jute baling</v>
      </c>
      <c r="U80" s="26" t="str">
        <f t="shared" si="6"/>
        <v xml:space="preserve">         Jute baling</v>
      </c>
      <c r="V80" s="26" t="str">
        <f t="shared" si="7"/>
        <v xml:space="preserve">               </v>
      </c>
      <c r="W80" s="26" t="str">
        <f t="shared" si="8"/>
        <v xml:space="preserve">               </v>
      </c>
    </row>
    <row r="81" spans="2:23" x14ac:dyDescent="0.3">
      <c r="B81" s="25"/>
      <c r="C81" s="27">
        <v>4</v>
      </c>
      <c r="D81" s="5" t="s">
        <v>728</v>
      </c>
      <c r="E81" s="5" t="s">
        <v>729</v>
      </c>
      <c r="F81" s="5" t="s">
        <v>729</v>
      </c>
      <c r="G81" s="23"/>
      <c r="H81" s="14"/>
      <c r="I81" s="27"/>
      <c r="J81" s="5"/>
      <c r="K81" s="5"/>
      <c r="L81" s="23" t="s">
        <v>299</v>
      </c>
      <c r="M81" s="14"/>
      <c r="N81" s="27"/>
      <c r="O81" s="5"/>
      <c r="P81" s="5"/>
      <c r="Q81" s="23" t="s">
        <v>299</v>
      </c>
      <c r="S81" s="24"/>
      <c r="T81" s="26" t="str">
        <f t="shared" si="5"/>
        <v xml:space="preserve">         Jute fabrication</v>
      </c>
      <c r="U81" s="26" t="str">
        <f t="shared" si="6"/>
        <v xml:space="preserve">         Jute fabrication</v>
      </c>
      <c r="V81" s="26" t="str">
        <f t="shared" si="7"/>
        <v xml:space="preserve">               </v>
      </c>
      <c r="W81" s="26" t="str">
        <f t="shared" si="8"/>
        <v xml:space="preserve">               </v>
      </c>
    </row>
    <row r="82" spans="2:23" x14ac:dyDescent="0.3">
      <c r="B82" s="25"/>
      <c r="C82" s="27">
        <v>4</v>
      </c>
      <c r="D82" s="5" t="s">
        <v>730</v>
      </c>
      <c r="E82" s="5" t="s">
        <v>731</v>
      </c>
      <c r="F82" s="5" t="s">
        <v>731</v>
      </c>
      <c r="G82" s="23"/>
      <c r="H82" s="14"/>
      <c r="I82" s="27"/>
      <c r="J82" s="5"/>
      <c r="K82" s="5"/>
      <c r="L82" s="23" t="s">
        <v>299</v>
      </c>
      <c r="M82" s="14"/>
      <c r="N82" s="27"/>
      <c r="O82" s="5"/>
      <c r="P82" s="5"/>
      <c r="Q82" s="23" t="s">
        <v>299</v>
      </c>
      <c r="S82" s="24"/>
      <c r="T82" s="26" t="str">
        <f t="shared" si="5"/>
        <v xml:space="preserve">         Cotton yarn</v>
      </c>
      <c r="U82" s="26" t="str">
        <f t="shared" si="6"/>
        <v xml:space="preserve">         Cotton yarn</v>
      </c>
      <c r="V82" s="26" t="str">
        <f t="shared" si="7"/>
        <v xml:space="preserve">               </v>
      </c>
      <c r="W82" s="26" t="str">
        <f t="shared" si="8"/>
        <v xml:space="preserve">               </v>
      </c>
    </row>
    <row r="83" spans="2:23" x14ac:dyDescent="0.3">
      <c r="B83" s="25"/>
      <c r="C83" s="27">
        <v>4</v>
      </c>
      <c r="D83" s="5" t="s">
        <v>375</v>
      </c>
      <c r="E83" s="5" t="s">
        <v>575</v>
      </c>
      <c r="F83" s="5" t="s">
        <v>575</v>
      </c>
      <c r="G83" s="23"/>
      <c r="H83" s="14"/>
      <c r="I83" s="27"/>
      <c r="J83" s="5"/>
      <c r="K83" s="5"/>
      <c r="L83" s="23" t="s">
        <v>299</v>
      </c>
      <c r="M83" s="14"/>
      <c r="N83" s="27"/>
      <c r="O83" s="5"/>
      <c r="P83" s="5"/>
      <c r="Q83" s="23" t="s">
        <v>299</v>
      </c>
      <c r="S83" s="24"/>
      <c r="T83" s="26" t="str">
        <f t="shared" si="5"/>
        <v xml:space="preserve">         Textiles</v>
      </c>
      <c r="U83" s="26" t="str">
        <f t="shared" si="6"/>
        <v xml:space="preserve">         Textiles</v>
      </c>
      <c r="V83" s="26" t="str">
        <f t="shared" si="7"/>
        <v xml:space="preserve">               </v>
      </c>
      <c r="W83" s="26" t="str">
        <f t="shared" si="8"/>
        <v xml:space="preserve">               </v>
      </c>
    </row>
    <row r="84" spans="2:23" x14ac:dyDescent="0.3">
      <c r="B84" s="25"/>
      <c r="C84" s="27">
        <v>4</v>
      </c>
      <c r="D84" s="5" t="s">
        <v>376</v>
      </c>
      <c r="E84" s="5" t="s">
        <v>576</v>
      </c>
      <c r="F84" s="5" t="s">
        <v>576</v>
      </c>
      <c r="G84" s="23"/>
      <c r="H84" s="14"/>
      <c r="I84" s="27"/>
      <c r="J84" s="5"/>
      <c r="K84" s="5"/>
      <c r="L84" s="23" t="s">
        <v>299</v>
      </c>
      <c r="M84" s="14"/>
      <c r="N84" s="27"/>
      <c r="O84" s="5"/>
      <c r="P84" s="5"/>
      <c r="Q84" s="23" t="s">
        <v>299</v>
      </c>
      <c r="S84" s="24"/>
      <c r="T84" s="26" t="str">
        <f t="shared" si="5"/>
        <v xml:space="preserve">         Clothing</v>
      </c>
      <c r="U84" s="26" t="str">
        <f t="shared" si="6"/>
        <v xml:space="preserve">         Clothing</v>
      </c>
      <c r="V84" s="26" t="str">
        <f t="shared" si="7"/>
        <v xml:space="preserve">               </v>
      </c>
      <c r="W84" s="26" t="str">
        <f t="shared" si="8"/>
        <v xml:space="preserve">               </v>
      </c>
    </row>
    <row r="85" spans="2:23" x14ac:dyDescent="0.3">
      <c r="B85" s="25"/>
      <c r="C85" s="27">
        <v>4</v>
      </c>
      <c r="D85" s="5" t="s">
        <v>377</v>
      </c>
      <c r="E85" s="5" t="s">
        <v>577</v>
      </c>
      <c r="F85" s="5" t="s">
        <v>577</v>
      </c>
      <c r="G85" s="23"/>
      <c r="H85" s="14"/>
      <c r="I85" s="27"/>
      <c r="J85" s="5"/>
      <c r="K85" s="5"/>
      <c r="L85" s="23" t="s">
        <v>299</v>
      </c>
      <c r="M85" s="14"/>
      <c r="N85" s="27"/>
      <c r="O85" s="5"/>
      <c r="P85" s="5"/>
      <c r="Q85" s="23" t="s">
        <v>299</v>
      </c>
      <c r="S85" s="24"/>
      <c r="T85" s="26" t="str">
        <f t="shared" si="5"/>
        <v xml:space="preserve">         Leather and footwear</v>
      </c>
      <c r="U85" s="26" t="str">
        <f t="shared" si="6"/>
        <v xml:space="preserve">         Leather and footwear</v>
      </c>
      <c r="V85" s="26" t="str">
        <f t="shared" si="7"/>
        <v xml:space="preserve">               </v>
      </c>
      <c r="W85" s="26" t="str">
        <f t="shared" si="8"/>
        <v xml:space="preserve">               </v>
      </c>
    </row>
    <row r="86" spans="2:23" x14ac:dyDescent="0.3">
      <c r="B86" s="25"/>
      <c r="C86" s="27">
        <v>3</v>
      </c>
      <c r="D86" s="5" t="s">
        <v>378</v>
      </c>
      <c r="E86" s="5" t="s">
        <v>379</v>
      </c>
      <c r="F86" s="5" t="s">
        <v>379</v>
      </c>
      <c r="G86" s="23"/>
      <c r="H86" s="14"/>
      <c r="I86" s="27"/>
      <c r="J86" s="5"/>
      <c r="K86" s="5"/>
      <c r="L86" s="23" t="s">
        <v>299</v>
      </c>
      <c r="M86" s="14"/>
      <c r="N86" s="27"/>
      <c r="O86" s="5"/>
      <c r="P86" s="5"/>
      <c r="Q86" s="23" t="s">
        <v>299</v>
      </c>
      <c r="S86" s="24"/>
      <c r="T86" s="26" t="str">
        <f t="shared" si="5"/>
        <v xml:space="preserve">      Wood and paper products</v>
      </c>
      <c r="U86" s="26" t="str">
        <f t="shared" si="6"/>
        <v xml:space="preserve">      Wood and paper products</v>
      </c>
      <c r="V86" s="26" t="str">
        <f t="shared" si="7"/>
        <v xml:space="preserve">               </v>
      </c>
      <c r="W86" s="26" t="str">
        <f t="shared" si="8"/>
        <v xml:space="preserve">               </v>
      </c>
    </row>
    <row r="87" spans="2:23" x14ac:dyDescent="0.3">
      <c r="B87" s="25"/>
      <c r="C87" s="27">
        <v>4</v>
      </c>
      <c r="D87" s="5" t="s">
        <v>380</v>
      </c>
      <c r="E87" s="5" t="s">
        <v>578</v>
      </c>
      <c r="F87" s="5" t="s">
        <v>578</v>
      </c>
      <c r="G87" s="23"/>
      <c r="H87" s="14"/>
      <c r="I87" s="27"/>
      <c r="J87" s="5"/>
      <c r="K87" s="5"/>
      <c r="L87" s="23" t="s">
        <v>299</v>
      </c>
      <c r="M87" s="14"/>
      <c r="N87" s="27"/>
      <c r="O87" s="5"/>
      <c r="P87" s="5"/>
      <c r="Q87" s="23" t="s">
        <v>299</v>
      </c>
      <c r="S87" s="24"/>
      <c r="T87" s="26" t="str">
        <f t="shared" si="5"/>
        <v xml:space="preserve">         Wood products</v>
      </c>
      <c r="U87" s="26" t="str">
        <f t="shared" si="6"/>
        <v xml:space="preserve">         Wood products</v>
      </c>
      <c r="V87" s="26" t="str">
        <f t="shared" si="7"/>
        <v xml:space="preserve">               </v>
      </c>
      <c r="W87" s="26" t="str">
        <f t="shared" si="8"/>
        <v xml:space="preserve">               </v>
      </c>
    </row>
    <row r="88" spans="2:23" x14ac:dyDescent="0.3">
      <c r="B88" s="25"/>
      <c r="C88" s="27">
        <v>4</v>
      </c>
      <c r="D88" s="5" t="s">
        <v>381</v>
      </c>
      <c r="E88" s="5" t="s">
        <v>732</v>
      </c>
      <c r="F88" s="5" t="s">
        <v>732</v>
      </c>
      <c r="G88" s="23"/>
      <c r="H88" s="14"/>
      <c r="I88" s="27"/>
      <c r="J88" s="5"/>
      <c r="K88" s="5"/>
      <c r="L88" s="23" t="s">
        <v>299</v>
      </c>
      <c r="M88" s="14"/>
      <c r="N88" s="27"/>
      <c r="O88" s="5"/>
      <c r="P88" s="5"/>
      <c r="Q88" s="23" t="s">
        <v>299</v>
      </c>
      <c r="S88" s="24"/>
      <c r="T88" s="26" t="str">
        <f t="shared" si="5"/>
        <v xml:space="preserve">         Paper products and publishing</v>
      </c>
      <c r="U88" s="26" t="str">
        <f t="shared" si="6"/>
        <v xml:space="preserve">         Paper products and publishing</v>
      </c>
      <c r="V88" s="26" t="str">
        <f t="shared" si="7"/>
        <v xml:space="preserve">               </v>
      </c>
      <c r="W88" s="26" t="str">
        <f t="shared" si="8"/>
        <v xml:space="preserve">               </v>
      </c>
    </row>
    <row r="89" spans="2:23" x14ac:dyDescent="0.3">
      <c r="B89" s="25"/>
      <c r="C89" s="27">
        <v>3</v>
      </c>
      <c r="D89" s="5" t="s">
        <v>382</v>
      </c>
      <c r="E89" s="5" t="s">
        <v>579</v>
      </c>
      <c r="F89" s="5" t="s">
        <v>579</v>
      </c>
      <c r="G89" s="23"/>
      <c r="H89" s="14"/>
      <c r="I89" s="27"/>
      <c r="J89" s="5"/>
      <c r="K89" s="5"/>
      <c r="L89" s="23" t="s">
        <v>299</v>
      </c>
      <c r="M89" s="14"/>
      <c r="N89" s="27"/>
      <c r="O89" s="5"/>
      <c r="P89" s="5"/>
      <c r="Q89" s="23" t="s">
        <v>299</v>
      </c>
      <c r="S89" s="24"/>
      <c r="T89" s="26" t="str">
        <f t="shared" si="5"/>
        <v xml:space="preserve">      Chemical products</v>
      </c>
      <c r="U89" s="26" t="str">
        <f t="shared" si="6"/>
        <v xml:space="preserve">      Chemical products</v>
      </c>
      <c r="V89" s="26" t="str">
        <f t="shared" si="7"/>
        <v xml:space="preserve">               </v>
      </c>
      <c r="W89" s="26" t="str">
        <f t="shared" si="8"/>
        <v xml:space="preserve">               </v>
      </c>
    </row>
    <row r="90" spans="2:23" x14ac:dyDescent="0.3">
      <c r="B90" s="25"/>
      <c r="C90" s="27">
        <v>4</v>
      </c>
      <c r="D90" s="5" t="s">
        <v>383</v>
      </c>
      <c r="E90" s="5" t="s">
        <v>580</v>
      </c>
      <c r="F90" s="5" t="s">
        <v>580</v>
      </c>
      <c r="G90" s="23"/>
      <c r="H90" s="14"/>
      <c r="I90" s="27"/>
      <c r="J90" s="5"/>
      <c r="K90" s="5"/>
      <c r="L90" s="23" t="s">
        <v>299</v>
      </c>
      <c r="M90" s="14"/>
      <c r="N90" s="27"/>
      <c r="O90" s="5"/>
      <c r="P90" s="5"/>
      <c r="Q90" s="23" t="s">
        <v>299</v>
      </c>
      <c r="S90" s="24"/>
      <c r="T90" s="26" t="str">
        <f t="shared" si="5"/>
        <v xml:space="preserve">         Petroleum products</v>
      </c>
      <c r="U90" s="26" t="str">
        <f t="shared" si="6"/>
        <v xml:space="preserve">         Petroleum products</v>
      </c>
      <c r="V90" s="26" t="str">
        <f t="shared" si="7"/>
        <v xml:space="preserve">               </v>
      </c>
      <c r="W90" s="26" t="str">
        <f t="shared" si="8"/>
        <v xml:space="preserve">               </v>
      </c>
    </row>
    <row r="91" spans="2:23" x14ac:dyDescent="0.3">
      <c r="B91" s="25"/>
      <c r="C91" s="27">
        <v>4</v>
      </c>
      <c r="D91" s="5" t="s">
        <v>384</v>
      </c>
      <c r="E91" s="5" t="s">
        <v>581</v>
      </c>
      <c r="F91" s="5" t="s">
        <v>581</v>
      </c>
      <c r="G91" s="23"/>
      <c r="H91" s="14"/>
      <c r="I91" s="27"/>
      <c r="J91" s="5"/>
      <c r="K91" s="5"/>
      <c r="L91" s="23" t="s">
        <v>299</v>
      </c>
      <c r="M91" s="14"/>
      <c r="N91" s="27"/>
      <c r="O91" s="5"/>
      <c r="P91" s="5"/>
      <c r="Q91" s="23" t="s">
        <v>299</v>
      </c>
      <c r="S91" s="24"/>
      <c r="T91" s="26" t="str">
        <f t="shared" si="5"/>
        <v xml:space="preserve">         Fertilizers and herbicides</v>
      </c>
      <c r="U91" s="26" t="str">
        <f t="shared" si="6"/>
        <v xml:space="preserve">         Fertilizers and herbicides</v>
      </c>
      <c r="V91" s="26" t="str">
        <f t="shared" si="7"/>
        <v xml:space="preserve">               </v>
      </c>
      <c r="W91" s="26" t="str">
        <f t="shared" si="8"/>
        <v xml:space="preserve">               </v>
      </c>
    </row>
    <row r="92" spans="2:23" x14ac:dyDescent="0.3">
      <c r="B92" s="25"/>
      <c r="C92" s="27">
        <v>4</v>
      </c>
      <c r="D92" s="5" t="s">
        <v>385</v>
      </c>
      <c r="E92" s="5" t="s">
        <v>582</v>
      </c>
      <c r="F92" s="5" t="s">
        <v>582</v>
      </c>
      <c r="G92" s="23"/>
      <c r="H92" s="14"/>
      <c r="I92" s="27"/>
      <c r="J92" s="5"/>
      <c r="K92" s="5"/>
      <c r="L92" s="23" t="s">
        <v>299</v>
      </c>
      <c r="M92" s="14"/>
      <c r="N92" s="27"/>
      <c r="O92" s="5"/>
      <c r="P92" s="5"/>
      <c r="Q92" s="23" t="s">
        <v>299</v>
      </c>
      <c r="S92" s="24"/>
      <c r="T92" s="26" t="str">
        <f t="shared" si="5"/>
        <v xml:space="preserve">         Other chemicals</v>
      </c>
      <c r="U92" s="26" t="str">
        <f t="shared" si="6"/>
        <v xml:space="preserve">         Other chemicals</v>
      </c>
      <c r="V92" s="26" t="str">
        <f t="shared" si="7"/>
        <v xml:space="preserve">               </v>
      </c>
      <c r="W92" s="26" t="str">
        <f t="shared" si="8"/>
        <v xml:space="preserve">               </v>
      </c>
    </row>
    <row r="93" spans="2:23" x14ac:dyDescent="0.3">
      <c r="B93" s="25"/>
      <c r="C93" s="27">
        <v>3</v>
      </c>
      <c r="D93" s="5" t="s">
        <v>386</v>
      </c>
      <c r="E93" s="5" t="s">
        <v>387</v>
      </c>
      <c r="F93" s="5" t="s">
        <v>387</v>
      </c>
      <c r="G93" s="23"/>
      <c r="H93" s="14"/>
      <c r="I93" s="27"/>
      <c r="J93" s="5"/>
      <c r="K93" s="5"/>
      <c r="L93" s="23" t="s">
        <v>299</v>
      </c>
      <c r="M93" s="14"/>
      <c r="N93" s="27"/>
      <c r="O93" s="5"/>
      <c r="P93" s="5"/>
      <c r="Q93" s="23" t="s">
        <v>299</v>
      </c>
      <c r="S93" s="24"/>
      <c r="T93" s="26" t="str">
        <f t="shared" si="5"/>
        <v xml:space="preserve">      Non-metal minerals</v>
      </c>
      <c r="U93" s="26" t="str">
        <f t="shared" si="6"/>
        <v xml:space="preserve">      Non-metal minerals</v>
      </c>
      <c r="V93" s="26" t="str">
        <f t="shared" si="7"/>
        <v xml:space="preserve">               </v>
      </c>
      <c r="W93" s="26" t="str">
        <f t="shared" si="8"/>
        <v xml:space="preserve">               </v>
      </c>
    </row>
    <row r="94" spans="2:23" x14ac:dyDescent="0.3">
      <c r="B94" s="25"/>
      <c r="C94" s="27">
        <v>3</v>
      </c>
      <c r="D94" s="5" t="s">
        <v>388</v>
      </c>
      <c r="E94" s="5" t="s">
        <v>490</v>
      </c>
      <c r="F94" s="5" t="s">
        <v>490</v>
      </c>
      <c r="G94" s="23"/>
      <c r="H94" s="14"/>
      <c r="I94" s="27"/>
      <c r="J94" s="5"/>
      <c r="K94" s="5"/>
      <c r="L94" s="23" t="s">
        <v>299</v>
      </c>
      <c r="M94" s="14"/>
      <c r="N94" s="27"/>
      <c r="O94" s="5"/>
      <c r="P94" s="5"/>
      <c r="Q94" s="23" t="s">
        <v>299</v>
      </c>
      <c r="S94" s="24"/>
      <c r="T94" s="26" t="str">
        <f t="shared" si="5"/>
        <v xml:space="preserve">      Metals and metal products</v>
      </c>
      <c r="U94" s="26" t="str">
        <f t="shared" si="6"/>
        <v xml:space="preserve">      Metals and metal products</v>
      </c>
      <c r="V94" s="26" t="str">
        <f t="shared" si="7"/>
        <v xml:space="preserve">               </v>
      </c>
      <c r="W94" s="26" t="str">
        <f t="shared" si="8"/>
        <v xml:space="preserve">               </v>
      </c>
    </row>
    <row r="95" spans="2:23" x14ac:dyDescent="0.3">
      <c r="B95" s="25"/>
      <c r="C95" s="27">
        <v>3</v>
      </c>
      <c r="D95" s="5" t="s">
        <v>389</v>
      </c>
      <c r="E95" s="5" t="s">
        <v>583</v>
      </c>
      <c r="F95" s="5" t="s">
        <v>583</v>
      </c>
      <c r="G95" s="23"/>
      <c r="H95" s="14"/>
      <c r="I95" s="27"/>
      <c r="J95" s="5"/>
      <c r="K95" s="5"/>
      <c r="L95" s="23" t="s">
        <v>299</v>
      </c>
      <c r="M95" s="14"/>
      <c r="N95" s="27"/>
      <c r="O95" s="5"/>
      <c r="P95" s="5"/>
      <c r="Q95" s="23" t="s">
        <v>299</v>
      </c>
      <c r="S95" s="24"/>
      <c r="T95" s="26" t="str">
        <f t="shared" si="5"/>
        <v xml:space="preserve">      Machinery and equipment</v>
      </c>
      <c r="U95" s="26" t="str">
        <f t="shared" si="6"/>
        <v xml:space="preserve">      Machinery and equipment</v>
      </c>
      <c r="V95" s="26" t="str">
        <f t="shared" si="7"/>
        <v xml:space="preserve">               </v>
      </c>
      <c r="W95" s="26" t="str">
        <f t="shared" si="8"/>
        <v xml:space="preserve">               </v>
      </c>
    </row>
    <row r="96" spans="2:23" x14ac:dyDescent="0.3">
      <c r="B96" s="25"/>
      <c r="C96" s="27">
        <v>4</v>
      </c>
      <c r="D96" s="5" t="s">
        <v>390</v>
      </c>
      <c r="E96" s="5" t="s">
        <v>585</v>
      </c>
      <c r="F96" s="5" t="s">
        <v>585</v>
      </c>
      <c r="G96" s="23"/>
      <c r="H96" s="14"/>
      <c r="I96" s="27"/>
      <c r="J96" s="5"/>
      <c r="K96" s="5"/>
      <c r="L96" s="23" t="s">
        <v>299</v>
      </c>
      <c r="M96" s="14"/>
      <c r="N96" s="27"/>
      <c r="O96" s="5"/>
      <c r="P96" s="5"/>
      <c r="Q96" s="23" t="s">
        <v>299</v>
      </c>
      <c r="S96" s="24"/>
      <c r="T96" s="26" t="str">
        <f t="shared" si="5"/>
        <v xml:space="preserve">         Machinery and other equipment</v>
      </c>
      <c r="U96" s="26" t="str">
        <f t="shared" si="6"/>
        <v xml:space="preserve">         Machinery and other equipment</v>
      </c>
      <c r="V96" s="26" t="str">
        <f t="shared" si="7"/>
        <v xml:space="preserve">               </v>
      </c>
      <c r="W96" s="26" t="str">
        <f t="shared" si="8"/>
        <v xml:space="preserve">               </v>
      </c>
    </row>
    <row r="97" spans="2:23" x14ac:dyDescent="0.3">
      <c r="B97" s="25"/>
      <c r="C97" s="27">
        <v>4</v>
      </c>
      <c r="D97" s="5" t="s">
        <v>391</v>
      </c>
      <c r="E97" s="5" t="s">
        <v>584</v>
      </c>
      <c r="F97" s="5" t="s">
        <v>584</v>
      </c>
      <c r="G97" s="23"/>
      <c r="H97" s="14"/>
      <c r="I97" s="27"/>
      <c r="J97" s="5"/>
      <c r="K97" s="5"/>
      <c r="L97" s="23" t="s">
        <v>299</v>
      </c>
      <c r="M97" s="14"/>
      <c r="N97" s="27"/>
      <c r="O97" s="5"/>
      <c r="P97" s="5"/>
      <c r="Q97" s="23" t="s">
        <v>299</v>
      </c>
      <c r="S97" s="24"/>
      <c r="T97" s="26" t="str">
        <f t="shared" si="5"/>
        <v xml:space="preserve">         Electrical equipment</v>
      </c>
      <c r="U97" s="26" t="str">
        <f t="shared" si="6"/>
        <v xml:space="preserve">         Electrical equipment</v>
      </c>
      <c r="V97" s="26" t="str">
        <f t="shared" si="7"/>
        <v xml:space="preserve">               </v>
      </c>
      <c r="W97" s="26" t="str">
        <f t="shared" si="8"/>
        <v xml:space="preserve">               </v>
      </c>
    </row>
    <row r="98" spans="2:23" x14ac:dyDescent="0.3">
      <c r="B98" s="25"/>
      <c r="C98" s="27">
        <v>4</v>
      </c>
      <c r="D98" s="5" t="s">
        <v>392</v>
      </c>
      <c r="E98" s="5" t="s">
        <v>733</v>
      </c>
      <c r="F98" s="5" t="s">
        <v>733</v>
      </c>
      <c r="G98" s="23"/>
      <c r="H98" s="14"/>
      <c r="I98" s="27"/>
      <c r="J98" s="5"/>
      <c r="K98" s="5"/>
      <c r="L98" s="23" t="s">
        <v>299</v>
      </c>
      <c r="M98" s="14"/>
      <c r="N98" s="27"/>
      <c r="O98" s="5"/>
      <c r="P98" s="5"/>
      <c r="Q98" s="23" t="s">
        <v>299</v>
      </c>
      <c r="S98" s="24"/>
      <c r="T98" s="26" t="str">
        <f t="shared" si="5"/>
        <v xml:space="preserve">         Vehicles and transport equipment</v>
      </c>
      <c r="U98" s="26" t="str">
        <f t="shared" si="6"/>
        <v xml:space="preserve">         Vehicles and transport equipment</v>
      </c>
      <c r="V98" s="26" t="str">
        <f t="shared" si="7"/>
        <v xml:space="preserve">               </v>
      </c>
      <c r="W98" s="26" t="str">
        <f t="shared" si="8"/>
        <v xml:space="preserve">               </v>
      </c>
    </row>
    <row r="99" spans="2:23" x14ac:dyDescent="0.3">
      <c r="B99" s="25"/>
      <c r="C99" s="27">
        <v>3</v>
      </c>
      <c r="D99" s="5" t="s">
        <v>393</v>
      </c>
      <c r="E99" s="5" t="s">
        <v>394</v>
      </c>
      <c r="F99" s="5" t="s">
        <v>394</v>
      </c>
      <c r="G99" s="23"/>
      <c r="H99" s="14"/>
      <c r="I99" s="27"/>
      <c r="J99" s="5"/>
      <c r="K99" s="5"/>
      <c r="L99" s="23" t="s">
        <v>299</v>
      </c>
      <c r="M99" s="14"/>
      <c r="N99" s="27"/>
      <c r="O99" s="5"/>
      <c r="P99" s="5"/>
      <c r="Q99" s="23" t="s">
        <v>299</v>
      </c>
      <c r="S99" s="24"/>
      <c r="T99" s="26" t="str">
        <f t="shared" si="5"/>
        <v xml:space="preserve">      Other manufacturing</v>
      </c>
      <c r="U99" s="26" t="str">
        <f t="shared" si="6"/>
        <v xml:space="preserve">      Other manufacturing</v>
      </c>
      <c r="V99" s="26" t="str">
        <f t="shared" si="7"/>
        <v xml:space="preserve">               </v>
      </c>
      <c r="W99" s="26" t="str">
        <f t="shared" si="8"/>
        <v xml:space="preserve">               </v>
      </c>
    </row>
    <row r="100" spans="2:23" x14ac:dyDescent="0.3">
      <c r="B100" s="25"/>
      <c r="C100" s="27">
        <v>2</v>
      </c>
      <c r="D100" s="5" t="s">
        <v>395</v>
      </c>
      <c r="E100" s="5" t="s">
        <v>396</v>
      </c>
      <c r="F100" s="5" t="s">
        <v>396</v>
      </c>
      <c r="G100" s="23"/>
      <c r="H100" s="14"/>
      <c r="I100" s="27"/>
      <c r="J100" s="5"/>
      <c r="K100" s="5"/>
      <c r="L100" s="23" t="s">
        <v>299</v>
      </c>
      <c r="M100" s="14"/>
      <c r="N100" s="27"/>
      <c r="O100" s="5"/>
      <c r="P100" s="5"/>
      <c r="Q100" s="23" t="s">
        <v>299</v>
      </c>
      <c r="S100" s="24"/>
      <c r="T100" s="26" t="str">
        <f t="shared" si="5"/>
        <v xml:space="preserve">   Utilities</v>
      </c>
      <c r="U100" s="26" t="str">
        <f t="shared" si="6"/>
        <v xml:space="preserve">   Utilities</v>
      </c>
      <c r="V100" s="26" t="str">
        <f t="shared" si="7"/>
        <v xml:space="preserve">               </v>
      </c>
      <c r="W100" s="26" t="str">
        <f t="shared" si="8"/>
        <v xml:space="preserve">               </v>
      </c>
    </row>
    <row r="101" spans="2:23" x14ac:dyDescent="0.3">
      <c r="B101" s="25"/>
      <c r="C101" s="27">
        <v>3</v>
      </c>
      <c r="D101" s="5" t="s">
        <v>397</v>
      </c>
      <c r="E101" s="5" t="s">
        <v>398</v>
      </c>
      <c r="F101" s="5" t="s">
        <v>398</v>
      </c>
      <c r="G101" s="23"/>
      <c r="H101" s="14"/>
      <c r="I101" s="27"/>
      <c r="J101" s="5"/>
      <c r="K101" s="5"/>
      <c r="L101" s="23" t="s">
        <v>299</v>
      </c>
      <c r="M101" s="14"/>
      <c r="N101" s="27"/>
      <c r="O101" s="5"/>
      <c r="P101" s="5"/>
      <c r="Q101" s="23" t="s">
        <v>299</v>
      </c>
      <c r="S101" s="24"/>
      <c r="T101" s="26" t="str">
        <f t="shared" si="5"/>
        <v xml:space="preserve">      Electricity, gas and steam</v>
      </c>
      <c r="U101" s="26" t="str">
        <f t="shared" si="6"/>
        <v xml:space="preserve">      Electricity, gas and steam</v>
      </c>
      <c r="V101" s="26" t="str">
        <f t="shared" si="7"/>
        <v xml:space="preserve">               </v>
      </c>
      <c r="W101" s="26" t="str">
        <f t="shared" si="8"/>
        <v xml:space="preserve">               </v>
      </c>
    </row>
    <row r="102" spans="2:23" x14ac:dyDescent="0.3">
      <c r="B102" s="25"/>
      <c r="C102" s="27">
        <v>3</v>
      </c>
      <c r="D102" s="5" t="s">
        <v>399</v>
      </c>
      <c r="E102" s="5" t="s">
        <v>400</v>
      </c>
      <c r="F102" s="5" t="s">
        <v>400</v>
      </c>
      <c r="G102" s="23"/>
      <c r="H102" s="14"/>
      <c r="I102" s="27"/>
      <c r="J102" s="5"/>
      <c r="K102" s="5"/>
      <c r="L102" s="23" t="s">
        <v>299</v>
      </c>
      <c r="M102" s="14"/>
      <c r="N102" s="27"/>
      <c r="O102" s="5"/>
      <c r="P102" s="5"/>
      <c r="Q102" s="23" t="s">
        <v>299</v>
      </c>
      <c r="S102" s="24"/>
      <c r="T102" s="26" t="str">
        <f t="shared" si="5"/>
        <v xml:space="preserve">      Water supply and sewage</v>
      </c>
      <c r="U102" s="26" t="str">
        <f t="shared" si="6"/>
        <v xml:space="preserve">      Water supply and sewage</v>
      </c>
      <c r="V102" s="26" t="str">
        <f t="shared" si="7"/>
        <v xml:space="preserve">               </v>
      </c>
      <c r="W102" s="26" t="str">
        <f t="shared" si="8"/>
        <v xml:space="preserve">               </v>
      </c>
    </row>
    <row r="103" spans="2:23" x14ac:dyDescent="0.3">
      <c r="B103" s="25"/>
      <c r="C103" s="27">
        <v>2</v>
      </c>
      <c r="D103" s="5" t="s">
        <v>401</v>
      </c>
      <c r="E103" s="5" t="s">
        <v>402</v>
      </c>
      <c r="F103" s="5" t="s">
        <v>402</v>
      </c>
      <c r="G103" s="23"/>
      <c r="H103" s="14"/>
      <c r="I103" s="27"/>
      <c r="J103" s="5"/>
      <c r="K103" s="5"/>
      <c r="L103" s="23" t="s">
        <v>299</v>
      </c>
      <c r="M103" s="14"/>
      <c r="N103" s="27"/>
      <c r="O103" s="5"/>
      <c r="P103" s="5"/>
      <c r="Q103" s="23" t="s">
        <v>299</v>
      </c>
      <c r="S103" s="24"/>
      <c r="T103" s="26" t="str">
        <f t="shared" si="5"/>
        <v xml:space="preserve">   Construction</v>
      </c>
      <c r="U103" s="26" t="str">
        <f t="shared" si="6"/>
        <v xml:space="preserve">   Construction</v>
      </c>
      <c r="V103" s="26" t="str">
        <f t="shared" si="7"/>
        <v xml:space="preserve">               </v>
      </c>
      <c r="W103" s="26" t="str">
        <f t="shared" si="8"/>
        <v xml:space="preserve">               </v>
      </c>
    </row>
    <row r="104" spans="2:23" x14ac:dyDescent="0.3">
      <c r="B104" s="25"/>
      <c r="C104" s="27">
        <v>1</v>
      </c>
      <c r="D104" s="5" t="s">
        <v>403</v>
      </c>
      <c r="E104" s="5" t="s">
        <v>404</v>
      </c>
      <c r="F104" s="5" t="s">
        <v>404</v>
      </c>
      <c r="G104" s="23"/>
      <c r="H104" s="14"/>
      <c r="I104" s="27"/>
      <c r="J104" s="5"/>
      <c r="K104" s="5"/>
      <c r="L104" s="23" t="s">
        <v>299</v>
      </c>
      <c r="M104" s="14"/>
      <c r="N104" s="27"/>
      <c r="O104" s="5"/>
      <c r="P104" s="5"/>
      <c r="Q104" s="23" t="s">
        <v>299</v>
      </c>
      <c r="S104" s="24"/>
      <c r="T104" s="26" t="str">
        <f t="shared" si="5"/>
        <v>Services</v>
      </c>
      <c r="U104" s="26" t="str">
        <f t="shared" si="6"/>
        <v>Services</v>
      </c>
      <c r="V104" s="26" t="str">
        <f t="shared" si="7"/>
        <v xml:space="preserve">               </v>
      </c>
      <c r="W104" s="26" t="str">
        <f t="shared" si="8"/>
        <v xml:space="preserve">               </v>
      </c>
    </row>
    <row r="105" spans="2:23" x14ac:dyDescent="0.3">
      <c r="B105" s="25"/>
      <c r="C105" s="27">
        <v>2</v>
      </c>
      <c r="D105" s="5" t="s">
        <v>405</v>
      </c>
      <c r="E105" s="5" t="s">
        <v>406</v>
      </c>
      <c r="F105" s="5" t="s">
        <v>406</v>
      </c>
      <c r="G105" s="23"/>
      <c r="H105" s="14"/>
      <c r="I105" s="27"/>
      <c r="J105" s="5"/>
      <c r="K105" s="5"/>
      <c r="L105" s="23" t="s">
        <v>299</v>
      </c>
      <c r="M105" s="14"/>
      <c r="N105" s="27"/>
      <c r="O105" s="5"/>
      <c r="P105" s="5"/>
      <c r="Q105" s="23" t="s">
        <v>299</v>
      </c>
      <c r="S105" s="24"/>
      <c r="T105" s="26" t="str">
        <f t="shared" si="5"/>
        <v xml:space="preserve">   Trade and food services</v>
      </c>
      <c r="U105" s="26" t="str">
        <f t="shared" si="6"/>
        <v xml:space="preserve">   Trade and food services</v>
      </c>
      <c r="V105" s="26" t="str">
        <f t="shared" si="7"/>
        <v xml:space="preserve">               </v>
      </c>
      <c r="W105" s="26" t="str">
        <f t="shared" si="8"/>
        <v xml:space="preserve">               </v>
      </c>
    </row>
    <row r="106" spans="2:23" x14ac:dyDescent="0.3">
      <c r="B106" s="25"/>
      <c r="C106" s="27">
        <v>3</v>
      </c>
      <c r="D106" s="5" t="s">
        <v>407</v>
      </c>
      <c r="E106" s="5" t="s">
        <v>408</v>
      </c>
      <c r="F106" s="5" t="s">
        <v>408</v>
      </c>
      <c r="G106" s="23"/>
      <c r="H106" s="14"/>
      <c r="I106" s="27"/>
      <c r="J106" s="5"/>
      <c r="K106" s="5"/>
      <c r="L106" s="23" t="s">
        <v>299</v>
      </c>
      <c r="M106" s="14"/>
      <c r="N106" s="27"/>
      <c r="O106" s="5"/>
      <c r="P106" s="5"/>
      <c r="Q106" s="23" t="s">
        <v>299</v>
      </c>
      <c r="S106" s="24"/>
      <c r="T106" s="26" t="str">
        <f t="shared" si="5"/>
        <v xml:space="preserve">      Wholesale and retail trade</v>
      </c>
      <c r="U106" s="26" t="str">
        <f t="shared" si="6"/>
        <v xml:space="preserve">      Wholesale and retail trade</v>
      </c>
      <c r="V106" s="26" t="str">
        <f t="shared" si="7"/>
        <v xml:space="preserve">               </v>
      </c>
      <c r="W106" s="26" t="str">
        <f t="shared" si="8"/>
        <v xml:space="preserve">               </v>
      </c>
    </row>
    <row r="107" spans="2:23" x14ac:dyDescent="0.3">
      <c r="B107" s="25"/>
      <c r="C107" s="27">
        <v>3</v>
      </c>
      <c r="D107" s="5" t="s">
        <v>413</v>
      </c>
      <c r="E107" s="5" t="s">
        <v>586</v>
      </c>
      <c r="F107" s="5" t="s">
        <v>586</v>
      </c>
      <c r="G107" s="23"/>
      <c r="H107" s="14"/>
      <c r="I107" s="27"/>
      <c r="J107" s="5"/>
      <c r="K107" s="5"/>
      <c r="L107" s="23" t="s">
        <v>299</v>
      </c>
      <c r="M107" s="14"/>
      <c r="N107" s="27"/>
      <c r="O107" s="5"/>
      <c r="P107" s="5"/>
      <c r="Q107" s="23" t="s">
        <v>299</v>
      </c>
      <c r="S107" s="24"/>
      <c r="T107" s="26" t="str">
        <f t="shared" si="5"/>
        <v xml:space="preserve">      Accommodation</v>
      </c>
      <c r="U107" s="26" t="str">
        <f t="shared" si="6"/>
        <v xml:space="preserve">      Accommodation</v>
      </c>
      <c r="V107" s="26" t="str">
        <f t="shared" si="7"/>
        <v xml:space="preserve">               </v>
      </c>
      <c r="W107" s="26" t="str">
        <f t="shared" si="8"/>
        <v xml:space="preserve">               </v>
      </c>
    </row>
    <row r="108" spans="2:23" x14ac:dyDescent="0.3">
      <c r="B108" s="25"/>
      <c r="C108" s="27">
        <v>3</v>
      </c>
      <c r="D108" s="5" t="s">
        <v>414</v>
      </c>
      <c r="E108" s="5" t="s">
        <v>587</v>
      </c>
      <c r="F108" s="5" t="s">
        <v>587</v>
      </c>
      <c r="G108" s="23"/>
      <c r="H108" s="14"/>
      <c r="I108" s="27"/>
      <c r="J108" s="5"/>
      <c r="K108" s="5"/>
      <c r="L108" s="23" t="s">
        <v>299</v>
      </c>
      <c r="M108" s="14"/>
      <c r="N108" s="27"/>
      <c r="O108" s="5"/>
      <c r="P108" s="5"/>
      <c r="Q108" s="23" t="s">
        <v>299</v>
      </c>
      <c r="S108" s="24"/>
      <c r="T108" s="26" t="str">
        <f t="shared" si="5"/>
        <v xml:space="preserve">      Restaurants and food services</v>
      </c>
      <c r="U108" s="26" t="str">
        <f t="shared" si="6"/>
        <v xml:space="preserve">      Restaurants and food services</v>
      </c>
      <c r="V108" s="26" t="str">
        <f t="shared" si="7"/>
        <v xml:space="preserve">               </v>
      </c>
      <c r="W108" s="26" t="str">
        <f t="shared" si="8"/>
        <v xml:space="preserve">               </v>
      </c>
    </row>
    <row r="109" spans="2:23" x14ac:dyDescent="0.3">
      <c r="B109" s="25"/>
      <c r="C109" s="27">
        <v>2</v>
      </c>
      <c r="D109" s="5" t="s">
        <v>409</v>
      </c>
      <c r="E109" s="5" t="s">
        <v>410</v>
      </c>
      <c r="F109" s="5" t="s">
        <v>410</v>
      </c>
      <c r="G109" s="23"/>
      <c r="H109" s="14"/>
      <c r="I109" s="27"/>
      <c r="J109" s="5"/>
      <c r="K109" s="5"/>
      <c r="L109" s="23" t="s">
        <v>299</v>
      </c>
      <c r="M109" s="14"/>
      <c r="N109" s="27"/>
      <c r="O109" s="5"/>
      <c r="P109" s="5"/>
      <c r="Q109" s="23" t="s">
        <v>299</v>
      </c>
      <c r="S109" s="24"/>
      <c r="T109" s="26" t="str">
        <f t="shared" si="5"/>
        <v xml:space="preserve">   Transport and communication</v>
      </c>
      <c r="U109" s="26" t="str">
        <f t="shared" si="6"/>
        <v xml:space="preserve">   Transport and communication</v>
      </c>
      <c r="V109" s="26" t="str">
        <f t="shared" si="7"/>
        <v xml:space="preserve">               </v>
      </c>
      <c r="W109" s="26" t="str">
        <f t="shared" si="8"/>
        <v xml:space="preserve">               </v>
      </c>
    </row>
    <row r="110" spans="2:23" x14ac:dyDescent="0.3">
      <c r="B110" s="25"/>
      <c r="C110" s="27">
        <v>3</v>
      </c>
      <c r="D110" s="5" t="s">
        <v>411</v>
      </c>
      <c r="E110" s="5" t="s">
        <v>412</v>
      </c>
      <c r="F110" s="5" t="s">
        <v>412</v>
      </c>
      <c r="G110" s="23"/>
      <c r="H110" s="14"/>
      <c r="I110" s="27"/>
      <c r="J110" s="5"/>
      <c r="K110" s="5"/>
      <c r="L110" s="23" t="s">
        <v>299</v>
      </c>
      <c r="M110" s="14"/>
      <c r="N110" s="27"/>
      <c r="O110" s="5"/>
      <c r="P110" s="5"/>
      <c r="Q110" s="23" t="s">
        <v>299</v>
      </c>
      <c r="S110" s="24"/>
      <c r="T110" s="26" t="str">
        <f t="shared" si="5"/>
        <v xml:space="preserve">      Transportation and storage</v>
      </c>
      <c r="U110" s="26" t="str">
        <f t="shared" si="6"/>
        <v xml:space="preserve">      Transportation and storage</v>
      </c>
      <c r="V110" s="26" t="str">
        <f t="shared" si="7"/>
        <v xml:space="preserve">               </v>
      </c>
      <c r="W110" s="26" t="str">
        <f t="shared" si="8"/>
        <v xml:space="preserve">               </v>
      </c>
    </row>
    <row r="111" spans="2:23" x14ac:dyDescent="0.3">
      <c r="B111" s="25"/>
      <c r="C111" s="27">
        <v>3</v>
      </c>
      <c r="D111" s="5" t="s">
        <v>415</v>
      </c>
      <c r="E111" s="5" t="s">
        <v>416</v>
      </c>
      <c r="F111" s="5" t="s">
        <v>416</v>
      </c>
      <c r="G111" s="23"/>
      <c r="H111" s="14"/>
      <c r="I111" s="27"/>
      <c r="J111" s="5"/>
      <c r="K111" s="5"/>
      <c r="L111" s="23" t="s">
        <v>299</v>
      </c>
      <c r="M111" s="14"/>
      <c r="N111" s="27"/>
      <c r="O111" s="5"/>
      <c r="P111" s="5"/>
      <c r="Q111" s="23" t="s">
        <v>299</v>
      </c>
      <c r="S111" s="24"/>
      <c r="T111" s="26" t="str">
        <f t="shared" si="5"/>
        <v xml:space="preserve">      Information and communication</v>
      </c>
      <c r="U111" s="26" t="str">
        <f t="shared" si="6"/>
        <v xml:space="preserve">      Information and communication</v>
      </c>
      <c r="V111" s="26" t="str">
        <f t="shared" si="7"/>
        <v xml:space="preserve">               </v>
      </c>
      <c r="W111" s="26" t="str">
        <f t="shared" si="8"/>
        <v xml:space="preserve">               </v>
      </c>
    </row>
    <row r="112" spans="2:23" x14ac:dyDescent="0.3">
      <c r="B112" s="25"/>
      <c r="C112" s="27">
        <v>2</v>
      </c>
      <c r="D112" s="5" t="s">
        <v>417</v>
      </c>
      <c r="E112" s="5" t="s">
        <v>418</v>
      </c>
      <c r="F112" s="5" t="s">
        <v>418</v>
      </c>
      <c r="G112" s="23"/>
      <c r="H112" s="14"/>
      <c r="I112" s="27"/>
      <c r="J112" s="5"/>
      <c r="K112" s="5"/>
      <c r="L112" s="23" t="s">
        <v>299</v>
      </c>
      <c r="M112" s="14"/>
      <c r="N112" s="27"/>
      <c r="O112" s="5"/>
      <c r="P112" s="5"/>
      <c r="Q112" s="23" t="s">
        <v>299</v>
      </c>
      <c r="S112" s="24"/>
      <c r="T112" s="26" t="str">
        <f t="shared" si="5"/>
        <v xml:space="preserve">   Finance and business services</v>
      </c>
      <c r="U112" s="26" t="str">
        <f t="shared" si="6"/>
        <v xml:space="preserve">   Finance and business services</v>
      </c>
      <c r="V112" s="26" t="str">
        <f t="shared" si="7"/>
        <v xml:space="preserve">               </v>
      </c>
      <c r="W112" s="26" t="str">
        <f t="shared" si="8"/>
        <v xml:space="preserve">               </v>
      </c>
    </row>
    <row r="113" spans="2:23" x14ac:dyDescent="0.3">
      <c r="B113" s="25"/>
      <c r="C113" s="27">
        <v>3</v>
      </c>
      <c r="D113" s="5" t="s">
        <v>419</v>
      </c>
      <c r="E113" s="5" t="s">
        <v>420</v>
      </c>
      <c r="F113" s="5" t="s">
        <v>420</v>
      </c>
      <c r="G113" s="23"/>
      <c r="H113" s="14"/>
      <c r="I113" s="27"/>
      <c r="J113" s="5"/>
      <c r="K113" s="5"/>
      <c r="L113" s="23" t="s">
        <v>299</v>
      </c>
      <c r="M113" s="14"/>
      <c r="N113" s="27"/>
      <c r="O113" s="5"/>
      <c r="P113" s="5"/>
      <c r="Q113" s="23" t="s">
        <v>299</v>
      </c>
      <c r="S113" s="24"/>
      <c r="T113" s="26" t="str">
        <f t="shared" si="5"/>
        <v xml:space="preserve">      Finance and insurance</v>
      </c>
      <c r="U113" s="26" t="str">
        <f t="shared" si="6"/>
        <v xml:space="preserve">      Finance and insurance</v>
      </c>
      <c r="V113" s="26" t="str">
        <f t="shared" si="7"/>
        <v xml:space="preserve">               </v>
      </c>
      <c r="W113" s="26" t="str">
        <f t="shared" si="8"/>
        <v xml:space="preserve">               </v>
      </c>
    </row>
    <row r="114" spans="2:23" x14ac:dyDescent="0.3">
      <c r="B114" s="25"/>
      <c r="C114" s="27">
        <v>3</v>
      </c>
      <c r="D114" s="5" t="s">
        <v>421</v>
      </c>
      <c r="E114" s="5" t="s">
        <v>422</v>
      </c>
      <c r="F114" s="5" t="s">
        <v>422</v>
      </c>
      <c r="G114" s="23"/>
      <c r="H114" s="14"/>
      <c r="I114" s="27"/>
      <c r="J114" s="5"/>
      <c r="K114" s="5"/>
      <c r="L114" s="23" t="s">
        <v>299</v>
      </c>
      <c r="M114" s="14"/>
      <c r="N114" s="27"/>
      <c r="O114" s="5"/>
      <c r="P114" s="5"/>
      <c r="Q114" s="23" t="s">
        <v>299</v>
      </c>
      <c r="S114" s="24"/>
      <c r="T114" s="26" t="str">
        <f t="shared" si="5"/>
        <v xml:space="preserve">      Real estate activities</v>
      </c>
      <c r="U114" s="26" t="str">
        <f t="shared" si="6"/>
        <v xml:space="preserve">      Real estate activities</v>
      </c>
      <c r="V114" s="26" t="str">
        <f t="shared" si="7"/>
        <v xml:space="preserve">               </v>
      </c>
      <c r="W114" s="26" t="str">
        <f t="shared" si="8"/>
        <v xml:space="preserve">               </v>
      </c>
    </row>
    <row r="115" spans="2:23" x14ac:dyDescent="0.3">
      <c r="B115" s="25"/>
      <c r="C115" s="27">
        <v>3</v>
      </c>
      <c r="D115" s="5" t="s">
        <v>423</v>
      </c>
      <c r="E115" s="5" t="s">
        <v>424</v>
      </c>
      <c r="F115" s="5" t="s">
        <v>424</v>
      </c>
      <c r="G115" s="23"/>
      <c r="H115" s="14"/>
      <c r="I115" s="27"/>
      <c r="J115" s="5"/>
      <c r="K115" s="5"/>
      <c r="L115" s="23" t="s">
        <v>299</v>
      </c>
      <c r="M115" s="14"/>
      <c r="N115" s="27"/>
      <c r="O115" s="5"/>
      <c r="P115" s="5"/>
      <c r="Q115" s="23" t="s">
        <v>299</v>
      </c>
      <c r="S115" s="24"/>
      <c r="T115" s="26" t="str">
        <f t="shared" si="5"/>
        <v xml:space="preserve">      Business services</v>
      </c>
      <c r="U115" s="26" t="str">
        <f t="shared" si="6"/>
        <v xml:space="preserve">      Business services</v>
      </c>
      <c r="V115" s="26" t="str">
        <f t="shared" si="7"/>
        <v xml:space="preserve">               </v>
      </c>
      <c r="W115" s="26" t="str">
        <f t="shared" si="8"/>
        <v xml:space="preserve">               </v>
      </c>
    </row>
    <row r="116" spans="2:23" x14ac:dyDescent="0.3">
      <c r="B116" s="25"/>
      <c r="C116" s="27">
        <v>2</v>
      </c>
      <c r="D116" s="5" t="s">
        <v>425</v>
      </c>
      <c r="E116" s="5" t="s">
        <v>426</v>
      </c>
      <c r="F116" s="5" t="s">
        <v>426</v>
      </c>
      <c r="G116" s="23"/>
      <c r="H116" s="14"/>
      <c r="I116" s="27"/>
      <c r="J116" s="5"/>
      <c r="K116" s="5"/>
      <c r="L116" s="23" t="s">
        <v>299</v>
      </c>
      <c r="M116" s="14"/>
      <c r="N116" s="27"/>
      <c r="O116" s="5"/>
      <c r="P116" s="5"/>
      <c r="Q116" s="23" t="s">
        <v>299</v>
      </c>
      <c r="S116" s="24"/>
      <c r="T116" s="26" t="str">
        <f t="shared" si="5"/>
        <v xml:space="preserve">   Public and social services</v>
      </c>
      <c r="U116" s="26" t="str">
        <f t="shared" si="6"/>
        <v xml:space="preserve">   Public and social services</v>
      </c>
      <c r="V116" s="26" t="str">
        <f t="shared" si="7"/>
        <v xml:space="preserve">               </v>
      </c>
      <c r="W116" s="26" t="str">
        <f t="shared" si="8"/>
        <v xml:space="preserve">               </v>
      </c>
    </row>
    <row r="117" spans="2:23" x14ac:dyDescent="0.3">
      <c r="B117" s="25"/>
      <c r="C117" s="27">
        <v>3</v>
      </c>
      <c r="D117" s="5" t="s">
        <v>427</v>
      </c>
      <c r="E117" s="5" t="s">
        <v>428</v>
      </c>
      <c r="F117" s="5" t="s">
        <v>428</v>
      </c>
      <c r="G117" s="23"/>
      <c r="H117" s="14"/>
      <c r="I117" s="27"/>
      <c r="J117" s="5"/>
      <c r="K117" s="5"/>
      <c r="L117" s="23" t="s">
        <v>299</v>
      </c>
      <c r="M117" s="14"/>
      <c r="N117" s="27"/>
      <c r="O117" s="5"/>
      <c r="P117" s="5"/>
      <c r="Q117" s="23" t="s">
        <v>299</v>
      </c>
      <c r="S117" s="24"/>
      <c r="T117" s="26" t="str">
        <f t="shared" si="5"/>
        <v xml:space="preserve">      Public administration</v>
      </c>
      <c r="U117" s="26" t="str">
        <f t="shared" si="6"/>
        <v xml:space="preserve">      Public administration</v>
      </c>
      <c r="V117" s="26" t="str">
        <f t="shared" si="7"/>
        <v xml:space="preserve">               </v>
      </c>
      <c r="W117" s="26" t="str">
        <f t="shared" si="8"/>
        <v xml:space="preserve">               </v>
      </c>
    </row>
    <row r="118" spans="2:23" x14ac:dyDescent="0.3">
      <c r="B118" s="25"/>
      <c r="C118" s="27">
        <v>3</v>
      </c>
      <c r="D118" s="5" t="s">
        <v>429</v>
      </c>
      <c r="E118" s="5" t="s">
        <v>430</v>
      </c>
      <c r="F118" s="5" t="s">
        <v>430</v>
      </c>
      <c r="G118" s="23"/>
      <c r="H118" s="14"/>
      <c r="I118" s="27"/>
      <c r="J118" s="5"/>
      <c r="K118" s="5"/>
      <c r="L118" s="23" t="s">
        <v>299</v>
      </c>
      <c r="M118" s="14"/>
      <c r="N118" s="27"/>
      <c r="O118" s="5"/>
      <c r="P118" s="5"/>
      <c r="Q118" s="23" t="s">
        <v>299</v>
      </c>
      <c r="S118" s="24"/>
      <c r="T118" s="26" t="str">
        <f t="shared" si="5"/>
        <v xml:space="preserve">      Education</v>
      </c>
      <c r="U118" s="26" t="str">
        <f t="shared" si="6"/>
        <v xml:space="preserve">      Education</v>
      </c>
      <c r="V118" s="26" t="str">
        <f t="shared" si="7"/>
        <v xml:space="preserve">               </v>
      </c>
      <c r="W118" s="26" t="str">
        <f t="shared" si="8"/>
        <v xml:space="preserve">               </v>
      </c>
    </row>
    <row r="119" spans="2:23" x14ac:dyDescent="0.3">
      <c r="B119" s="25"/>
      <c r="C119" s="27">
        <v>3</v>
      </c>
      <c r="D119" s="5" t="s">
        <v>431</v>
      </c>
      <c r="E119" s="5" t="s">
        <v>432</v>
      </c>
      <c r="F119" s="5" t="s">
        <v>432</v>
      </c>
      <c r="G119" s="23"/>
      <c r="H119" s="14"/>
      <c r="I119" s="27"/>
      <c r="J119" s="5"/>
      <c r="K119" s="5"/>
      <c r="L119" s="23" t="s">
        <v>299</v>
      </c>
      <c r="M119" s="14"/>
      <c r="N119" s="27"/>
      <c r="O119" s="5"/>
      <c r="P119" s="5"/>
      <c r="Q119" s="23" t="s">
        <v>299</v>
      </c>
      <c r="S119" s="24"/>
      <c r="T119" s="26" t="str">
        <f t="shared" si="5"/>
        <v xml:space="preserve">      Health and social work</v>
      </c>
      <c r="U119" s="26" t="str">
        <f t="shared" si="6"/>
        <v xml:space="preserve">      Health and social work</v>
      </c>
      <c r="V119" s="26" t="str">
        <f t="shared" si="7"/>
        <v xml:space="preserve">               </v>
      </c>
      <c r="W119" s="26" t="str">
        <f t="shared" si="8"/>
        <v xml:space="preserve">               </v>
      </c>
    </row>
    <row r="120" spans="2:23" x14ac:dyDescent="0.3">
      <c r="B120" s="25"/>
      <c r="C120" s="27">
        <v>2</v>
      </c>
      <c r="D120" s="5" t="s">
        <v>433</v>
      </c>
      <c r="E120" s="5" t="s">
        <v>434</v>
      </c>
      <c r="F120" s="5" t="s">
        <v>434</v>
      </c>
      <c r="G120" s="23"/>
      <c r="H120" s="14"/>
      <c r="I120" s="27"/>
      <c r="J120" s="5"/>
      <c r="K120" s="5"/>
      <c r="L120" s="23" t="s">
        <v>299</v>
      </c>
      <c r="M120" s="14"/>
      <c r="N120" s="27"/>
      <c r="O120" s="5"/>
      <c r="P120" s="5"/>
      <c r="Q120" s="23" t="s">
        <v>299</v>
      </c>
      <c r="S120" s="24"/>
      <c r="T120" s="26" t="str">
        <f t="shared" si="5"/>
        <v xml:space="preserve">   Other services</v>
      </c>
      <c r="U120" s="26" t="str">
        <f t="shared" si="6"/>
        <v xml:space="preserve">   Other services</v>
      </c>
      <c r="V120" s="26" t="str">
        <f t="shared" si="7"/>
        <v xml:space="preserve">               </v>
      </c>
      <c r="W120" s="26" t="str">
        <f t="shared" si="8"/>
        <v xml:space="preserve">               </v>
      </c>
    </row>
    <row r="121" spans="2:23" x14ac:dyDescent="0.3">
      <c r="B121" s="25"/>
      <c r="C121" s="27"/>
      <c r="D121" s="5"/>
      <c r="E121" s="5"/>
      <c r="F121" s="5"/>
      <c r="G121" s="23"/>
      <c r="H121" s="14"/>
      <c r="I121" s="27"/>
      <c r="J121" s="5"/>
      <c r="K121" s="5"/>
      <c r="L121" s="23" t="s">
        <v>299</v>
      </c>
      <c r="M121" s="14"/>
      <c r="N121" s="27"/>
      <c r="O121" s="5"/>
      <c r="P121" s="5"/>
      <c r="Q121" s="23" t="s">
        <v>299</v>
      </c>
      <c r="S121" s="24"/>
      <c r="T121" s="26" t="str">
        <f t="shared" si="5"/>
        <v xml:space="preserve">               </v>
      </c>
      <c r="U121" s="26" t="str">
        <f t="shared" si="6"/>
        <v xml:space="preserve">               </v>
      </c>
      <c r="V121" s="26" t="str">
        <f t="shared" si="7"/>
        <v xml:space="preserve">               </v>
      </c>
      <c r="W121" s="26" t="str">
        <f t="shared" si="8"/>
        <v xml:space="preserve">               </v>
      </c>
    </row>
    <row r="122" spans="2:23" x14ac:dyDescent="0.3">
      <c r="B122" s="25"/>
      <c r="C122" s="27"/>
      <c r="D122" s="5"/>
      <c r="E122" s="5"/>
      <c r="F122" s="5"/>
      <c r="G122" s="23"/>
      <c r="H122" s="14"/>
      <c r="I122" s="27"/>
      <c r="J122" s="5"/>
      <c r="K122" s="5"/>
      <c r="L122" s="23" t="s">
        <v>299</v>
      </c>
      <c r="M122" s="14"/>
      <c r="N122" s="27"/>
      <c r="O122" s="5"/>
      <c r="P122" s="5"/>
      <c r="Q122" s="23" t="s">
        <v>299</v>
      </c>
      <c r="S122" s="24"/>
      <c r="T122" s="26" t="str">
        <f t="shared" si="5"/>
        <v xml:space="preserve">               </v>
      </c>
      <c r="U122" s="26" t="str">
        <f t="shared" si="6"/>
        <v xml:space="preserve">               </v>
      </c>
      <c r="V122" s="26" t="str">
        <f t="shared" si="7"/>
        <v xml:space="preserve">               </v>
      </c>
      <c r="W122" s="26" t="str">
        <f t="shared" si="8"/>
        <v xml:space="preserve">               </v>
      </c>
    </row>
    <row r="123" spans="2:23" x14ac:dyDescent="0.3">
      <c r="B123" s="25"/>
      <c r="C123" s="27"/>
      <c r="D123" s="5"/>
      <c r="E123" s="5"/>
      <c r="F123" s="5"/>
      <c r="G123" s="23"/>
      <c r="H123" s="14"/>
      <c r="I123" s="27"/>
      <c r="J123" s="5"/>
      <c r="K123" s="5"/>
      <c r="L123" s="23" t="s">
        <v>299</v>
      </c>
      <c r="M123" s="14"/>
      <c r="N123" s="27"/>
      <c r="O123" s="5"/>
      <c r="P123" s="5"/>
      <c r="Q123" s="23" t="s">
        <v>299</v>
      </c>
      <c r="S123" s="24"/>
      <c r="T123" s="26" t="str">
        <f t="shared" si="5"/>
        <v xml:space="preserve">               </v>
      </c>
      <c r="U123" s="26" t="str">
        <f t="shared" si="6"/>
        <v xml:space="preserve">               </v>
      </c>
      <c r="V123" s="26" t="str">
        <f t="shared" si="7"/>
        <v xml:space="preserve">               </v>
      </c>
      <c r="W123" s="26" t="str">
        <f t="shared" si="8"/>
        <v xml:space="preserve">               </v>
      </c>
    </row>
    <row r="124" spans="2:23" x14ac:dyDescent="0.3">
      <c r="B124" s="25"/>
      <c r="C124" s="27"/>
      <c r="D124" s="5"/>
      <c r="E124" s="5"/>
      <c r="F124" s="5"/>
      <c r="G124" s="23"/>
      <c r="H124" s="14"/>
      <c r="I124" s="27"/>
      <c r="J124" s="5"/>
      <c r="K124" s="5"/>
      <c r="L124" s="23" t="s">
        <v>299</v>
      </c>
      <c r="M124" s="14"/>
      <c r="N124" s="27"/>
      <c r="O124" s="5"/>
      <c r="P124" s="5"/>
      <c r="Q124" s="23" t="s">
        <v>299</v>
      </c>
      <c r="S124" s="24"/>
      <c r="T124" s="26" t="str">
        <f t="shared" si="5"/>
        <v xml:space="preserve">               </v>
      </c>
      <c r="U124" s="26" t="str">
        <f t="shared" si="6"/>
        <v xml:space="preserve">               </v>
      </c>
      <c r="V124" s="26" t="str">
        <f t="shared" si="7"/>
        <v xml:space="preserve">               </v>
      </c>
      <c r="W124" s="26" t="str">
        <f t="shared" si="8"/>
        <v xml:space="preserve">               </v>
      </c>
    </row>
    <row r="125" spans="2:23" x14ac:dyDescent="0.3">
      <c r="B125" s="25"/>
      <c r="C125" s="27"/>
      <c r="D125" s="5"/>
      <c r="E125" s="5"/>
      <c r="F125" s="5"/>
      <c r="G125" s="23" t="s">
        <v>299</v>
      </c>
      <c r="H125" s="14"/>
      <c r="I125" s="27"/>
      <c r="J125" s="5"/>
      <c r="K125" s="5"/>
      <c r="L125" s="23" t="s">
        <v>299</v>
      </c>
      <c r="M125" s="14"/>
      <c r="N125" s="27"/>
      <c r="O125" s="5"/>
      <c r="P125" s="5"/>
      <c r="Q125" s="23" t="s">
        <v>299</v>
      </c>
      <c r="S125" s="24"/>
      <c r="T125" s="26" t="str">
        <f t="shared" si="5"/>
        <v xml:space="preserve">               </v>
      </c>
      <c r="U125" s="26" t="str">
        <f t="shared" si="6"/>
        <v xml:space="preserve">               </v>
      </c>
      <c r="V125" s="26" t="str">
        <f t="shared" si="7"/>
        <v xml:space="preserve">               </v>
      </c>
      <c r="W125" s="26" t="str">
        <f t="shared" si="8"/>
        <v xml:space="preserve">               </v>
      </c>
    </row>
    <row r="126" spans="2:23" x14ac:dyDescent="0.3">
      <c r="B126" s="25"/>
      <c r="C126" s="27"/>
      <c r="D126" s="5"/>
      <c r="E126" s="5"/>
      <c r="F126" s="5"/>
      <c r="G126" s="23" t="s">
        <v>299</v>
      </c>
      <c r="H126" s="14"/>
      <c r="I126" s="27"/>
      <c r="J126" s="5"/>
      <c r="K126" s="5"/>
      <c r="L126" s="23" t="s">
        <v>299</v>
      </c>
      <c r="M126" s="14"/>
      <c r="N126" s="27"/>
      <c r="O126" s="5"/>
      <c r="P126" s="5"/>
      <c r="Q126" s="23" t="s">
        <v>299</v>
      </c>
      <c r="S126" s="24"/>
      <c r="T126" s="26" t="str">
        <f t="shared" si="5"/>
        <v xml:space="preserve">               </v>
      </c>
      <c r="U126" s="26" t="str">
        <f t="shared" si="6"/>
        <v xml:space="preserve">               </v>
      </c>
      <c r="V126" s="26" t="str">
        <f t="shared" si="7"/>
        <v xml:space="preserve">               </v>
      </c>
      <c r="W126" s="26" t="str">
        <f t="shared" si="8"/>
        <v xml:space="preserve">               </v>
      </c>
    </row>
    <row r="127" spans="2:23" x14ac:dyDescent="0.3">
      <c r="B127" s="25"/>
      <c r="C127" s="27"/>
      <c r="D127" s="5"/>
      <c r="E127" s="5"/>
      <c r="F127" s="5"/>
      <c r="G127" s="23" t="s">
        <v>299</v>
      </c>
      <c r="H127" s="14"/>
      <c r="I127" s="27"/>
      <c r="J127" s="5"/>
      <c r="K127" s="5"/>
      <c r="L127" s="23" t="s">
        <v>299</v>
      </c>
      <c r="M127" s="14"/>
      <c r="N127" s="27"/>
      <c r="O127" s="5"/>
      <c r="P127" s="5"/>
      <c r="Q127" s="23" t="s">
        <v>299</v>
      </c>
      <c r="S127" s="24"/>
      <c r="T127" s="26" t="str">
        <f t="shared" si="5"/>
        <v xml:space="preserve">               </v>
      </c>
      <c r="U127" s="26" t="str">
        <f t="shared" si="6"/>
        <v xml:space="preserve">               </v>
      </c>
      <c r="V127" s="26" t="str">
        <f t="shared" si="7"/>
        <v xml:space="preserve">               </v>
      </c>
      <c r="W127" s="26" t="str">
        <f t="shared" si="8"/>
        <v xml:space="preserve">               </v>
      </c>
    </row>
    <row r="128" spans="2:23" x14ac:dyDescent="0.3">
      <c r="B128" s="25"/>
      <c r="C128" s="27"/>
      <c r="D128" s="5"/>
      <c r="E128" s="5"/>
      <c r="F128" s="5"/>
      <c r="G128" s="23" t="s">
        <v>299</v>
      </c>
      <c r="H128" s="14"/>
      <c r="I128" s="27"/>
      <c r="J128" s="5"/>
      <c r="K128" s="5"/>
      <c r="L128" s="23" t="s">
        <v>299</v>
      </c>
      <c r="M128" s="14"/>
      <c r="N128" s="27"/>
      <c r="O128" s="5"/>
      <c r="P128" s="5"/>
      <c r="Q128" s="23" t="s">
        <v>299</v>
      </c>
      <c r="S128" s="24"/>
      <c r="T128" s="26" t="str">
        <f t="shared" si="5"/>
        <v xml:space="preserve">               </v>
      </c>
      <c r="U128" s="26" t="str">
        <f t="shared" si="6"/>
        <v xml:space="preserve">               </v>
      </c>
      <c r="V128" s="26" t="str">
        <f t="shared" si="7"/>
        <v xml:space="preserve">               </v>
      </c>
      <c r="W128" s="26" t="str">
        <f t="shared" si="8"/>
        <v xml:space="preserve">               </v>
      </c>
    </row>
    <row r="129" spans="2:23" x14ac:dyDescent="0.3">
      <c r="B129" s="25"/>
      <c r="C129" s="27"/>
      <c r="D129" s="5"/>
      <c r="E129" s="5"/>
      <c r="F129" s="5"/>
      <c r="G129" s="23" t="s">
        <v>299</v>
      </c>
      <c r="H129" s="14"/>
      <c r="I129" s="27"/>
      <c r="J129" s="5"/>
      <c r="K129" s="5"/>
      <c r="L129" s="23" t="s">
        <v>299</v>
      </c>
      <c r="M129" s="14"/>
      <c r="N129" s="27"/>
      <c r="O129" s="5"/>
      <c r="P129" s="5"/>
      <c r="Q129" s="23" t="s">
        <v>299</v>
      </c>
      <c r="S129" s="24"/>
      <c r="T129" s="26" t="str">
        <f t="shared" si="5"/>
        <v xml:space="preserve">               </v>
      </c>
      <c r="U129" s="26" t="str">
        <f t="shared" si="6"/>
        <v xml:space="preserve">               </v>
      </c>
      <c r="V129" s="26" t="str">
        <f t="shared" si="7"/>
        <v xml:space="preserve">               </v>
      </c>
      <c r="W129" s="26" t="str">
        <f t="shared" si="8"/>
        <v xml:space="preserve">               </v>
      </c>
    </row>
    <row r="130" spans="2:23" x14ac:dyDescent="0.3">
      <c r="B130" s="25"/>
      <c r="C130" s="27"/>
      <c r="D130" s="5"/>
      <c r="E130" s="5"/>
      <c r="F130" s="5"/>
      <c r="G130" s="23" t="s">
        <v>299</v>
      </c>
      <c r="H130" s="14"/>
      <c r="I130" s="27"/>
      <c r="J130" s="5"/>
      <c r="K130" s="5"/>
      <c r="L130" s="23" t="s">
        <v>299</v>
      </c>
      <c r="M130" s="14"/>
      <c r="N130" s="27"/>
      <c r="O130" s="5"/>
      <c r="P130" s="5"/>
      <c r="Q130" s="23" t="s">
        <v>299</v>
      </c>
      <c r="S130" s="24"/>
      <c r="T130" s="26" t="str">
        <f t="shared" si="5"/>
        <v xml:space="preserve">               </v>
      </c>
      <c r="U130" s="26" t="str">
        <f t="shared" si="6"/>
        <v xml:space="preserve">               </v>
      </c>
      <c r="V130" s="26" t="str">
        <f t="shared" si="7"/>
        <v xml:space="preserve">               </v>
      </c>
      <c r="W130" s="26" t="str">
        <f t="shared" si="8"/>
        <v xml:space="preserve">               </v>
      </c>
    </row>
    <row r="131" spans="2:23" x14ac:dyDescent="0.3">
      <c r="B131" s="25"/>
      <c r="C131" s="27"/>
      <c r="D131" s="5"/>
      <c r="E131" s="5"/>
      <c r="F131" s="5"/>
      <c r="G131" s="23" t="s">
        <v>299</v>
      </c>
      <c r="H131" s="14"/>
      <c r="I131" s="27"/>
      <c r="J131" s="5"/>
      <c r="K131" s="5"/>
      <c r="L131" s="23" t="s">
        <v>299</v>
      </c>
      <c r="M131" s="14"/>
      <c r="N131" s="27"/>
      <c r="O131" s="5"/>
      <c r="P131" s="5"/>
      <c r="Q131" s="23" t="s">
        <v>299</v>
      </c>
      <c r="S131" s="24"/>
      <c r="T131" s="26" t="str">
        <f t="shared" si="5"/>
        <v xml:space="preserve">               </v>
      </c>
      <c r="U131" s="26" t="str">
        <f t="shared" si="6"/>
        <v xml:space="preserve">               </v>
      </c>
      <c r="V131" s="26" t="str">
        <f t="shared" si="7"/>
        <v xml:space="preserve">               </v>
      </c>
      <c r="W131" s="26" t="str">
        <f t="shared" si="8"/>
        <v xml:space="preserve">               </v>
      </c>
    </row>
    <row r="132" spans="2:23" x14ac:dyDescent="0.3">
      <c r="B132" s="25"/>
      <c r="C132" s="27"/>
      <c r="D132" s="5"/>
      <c r="E132" s="5"/>
      <c r="F132" s="5"/>
      <c r="G132" s="23" t="s">
        <v>299</v>
      </c>
      <c r="H132" s="14"/>
      <c r="I132" s="27"/>
      <c r="J132" s="5"/>
      <c r="K132" s="5"/>
      <c r="L132" s="23" t="s">
        <v>299</v>
      </c>
      <c r="M132" s="14"/>
      <c r="N132" s="27"/>
      <c r="O132" s="5"/>
      <c r="P132" s="5"/>
      <c r="Q132" s="23" t="s">
        <v>299</v>
      </c>
      <c r="S132" s="24"/>
      <c r="T132" s="26" t="str">
        <f t="shared" si="5"/>
        <v xml:space="preserve">               </v>
      </c>
      <c r="U132" s="26" t="str">
        <f t="shared" si="6"/>
        <v xml:space="preserve">               </v>
      </c>
      <c r="V132" s="26" t="str">
        <f t="shared" si="7"/>
        <v xml:space="preserve">               </v>
      </c>
      <c r="W132" s="26" t="str">
        <f t="shared" si="8"/>
        <v xml:space="preserve">               </v>
      </c>
    </row>
    <row r="133" spans="2:23" x14ac:dyDescent="0.3">
      <c r="B133" s="25"/>
      <c r="C133" s="27"/>
      <c r="D133" s="5"/>
      <c r="E133" s="5"/>
      <c r="F133" s="5"/>
      <c r="G133" s="23" t="s">
        <v>299</v>
      </c>
      <c r="H133" s="14"/>
      <c r="I133" s="27"/>
      <c r="J133" s="5"/>
      <c r="K133" s="5"/>
      <c r="L133" s="23" t="s">
        <v>299</v>
      </c>
      <c r="M133" s="14"/>
      <c r="N133" s="27"/>
      <c r="O133" s="5"/>
      <c r="P133" s="5"/>
      <c r="Q133" s="23" t="s">
        <v>299</v>
      </c>
      <c r="S133" s="24"/>
      <c r="T133" s="26" t="str">
        <f t="shared" si="5"/>
        <v xml:space="preserve">               </v>
      </c>
      <c r="U133" s="26" t="str">
        <f t="shared" si="6"/>
        <v xml:space="preserve">               </v>
      </c>
      <c r="V133" s="26" t="str">
        <f t="shared" si="7"/>
        <v xml:space="preserve">               </v>
      </c>
      <c r="W133" s="26" t="str">
        <f t="shared" si="8"/>
        <v xml:space="preserve">               </v>
      </c>
    </row>
    <row r="134" spans="2:23" x14ac:dyDescent="0.3">
      <c r="B134" s="25"/>
      <c r="C134" s="27"/>
      <c r="D134" s="5"/>
      <c r="E134" s="5"/>
      <c r="F134" s="5"/>
      <c r="G134" s="23" t="s">
        <v>299</v>
      </c>
      <c r="H134" s="14"/>
      <c r="I134" s="27"/>
      <c r="J134" s="5"/>
      <c r="K134" s="5"/>
      <c r="L134" s="23" t="s">
        <v>299</v>
      </c>
      <c r="M134" s="14"/>
      <c r="N134" s="27"/>
      <c r="O134" s="5"/>
      <c r="P134" s="5"/>
      <c r="Q134" s="23" t="s">
        <v>299</v>
      </c>
      <c r="S134" s="24"/>
      <c r="T134" s="26" t="str">
        <f t="shared" si="5"/>
        <v xml:space="preserve">               </v>
      </c>
      <c r="U134" s="26" t="str">
        <f t="shared" si="6"/>
        <v xml:space="preserve">               </v>
      </c>
      <c r="V134" s="26" t="str">
        <f t="shared" si="7"/>
        <v xml:space="preserve">               </v>
      </c>
      <c r="W134" s="26" t="str">
        <f t="shared" si="8"/>
        <v xml:space="preserve">               </v>
      </c>
    </row>
    <row r="135" spans="2:23" x14ac:dyDescent="0.3">
      <c r="B135" s="25"/>
      <c r="C135" s="27"/>
      <c r="D135" s="5"/>
      <c r="E135" s="5"/>
      <c r="F135" s="5"/>
      <c r="G135" s="23" t="s">
        <v>299</v>
      </c>
      <c r="H135" s="14"/>
      <c r="I135" s="27"/>
      <c r="J135" s="5"/>
      <c r="K135" s="5"/>
      <c r="L135" s="23" t="s">
        <v>299</v>
      </c>
      <c r="M135" s="14"/>
      <c r="N135" s="27"/>
      <c r="O135" s="5"/>
      <c r="P135" s="5"/>
      <c r="Q135" s="23" t="s">
        <v>299</v>
      </c>
      <c r="S135" s="24"/>
      <c r="T135" s="26" t="str">
        <f t="shared" si="5"/>
        <v xml:space="preserve">               </v>
      </c>
      <c r="U135" s="26" t="str">
        <f t="shared" si="6"/>
        <v xml:space="preserve">               </v>
      </c>
      <c r="V135" s="26" t="str">
        <f t="shared" si="7"/>
        <v xml:space="preserve">               </v>
      </c>
      <c r="W135" s="26" t="str">
        <f t="shared" si="8"/>
        <v xml:space="preserve">               </v>
      </c>
    </row>
    <row r="136" spans="2:23" x14ac:dyDescent="0.3">
      <c r="B136" s="25"/>
      <c r="C136" s="27"/>
      <c r="D136" s="5"/>
      <c r="E136" s="5"/>
      <c r="F136" s="5"/>
      <c r="G136" s="23" t="s">
        <v>299</v>
      </c>
      <c r="H136" s="14"/>
      <c r="I136" s="27"/>
      <c r="J136" s="5"/>
      <c r="K136" s="5"/>
      <c r="L136" s="23" t="s">
        <v>299</v>
      </c>
      <c r="M136" s="14"/>
      <c r="N136" s="27"/>
      <c r="O136" s="5"/>
      <c r="P136" s="5"/>
      <c r="Q136" s="23" t="s">
        <v>299</v>
      </c>
      <c r="S136" s="24"/>
      <c r="T136" s="26" t="str">
        <f t="shared" si="5"/>
        <v xml:space="preserve">               </v>
      </c>
      <c r="U136" s="26" t="str">
        <f t="shared" si="6"/>
        <v xml:space="preserve">               </v>
      </c>
      <c r="V136" s="26" t="str">
        <f t="shared" si="7"/>
        <v xml:space="preserve">               </v>
      </c>
      <c r="W136" s="26" t="str">
        <f t="shared" si="8"/>
        <v xml:space="preserve">               </v>
      </c>
    </row>
    <row r="137" spans="2:23" x14ac:dyDescent="0.3">
      <c r="B137" s="25"/>
      <c r="C137" s="27"/>
      <c r="D137" s="5"/>
      <c r="E137" s="5"/>
      <c r="F137" s="5"/>
      <c r="G137" s="23" t="s">
        <v>299</v>
      </c>
      <c r="H137" s="14"/>
      <c r="I137" s="27"/>
      <c r="J137" s="5"/>
      <c r="K137" s="5"/>
      <c r="L137" s="23" t="s">
        <v>299</v>
      </c>
      <c r="M137" s="14"/>
      <c r="N137" s="27"/>
      <c r="O137" s="5"/>
      <c r="P137" s="5"/>
      <c r="Q137" s="23" t="s">
        <v>299</v>
      </c>
      <c r="S137" s="24"/>
      <c r="T137" s="26" t="str">
        <f t="shared" si="5"/>
        <v xml:space="preserve">               </v>
      </c>
      <c r="U137" s="26" t="str">
        <f t="shared" si="6"/>
        <v xml:space="preserve">               </v>
      </c>
      <c r="V137" s="26" t="str">
        <f t="shared" si="7"/>
        <v xml:space="preserve">               </v>
      </c>
      <c r="W137" s="26" t="str">
        <f t="shared" si="8"/>
        <v xml:space="preserve">               </v>
      </c>
    </row>
    <row r="138" spans="2:23" x14ac:dyDescent="0.3">
      <c r="B138" s="25"/>
      <c r="C138" s="27"/>
      <c r="D138" s="5"/>
      <c r="E138" s="5"/>
      <c r="F138" s="5"/>
      <c r="G138" s="23" t="s">
        <v>299</v>
      </c>
      <c r="H138" s="14"/>
      <c r="I138" s="27"/>
      <c r="J138" s="5"/>
      <c r="K138" s="5"/>
      <c r="L138" s="23" t="s">
        <v>299</v>
      </c>
      <c r="M138" s="14"/>
      <c r="N138" s="27"/>
      <c r="O138" s="5"/>
      <c r="P138" s="5"/>
      <c r="Q138" s="23" t="s">
        <v>299</v>
      </c>
      <c r="S138" s="24"/>
      <c r="T138" s="26" t="str">
        <f t="shared" ref="T138:T158" si="9">IF(C138=1,E138,IF(C138=2,"   "&amp;E138,IF(C138=3,"      "&amp;E138,IF(C138=4,"         "&amp;E138,"               "&amp;E138))))</f>
        <v xml:space="preserve">               </v>
      </c>
      <c r="U138" s="26" t="str">
        <f t="shared" ref="U138:U158" si="10">IF(C138=1,F138,IF(C138=2,"   "&amp;F138,IF(C138=3,"      "&amp;F138,IF(C138=4,"         "&amp;F138,"               "&amp;F138))))</f>
        <v xml:space="preserve">               </v>
      </c>
      <c r="V138" s="26" t="str">
        <f t="shared" ref="V138:V158" si="11">IF(I138=1,K138,IF(I138=2,"   "&amp;K138,IF(I138=3,"      "&amp;K138,IF(I138=4,"         "&amp;K138,"               "&amp;K138))))</f>
        <v xml:space="preserve">               </v>
      </c>
      <c r="W138" s="26" t="str">
        <f t="shared" ref="W138:W158" si="12">IF(N138=1,P138,IF(N138=2,"   "&amp;P138,IF(N138=3,"      "&amp;P138,IF(N138=4,"         "&amp;P138,"               "&amp;P138))))</f>
        <v xml:space="preserve">               </v>
      </c>
    </row>
    <row r="139" spans="2:23" x14ac:dyDescent="0.3">
      <c r="B139" s="25"/>
      <c r="C139" s="27"/>
      <c r="D139" s="5"/>
      <c r="E139" s="5"/>
      <c r="F139" s="5"/>
      <c r="G139" s="23" t="s">
        <v>299</v>
      </c>
      <c r="H139" s="14"/>
      <c r="I139" s="27"/>
      <c r="J139" s="5"/>
      <c r="K139" s="5"/>
      <c r="L139" s="23" t="s">
        <v>299</v>
      </c>
      <c r="M139" s="14"/>
      <c r="N139" s="27"/>
      <c r="O139" s="5"/>
      <c r="P139" s="5"/>
      <c r="Q139" s="23" t="s">
        <v>299</v>
      </c>
      <c r="S139" s="24"/>
      <c r="T139" s="26" t="str">
        <f t="shared" si="9"/>
        <v xml:space="preserve">               </v>
      </c>
      <c r="U139" s="26" t="str">
        <f t="shared" si="10"/>
        <v xml:space="preserve">               </v>
      </c>
      <c r="V139" s="26" t="str">
        <f t="shared" si="11"/>
        <v xml:space="preserve">               </v>
      </c>
      <c r="W139" s="26" t="str">
        <f t="shared" si="12"/>
        <v xml:space="preserve">               </v>
      </c>
    </row>
    <row r="140" spans="2:23" x14ac:dyDescent="0.3">
      <c r="B140" s="25"/>
      <c r="C140" s="27"/>
      <c r="D140" s="5"/>
      <c r="E140" s="5"/>
      <c r="F140" s="5"/>
      <c r="G140" s="23" t="s">
        <v>299</v>
      </c>
      <c r="H140" s="14"/>
      <c r="I140" s="27"/>
      <c r="J140" s="5"/>
      <c r="K140" s="5"/>
      <c r="L140" s="23" t="s">
        <v>299</v>
      </c>
      <c r="M140" s="14"/>
      <c r="N140" s="27"/>
      <c r="O140" s="5"/>
      <c r="P140" s="5"/>
      <c r="Q140" s="23" t="s">
        <v>299</v>
      </c>
      <c r="S140" s="24"/>
      <c r="T140" s="26" t="str">
        <f t="shared" si="9"/>
        <v xml:space="preserve">               </v>
      </c>
      <c r="U140" s="26" t="str">
        <f t="shared" si="10"/>
        <v xml:space="preserve">               </v>
      </c>
      <c r="V140" s="26" t="str">
        <f t="shared" si="11"/>
        <v xml:space="preserve">               </v>
      </c>
      <c r="W140" s="26" t="str">
        <f t="shared" si="12"/>
        <v xml:space="preserve">               </v>
      </c>
    </row>
    <row r="141" spans="2:23" x14ac:dyDescent="0.3">
      <c r="B141" s="25"/>
      <c r="C141" s="27"/>
      <c r="D141" s="5"/>
      <c r="E141" s="5"/>
      <c r="F141" s="5"/>
      <c r="G141" s="23" t="s">
        <v>299</v>
      </c>
      <c r="H141" s="14"/>
      <c r="I141" s="27"/>
      <c r="J141" s="5"/>
      <c r="K141" s="5"/>
      <c r="L141" s="23" t="s">
        <v>299</v>
      </c>
      <c r="M141" s="14"/>
      <c r="N141" s="27"/>
      <c r="O141" s="5"/>
      <c r="P141" s="5"/>
      <c r="Q141" s="23" t="s">
        <v>299</v>
      </c>
      <c r="S141" s="24"/>
      <c r="T141" s="26" t="str">
        <f t="shared" si="9"/>
        <v xml:space="preserve">               </v>
      </c>
      <c r="U141" s="26" t="str">
        <f t="shared" si="10"/>
        <v xml:space="preserve">               </v>
      </c>
      <c r="V141" s="26" t="str">
        <f t="shared" si="11"/>
        <v xml:space="preserve">               </v>
      </c>
      <c r="W141" s="26" t="str">
        <f t="shared" si="12"/>
        <v xml:space="preserve">               </v>
      </c>
    </row>
    <row r="142" spans="2:23" x14ac:dyDescent="0.3">
      <c r="B142" s="25"/>
      <c r="C142" s="27"/>
      <c r="D142" s="5"/>
      <c r="E142" s="5"/>
      <c r="F142" s="5"/>
      <c r="G142" s="23" t="s">
        <v>299</v>
      </c>
      <c r="H142" s="14"/>
      <c r="I142" s="27"/>
      <c r="J142" s="5"/>
      <c r="K142" s="5"/>
      <c r="L142" s="23" t="s">
        <v>299</v>
      </c>
      <c r="M142" s="14"/>
      <c r="N142" s="27"/>
      <c r="O142" s="5"/>
      <c r="P142" s="5"/>
      <c r="Q142" s="23" t="s">
        <v>299</v>
      </c>
      <c r="S142" s="24"/>
      <c r="T142" s="26" t="str">
        <f t="shared" si="9"/>
        <v xml:space="preserve">               </v>
      </c>
      <c r="U142" s="26" t="str">
        <f t="shared" si="10"/>
        <v xml:space="preserve">               </v>
      </c>
      <c r="V142" s="26" t="str">
        <f t="shared" si="11"/>
        <v xml:space="preserve">               </v>
      </c>
      <c r="W142" s="26" t="str">
        <f t="shared" si="12"/>
        <v xml:space="preserve">               </v>
      </c>
    </row>
    <row r="143" spans="2:23" x14ac:dyDescent="0.3">
      <c r="B143" s="25"/>
      <c r="C143" s="27"/>
      <c r="D143" s="5"/>
      <c r="E143" s="5"/>
      <c r="F143" s="5"/>
      <c r="G143" s="23" t="s">
        <v>299</v>
      </c>
      <c r="H143" s="14"/>
      <c r="I143" s="27"/>
      <c r="J143" s="5"/>
      <c r="K143" s="5"/>
      <c r="L143" s="23" t="s">
        <v>299</v>
      </c>
      <c r="M143" s="14"/>
      <c r="N143" s="27"/>
      <c r="O143" s="5"/>
      <c r="P143" s="5"/>
      <c r="Q143" s="23" t="s">
        <v>299</v>
      </c>
      <c r="S143" s="24"/>
      <c r="T143" s="26" t="str">
        <f t="shared" si="9"/>
        <v xml:space="preserve">               </v>
      </c>
      <c r="U143" s="26" t="str">
        <f t="shared" si="10"/>
        <v xml:space="preserve">               </v>
      </c>
      <c r="V143" s="26" t="str">
        <f t="shared" si="11"/>
        <v xml:space="preserve">               </v>
      </c>
      <c r="W143" s="26" t="str">
        <f t="shared" si="12"/>
        <v xml:space="preserve">               </v>
      </c>
    </row>
    <row r="144" spans="2:23" x14ac:dyDescent="0.3">
      <c r="B144" s="25"/>
      <c r="C144" s="27"/>
      <c r="D144" s="5"/>
      <c r="E144" s="5"/>
      <c r="F144" s="5"/>
      <c r="G144" s="23" t="s">
        <v>299</v>
      </c>
      <c r="H144" s="14"/>
      <c r="I144" s="27"/>
      <c r="J144" s="5"/>
      <c r="K144" s="5"/>
      <c r="L144" s="23" t="s">
        <v>299</v>
      </c>
      <c r="M144" s="14"/>
      <c r="N144" s="27"/>
      <c r="O144" s="5"/>
      <c r="P144" s="5"/>
      <c r="Q144" s="23" t="s">
        <v>299</v>
      </c>
      <c r="S144" s="24"/>
      <c r="T144" s="26" t="str">
        <f t="shared" si="9"/>
        <v xml:space="preserve">               </v>
      </c>
      <c r="U144" s="26" t="str">
        <f t="shared" si="10"/>
        <v xml:space="preserve">               </v>
      </c>
      <c r="V144" s="26" t="str">
        <f t="shared" si="11"/>
        <v xml:space="preserve">               </v>
      </c>
      <c r="W144" s="26" t="str">
        <f t="shared" si="12"/>
        <v xml:space="preserve">               </v>
      </c>
    </row>
    <row r="145" spans="2:23" x14ac:dyDescent="0.3">
      <c r="B145" s="25"/>
      <c r="C145" s="27"/>
      <c r="D145" s="5"/>
      <c r="E145" s="5"/>
      <c r="F145" s="5"/>
      <c r="G145" s="23" t="s">
        <v>299</v>
      </c>
      <c r="H145" s="14"/>
      <c r="I145" s="27"/>
      <c r="J145" s="5"/>
      <c r="K145" s="5"/>
      <c r="L145" s="23" t="s">
        <v>299</v>
      </c>
      <c r="M145" s="14"/>
      <c r="N145" s="27"/>
      <c r="O145" s="5"/>
      <c r="P145" s="5"/>
      <c r="Q145" s="23" t="s">
        <v>299</v>
      </c>
      <c r="S145" s="24"/>
      <c r="T145" s="26" t="str">
        <f t="shared" si="9"/>
        <v xml:space="preserve">               </v>
      </c>
      <c r="U145" s="26" t="str">
        <f t="shared" si="10"/>
        <v xml:space="preserve">               </v>
      </c>
      <c r="V145" s="26" t="str">
        <f t="shared" si="11"/>
        <v xml:space="preserve">               </v>
      </c>
      <c r="W145" s="26" t="str">
        <f t="shared" si="12"/>
        <v xml:space="preserve">               </v>
      </c>
    </row>
    <row r="146" spans="2:23" x14ac:dyDescent="0.3">
      <c r="B146" s="25"/>
      <c r="C146" s="27"/>
      <c r="D146" s="5"/>
      <c r="E146" s="5"/>
      <c r="F146" s="5"/>
      <c r="G146" s="23" t="s">
        <v>299</v>
      </c>
      <c r="H146" s="14"/>
      <c r="I146" s="27"/>
      <c r="J146" s="5"/>
      <c r="K146" s="5"/>
      <c r="L146" s="23" t="s">
        <v>299</v>
      </c>
      <c r="M146" s="14"/>
      <c r="N146" s="27"/>
      <c r="O146" s="5"/>
      <c r="P146" s="5"/>
      <c r="Q146" s="23" t="s">
        <v>299</v>
      </c>
      <c r="S146" s="24"/>
      <c r="T146" s="26" t="str">
        <f t="shared" si="9"/>
        <v xml:space="preserve">               </v>
      </c>
      <c r="U146" s="26" t="str">
        <f t="shared" si="10"/>
        <v xml:space="preserve">               </v>
      </c>
      <c r="V146" s="26" t="str">
        <f t="shared" si="11"/>
        <v xml:space="preserve">               </v>
      </c>
      <c r="W146" s="26" t="str">
        <f t="shared" si="12"/>
        <v xml:space="preserve">               </v>
      </c>
    </row>
    <row r="147" spans="2:23" x14ac:dyDescent="0.3">
      <c r="B147" s="25"/>
      <c r="C147" s="27"/>
      <c r="D147" s="5"/>
      <c r="E147" s="5"/>
      <c r="F147" s="5"/>
      <c r="G147" s="23" t="s">
        <v>299</v>
      </c>
      <c r="H147" s="14"/>
      <c r="I147" s="27"/>
      <c r="J147" s="5"/>
      <c r="K147" s="5"/>
      <c r="L147" s="23" t="s">
        <v>299</v>
      </c>
      <c r="M147" s="14"/>
      <c r="N147" s="27"/>
      <c r="O147" s="5"/>
      <c r="P147" s="5"/>
      <c r="Q147" s="23" t="s">
        <v>299</v>
      </c>
      <c r="S147" s="24"/>
      <c r="T147" s="26" t="str">
        <f t="shared" si="9"/>
        <v xml:space="preserve">               </v>
      </c>
      <c r="U147" s="26" t="str">
        <f t="shared" si="10"/>
        <v xml:space="preserve">               </v>
      </c>
      <c r="V147" s="26" t="str">
        <f t="shared" si="11"/>
        <v xml:space="preserve">               </v>
      </c>
      <c r="W147" s="26" t="str">
        <f t="shared" si="12"/>
        <v xml:space="preserve">               </v>
      </c>
    </row>
    <row r="148" spans="2:23" x14ac:dyDescent="0.3">
      <c r="B148" s="25"/>
      <c r="C148" s="27"/>
      <c r="D148" s="5"/>
      <c r="E148" s="5"/>
      <c r="F148" s="5"/>
      <c r="G148" s="23" t="s">
        <v>299</v>
      </c>
      <c r="H148" s="14"/>
      <c r="I148" s="27"/>
      <c r="J148" s="5"/>
      <c r="K148" s="5"/>
      <c r="L148" s="23" t="s">
        <v>299</v>
      </c>
      <c r="M148" s="14"/>
      <c r="N148" s="27"/>
      <c r="O148" s="5"/>
      <c r="P148" s="5"/>
      <c r="Q148" s="23" t="s">
        <v>299</v>
      </c>
      <c r="S148" s="24"/>
      <c r="T148" s="26" t="str">
        <f t="shared" si="9"/>
        <v xml:space="preserve">               </v>
      </c>
      <c r="U148" s="26" t="str">
        <f t="shared" si="10"/>
        <v xml:space="preserve">               </v>
      </c>
      <c r="V148" s="26" t="str">
        <f t="shared" si="11"/>
        <v xml:space="preserve">               </v>
      </c>
      <c r="W148" s="26" t="str">
        <f t="shared" si="12"/>
        <v xml:space="preserve">               </v>
      </c>
    </row>
    <row r="149" spans="2:23" x14ac:dyDescent="0.3">
      <c r="B149" s="25"/>
      <c r="C149" s="27"/>
      <c r="D149" s="5"/>
      <c r="E149" s="5"/>
      <c r="F149" s="5"/>
      <c r="G149" s="23" t="s">
        <v>299</v>
      </c>
      <c r="H149" s="14"/>
      <c r="I149" s="27"/>
      <c r="J149" s="5"/>
      <c r="K149" s="5"/>
      <c r="L149" s="23" t="s">
        <v>299</v>
      </c>
      <c r="M149" s="14"/>
      <c r="N149" s="27"/>
      <c r="O149" s="5"/>
      <c r="P149" s="5"/>
      <c r="Q149" s="23" t="s">
        <v>299</v>
      </c>
      <c r="S149" s="24"/>
      <c r="T149" s="26" t="str">
        <f t="shared" si="9"/>
        <v xml:space="preserve">               </v>
      </c>
      <c r="U149" s="26" t="str">
        <f t="shared" si="10"/>
        <v xml:space="preserve">               </v>
      </c>
      <c r="V149" s="26" t="str">
        <f t="shared" si="11"/>
        <v xml:space="preserve">               </v>
      </c>
      <c r="W149" s="26" t="str">
        <f t="shared" si="12"/>
        <v xml:space="preserve">               </v>
      </c>
    </row>
    <row r="150" spans="2:23" x14ac:dyDescent="0.3">
      <c r="B150" s="25"/>
      <c r="C150" s="27"/>
      <c r="D150" s="5"/>
      <c r="E150" s="5"/>
      <c r="F150" s="5"/>
      <c r="G150" s="23" t="s">
        <v>299</v>
      </c>
      <c r="H150" s="14"/>
      <c r="I150" s="27"/>
      <c r="J150" s="5"/>
      <c r="K150" s="5"/>
      <c r="L150" s="23" t="s">
        <v>299</v>
      </c>
      <c r="M150" s="14"/>
      <c r="N150" s="27"/>
      <c r="O150" s="5"/>
      <c r="P150" s="5"/>
      <c r="Q150" s="23" t="s">
        <v>299</v>
      </c>
      <c r="S150" s="24"/>
      <c r="T150" s="26" t="str">
        <f t="shared" si="9"/>
        <v xml:space="preserve">               </v>
      </c>
      <c r="U150" s="26" t="str">
        <f t="shared" si="10"/>
        <v xml:space="preserve">               </v>
      </c>
      <c r="V150" s="26" t="str">
        <f t="shared" si="11"/>
        <v xml:space="preserve">               </v>
      </c>
      <c r="W150" s="26" t="str">
        <f t="shared" si="12"/>
        <v xml:space="preserve">               </v>
      </c>
    </row>
    <row r="151" spans="2:23" x14ac:dyDescent="0.3">
      <c r="B151" s="25"/>
      <c r="C151" s="27"/>
      <c r="D151" s="5"/>
      <c r="E151" s="5"/>
      <c r="F151" s="5"/>
      <c r="G151" s="23" t="s">
        <v>299</v>
      </c>
      <c r="H151" s="14"/>
      <c r="I151" s="27"/>
      <c r="J151" s="5"/>
      <c r="K151" s="5"/>
      <c r="L151" s="23" t="s">
        <v>299</v>
      </c>
      <c r="M151" s="14"/>
      <c r="N151" s="27"/>
      <c r="O151" s="5"/>
      <c r="P151" s="5"/>
      <c r="Q151" s="23" t="s">
        <v>299</v>
      </c>
      <c r="S151" s="24"/>
      <c r="T151" s="26" t="str">
        <f t="shared" si="9"/>
        <v xml:space="preserve">               </v>
      </c>
      <c r="U151" s="26" t="str">
        <f t="shared" si="10"/>
        <v xml:space="preserve">               </v>
      </c>
      <c r="V151" s="26" t="str">
        <f t="shared" si="11"/>
        <v xml:space="preserve">               </v>
      </c>
      <c r="W151" s="26" t="str">
        <f t="shared" si="12"/>
        <v xml:space="preserve">               </v>
      </c>
    </row>
    <row r="152" spans="2:23" x14ac:dyDescent="0.3">
      <c r="B152" s="25"/>
      <c r="C152" s="27"/>
      <c r="D152" s="5"/>
      <c r="E152" s="5"/>
      <c r="F152" s="5"/>
      <c r="G152" s="23" t="s">
        <v>299</v>
      </c>
      <c r="H152" s="14"/>
      <c r="I152" s="27"/>
      <c r="J152" s="5"/>
      <c r="K152" s="5"/>
      <c r="L152" s="23" t="s">
        <v>299</v>
      </c>
      <c r="M152" s="14"/>
      <c r="N152" s="27"/>
      <c r="O152" s="5"/>
      <c r="P152" s="5"/>
      <c r="Q152" s="23" t="s">
        <v>299</v>
      </c>
      <c r="S152" s="24"/>
      <c r="T152" s="26" t="str">
        <f t="shared" si="9"/>
        <v xml:space="preserve">               </v>
      </c>
      <c r="U152" s="26" t="str">
        <f t="shared" si="10"/>
        <v xml:space="preserve">               </v>
      </c>
      <c r="V152" s="26" t="str">
        <f t="shared" si="11"/>
        <v xml:space="preserve">               </v>
      </c>
      <c r="W152" s="26" t="str">
        <f t="shared" si="12"/>
        <v xml:space="preserve">               </v>
      </c>
    </row>
    <row r="153" spans="2:23" x14ac:dyDescent="0.3">
      <c r="B153" s="25"/>
      <c r="C153" s="27"/>
      <c r="D153" s="5"/>
      <c r="E153" s="5"/>
      <c r="F153" s="5"/>
      <c r="G153" s="23" t="s">
        <v>299</v>
      </c>
      <c r="H153" s="14"/>
      <c r="I153" s="27"/>
      <c r="J153" s="5"/>
      <c r="K153" s="5"/>
      <c r="L153" s="23" t="s">
        <v>299</v>
      </c>
      <c r="M153" s="14"/>
      <c r="N153" s="27"/>
      <c r="O153" s="5"/>
      <c r="P153" s="5"/>
      <c r="Q153" s="23" t="s">
        <v>299</v>
      </c>
      <c r="S153" s="24"/>
      <c r="T153" s="26" t="str">
        <f t="shared" si="9"/>
        <v xml:space="preserve">               </v>
      </c>
      <c r="U153" s="26" t="str">
        <f t="shared" si="10"/>
        <v xml:space="preserve">               </v>
      </c>
      <c r="V153" s="26" t="str">
        <f t="shared" si="11"/>
        <v xml:space="preserve">               </v>
      </c>
      <c r="W153" s="26" t="str">
        <f t="shared" si="12"/>
        <v xml:space="preserve">               </v>
      </c>
    </row>
    <row r="154" spans="2:23" x14ac:dyDescent="0.3">
      <c r="B154" s="25"/>
      <c r="C154" s="27"/>
      <c r="D154" s="5"/>
      <c r="E154" s="5"/>
      <c r="F154" s="5"/>
      <c r="G154" s="23" t="s">
        <v>299</v>
      </c>
      <c r="H154" s="14"/>
      <c r="I154" s="27"/>
      <c r="J154" s="5"/>
      <c r="K154" s="5"/>
      <c r="L154" s="23" t="s">
        <v>299</v>
      </c>
      <c r="M154" s="14"/>
      <c r="N154" s="27"/>
      <c r="O154" s="5"/>
      <c r="P154" s="5"/>
      <c r="Q154" s="23" t="s">
        <v>299</v>
      </c>
      <c r="S154" s="24"/>
      <c r="T154" s="26" t="str">
        <f t="shared" si="9"/>
        <v xml:space="preserve">               </v>
      </c>
      <c r="U154" s="26" t="str">
        <f t="shared" si="10"/>
        <v xml:space="preserve">               </v>
      </c>
      <c r="V154" s="26" t="str">
        <f t="shared" si="11"/>
        <v xml:space="preserve">               </v>
      </c>
      <c r="W154" s="26" t="str">
        <f t="shared" si="12"/>
        <v xml:space="preserve">               </v>
      </c>
    </row>
    <row r="155" spans="2:23" x14ac:dyDescent="0.3">
      <c r="B155" s="25"/>
      <c r="C155" s="27"/>
      <c r="D155" s="5"/>
      <c r="E155" s="5"/>
      <c r="F155" s="5"/>
      <c r="G155" s="23" t="s">
        <v>299</v>
      </c>
      <c r="H155" s="14"/>
      <c r="I155" s="27"/>
      <c r="J155" s="5"/>
      <c r="K155" s="5"/>
      <c r="L155" s="23" t="s">
        <v>299</v>
      </c>
      <c r="M155" s="14"/>
      <c r="N155" s="27"/>
      <c r="O155" s="5"/>
      <c r="P155" s="5"/>
      <c r="Q155" s="23" t="s">
        <v>299</v>
      </c>
      <c r="S155" s="24"/>
      <c r="T155" s="26" t="str">
        <f t="shared" si="9"/>
        <v xml:space="preserve">               </v>
      </c>
      <c r="U155" s="26" t="str">
        <f t="shared" si="10"/>
        <v xml:space="preserve">               </v>
      </c>
      <c r="V155" s="26" t="str">
        <f t="shared" si="11"/>
        <v xml:space="preserve">               </v>
      </c>
      <c r="W155" s="26" t="str">
        <f t="shared" si="12"/>
        <v xml:space="preserve">               </v>
      </c>
    </row>
    <row r="156" spans="2:23" x14ac:dyDescent="0.3">
      <c r="B156" s="25"/>
      <c r="C156" s="27"/>
      <c r="D156" s="5"/>
      <c r="E156" s="5"/>
      <c r="F156" s="5"/>
      <c r="G156" s="23" t="s">
        <v>299</v>
      </c>
      <c r="H156" s="14"/>
      <c r="I156" s="27"/>
      <c r="J156" s="5"/>
      <c r="K156" s="5"/>
      <c r="L156" s="23" t="s">
        <v>299</v>
      </c>
      <c r="M156" s="14"/>
      <c r="N156" s="27"/>
      <c r="O156" s="5"/>
      <c r="P156" s="5"/>
      <c r="Q156" s="23" t="s">
        <v>299</v>
      </c>
      <c r="S156" s="24"/>
      <c r="T156" s="26" t="str">
        <f t="shared" si="9"/>
        <v xml:space="preserve">               </v>
      </c>
      <c r="U156" s="26" t="str">
        <f t="shared" si="10"/>
        <v xml:space="preserve">               </v>
      </c>
      <c r="V156" s="26" t="str">
        <f t="shared" si="11"/>
        <v xml:space="preserve">               </v>
      </c>
      <c r="W156" s="26" t="str">
        <f t="shared" si="12"/>
        <v xml:space="preserve">               </v>
      </c>
    </row>
    <row r="157" spans="2:23" x14ac:dyDescent="0.3">
      <c r="B157" s="25"/>
      <c r="C157" s="27"/>
      <c r="D157" s="5"/>
      <c r="E157" s="5"/>
      <c r="F157" s="5"/>
      <c r="G157" s="23" t="s">
        <v>299</v>
      </c>
      <c r="H157" s="14"/>
      <c r="I157" s="27"/>
      <c r="J157" s="5"/>
      <c r="K157" s="5"/>
      <c r="L157" s="23" t="s">
        <v>299</v>
      </c>
      <c r="M157" s="14"/>
      <c r="N157" s="27"/>
      <c r="O157" s="5"/>
      <c r="P157" s="5"/>
      <c r="Q157" s="23" t="s">
        <v>299</v>
      </c>
      <c r="S157" s="24"/>
      <c r="T157" s="26" t="str">
        <f t="shared" si="9"/>
        <v xml:space="preserve">               </v>
      </c>
      <c r="U157" s="26" t="str">
        <f t="shared" si="10"/>
        <v xml:space="preserve">               </v>
      </c>
      <c r="V157" s="26" t="str">
        <f t="shared" si="11"/>
        <v xml:space="preserve">               </v>
      </c>
      <c r="W157" s="26" t="str">
        <f t="shared" si="12"/>
        <v xml:space="preserve">               </v>
      </c>
    </row>
    <row r="158" spans="2:23" x14ac:dyDescent="0.3">
      <c r="B158" s="25"/>
      <c r="C158" s="28"/>
      <c r="D158" s="28"/>
      <c r="E158" s="28"/>
      <c r="F158" s="28"/>
      <c r="G158" s="23" t="s">
        <v>299</v>
      </c>
      <c r="H158" s="14"/>
      <c r="I158" s="28"/>
      <c r="J158" s="28"/>
      <c r="K158" s="28"/>
      <c r="L158" s="23" t="s">
        <v>299</v>
      </c>
      <c r="M158" s="14"/>
      <c r="N158" s="28"/>
      <c r="O158" s="28"/>
      <c r="P158" s="28"/>
      <c r="Q158" s="23" t="s">
        <v>299</v>
      </c>
      <c r="S158" s="24"/>
      <c r="T158" s="26" t="str">
        <f t="shared" si="9"/>
        <v xml:space="preserve">               </v>
      </c>
      <c r="U158" s="26" t="str">
        <f t="shared" si="10"/>
        <v xml:space="preserve">               </v>
      </c>
      <c r="V158" s="26" t="str">
        <f t="shared" si="11"/>
        <v xml:space="preserve">               </v>
      </c>
      <c r="W158" s="26" t="str">
        <f t="shared" si="12"/>
        <v xml:space="preserve">               </v>
      </c>
    </row>
    <row r="159" spans="2:23" x14ac:dyDescent="0.3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7C3A-B176-412F-8CCB-90B589088D3A}">
  <sheetPr>
    <tabColor rgb="FFC00000"/>
  </sheetPr>
  <dimension ref="A1:BP160"/>
  <sheetViews>
    <sheetView zoomScale="85" zoomScaleNormal="85" workbookViewId="0">
      <pane ySplit="9" topLeftCell="A10" activePane="bottomLeft" state="frozen"/>
      <selection activeCell="E6" sqref="E6"/>
      <selection pane="bottomLeft" activeCell="A21" sqref="A21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 customWidth="1"/>
    <col min="5" max="21" width="9.109375" customWidth="1"/>
    <col min="22" max="23" width="2.44140625" customWidth="1"/>
    <col min="24" max="24" width="28.88671875" customWidth="1"/>
    <col min="25" max="25" width="9.109375" hidden="1" customWidth="1"/>
    <col min="26" max="40" width="9.109375" customWidth="1"/>
    <col min="41" max="41" width="2.44140625" customWidth="1"/>
    <col min="42" max="43" width="9.109375" hidden="1" customWidth="1"/>
    <col min="44" max="68" width="0" hidden="1" customWidth="1"/>
    <col min="69" max="16384" width="9.109375" hidden="1"/>
  </cols>
  <sheetData>
    <row r="1" spans="1:43" ht="18" x14ac:dyDescent="0.35">
      <c r="A1" s="9" t="s">
        <v>261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7" t="s">
        <v>65</v>
      </c>
      <c r="M1" s="8" t="str">
        <f>C5</f>
        <v>Economic structure</v>
      </c>
    </row>
    <row r="2" spans="1:43" x14ac:dyDescent="0.3">
      <c r="L2" s="8"/>
      <c r="M2" s="8" t="str">
        <f>X5</f>
        <v>Indirect taxes</v>
      </c>
    </row>
    <row r="3" spans="1:43" x14ac:dyDescent="0.3">
      <c r="L3" s="8"/>
      <c r="M3" s="8"/>
    </row>
    <row r="4" spans="1:43" x14ac:dyDescent="0.3"/>
    <row r="5" spans="1:43" ht="15.6" x14ac:dyDescent="0.3">
      <c r="B5" s="13"/>
      <c r="C5" s="11" t="s">
        <v>241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242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3" x14ac:dyDescent="0.3">
      <c r="B6" s="29"/>
      <c r="C6" s="35"/>
      <c r="D6" s="36"/>
      <c r="E6" s="109" t="s">
        <v>197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10" t="s">
        <v>216</v>
      </c>
      <c r="Q6" s="108"/>
      <c r="R6" s="108"/>
      <c r="S6" s="110" t="s">
        <v>475</v>
      </c>
      <c r="T6" s="108"/>
      <c r="U6" s="108"/>
      <c r="W6" s="29"/>
      <c r="X6" s="35"/>
      <c r="Y6" s="36"/>
      <c r="Z6" s="109" t="s">
        <v>236</v>
      </c>
      <c r="AA6" s="108"/>
      <c r="AB6" s="108"/>
      <c r="AC6" s="107" t="s">
        <v>237</v>
      </c>
      <c r="AD6" s="108"/>
      <c r="AE6" s="108"/>
      <c r="AF6" s="107" t="s">
        <v>238</v>
      </c>
      <c r="AG6" s="108"/>
      <c r="AH6" s="108"/>
      <c r="AI6" s="107" t="s">
        <v>239</v>
      </c>
      <c r="AJ6" s="108"/>
      <c r="AK6" s="108"/>
      <c r="AL6" s="107" t="s">
        <v>240</v>
      </c>
      <c r="AM6" s="108"/>
      <c r="AN6" s="108"/>
    </row>
    <row r="7" spans="1:43" x14ac:dyDescent="0.3">
      <c r="B7" s="29"/>
      <c r="C7" s="35"/>
      <c r="D7" s="36"/>
      <c r="E7" s="74" t="s">
        <v>198</v>
      </c>
      <c r="F7" s="73" t="s">
        <v>200</v>
      </c>
      <c r="G7" s="73" t="s">
        <v>202</v>
      </c>
      <c r="H7" s="73" t="s">
        <v>204</v>
      </c>
      <c r="I7" s="111" t="s">
        <v>206</v>
      </c>
      <c r="J7" s="112"/>
      <c r="K7" s="113"/>
      <c r="L7" s="73" t="s">
        <v>210</v>
      </c>
      <c r="M7" s="73" t="s">
        <v>213</v>
      </c>
      <c r="N7" s="73" t="s">
        <v>215</v>
      </c>
      <c r="O7" s="73" t="s">
        <v>214</v>
      </c>
      <c r="P7" s="74" t="s">
        <v>217</v>
      </c>
      <c r="Q7" s="73" t="s">
        <v>154</v>
      </c>
      <c r="R7" s="73" t="s">
        <v>155</v>
      </c>
      <c r="S7" s="74" t="s">
        <v>154</v>
      </c>
      <c r="T7" s="73" t="s">
        <v>155</v>
      </c>
      <c r="U7" s="73" t="s">
        <v>476</v>
      </c>
      <c r="W7" s="29"/>
      <c r="X7" s="35"/>
      <c r="Y7" s="36"/>
      <c r="Z7" s="74" t="s">
        <v>244</v>
      </c>
      <c r="AA7" s="73" t="s">
        <v>246</v>
      </c>
      <c r="AB7" s="75" t="s">
        <v>248</v>
      </c>
      <c r="AC7" s="74" t="s">
        <v>244</v>
      </c>
      <c r="AD7" s="73" t="s">
        <v>246</v>
      </c>
      <c r="AE7" s="75" t="s">
        <v>248</v>
      </c>
      <c r="AF7" s="74" t="s">
        <v>244</v>
      </c>
      <c r="AG7" s="73" t="s">
        <v>246</v>
      </c>
      <c r="AH7" s="75" t="s">
        <v>248</v>
      </c>
      <c r="AI7" s="74" t="s">
        <v>244</v>
      </c>
      <c r="AJ7" s="73" t="s">
        <v>246</v>
      </c>
      <c r="AK7" s="75" t="s">
        <v>248</v>
      </c>
      <c r="AL7" s="73" t="s">
        <v>244</v>
      </c>
      <c r="AM7" s="73" t="s">
        <v>246</v>
      </c>
      <c r="AN7" s="73" t="s">
        <v>248</v>
      </c>
    </row>
    <row r="8" spans="1:43" x14ac:dyDescent="0.3">
      <c r="B8" s="29"/>
      <c r="C8" s="35"/>
      <c r="D8" s="36"/>
      <c r="E8" s="74" t="s">
        <v>199</v>
      </c>
      <c r="F8" s="73" t="s">
        <v>201</v>
      </c>
      <c r="G8" s="73" t="s">
        <v>203</v>
      </c>
      <c r="H8" s="73" t="s">
        <v>205</v>
      </c>
      <c r="I8" s="74" t="s">
        <v>207</v>
      </c>
      <c r="J8" s="73" t="s">
        <v>208</v>
      </c>
      <c r="K8" s="75" t="s">
        <v>209</v>
      </c>
      <c r="L8" s="73" t="s">
        <v>211</v>
      </c>
      <c r="M8" s="73" t="s">
        <v>212</v>
      </c>
      <c r="N8" s="73" t="s">
        <v>201</v>
      </c>
      <c r="O8" s="73" t="s">
        <v>201</v>
      </c>
      <c r="P8" s="76" t="s">
        <v>218</v>
      </c>
      <c r="Q8" s="77" t="s">
        <v>218</v>
      </c>
      <c r="R8" s="77" t="s">
        <v>219</v>
      </c>
      <c r="S8" s="76"/>
      <c r="T8" s="77"/>
      <c r="U8" s="77"/>
      <c r="W8" s="29"/>
      <c r="X8" s="35"/>
      <c r="Y8" s="36"/>
      <c r="Z8" s="74" t="s">
        <v>245</v>
      </c>
      <c r="AA8" s="73" t="s">
        <v>247</v>
      </c>
      <c r="AB8" s="75" t="s">
        <v>243</v>
      </c>
      <c r="AC8" s="74" t="s">
        <v>245</v>
      </c>
      <c r="AD8" s="73" t="s">
        <v>247</v>
      </c>
      <c r="AE8" s="75" t="s">
        <v>243</v>
      </c>
      <c r="AF8" s="74" t="s">
        <v>245</v>
      </c>
      <c r="AG8" s="73" t="s">
        <v>247</v>
      </c>
      <c r="AH8" s="75" t="s">
        <v>243</v>
      </c>
      <c r="AI8" s="74" t="s">
        <v>245</v>
      </c>
      <c r="AJ8" s="73" t="s">
        <v>247</v>
      </c>
      <c r="AK8" s="75" t="s">
        <v>243</v>
      </c>
      <c r="AL8" s="73" t="s">
        <v>245</v>
      </c>
      <c r="AM8" s="73" t="s">
        <v>247</v>
      </c>
      <c r="AN8" s="73" t="s">
        <v>243</v>
      </c>
    </row>
    <row r="9" spans="1:43" x14ac:dyDescent="0.3">
      <c r="B9" s="29"/>
      <c r="C9" s="51"/>
      <c r="D9" s="34"/>
      <c r="E9" s="79" t="s">
        <v>183</v>
      </c>
      <c r="F9" s="78" t="s">
        <v>184</v>
      </c>
      <c r="G9" s="78" t="s">
        <v>185</v>
      </c>
      <c r="H9" s="78" t="s">
        <v>186</v>
      </c>
      <c r="I9" s="79" t="s">
        <v>187</v>
      </c>
      <c r="J9" s="78" t="s">
        <v>188</v>
      </c>
      <c r="K9" s="80" t="s">
        <v>189</v>
      </c>
      <c r="L9" s="78" t="s">
        <v>190</v>
      </c>
      <c r="M9" s="78" t="s">
        <v>191</v>
      </c>
      <c r="N9" s="78" t="s">
        <v>192</v>
      </c>
      <c r="O9" s="78" t="s">
        <v>193</v>
      </c>
      <c r="P9" s="79" t="s">
        <v>194</v>
      </c>
      <c r="Q9" s="78" t="s">
        <v>195</v>
      </c>
      <c r="R9" s="78" t="s">
        <v>196</v>
      </c>
      <c r="S9" s="79" t="s">
        <v>478</v>
      </c>
      <c r="T9" s="78" t="s">
        <v>479</v>
      </c>
      <c r="U9" s="78" t="s">
        <v>480</v>
      </c>
      <c r="V9" s="26"/>
      <c r="W9" s="29"/>
      <c r="X9" s="51"/>
      <c r="Y9" s="34"/>
      <c r="Z9" s="79" t="s">
        <v>220</v>
      </c>
      <c r="AA9" s="78" t="s">
        <v>221</v>
      </c>
      <c r="AB9" s="80" t="s">
        <v>222</v>
      </c>
      <c r="AC9" s="79" t="s">
        <v>223</v>
      </c>
      <c r="AD9" s="78" t="s">
        <v>224</v>
      </c>
      <c r="AE9" s="80" t="s">
        <v>225</v>
      </c>
      <c r="AF9" s="78" t="s">
        <v>226</v>
      </c>
      <c r="AG9" s="78" t="s">
        <v>227</v>
      </c>
      <c r="AH9" s="78" t="s">
        <v>228</v>
      </c>
      <c r="AI9" s="79" t="s">
        <v>229</v>
      </c>
      <c r="AJ9" s="78" t="s">
        <v>230</v>
      </c>
      <c r="AK9" s="80" t="s">
        <v>231</v>
      </c>
      <c r="AL9" s="78" t="s">
        <v>232</v>
      </c>
      <c r="AM9" s="78" t="s">
        <v>233</v>
      </c>
      <c r="AN9" s="78" t="s">
        <v>234</v>
      </c>
    </row>
    <row r="10" spans="1:43" x14ac:dyDescent="0.3">
      <c r="A10" s="12">
        <v>1</v>
      </c>
      <c r="B10" s="33"/>
      <c r="C10" s="38" t="str">
        <f>Notes!U9</f>
        <v>All products</v>
      </c>
      <c r="D10" s="4" t="s">
        <v>296</v>
      </c>
      <c r="E10" s="42">
        <v>100</v>
      </c>
      <c r="F10" s="40">
        <v>100</v>
      </c>
      <c r="G10" s="40">
        <v>100</v>
      </c>
      <c r="H10" s="40">
        <v>100</v>
      </c>
      <c r="I10" s="42">
        <v>100</v>
      </c>
      <c r="J10" s="40">
        <v>100</v>
      </c>
      <c r="K10" s="70">
        <v>100</v>
      </c>
      <c r="L10" s="40">
        <v>100</v>
      </c>
      <c r="M10" s="40">
        <v>100</v>
      </c>
      <c r="N10" s="40">
        <v>100</v>
      </c>
      <c r="O10" s="40">
        <v>100</v>
      </c>
      <c r="P10" s="42">
        <v>0.60475286613486134</v>
      </c>
      <c r="Q10" s="40">
        <v>4.7997567613439287</v>
      </c>
      <c r="R10" s="40">
        <v>8.6630261879600887</v>
      </c>
      <c r="S10" s="42">
        <v>10.899256637538016</v>
      </c>
      <c r="T10" s="40">
        <v>12.088755116297371</v>
      </c>
      <c r="U10" s="40">
        <v>7.9429172571042859</v>
      </c>
      <c r="W10" s="33"/>
      <c r="X10" s="38" t="str">
        <f>Notes!U9</f>
        <v>All products</v>
      </c>
      <c r="Y10" s="4" t="s">
        <v>296</v>
      </c>
      <c r="Z10" s="42">
        <v>100</v>
      </c>
      <c r="AA10" s="40">
        <v>3.6487804620380704</v>
      </c>
      <c r="AB10" s="70">
        <v>100</v>
      </c>
      <c r="AC10" s="42">
        <v>100</v>
      </c>
      <c r="AD10" s="40">
        <v>1.0507788590953933E-4</v>
      </c>
      <c r="AE10" s="70">
        <v>100</v>
      </c>
      <c r="AF10" s="40">
        <v>100</v>
      </c>
      <c r="AG10" s="40">
        <v>1.2247333536626686</v>
      </c>
      <c r="AH10" s="40">
        <v>100</v>
      </c>
      <c r="AI10" s="42">
        <v>100</v>
      </c>
      <c r="AJ10" s="40" t="s">
        <v>48</v>
      </c>
      <c r="AK10" s="70" t="s">
        <v>48</v>
      </c>
      <c r="AL10" s="40">
        <v>100</v>
      </c>
      <c r="AM10" s="40" t="s">
        <v>48</v>
      </c>
      <c r="AN10" s="40" t="s">
        <v>48</v>
      </c>
    </row>
    <row r="11" spans="1:43" x14ac:dyDescent="0.3">
      <c r="A11" s="12">
        <v>2</v>
      </c>
      <c r="B11" s="33"/>
      <c r="C11" s="38" t="str">
        <f>Notes!U10</f>
        <v>Agriculture</v>
      </c>
      <c r="D11" s="4" t="s">
        <v>303</v>
      </c>
      <c r="E11" s="47">
        <v>11.553747201942668</v>
      </c>
      <c r="F11" s="48">
        <v>10.238637285271196</v>
      </c>
      <c r="G11" s="48">
        <v>13.109828284829808</v>
      </c>
      <c r="H11" s="48">
        <v>11.359470655754327</v>
      </c>
      <c r="I11" s="47">
        <v>12.187736842732615</v>
      </c>
      <c r="J11" s="48">
        <v>100</v>
      </c>
      <c r="K11" s="71">
        <v>10.634928201126774</v>
      </c>
      <c r="L11" s="48" t="s">
        <v>48</v>
      </c>
      <c r="M11" s="48" t="s">
        <v>48</v>
      </c>
      <c r="N11" s="48">
        <v>1.2441388999934622</v>
      </c>
      <c r="O11" s="48">
        <v>12.301297282574652</v>
      </c>
      <c r="P11" s="47">
        <v>5.9065757413325821</v>
      </c>
      <c r="Q11" s="48">
        <v>0.59052269353558307</v>
      </c>
      <c r="R11" s="48">
        <v>9.2389666908888302</v>
      </c>
      <c r="S11" s="47">
        <v>14.59856297167301</v>
      </c>
      <c r="T11" s="48">
        <v>10.892792923749036</v>
      </c>
      <c r="U11" s="48">
        <v>18.461648525632697</v>
      </c>
      <c r="V11" s="49"/>
      <c r="W11" s="33"/>
      <c r="X11" s="38" t="str">
        <f>Notes!U10</f>
        <v>Agriculture</v>
      </c>
      <c r="Y11" s="4" t="s">
        <v>303</v>
      </c>
      <c r="Z11" s="47">
        <v>12.301297282574652</v>
      </c>
      <c r="AA11" s="48">
        <v>4.7378060125473143</v>
      </c>
      <c r="AB11" s="71">
        <v>15.972777982636002</v>
      </c>
      <c r="AC11" s="47">
        <v>1.2441388999934622</v>
      </c>
      <c r="AD11" s="48" t="s">
        <v>48</v>
      </c>
      <c r="AE11" s="71" t="s">
        <v>48</v>
      </c>
      <c r="AF11" s="48">
        <v>11.359470655754327</v>
      </c>
      <c r="AG11" s="48">
        <v>9.6402410919804622E-3</v>
      </c>
      <c r="AH11" s="48">
        <v>8.9413777677611259E-2</v>
      </c>
      <c r="AI11" s="47">
        <v>10.238637285271196</v>
      </c>
      <c r="AJ11" s="48" t="s">
        <v>48</v>
      </c>
      <c r="AK11" s="71" t="s">
        <v>48</v>
      </c>
      <c r="AL11" s="48">
        <v>11.553747201942668</v>
      </c>
      <c r="AM11" s="48" t="s">
        <v>48</v>
      </c>
      <c r="AN11" s="48" t="s">
        <v>48</v>
      </c>
      <c r="AO11" s="49"/>
      <c r="AP11" s="49"/>
      <c r="AQ11" s="49"/>
    </row>
    <row r="12" spans="1:43" x14ac:dyDescent="0.3">
      <c r="A12" s="12">
        <v>3</v>
      </c>
      <c r="B12" s="33"/>
      <c r="C12" s="38" t="str">
        <f>Notes!U11</f>
        <v xml:space="preserve">   Crops</v>
      </c>
      <c r="D12" s="4" t="s">
        <v>305</v>
      </c>
      <c r="E12" s="42">
        <v>5.8017781246831603</v>
      </c>
      <c r="F12" s="40">
        <v>3.9325563523280316</v>
      </c>
      <c r="G12" s="40">
        <v>7.8527518834498187</v>
      </c>
      <c r="H12" s="40">
        <v>5.1209736162850046</v>
      </c>
      <c r="I12" s="42">
        <v>3.5585991889251245</v>
      </c>
      <c r="J12" s="40">
        <v>11.866097340858149</v>
      </c>
      <c r="K12" s="70">
        <v>3.4116953914755248</v>
      </c>
      <c r="L12" s="40" t="s">
        <v>48</v>
      </c>
      <c r="M12" s="40" t="s">
        <v>48</v>
      </c>
      <c r="N12" s="40">
        <v>0.77696186162478142</v>
      </c>
      <c r="O12" s="40">
        <v>12.276392011735949</v>
      </c>
      <c r="P12" s="42">
        <v>1.8247815755954959</v>
      </c>
      <c r="Q12" s="40">
        <v>0.9709368948213597</v>
      </c>
      <c r="R12" s="40">
        <v>20.450527229351103</v>
      </c>
      <c r="S12" s="42">
        <v>9.8918324692267152</v>
      </c>
      <c r="T12" s="40">
        <v>10.895826863123315</v>
      </c>
      <c r="U12" s="40">
        <v>17.606889427342477</v>
      </c>
      <c r="W12" s="33"/>
      <c r="X12" s="38" t="str">
        <f>Notes!U11</f>
        <v xml:space="preserve">   Crops</v>
      </c>
      <c r="Y12" s="4" t="s">
        <v>305</v>
      </c>
      <c r="Z12" s="42">
        <v>12.276392011735949</v>
      </c>
      <c r="AA12" s="40">
        <v>4.7112615112775345</v>
      </c>
      <c r="AB12" s="70">
        <v>15.851129927926886</v>
      </c>
      <c r="AC12" s="42">
        <v>0.77696186162478142</v>
      </c>
      <c r="AD12" s="40" t="s">
        <v>48</v>
      </c>
      <c r="AE12" s="70" t="s">
        <v>48</v>
      </c>
      <c r="AF12" s="40">
        <v>5.1209736162850046</v>
      </c>
      <c r="AG12" s="40">
        <v>2.1384221830494689E-2</v>
      </c>
      <c r="AH12" s="40">
        <v>8.9413777677611259E-2</v>
      </c>
      <c r="AI12" s="42">
        <v>3.9325563523280316</v>
      </c>
      <c r="AJ12" s="40" t="s">
        <v>48</v>
      </c>
      <c r="AK12" s="70" t="s">
        <v>48</v>
      </c>
      <c r="AL12" s="40">
        <v>5.8017781246831603</v>
      </c>
      <c r="AM12" s="40" t="s">
        <v>48</v>
      </c>
      <c r="AN12" s="40" t="s">
        <v>48</v>
      </c>
    </row>
    <row r="13" spans="1:43" x14ac:dyDescent="0.3">
      <c r="A13" s="12">
        <v>4</v>
      </c>
      <c r="B13" s="33"/>
      <c r="C13" s="38" t="str">
        <f>Notes!U12</f>
        <v xml:space="preserve">      Maize</v>
      </c>
      <c r="D13" s="4" t="s">
        <v>308</v>
      </c>
      <c r="E13" s="42">
        <v>5.71762836933115E-2</v>
      </c>
      <c r="F13" s="40">
        <v>3.5421682821567352E-2</v>
      </c>
      <c r="G13" s="40">
        <v>6.5273843637761605E-2</v>
      </c>
      <c r="H13" s="40">
        <v>0.11106866513577875</v>
      </c>
      <c r="I13" s="42">
        <v>9.5890009481559E-4</v>
      </c>
      <c r="J13" s="40">
        <v>5.5185277519142845E-2</v>
      </c>
      <c r="K13" s="70" t="s">
        <v>48</v>
      </c>
      <c r="L13" s="40" t="s">
        <v>48</v>
      </c>
      <c r="M13" s="40" t="s">
        <v>48</v>
      </c>
      <c r="N13" s="40" t="s">
        <v>48</v>
      </c>
      <c r="O13" s="40">
        <v>0.91911364268762763</v>
      </c>
      <c r="P13" s="42">
        <v>0.94217586770973871</v>
      </c>
      <c r="Q13" s="40" t="s">
        <v>48</v>
      </c>
      <c r="R13" s="40">
        <v>68.414527235097651</v>
      </c>
      <c r="S13" s="42" t="s">
        <v>48</v>
      </c>
      <c r="T13" s="40">
        <v>12.21356728595536</v>
      </c>
      <c r="U13" s="40">
        <v>12.213567285955358</v>
      </c>
      <c r="W13" s="33"/>
      <c r="X13" s="38" t="str">
        <f>Notes!U12</f>
        <v xml:space="preserve">      Maize</v>
      </c>
      <c r="Y13" s="4" t="s">
        <v>308</v>
      </c>
      <c r="Z13" s="42">
        <v>0.91911364268762763</v>
      </c>
      <c r="AA13" s="40" t="s">
        <v>48</v>
      </c>
      <c r="AB13" s="70" t="s">
        <v>48</v>
      </c>
      <c r="AC13" s="42" t="s">
        <v>48</v>
      </c>
      <c r="AD13" s="40" t="s">
        <v>48</v>
      </c>
      <c r="AE13" s="70" t="s">
        <v>48</v>
      </c>
      <c r="AF13" s="40">
        <v>0.11106866513577875</v>
      </c>
      <c r="AG13" s="40" t="s">
        <v>48</v>
      </c>
      <c r="AH13" s="40" t="s">
        <v>48</v>
      </c>
      <c r="AI13" s="42">
        <v>3.5421682821567352E-2</v>
      </c>
      <c r="AJ13" s="40" t="s">
        <v>48</v>
      </c>
      <c r="AK13" s="70" t="s">
        <v>48</v>
      </c>
      <c r="AL13" s="40">
        <v>5.71762836933115E-2</v>
      </c>
      <c r="AM13" s="40" t="s">
        <v>48</v>
      </c>
      <c r="AN13" s="40" t="s">
        <v>48</v>
      </c>
    </row>
    <row r="14" spans="1:43" x14ac:dyDescent="0.3">
      <c r="A14" s="12">
        <v>5</v>
      </c>
      <c r="B14" s="33"/>
      <c r="C14" s="38" t="str">
        <f>Notes!U13</f>
        <v xml:space="preserve">      Sorghum and millet</v>
      </c>
      <c r="D14" s="4" t="s">
        <v>508</v>
      </c>
      <c r="E14" s="42" t="s">
        <v>48</v>
      </c>
      <c r="F14" s="40" t="s">
        <v>48</v>
      </c>
      <c r="G14" s="40" t="s">
        <v>48</v>
      </c>
      <c r="H14" s="40" t="s">
        <v>48</v>
      </c>
      <c r="I14" s="42" t="s">
        <v>48</v>
      </c>
      <c r="J14" s="40" t="s">
        <v>48</v>
      </c>
      <c r="K14" s="7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2" t="s">
        <v>48</v>
      </c>
      <c r="Q14" s="40" t="s">
        <v>48</v>
      </c>
      <c r="R14" s="40" t="s">
        <v>48</v>
      </c>
      <c r="S14" s="42" t="s">
        <v>48</v>
      </c>
      <c r="T14" s="40" t="s">
        <v>48</v>
      </c>
      <c r="U14" s="40" t="s">
        <v>48</v>
      </c>
      <c r="W14" s="33"/>
      <c r="X14" s="38" t="str">
        <f>Notes!U13</f>
        <v xml:space="preserve">      Sorghum and millet</v>
      </c>
      <c r="Y14" s="4" t="s">
        <v>508</v>
      </c>
      <c r="Z14" s="42" t="s">
        <v>48</v>
      </c>
      <c r="AA14" s="40" t="s">
        <v>48</v>
      </c>
      <c r="AB14" s="70" t="s">
        <v>48</v>
      </c>
      <c r="AC14" s="42" t="s">
        <v>48</v>
      </c>
      <c r="AD14" s="40" t="s">
        <v>48</v>
      </c>
      <c r="AE14" s="70" t="s">
        <v>48</v>
      </c>
      <c r="AF14" s="40" t="s">
        <v>48</v>
      </c>
      <c r="AG14" s="40" t="s">
        <v>48</v>
      </c>
      <c r="AH14" s="40" t="s">
        <v>48</v>
      </c>
      <c r="AI14" s="42" t="s">
        <v>48</v>
      </c>
      <c r="AJ14" s="40" t="s">
        <v>48</v>
      </c>
      <c r="AK14" s="70" t="s">
        <v>48</v>
      </c>
      <c r="AL14" s="40" t="s">
        <v>48</v>
      </c>
      <c r="AM14" s="40" t="s">
        <v>48</v>
      </c>
      <c r="AN14" s="40" t="s">
        <v>48</v>
      </c>
    </row>
    <row r="15" spans="1:43" x14ac:dyDescent="0.3">
      <c r="A15" s="12">
        <v>6</v>
      </c>
      <c r="B15" s="33"/>
      <c r="C15" s="38" t="str">
        <f>Notes!U14</f>
        <v xml:space="preserve">      Rice paddy (Aman)</v>
      </c>
      <c r="D15" s="4" t="s">
        <v>705</v>
      </c>
      <c r="E15" s="42">
        <v>1.7790835109202714</v>
      </c>
      <c r="F15" s="40">
        <v>1.0235941049661725</v>
      </c>
      <c r="G15" s="40">
        <v>2.7223871812789726</v>
      </c>
      <c r="H15" s="40">
        <v>1.1263284434770673</v>
      </c>
      <c r="I15" s="42" t="s">
        <v>48</v>
      </c>
      <c r="J15" s="40" t="s">
        <v>48</v>
      </c>
      <c r="K15" s="7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2" t="s">
        <v>48</v>
      </c>
      <c r="Q15" s="40" t="s">
        <v>48</v>
      </c>
      <c r="R15" s="40" t="s">
        <v>48</v>
      </c>
      <c r="S15" s="42" t="s">
        <v>48</v>
      </c>
      <c r="T15" s="40" t="s">
        <v>48</v>
      </c>
      <c r="U15" s="40">
        <v>20.235235768019503</v>
      </c>
      <c r="W15" s="33"/>
      <c r="X15" s="38" t="str">
        <f>Notes!U14</f>
        <v xml:space="preserve">      Rice paddy (Aman)</v>
      </c>
      <c r="Y15" s="4" t="s">
        <v>705</v>
      </c>
      <c r="Z15" s="42" t="s">
        <v>48</v>
      </c>
      <c r="AA15" s="40" t="s">
        <v>48</v>
      </c>
      <c r="AB15" s="70" t="s">
        <v>48</v>
      </c>
      <c r="AC15" s="42" t="s">
        <v>48</v>
      </c>
      <c r="AD15" s="40" t="s">
        <v>48</v>
      </c>
      <c r="AE15" s="70" t="s">
        <v>48</v>
      </c>
      <c r="AF15" s="40">
        <v>1.1263284434770673</v>
      </c>
      <c r="AG15" s="40" t="s">
        <v>48</v>
      </c>
      <c r="AH15" s="40" t="s">
        <v>48</v>
      </c>
      <c r="AI15" s="42">
        <v>1.0235941049661725</v>
      </c>
      <c r="AJ15" s="40" t="s">
        <v>48</v>
      </c>
      <c r="AK15" s="70" t="s">
        <v>48</v>
      </c>
      <c r="AL15" s="40">
        <v>1.7790835109202714</v>
      </c>
      <c r="AM15" s="40" t="s">
        <v>48</v>
      </c>
      <c r="AN15" s="40" t="s">
        <v>48</v>
      </c>
    </row>
    <row r="16" spans="1:43" x14ac:dyDescent="0.3">
      <c r="A16" s="12">
        <v>7</v>
      </c>
      <c r="B16" s="33"/>
      <c r="C16" s="38" t="str">
        <f>Notes!U15</f>
        <v xml:space="preserve">      Rice paddy (Boro)</v>
      </c>
      <c r="D16" s="4" t="s">
        <v>707</v>
      </c>
      <c r="E16" s="42">
        <v>1.7183561856732057</v>
      </c>
      <c r="F16" s="40">
        <v>1.1733921374002274</v>
      </c>
      <c r="G16" s="40">
        <v>2.6294442526478492</v>
      </c>
      <c r="H16" s="40">
        <v>1.2816832754434893</v>
      </c>
      <c r="I16" s="42" t="s">
        <v>48</v>
      </c>
      <c r="J16" s="40" t="s">
        <v>48</v>
      </c>
      <c r="K16" s="7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2" t="s">
        <v>48</v>
      </c>
      <c r="Q16" s="40" t="s">
        <v>48</v>
      </c>
      <c r="R16" s="40" t="s">
        <v>48</v>
      </c>
      <c r="S16" s="42" t="s">
        <v>48</v>
      </c>
      <c r="T16" s="40" t="s">
        <v>48</v>
      </c>
      <c r="U16" s="40">
        <v>19.645386240891259</v>
      </c>
      <c r="W16" s="33"/>
      <c r="X16" s="38" t="str">
        <f>Notes!U15</f>
        <v xml:space="preserve">      Rice paddy (Boro)</v>
      </c>
      <c r="Y16" s="4" t="s">
        <v>707</v>
      </c>
      <c r="Z16" s="42" t="s">
        <v>48</v>
      </c>
      <c r="AA16" s="40" t="s">
        <v>48</v>
      </c>
      <c r="AB16" s="70" t="s">
        <v>48</v>
      </c>
      <c r="AC16" s="42" t="s">
        <v>48</v>
      </c>
      <c r="AD16" s="40" t="s">
        <v>48</v>
      </c>
      <c r="AE16" s="70" t="s">
        <v>48</v>
      </c>
      <c r="AF16" s="40">
        <v>1.2816832754434893</v>
      </c>
      <c r="AG16" s="40" t="s">
        <v>48</v>
      </c>
      <c r="AH16" s="40" t="s">
        <v>48</v>
      </c>
      <c r="AI16" s="42">
        <v>1.1733921374002274</v>
      </c>
      <c r="AJ16" s="40" t="s">
        <v>48</v>
      </c>
      <c r="AK16" s="70" t="s">
        <v>48</v>
      </c>
      <c r="AL16" s="40">
        <v>1.7183561856732057</v>
      </c>
      <c r="AM16" s="40" t="s">
        <v>48</v>
      </c>
      <c r="AN16" s="40" t="s">
        <v>48</v>
      </c>
    </row>
    <row r="17" spans="1:40" x14ac:dyDescent="0.3">
      <c r="A17" s="12">
        <v>8</v>
      </c>
      <c r="B17" s="33"/>
      <c r="C17" s="38" t="str">
        <f>Notes!U16</f>
        <v xml:space="preserve">      Wheat and barley</v>
      </c>
      <c r="D17" s="4" t="s">
        <v>510</v>
      </c>
      <c r="E17" s="42">
        <v>1.9864455333227223E-2</v>
      </c>
      <c r="F17" s="40">
        <v>1.3934424471483676E-2</v>
      </c>
      <c r="G17" s="40">
        <v>2.5794146423501012E-2</v>
      </c>
      <c r="H17" s="40">
        <v>0.33105042827112086</v>
      </c>
      <c r="I17" s="42">
        <v>2.4401669287362777E-2</v>
      </c>
      <c r="J17" s="40">
        <v>1.4043307523214208</v>
      </c>
      <c r="K17" s="70" t="s">
        <v>48</v>
      </c>
      <c r="L17" s="40" t="s">
        <v>48</v>
      </c>
      <c r="M17" s="40" t="s">
        <v>48</v>
      </c>
      <c r="N17" s="40" t="s">
        <v>48</v>
      </c>
      <c r="O17" s="40">
        <v>4.0780349760585191</v>
      </c>
      <c r="P17" s="42">
        <v>60.94783815475936</v>
      </c>
      <c r="Q17" s="40" t="s">
        <v>48</v>
      </c>
      <c r="R17" s="40">
        <v>98.411888372824066</v>
      </c>
      <c r="S17" s="42" t="s">
        <v>48</v>
      </c>
      <c r="T17" s="40">
        <v>9.153688627786007</v>
      </c>
      <c r="U17" s="40">
        <v>9.1536886277860088</v>
      </c>
      <c r="W17" s="33"/>
      <c r="X17" s="38" t="str">
        <f>Notes!U16</f>
        <v xml:space="preserve">      Wheat and barley</v>
      </c>
      <c r="Y17" s="4" t="s">
        <v>510</v>
      </c>
      <c r="Z17" s="42">
        <v>4.0780349760585191</v>
      </c>
      <c r="AA17" s="40" t="s">
        <v>48</v>
      </c>
      <c r="AB17" s="70" t="s">
        <v>48</v>
      </c>
      <c r="AC17" s="42" t="s">
        <v>48</v>
      </c>
      <c r="AD17" s="40" t="s">
        <v>48</v>
      </c>
      <c r="AE17" s="70" t="s">
        <v>48</v>
      </c>
      <c r="AF17" s="40">
        <v>0.33105042827112086</v>
      </c>
      <c r="AG17" s="40" t="s">
        <v>48</v>
      </c>
      <c r="AH17" s="40" t="s">
        <v>48</v>
      </c>
      <c r="AI17" s="42">
        <v>1.3934424471483676E-2</v>
      </c>
      <c r="AJ17" s="40" t="s">
        <v>48</v>
      </c>
      <c r="AK17" s="70" t="s">
        <v>48</v>
      </c>
      <c r="AL17" s="40">
        <v>1.9864455333227223E-2</v>
      </c>
      <c r="AM17" s="40" t="s">
        <v>48</v>
      </c>
      <c r="AN17" s="40" t="s">
        <v>48</v>
      </c>
    </row>
    <row r="18" spans="1:40" x14ac:dyDescent="0.3">
      <c r="A18" s="12">
        <v>9</v>
      </c>
      <c r="B18" s="33"/>
      <c r="C18" s="38" t="str">
        <f>Notes!U17</f>
        <v xml:space="preserve">      Other cereals</v>
      </c>
      <c r="D18" s="4" t="s">
        <v>314</v>
      </c>
      <c r="E18" s="42" t="s">
        <v>48</v>
      </c>
      <c r="F18" s="40" t="s">
        <v>48</v>
      </c>
      <c r="G18" s="40" t="s">
        <v>48</v>
      </c>
      <c r="H18" s="40" t="s">
        <v>48</v>
      </c>
      <c r="I18" s="42" t="s">
        <v>48</v>
      </c>
      <c r="J18" s="40" t="s">
        <v>48</v>
      </c>
      <c r="K18" s="7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2" t="s">
        <v>48</v>
      </c>
      <c r="Q18" s="40" t="s">
        <v>48</v>
      </c>
      <c r="R18" s="40" t="s">
        <v>48</v>
      </c>
      <c r="S18" s="42" t="s">
        <v>48</v>
      </c>
      <c r="T18" s="40" t="s">
        <v>48</v>
      </c>
      <c r="U18" s="40" t="s">
        <v>48</v>
      </c>
      <c r="W18" s="33"/>
      <c r="X18" s="38" t="str">
        <f>Notes!U17</f>
        <v xml:space="preserve">      Other cereals</v>
      </c>
      <c r="Y18" s="4" t="s">
        <v>314</v>
      </c>
      <c r="Z18" s="42" t="s">
        <v>48</v>
      </c>
      <c r="AA18" s="40" t="s">
        <v>48</v>
      </c>
      <c r="AB18" s="70" t="s">
        <v>48</v>
      </c>
      <c r="AC18" s="42" t="s">
        <v>48</v>
      </c>
      <c r="AD18" s="40" t="s">
        <v>48</v>
      </c>
      <c r="AE18" s="70" t="s">
        <v>48</v>
      </c>
      <c r="AF18" s="40" t="s">
        <v>48</v>
      </c>
      <c r="AG18" s="40" t="s">
        <v>48</v>
      </c>
      <c r="AH18" s="40" t="s">
        <v>48</v>
      </c>
      <c r="AI18" s="42" t="s">
        <v>48</v>
      </c>
      <c r="AJ18" s="40" t="s">
        <v>48</v>
      </c>
      <c r="AK18" s="70" t="s">
        <v>48</v>
      </c>
      <c r="AL18" s="40" t="s">
        <v>48</v>
      </c>
      <c r="AM18" s="40" t="s">
        <v>48</v>
      </c>
      <c r="AN18" s="40" t="s">
        <v>48</v>
      </c>
    </row>
    <row r="19" spans="1:40" x14ac:dyDescent="0.3">
      <c r="A19" s="12">
        <v>10</v>
      </c>
      <c r="B19" s="33"/>
      <c r="C19" s="38" t="str">
        <f>Notes!U18</f>
        <v xml:space="preserve">      Pulses</v>
      </c>
      <c r="D19" s="4" t="s">
        <v>317</v>
      </c>
      <c r="E19" s="42">
        <v>9.7083773451348152E-2</v>
      </c>
      <c r="F19" s="40">
        <v>7.1768205931756063E-2</v>
      </c>
      <c r="G19" s="40">
        <v>0.10132264840250979</v>
      </c>
      <c r="H19" s="40">
        <v>0.1848244060826941</v>
      </c>
      <c r="I19" s="42">
        <v>0.44607328300707094</v>
      </c>
      <c r="J19" s="40">
        <v>0.29640181154774031</v>
      </c>
      <c r="K19" s="70">
        <v>0.44871996521212559</v>
      </c>
      <c r="L19" s="40" t="s">
        <v>48</v>
      </c>
      <c r="M19" s="40" t="s">
        <v>48</v>
      </c>
      <c r="N19" s="40" t="s">
        <v>48</v>
      </c>
      <c r="O19" s="40">
        <v>1.4135577530267789</v>
      </c>
      <c r="P19" s="42">
        <v>2.4976219306848564</v>
      </c>
      <c r="Q19" s="40" t="s">
        <v>48</v>
      </c>
      <c r="R19" s="40">
        <v>62.552183221930221</v>
      </c>
      <c r="S19" s="42" t="s">
        <v>48</v>
      </c>
      <c r="T19" s="40">
        <v>11.261959001457528</v>
      </c>
      <c r="U19" s="40">
        <v>11.261959001457527</v>
      </c>
      <c r="W19" s="33"/>
      <c r="X19" s="38" t="str">
        <f>Notes!U18</f>
        <v xml:space="preserve">      Pulses</v>
      </c>
      <c r="Y19" s="4" t="s">
        <v>317</v>
      </c>
      <c r="Z19" s="42">
        <v>1.4135577530267789</v>
      </c>
      <c r="AA19" s="40" t="s">
        <v>48</v>
      </c>
      <c r="AB19" s="70" t="s">
        <v>48</v>
      </c>
      <c r="AC19" s="42" t="s">
        <v>48</v>
      </c>
      <c r="AD19" s="40" t="s">
        <v>48</v>
      </c>
      <c r="AE19" s="70" t="s">
        <v>48</v>
      </c>
      <c r="AF19" s="40">
        <v>0.1848244060826941</v>
      </c>
      <c r="AG19" s="40" t="s">
        <v>48</v>
      </c>
      <c r="AH19" s="40" t="s">
        <v>48</v>
      </c>
      <c r="AI19" s="42">
        <v>7.1768205931756063E-2</v>
      </c>
      <c r="AJ19" s="40" t="s">
        <v>48</v>
      </c>
      <c r="AK19" s="70" t="s">
        <v>48</v>
      </c>
      <c r="AL19" s="40">
        <v>9.7083773451348152E-2</v>
      </c>
      <c r="AM19" s="40" t="s">
        <v>48</v>
      </c>
      <c r="AN19" s="40" t="s">
        <v>48</v>
      </c>
    </row>
    <row r="20" spans="1:40" x14ac:dyDescent="0.3">
      <c r="A20" s="12">
        <v>11</v>
      </c>
      <c r="B20" s="33"/>
      <c r="C20" s="38" t="str">
        <f>Notes!U19</f>
        <v xml:space="preserve">      Groundnuts</v>
      </c>
      <c r="D20" s="4" t="s">
        <v>512</v>
      </c>
      <c r="E20" s="42" t="s">
        <v>48</v>
      </c>
      <c r="F20" s="40" t="s">
        <v>48</v>
      </c>
      <c r="G20" s="40" t="s">
        <v>48</v>
      </c>
      <c r="H20" s="40" t="s">
        <v>48</v>
      </c>
      <c r="I20" s="42" t="s">
        <v>48</v>
      </c>
      <c r="J20" s="40" t="s">
        <v>48</v>
      </c>
      <c r="K20" s="7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2" t="s">
        <v>48</v>
      </c>
      <c r="Q20" s="40" t="s">
        <v>48</v>
      </c>
      <c r="R20" s="40" t="s">
        <v>48</v>
      </c>
      <c r="S20" s="42" t="s">
        <v>48</v>
      </c>
      <c r="T20" s="40" t="s">
        <v>48</v>
      </c>
      <c r="U20" s="40" t="s">
        <v>48</v>
      </c>
      <c r="W20" s="33"/>
      <c r="X20" s="38" t="str">
        <f>Notes!U19</f>
        <v xml:space="preserve">      Groundnuts</v>
      </c>
      <c r="Y20" s="4" t="s">
        <v>512</v>
      </c>
      <c r="Z20" s="42" t="s">
        <v>48</v>
      </c>
      <c r="AA20" s="40" t="s">
        <v>48</v>
      </c>
      <c r="AB20" s="70" t="s">
        <v>48</v>
      </c>
      <c r="AC20" s="42" t="s">
        <v>48</v>
      </c>
      <c r="AD20" s="40" t="s">
        <v>48</v>
      </c>
      <c r="AE20" s="70" t="s">
        <v>48</v>
      </c>
      <c r="AF20" s="40" t="s">
        <v>48</v>
      </c>
      <c r="AG20" s="40" t="s">
        <v>48</v>
      </c>
      <c r="AH20" s="40" t="s">
        <v>48</v>
      </c>
      <c r="AI20" s="42" t="s">
        <v>48</v>
      </c>
      <c r="AJ20" s="40" t="s">
        <v>48</v>
      </c>
      <c r="AK20" s="70" t="s">
        <v>48</v>
      </c>
      <c r="AL20" s="40" t="s">
        <v>48</v>
      </c>
      <c r="AM20" s="40" t="s">
        <v>48</v>
      </c>
      <c r="AN20" s="40" t="s">
        <v>48</v>
      </c>
    </row>
    <row r="21" spans="1:40" x14ac:dyDescent="0.3">
      <c r="A21" s="12">
        <v>12</v>
      </c>
      <c r="B21" s="33"/>
      <c r="C21" s="38" t="str">
        <f>Notes!U20</f>
        <v xml:space="preserve">      Other oilseeds</v>
      </c>
      <c r="D21" s="4" t="s">
        <v>321</v>
      </c>
      <c r="E21" s="42">
        <v>0.17907292210316508</v>
      </c>
      <c r="F21" s="40">
        <v>0.11760404575655034</v>
      </c>
      <c r="G21" s="40">
        <v>0.25315463370246644</v>
      </c>
      <c r="H21" s="40">
        <v>0.25840134602003045</v>
      </c>
      <c r="I21" s="42">
        <v>0.60133246486639702</v>
      </c>
      <c r="J21" s="40">
        <v>5.2687335442720563E-2</v>
      </c>
      <c r="K21" s="70">
        <v>0.61103430909079948</v>
      </c>
      <c r="L21" s="40" t="s">
        <v>48</v>
      </c>
      <c r="M21" s="40" t="s">
        <v>48</v>
      </c>
      <c r="N21" s="40" t="s">
        <v>48</v>
      </c>
      <c r="O21" s="40">
        <v>1.6621683837311596</v>
      </c>
      <c r="P21" s="42">
        <v>0.27093300160738232</v>
      </c>
      <c r="Q21" s="40" t="s">
        <v>48</v>
      </c>
      <c r="R21" s="40">
        <v>54.300434650781348</v>
      </c>
      <c r="S21" s="42" t="s">
        <v>48</v>
      </c>
      <c r="T21" s="40">
        <v>12.826276868830606</v>
      </c>
      <c r="U21" s="40">
        <v>12.826276868830606</v>
      </c>
      <c r="W21" s="33"/>
      <c r="X21" s="38" t="str">
        <f>Notes!U20</f>
        <v xml:space="preserve">      Other oilseeds</v>
      </c>
      <c r="Y21" s="4" t="s">
        <v>321</v>
      </c>
      <c r="Z21" s="42">
        <v>1.6621683837311596</v>
      </c>
      <c r="AA21" s="40">
        <v>1.3935963783286316</v>
      </c>
      <c r="AB21" s="70">
        <v>0.63484001403752599</v>
      </c>
      <c r="AC21" s="42" t="s">
        <v>48</v>
      </c>
      <c r="AD21" s="40" t="s">
        <v>48</v>
      </c>
      <c r="AE21" s="70" t="s">
        <v>48</v>
      </c>
      <c r="AF21" s="40">
        <v>0.25840134602003045</v>
      </c>
      <c r="AG21" s="40">
        <v>1.2899384350539191E-5</v>
      </c>
      <c r="AH21" s="40">
        <v>2.7215869226070907E-6</v>
      </c>
      <c r="AI21" s="42">
        <v>0.11760404575655034</v>
      </c>
      <c r="AJ21" s="40" t="s">
        <v>48</v>
      </c>
      <c r="AK21" s="70" t="s">
        <v>48</v>
      </c>
      <c r="AL21" s="40">
        <v>0.17907292210316508</v>
      </c>
      <c r="AM21" s="40" t="s">
        <v>48</v>
      </c>
      <c r="AN21" s="40" t="s">
        <v>48</v>
      </c>
    </row>
    <row r="22" spans="1:40" x14ac:dyDescent="0.3">
      <c r="A22" s="12">
        <v>13</v>
      </c>
      <c r="B22" s="33"/>
      <c r="C22" s="38" t="str">
        <f>Notes!U21</f>
        <v xml:space="preserve">      Cassava</v>
      </c>
      <c r="D22" s="4" t="s">
        <v>515</v>
      </c>
      <c r="E22" s="42" t="s">
        <v>48</v>
      </c>
      <c r="F22" s="40" t="s">
        <v>48</v>
      </c>
      <c r="G22" s="40" t="s">
        <v>48</v>
      </c>
      <c r="H22" s="40" t="s">
        <v>48</v>
      </c>
      <c r="I22" s="42" t="s">
        <v>48</v>
      </c>
      <c r="J22" s="40" t="s">
        <v>48</v>
      </c>
      <c r="K22" s="7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2" t="s">
        <v>48</v>
      </c>
      <c r="Q22" s="40" t="s">
        <v>48</v>
      </c>
      <c r="R22" s="40" t="s">
        <v>48</v>
      </c>
      <c r="S22" s="42" t="s">
        <v>48</v>
      </c>
      <c r="T22" s="40" t="s">
        <v>48</v>
      </c>
      <c r="U22" s="40" t="s">
        <v>48</v>
      </c>
      <c r="W22" s="33"/>
      <c r="X22" s="38" t="str">
        <f>Notes!U21</f>
        <v xml:space="preserve">      Cassava</v>
      </c>
      <c r="Y22" s="4" t="s">
        <v>515</v>
      </c>
      <c r="Z22" s="42" t="s">
        <v>48</v>
      </c>
      <c r="AA22" s="40" t="s">
        <v>48</v>
      </c>
      <c r="AB22" s="70" t="s">
        <v>48</v>
      </c>
      <c r="AC22" s="42" t="s">
        <v>48</v>
      </c>
      <c r="AD22" s="40" t="s">
        <v>48</v>
      </c>
      <c r="AE22" s="70" t="s">
        <v>48</v>
      </c>
      <c r="AF22" s="40" t="s">
        <v>48</v>
      </c>
      <c r="AG22" s="40" t="s">
        <v>48</v>
      </c>
      <c r="AH22" s="40" t="s">
        <v>48</v>
      </c>
      <c r="AI22" s="42" t="s">
        <v>48</v>
      </c>
      <c r="AJ22" s="40" t="s">
        <v>48</v>
      </c>
      <c r="AK22" s="70" t="s">
        <v>48</v>
      </c>
      <c r="AL22" s="40" t="s">
        <v>48</v>
      </c>
      <c r="AM22" s="40" t="s">
        <v>48</v>
      </c>
      <c r="AN22" s="40" t="s">
        <v>48</v>
      </c>
    </row>
    <row r="23" spans="1:40" x14ac:dyDescent="0.3">
      <c r="A23" s="12">
        <v>14</v>
      </c>
      <c r="B23" s="33"/>
      <c r="C23" s="38" t="str">
        <f>Notes!U22</f>
        <v xml:space="preserve">      Irish potatoes</v>
      </c>
      <c r="D23" s="4" t="s">
        <v>517</v>
      </c>
      <c r="E23" s="42">
        <v>0.15284803800196178</v>
      </c>
      <c r="F23" s="40">
        <v>0.1793509981063903</v>
      </c>
      <c r="G23" s="40">
        <v>0.19812525269013176</v>
      </c>
      <c r="H23" s="40">
        <v>0.17228926933082803</v>
      </c>
      <c r="I23" s="42">
        <v>0.22602177924081227</v>
      </c>
      <c r="J23" s="40">
        <v>0.37148202464746333</v>
      </c>
      <c r="K23" s="70">
        <v>0.22344956531582749</v>
      </c>
      <c r="L23" s="40" t="s">
        <v>48</v>
      </c>
      <c r="M23" s="40" t="s">
        <v>48</v>
      </c>
      <c r="N23" s="40" t="s">
        <v>48</v>
      </c>
      <c r="O23" s="40" t="s">
        <v>48</v>
      </c>
      <c r="P23" s="42">
        <v>1.252598655681137</v>
      </c>
      <c r="Q23" s="40" t="s">
        <v>48</v>
      </c>
      <c r="R23" s="40" t="s">
        <v>48</v>
      </c>
      <c r="S23" s="42" t="s">
        <v>48</v>
      </c>
      <c r="T23" s="40" t="s">
        <v>48</v>
      </c>
      <c r="U23" s="40">
        <v>9.7765134790680861</v>
      </c>
      <c r="W23" s="33"/>
      <c r="X23" s="38" t="str">
        <f>Notes!U22</f>
        <v xml:space="preserve">      Irish potatoes</v>
      </c>
      <c r="Y23" s="4" t="s">
        <v>517</v>
      </c>
      <c r="Z23" s="42" t="s">
        <v>48</v>
      </c>
      <c r="AA23" s="40" t="s">
        <v>48</v>
      </c>
      <c r="AB23" s="70" t="s">
        <v>48</v>
      </c>
      <c r="AC23" s="42" t="s">
        <v>48</v>
      </c>
      <c r="AD23" s="40" t="s">
        <v>48</v>
      </c>
      <c r="AE23" s="70" t="s">
        <v>48</v>
      </c>
      <c r="AF23" s="40">
        <v>0.17228926933082803</v>
      </c>
      <c r="AG23" s="40" t="s">
        <v>48</v>
      </c>
      <c r="AH23" s="40" t="s">
        <v>48</v>
      </c>
      <c r="AI23" s="42">
        <v>0.1793509981063903</v>
      </c>
      <c r="AJ23" s="40" t="s">
        <v>48</v>
      </c>
      <c r="AK23" s="70" t="s">
        <v>48</v>
      </c>
      <c r="AL23" s="40">
        <v>0.15284803800196178</v>
      </c>
      <c r="AM23" s="40" t="s">
        <v>48</v>
      </c>
      <c r="AN23" s="40" t="s">
        <v>48</v>
      </c>
    </row>
    <row r="24" spans="1:40" x14ac:dyDescent="0.3">
      <c r="A24" s="12">
        <v>15</v>
      </c>
      <c r="B24" s="33"/>
      <c r="C24" s="38" t="str">
        <f>Notes!U23</f>
        <v xml:space="preserve">      Sweet potatoes</v>
      </c>
      <c r="D24" s="4" t="s">
        <v>519</v>
      </c>
      <c r="E24" s="42" t="s">
        <v>48</v>
      </c>
      <c r="F24" s="40" t="s">
        <v>48</v>
      </c>
      <c r="G24" s="40" t="s">
        <v>48</v>
      </c>
      <c r="H24" s="40" t="s">
        <v>48</v>
      </c>
      <c r="I24" s="42" t="s">
        <v>48</v>
      </c>
      <c r="J24" s="40" t="s">
        <v>48</v>
      </c>
      <c r="K24" s="7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2" t="s">
        <v>48</v>
      </c>
      <c r="Q24" s="40" t="s">
        <v>48</v>
      </c>
      <c r="R24" s="40" t="s">
        <v>48</v>
      </c>
      <c r="S24" s="42" t="s">
        <v>48</v>
      </c>
      <c r="T24" s="40" t="s">
        <v>48</v>
      </c>
      <c r="U24" s="40" t="s">
        <v>48</v>
      </c>
      <c r="W24" s="33"/>
      <c r="X24" s="38" t="str">
        <f>Notes!U23</f>
        <v xml:space="preserve">      Sweet potatoes</v>
      </c>
      <c r="Y24" s="4" t="s">
        <v>519</v>
      </c>
      <c r="Z24" s="42" t="s">
        <v>48</v>
      </c>
      <c r="AA24" s="40" t="s">
        <v>48</v>
      </c>
      <c r="AB24" s="70" t="s">
        <v>48</v>
      </c>
      <c r="AC24" s="42" t="s">
        <v>48</v>
      </c>
      <c r="AD24" s="40" t="s">
        <v>48</v>
      </c>
      <c r="AE24" s="70" t="s">
        <v>48</v>
      </c>
      <c r="AF24" s="40" t="s">
        <v>48</v>
      </c>
      <c r="AG24" s="40" t="s">
        <v>48</v>
      </c>
      <c r="AH24" s="40" t="s">
        <v>48</v>
      </c>
      <c r="AI24" s="42" t="s">
        <v>48</v>
      </c>
      <c r="AJ24" s="40" t="s">
        <v>48</v>
      </c>
      <c r="AK24" s="70" t="s">
        <v>48</v>
      </c>
      <c r="AL24" s="40" t="s">
        <v>48</v>
      </c>
      <c r="AM24" s="40" t="s">
        <v>48</v>
      </c>
      <c r="AN24" s="40" t="s">
        <v>48</v>
      </c>
    </row>
    <row r="25" spans="1:40" x14ac:dyDescent="0.3">
      <c r="A25" s="12">
        <v>16</v>
      </c>
      <c r="B25" s="33"/>
      <c r="C25" s="38" t="str">
        <f>Notes!U24</f>
        <v xml:space="preserve">      Other roots</v>
      </c>
      <c r="D25" s="4" t="s">
        <v>327</v>
      </c>
      <c r="E25" s="42" t="s">
        <v>48</v>
      </c>
      <c r="F25" s="40" t="s">
        <v>48</v>
      </c>
      <c r="G25" s="40" t="s">
        <v>48</v>
      </c>
      <c r="H25" s="40" t="s">
        <v>48</v>
      </c>
      <c r="I25" s="42" t="s">
        <v>48</v>
      </c>
      <c r="J25" s="40" t="s">
        <v>48</v>
      </c>
      <c r="K25" s="7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2" t="s">
        <v>48</v>
      </c>
      <c r="Q25" s="40" t="s">
        <v>48</v>
      </c>
      <c r="R25" s="40" t="s">
        <v>48</v>
      </c>
      <c r="S25" s="42" t="s">
        <v>48</v>
      </c>
      <c r="T25" s="40" t="s">
        <v>48</v>
      </c>
      <c r="U25" s="40" t="s">
        <v>48</v>
      </c>
      <c r="W25" s="33"/>
      <c r="X25" s="38" t="str">
        <f>Notes!U24</f>
        <v xml:space="preserve">      Other roots</v>
      </c>
      <c r="Y25" s="4" t="s">
        <v>327</v>
      </c>
      <c r="Z25" s="42" t="s">
        <v>48</v>
      </c>
      <c r="AA25" s="40" t="s">
        <v>48</v>
      </c>
      <c r="AB25" s="70" t="s">
        <v>48</v>
      </c>
      <c r="AC25" s="42" t="s">
        <v>48</v>
      </c>
      <c r="AD25" s="40" t="s">
        <v>48</v>
      </c>
      <c r="AE25" s="70" t="s">
        <v>48</v>
      </c>
      <c r="AF25" s="40" t="s">
        <v>48</v>
      </c>
      <c r="AG25" s="40" t="s">
        <v>48</v>
      </c>
      <c r="AH25" s="40" t="s">
        <v>48</v>
      </c>
      <c r="AI25" s="42" t="s">
        <v>48</v>
      </c>
      <c r="AJ25" s="40" t="s">
        <v>48</v>
      </c>
      <c r="AK25" s="70" t="s">
        <v>48</v>
      </c>
      <c r="AL25" s="40" t="s">
        <v>48</v>
      </c>
      <c r="AM25" s="40" t="s">
        <v>48</v>
      </c>
      <c r="AN25" s="40" t="s">
        <v>48</v>
      </c>
    </row>
    <row r="26" spans="1:40" x14ac:dyDescent="0.3">
      <c r="A26" s="12">
        <v>17</v>
      </c>
      <c r="B26" s="33"/>
      <c r="C26" s="38" t="str">
        <f>Notes!U25</f>
        <v xml:space="preserve">      Leafy vegetables</v>
      </c>
      <c r="D26" s="4" t="s">
        <v>709</v>
      </c>
      <c r="E26" s="42">
        <v>0.1396303644046267</v>
      </c>
      <c r="F26" s="40">
        <v>9.9928008026134135E-2</v>
      </c>
      <c r="G26" s="40">
        <v>0.16669181932146485</v>
      </c>
      <c r="H26" s="40">
        <v>0.10870114214901515</v>
      </c>
      <c r="I26" s="42">
        <v>0.37103588935809911</v>
      </c>
      <c r="J26" s="40">
        <v>1.6291178331508103</v>
      </c>
      <c r="K26" s="70">
        <v>0.34878887688023069</v>
      </c>
      <c r="L26" s="40" t="s">
        <v>48</v>
      </c>
      <c r="M26" s="40" t="s">
        <v>48</v>
      </c>
      <c r="N26" s="40" t="s">
        <v>48</v>
      </c>
      <c r="O26" s="40" t="s">
        <v>48</v>
      </c>
      <c r="P26" s="42">
        <v>9.8592346463236282</v>
      </c>
      <c r="Q26" s="40" t="s">
        <v>48</v>
      </c>
      <c r="R26" s="40" t="s">
        <v>48</v>
      </c>
      <c r="S26" s="42" t="s">
        <v>48</v>
      </c>
      <c r="T26" s="40" t="s">
        <v>48</v>
      </c>
      <c r="U26" s="40">
        <v>27.268469685603346</v>
      </c>
      <c r="W26" s="33"/>
      <c r="X26" s="38" t="str">
        <f>Notes!U25</f>
        <v xml:space="preserve">      Leafy vegetables</v>
      </c>
      <c r="Y26" s="4" t="s">
        <v>709</v>
      </c>
      <c r="Z26" s="42" t="s">
        <v>48</v>
      </c>
      <c r="AA26" s="40" t="s">
        <v>48</v>
      </c>
      <c r="AB26" s="70" t="s">
        <v>48</v>
      </c>
      <c r="AC26" s="42" t="s">
        <v>48</v>
      </c>
      <c r="AD26" s="40" t="s">
        <v>48</v>
      </c>
      <c r="AE26" s="70" t="s">
        <v>48</v>
      </c>
      <c r="AF26" s="40">
        <v>0.10870114214901515</v>
      </c>
      <c r="AG26" s="40" t="s">
        <v>48</v>
      </c>
      <c r="AH26" s="40" t="s">
        <v>48</v>
      </c>
      <c r="AI26" s="42">
        <v>9.9928008026134135E-2</v>
      </c>
      <c r="AJ26" s="40" t="s">
        <v>48</v>
      </c>
      <c r="AK26" s="70" t="s">
        <v>48</v>
      </c>
      <c r="AL26" s="40">
        <v>0.1396303644046267</v>
      </c>
      <c r="AM26" s="40" t="s">
        <v>48</v>
      </c>
      <c r="AN26" s="40" t="s">
        <v>48</v>
      </c>
    </row>
    <row r="27" spans="1:40" x14ac:dyDescent="0.3">
      <c r="A27" s="12">
        <v>18</v>
      </c>
      <c r="B27" s="33"/>
      <c r="C27" s="38" t="str">
        <f>Notes!U26</f>
        <v xml:space="preserve">      Other vegetables</v>
      </c>
      <c r="D27" s="4" t="s">
        <v>330</v>
      </c>
      <c r="E27" s="42">
        <v>0.30741459528812909</v>
      </c>
      <c r="F27" s="40">
        <v>0.22028886190304514</v>
      </c>
      <c r="G27" s="40">
        <v>0.36688819868621481</v>
      </c>
      <c r="H27" s="40">
        <v>0.28779818947461705</v>
      </c>
      <c r="I27" s="42">
        <v>0.8136807182749074</v>
      </c>
      <c r="J27" s="40">
        <v>3.5726510740669069</v>
      </c>
      <c r="K27" s="70">
        <v>0.76489307909590731</v>
      </c>
      <c r="L27" s="40" t="s">
        <v>48</v>
      </c>
      <c r="M27" s="40" t="s">
        <v>48</v>
      </c>
      <c r="N27" s="40" t="s">
        <v>48</v>
      </c>
      <c r="O27" s="40">
        <v>0.54619669583157349</v>
      </c>
      <c r="P27" s="42">
        <v>9.8078993103731058</v>
      </c>
      <c r="Q27" s="40" t="s">
        <v>48</v>
      </c>
      <c r="R27" s="40">
        <v>18.592568401762772</v>
      </c>
      <c r="S27" s="42" t="s">
        <v>48</v>
      </c>
      <c r="T27" s="40">
        <v>25.568410683507487</v>
      </c>
      <c r="U27" s="40">
        <v>25.56841068350748</v>
      </c>
      <c r="W27" s="33"/>
      <c r="X27" s="38" t="str">
        <f>Notes!U26</f>
        <v xml:space="preserve">      Other vegetables</v>
      </c>
      <c r="Y27" s="4" t="s">
        <v>330</v>
      </c>
      <c r="Z27" s="42">
        <v>0.54619669583157349</v>
      </c>
      <c r="AA27" s="40">
        <v>0.47027657696171715</v>
      </c>
      <c r="AB27" s="70">
        <v>7.0397086132169842E-2</v>
      </c>
      <c r="AC27" s="42" t="s">
        <v>48</v>
      </c>
      <c r="AD27" s="40" t="s">
        <v>48</v>
      </c>
      <c r="AE27" s="70" t="s">
        <v>48</v>
      </c>
      <c r="AF27" s="40">
        <v>0.28779818947461705</v>
      </c>
      <c r="AG27" s="40" t="s">
        <v>48</v>
      </c>
      <c r="AH27" s="40" t="s">
        <v>48</v>
      </c>
      <c r="AI27" s="42">
        <v>0.22028886190304514</v>
      </c>
      <c r="AJ27" s="40" t="s">
        <v>48</v>
      </c>
      <c r="AK27" s="70" t="s">
        <v>48</v>
      </c>
      <c r="AL27" s="40">
        <v>0.30741459528812909</v>
      </c>
      <c r="AM27" s="40" t="s">
        <v>48</v>
      </c>
      <c r="AN27" s="40" t="s">
        <v>48</v>
      </c>
    </row>
    <row r="28" spans="1:40" x14ac:dyDescent="0.3">
      <c r="A28" s="12">
        <v>19</v>
      </c>
      <c r="B28" s="33"/>
      <c r="C28" s="38" t="str">
        <f>Notes!U27</f>
        <v xml:space="preserve">      Sugarcane</v>
      </c>
      <c r="D28" s="4" t="s">
        <v>333</v>
      </c>
      <c r="E28" s="42">
        <v>8.2417407106400595E-2</v>
      </c>
      <c r="F28" s="40">
        <v>7.8609441685540113E-2</v>
      </c>
      <c r="G28" s="40">
        <v>9.910727877317084E-2</v>
      </c>
      <c r="H28" s="40">
        <v>8.1424426938929081E-2</v>
      </c>
      <c r="I28" s="42">
        <v>1.9455904628878891E-3</v>
      </c>
      <c r="J28" s="40">
        <v>0.11196990198829224</v>
      </c>
      <c r="K28" s="7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2">
        <v>0.86139931408156767</v>
      </c>
      <c r="Q28" s="40" t="s">
        <v>48</v>
      </c>
      <c r="R28" s="40" t="s">
        <v>48</v>
      </c>
      <c r="S28" s="42" t="s">
        <v>48</v>
      </c>
      <c r="T28" s="40" t="s">
        <v>48</v>
      </c>
      <c r="U28" s="40">
        <v>15.993837298402665</v>
      </c>
      <c r="W28" s="33"/>
      <c r="X28" s="38" t="str">
        <f>Notes!U27</f>
        <v xml:space="preserve">      Sugarcane</v>
      </c>
      <c r="Y28" s="4" t="s">
        <v>333</v>
      </c>
      <c r="Z28" s="42" t="s">
        <v>48</v>
      </c>
      <c r="AA28" s="40" t="s">
        <v>48</v>
      </c>
      <c r="AB28" s="70" t="s">
        <v>48</v>
      </c>
      <c r="AC28" s="42" t="s">
        <v>48</v>
      </c>
      <c r="AD28" s="40" t="s">
        <v>48</v>
      </c>
      <c r="AE28" s="70" t="s">
        <v>48</v>
      </c>
      <c r="AF28" s="40">
        <v>8.1424426938929081E-2</v>
      </c>
      <c r="AG28" s="40" t="s">
        <v>48</v>
      </c>
      <c r="AH28" s="40" t="s">
        <v>48</v>
      </c>
      <c r="AI28" s="42">
        <v>7.8609441685540113E-2</v>
      </c>
      <c r="AJ28" s="40" t="s">
        <v>48</v>
      </c>
      <c r="AK28" s="70" t="s">
        <v>48</v>
      </c>
      <c r="AL28" s="40">
        <v>8.2417407106400595E-2</v>
      </c>
      <c r="AM28" s="40" t="s">
        <v>48</v>
      </c>
      <c r="AN28" s="40" t="s">
        <v>48</v>
      </c>
    </row>
    <row r="29" spans="1:40" x14ac:dyDescent="0.3">
      <c r="A29" s="12">
        <v>20</v>
      </c>
      <c r="B29" s="33"/>
      <c r="C29" s="38" t="str">
        <f>Notes!U28</f>
        <v xml:space="preserve">      Tobacco</v>
      </c>
      <c r="D29" s="4" t="s">
        <v>336</v>
      </c>
      <c r="E29" s="42">
        <v>0.21507084644727764</v>
      </c>
      <c r="F29" s="40">
        <v>0.22170607134930101</v>
      </c>
      <c r="G29" s="40">
        <v>0.28371125975612915</v>
      </c>
      <c r="H29" s="40">
        <v>0.21299529157528616</v>
      </c>
      <c r="I29" s="42">
        <v>6.4422136103204296E-4</v>
      </c>
      <c r="J29" s="40">
        <v>3.7075327017409745E-2</v>
      </c>
      <c r="K29" s="7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2">
        <v>0.10113124164895129</v>
      </c>
      <c r="Q29" s="40" t="s">
        <v>48</v>
      </c>
      <c r="R29" s="40" t="s">
        <v>48</v>
      </c>
      <c r="S29" s="42" t="s">
        <v>48</v>
      </c>
      <c r="T29" s="40" t="s">
        <v>48</v>
      </c>
      <c r="U29" s="40">
        <v>8.7324242558092653</v>
      </c>
      <c r="W29" s="33"/>
      <c r="X29" s="38" t="str">
        <f>Notes!U28</f>
        <v xml:space="preserve">      Tobacco</v>
      </c>
      <c r="Y29" s="4" t="s">
        <v>336</v>
      </c>
      <c r="Z29" s="42" t="s">
        <v>48</v>
      </c>
      <c r="AA29" s="40" t="s">
        <v>48</v>
      </c>
      <c r="AB29" s="70" t="s">
        <v>48</v>
      </c>
      <c r="AC29" s="42" t="s">
        <v>48</v>
      </c>
      <c r="AD29" s="40" t="s">
        <v>48</v>
      </c>
      <c r="AE29" s="70" t="s">
        <v>48</v>
      </c>
      <c r="AF29" s="40">
        <v>0.21299529157528616</v>
      </c>
      <c r="AG29" s="40" t="s">
        <v>48</v>
      </c>
      <c r="AH29" s="40" t="s">
        <v>48</v>
      </c>
      <c r="AI29" s="42">
        <v>0.22170607134930101</v>
      </c>
      <c r="AJ29" s="40" t="s">
        <v>48</v>
      </c>
      <c r="AK29" s="70" t="s">
        <v>48</v>
      </c>
      <c r="AL29" s="40">
        <v>0.21507084644727764</v>
      </c>
      <c r="AM29" s="40" t="s">
        <v>48</v>
      </c>
      <c r="AN29" s="40" t="s">
        <v>48</v>
      </c>
    </row>
    <row r="30" spans="1:40" x14ac:dyDescent="0.3">
      <c r="A30" s="12">
        <v>21</v>
      </c>
      <c r="B30" s="33"/>
      <c r="C30" s="38" t="str">
        <f>Notes!U29</f>
        <v xml:space="preserve">      Cotton and fibres</v>
      </c>
      <c r="D30" s="4" t="s">
        <v>339</v>
      </c>
      <c r="E30" s="42">
        <v>1.2261847613938602E-3</v>
      </c>
      <c r="F30" s="40">
        <v>6.9174164869195394E-4</v>
      </c>
      <c r="G30" s="40">
        <v>1.0244215550261871E-3</v>
      </c>
      <c r="H30" s="40">
        <v>0.11663324725624717</v>
      </c>
      <c r="I30" s="42" t="s">
        <v>48</v>
      </c>
      <c r="J30" s="40" t="s">
        <v>48</v>
      </c>
      <c r="K30" s="70" t="s">
        <v>48</v>
      </c>
      <c r="L30" s="40" t="s">
        <v>48</v>
      </c>
      <c r="M30" s="40" t="s">
        <v>48</v>
      </c>
      <c r="N30" s="40" t="s">
        <v>48</v>
      </c>
      <c r="O30" s="40">
        <v>1.5760217411482302</v>
      </c>
      <c r="P30" s="42" t="s">
        <v>48</v>
      </c>
      <c r="Q30" s="40" t="s">
        <v>48</v>
      </c>
      <c r="R30" s="40">
        <v>99.472020266049242</v>
      </c>
      <c r="S30" s="42" t="s">
        <v>48</v>
      </c>
      <c r="T30" s="40">
        <v>1.4055052053931469</v>
      </c>
      <c r="U30" s="40">
        <v>1.4055052053931469</v>
      </c>
      <c r="W30" s="33"/>
      <c r="X30" s="38" t="str">
        <f>Notes!U29</f>
        <v xml:space="preserve">      Cotton and fibres</v>
      </c>
      <c r="Y30" s="4" t="s">
        <v>339</v>
      </c>
      <c r="Z30" s="42">
        <v>1.5760217411482302</v>
      </c>
      <c r="AA30" s="40">
        <v>3.6142004685267297E-3</v>
      </c>
      <c r="AB30" s="70">
        <v>1.5610855666785286E-3</v>
      </c>
      <c r="AC30" s="42" t="s">
        <v>48</v>
      </c>
      <c r="AD30" s="40" t="s">
        <v>48</v>
      </c>
      <c r="AE30" s="70" t="s">
        <v>48</v>
      </c>
      <c r="AF30" s="40">
        <v>0.11663324725624717</v>
      </c>
      <c r="AG30" s="40" t="s">
        <v>48</v>
      </c>
      <c r="AH30" s="40" t="s">
        <v>48</v>
      </c>
      <c r="AI30" s="42">
        <v>6.9174164869195394E-4</v>
      </c>
      <c r="AJ30" s="40" t="s">
        <v>48</v>
      </c>
      <c r="AK30" s="70" t="s">
        <v>48</v>
      </c>
      <c r="AL30" s="40">
        <v>1.2261847613938602E-3</v>
      </c>
      <c r="AM30" s="40" t="s">
        <v>48</v>
      </c>
      <c r="AN30" s="40" t="s">
        <v>48</v>
      </c>
    </row>
    <row r="31" spans="1:40" x14ac:dyDescent="0.3">
      <c r="A31" s="12">
        <v>22</v>
      </c>
      <c r="B31" s="33"/>
      <c r="C31" s="38" t="str">
        <f>Notes!U30</f>
        <v xml:space="preserve">      Jute</v>
      </c>
      <c r="D31" s="4" t="s">
        <v>712</v>
      </c>
      <c r="E31" s="42">
        <v>0.25549076952576133</v>
      </c>
      <c r="F31" s="40">
        <v>0.17225850055791581</v>
      </c>
      <c r="G31" s="40">
        <v>0.41817349271478399</v>
      </c>
      <c r="H31" s="40">
        <v>0.13423422665206303</v>
      </c>
      <c r="I31" s="42" t="s">
        <v>48</v>
      </c>
      <c r="J31" s="40" t="s">
        <v>48</v>
      </c>
      <c r="K31" s="70" t="s">
        <v>48</v>
      </c>
      <c r="L31" s="40" t="s">
        <v>48</v>
      </c>
      <c r="M31" s="40" t="s">
        <v>48</v>
      </c>
      <c r="N31" s="40">
        <v>0.77696186162478142</v>
      </c>
      <c r="O31" s="40">
        <v>3.6726119633319121E-2</v>
      </c>
      <c r="P31" s="42" t="s">
        <v>48</v>
      </c>
      <c r="Q31" s="40">
        <v>21.761417069947814</v>
      </c>
      <c r="R31" s="40">
        <v>2.2036656046321554</v>
      </c>
      <c r="S31" s="42">
        <v>9.8918324692267152</v>
      </c>
      <c r="T31" s="40">
        <v>9.8918324692267117</v>
      </c>
      <c r="U31" s="40">
        <v>9.8918324692267117</v>
      </c>
      <c r="W31" s="33"/>
      <c r="X31" s="38" t="str">
        <f>Notes!U30</f>
        <v xml:space="preserve">      Jute</v>
      </c>
      <c r="Y31" s="4" t="s">
        <v>712</v>
      </c>
      <c r="Z31" s="42">
        <v>3.6726119633319121E-2</v>
      </c>
      <c r="AA31" s="40" t="s">
        <v>48</v>
      </c>
      <c r="AB31" s="70" t="s">
        <v>48</v>
      </c>
      <c r="AC31" s="42">
        <v>0.77696186162478142</v>
      </c>
      <c r="AD31" s="40" t="s">
        <v>48</v>
      </c>
      <c r="AE31" s="70" t="s">
        <v>48</v>
      </c>
      <c r="AF31" s="40">
        <v>0.13423422665206303</v>
      </c>
      <c r="AG31" s="40" t="s">
        <v>48</v>
      </c>
      <c r="AH31" s="40" t="s">
        <v>48</v>
      </c>
      <c r="AI31" s="42">
        <v>0.17225850055791581</v>
      </c>
      <c r="AJ31" s="40" t="s">
        <v>48</v>
      </c>
      <c r="AK31" s="70" t="s">
        <v>48</v>
      </c>
      <c r="AL31" s="40">
        <v>0.25549076952576133</v>
      </c>
      <c r="AM31" s="40" t="s">
        <v>48</v>
      </c>
      <c r="AN31" s="40" t="s">
        <v>48</v>
      </c>
    </row>
    <row r="32" spans="1:40" x14ac:dyDescent="0.3">
      <c r="A32" s="12">
        <v>23</v>
      </c>
      <c r="B32" s="33"/>
      <c r="C32" s="38" t="str">
        <f>Notes!U31</f>
        <v xml:space="preserve">      Nuts</v>
      </c>
      <c r="D32" s="4" t="s">
        <v>522</v>
      </c>
      <c r="E32" s="42">
        <v>0.10133306274229775</v>
      </c>
      <c r="F32" s="40">
        <v>6.0723846172735574E-2</v>
      </c>
      <c r="G32" s="40">
        <v>2.248519819973914E-2</v>
      </c>
      <c r="H32" s="40">
        <v>6.1379817192082312E-2</v>
      </c>
      <c r="I32" s="42">
        <v>0.1028203415699746</v>
      </c>
      <c r="J32" s="40">
        <v>0.15859798982799675</v>
      </c>
      <c r="K32" s="70">
        <v>0.10183400992209998</v>
      </c>
      <c r="L32" s="40" t="s">
        <v>48</v>
      </c>
      <c r="M32" s="40" t="s">
        <v>48</v>
      </c>
      <c r="N32" s="40" t="s">
        <v>48</v>
      </c>
      <c r="O32" s="40" t="s">
        <v>48</v>
      </c>
      <c r="P32" s="42">
        <v>1.5794880422902533</v>
      </c>
      <c r="Q32" s="40" t="s">
        <v>48</v>
      </c>
      <c r="R32" s="40" t="s">
        <v>48</v>
      </c>
      <c r="S32" s="42" t="s">
        <v>48</v>
      </c>
      <c r="T32" s="40" t="s">
        <v>48</v>
      </c>
      <c r="U32" s="40">
        <v>14.539060669664794</v>
      </c>
      <c r="W32" s="33"/>
      <c r="X32" s="38" t="str">
        <f>Notes!U31</f>
        <v xml:space="preserve">      Nuts</v>
      </c>
      <c r="Y32" s="4" t="s">
        <v>522</v>
      </c>
      <c r="Z32" s="42" t="s">
        <v>48</v>
      </c>
      <c r="AA32" s="40" t="s">
        <v>48</v>
      </c>
      <c r="AB32" s="70" t="s">
        <v>48</v>
      </c>
      <c r="AC32" s="42" t="s">
        <v>48</v>
      </c>
      <c r="AD32" s="40" t="s">
        <v>48</v>
      </c>
      <c r="AE32" s="70" t="s">
        <v>48</v>
      </c>
      <c r="AF32" s="40">
        <v>6.1379817192082312E-2</v>
      </c>
      <c r="AG32" s="40" t="s">
        <v>48</v>
      </c>
      <c r="AH32" s="40" t="s">
        <v>48</v>
      </c>
      <c r="AI32" s="42">
        <v>6.0723846172735574E-2</v>
      </c>
      <c r="AJ32" s="40" t="s">
        <v>48</v>
      </c>
      <c r="AK32" s="70" t="s">
        <v>48</v>
      </c>
      <c r="AL32" s="40">
        <v>0.10133306274229775</v>
      </c>
      <c r="AM32" s="40" t="s">
        <v>48</v>
      </c>
      <c r="AN32" s="40" t="s">
        <v>48</v>
      </c>
    </row>
    <row r="33" spans="1:40" x14ac:dyDescent="0.3">
      <c r="A33" s="12">
        <v>24</v>
      </c>
      <c r="B33" s="33"/>
      <c r="C33" s="38" t="str">
        <f>Notes!U32</f>
        <v xml:space="preserve">      Bananas and plantains</v>
      </c>
      <c r="D33" s="4" t="s">
        <v>523</v>
      </c>
      <c r="E33" s="42">
        <v>4.4765727850254552E-2</v>
      </c>
      <c r="F33" s="40">
        <v>2.7203958714629828E-2</v>
      </c>
      <c r="G33" s="40">
        <v>1.064607381825061E-2</v>
      </c>
      <c r="H33" s="40">
        <v>2.4807188828787078E-2</v>
      </c>
      <c r="I33" s="42">
        <v>8.0848222932850614E-2</v>
      </c>
      <c r="J33" s="40">
        <v>0.37277972719714447</v>
      </c>
      <c r="K33" s="70">
        <v>7.5685917051191168E-2</v>
      </c>
      <c r="L33" s="40" t="s">
        <v>48</v>
      </c>
      <c r="M33" s="40" t="s">
        <v>48</v>
      </c>
      <c r="N33" s="40" t="s">
        <v>48</v>
      </c>
      <c r="O33" s="40" t="s">
        <v>48</v>
      </c>
      <c r="P33" s="42">
        <v>8.2870147989971468</v>
      </c>
      <c r="Q33" s="40" t="s">
        <v>48</v>
      </c>
      <c r="R33" s="40" t="s">
        <v>48</v>
      </c>
      <c r="S33" s="42" t="s">
        <v>48</v>
      </c>
      <c r="T33" s="40" t="s">
        <v>48</v>
      </c>
      <c r="U33" s="40">
        <v>11.725809077714153</v>
      </c>
      <c r="W33" s="33"/>
      <c r="X33" s="38" t="str">
        <f>Notes!U32</f>
        <v xml:space="preserve">      Bananas and plantains</v>
      </c>
      <c r="Y33" s="4" t="s">
        <v>523</v>
      </c>
      <c r="Z33" s="42" t="s">
        <v>48</v>
      </c>
      <c r="AA33" s="40" t="s">
        <v>48</v>
      </c>
      <c r="AB33" s="70" t="s">
        <v>48</v>
      </c>
      <c r="AC33" s="42" t="s">
        <v>48</v>
      </c>
      <c r="AD33" s="40" t="s">
        <v>48</v>
      </c>
      <c r="AE33" s="70" t="s">
        <v>48</v>
      </c>
      <c r="AF33" s="40">
        <v>2.4807188828787078E-2</v>
      </c>
      <c r="AG33" s="40" t="s">
        <v>48</v>
      </c>
      <c r="AH33" s="40" t="s">
        <v>48</v>
      </c>
      <c r="AI33" s="42">
        <v>2.7203958714629828E-2</v>
      </c>
      <c r="AJ33" s="40" t="s">
        <v>48</v>
      </c>
      <c r="AK33" s="70" t="s">
        <v>48</v>
      </c>
      <c r="AL33" s="40">
        <v>4.4765727850254552E-2</v>
      </c>
      <c r="AM33" s="40" t="s">
        <v>48</v>
      </c>
      <c r="AN33" s="40" t="s">
        <v>48</v>
      </c>
    </row>
    <row r="34" spans="1:40" x14ac:dyDescent="0.3">
      <c r="A34" s="12">
        <v>25</v>
      </c>
      <c r="B34" s="33"/>
      <c r="C34" s="38" t="str">
        <f>Notes!U33</f>
        <v xml:space="preserve">      Other fruits</v>
      </c>
      <c r="D34" s="4" t="s">
        <v>342</v>
      </c>
      <c r="E34" s="42">
        <v>0.26395264955839598</v>
      </c>
      <c r="F34" s="40">
        <v>0.15952221137977599</v>
      </c>
      <c r="G34" s="40">
        <v>6.1102708986123314E-2</v>
      </c>
      <c r="H34" s="40">
        <v>0.29650428584979038</v>
      </c>
      <c r="I34" s="42">
        <v>0.88840451851362989</v>
      </c>
      <c r="J34" s="40">
        <v>3.7789800244752638</v>
      </c>
      <c r="K34" s="70">
        <v>0.83728966890734313</v>
      </c>
      <c r="L34" s="40" t="s">
        <v>48</v>
      </c>
      <c r="M34" s="40" t="s">
        <v>48</v>
      </c>
      <c r="N34" s="40" t="s">
        <v>48</v>
      </c>
      <c r="O34" s="40">
        <v>1.415258263296062</v>
      </c>
      <c r="P34" s="42">
        <v>14.326211886738788</v>
      </c>
      <c r="Q34" s="40" t="s">
        <v>48</v>
      </c>
      <c r="R34" s="40">
        <v>52.865249466510654</v>
      </c>
      <c r="S34" s="42" t="s">
        <v>48</v>
      </c>
      <c r="T34" s="40">
        <v>14.16877625463934</v>
      </c>
      <c r="U34" s="40">
        <v>14.168776254639337</v>
      </c>
      <c r="W34" s="33"/>
      <c r="X34" s="38" t="str">
        <f>Notes!U33</f>
        <v xml:space="preserve">      Other fruits</v>
      </c>
      <c r="Y34" s="4" t="s">
        <v>342</v>
      </c>
      <c r="Z34" s="42">
        <v>1.415258263296062</v>
      </c>
      <c r="AA34" s="40">
        <v>30.982355138909345</v>
      </c>
      <c r="AB34" s="70">
        <v>12.017175213173225</v>
      </c>
      <c r="AC34" s="42" t="s">
        <v>48</v>
      </c>
      <c r="AD34" s="40" t="s">
        <v>48</v>
      </c>
      <c r="AE34" s="70" t="s">
        <v>48</v>
      </c>
      <c r="AF34" s="40">
        <v>0.29650428584979038</v>
      </c>
      <c r="AG34" s="40" t="s">
        <v>48</v>
      </c>
      <c r="AH34" s="40" t="s">
        <v>48</v>
      </c>
      <c r="AI34" s="42">
        <v>0.15952221137977599</v>
      </c>
      <c r="AJ34" s="40" t="s">
        <v>48</v>
      </c>
      <c r="AK34" s="70" t="s">
        <v>48</v>
      </c>
      <c r="AL34" s="40">
        <v>0.26395264955839598</v>
      </c>
      <c r="AM34" s="40" t="s">
        <v>48</v>
      </c>
      <c r="AN34" s="40" t="s">
        <v>48</v>
      </c>
    </row>
    <row r="35" spans="1:40" x14ac:dyDescent="0.3">
      <c r="A35" s="12">
        <v>26</v>
      </c>
      <c r="B35" s="33"/>
      <c r="C35" s="38" t="str">
        <f>Notes!U34</f>
        <v xml:space="preserve">      Leaf tea</v>
      </c>
      <c r="D35" s="4" t="s">
        <v>525</v>
      </c>
      <c r="E35" s="42">
        <v>2.7250197765122584E-2</v>
      </c>
      <c r="F35" s="40">
        <v>2.142586842251424E-2</v>
      </c>
      <c r="G35" s="40">
        <v>3.1940230501475639E-2</v>
      </c>
      <c r="H35" s="40">
        <v>2.0194154601643002E-2</v>
      </c>
      <c r="I35" s="42">
        <v>4.3158995528430963E-4</v>
      </c>
      <c r="J35" s="40">
        <v>2.4838261655839657E-2</v>
      </c>
      <c r="K35" s="7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2">
        <v>0.70106889625032054</v>
      </c>
      <c r="Q35" s="40" t="s">
        <v>48</v>
      </c>
      <c r="R35" s="40" t="s">
        <v>48</v>
      </c>
      <c r="S35" s="42" t="s">
        <v>48</v>
      </c>
      <c r="T35" s="40" t="s">
        <v>48</v>
      </c>
      <c r="U35" s="40">
        <v>7.5289707116456368</v>
      </c>
      <c r="W35" s="33"/>
      <c r="X35" s="38" t="str">
        <f>Notes!U34</f>
        <v xml:space="preserve">      Leaf tea</v>
      </c>
      <c r="Y35" s="4" t="s">
        <v>525</v>
      </c>
      <c r="Z35" s="42" t="s">
        <v>48</v>
      </c>
      <c r="AA35" s="40" t="s">
        <v>48</v>
      </c>
      <c r="AB35" s="70" t="s">
        <v>48</v>
      </c>
      <c r="AC35" s="42" t="s">
        <v>48</v>
      </c>
      <c r="AD35" s="40" t="s">
        <v>48</v>
      </c>
      <c r="AE35" s="70" t="s">
        <v>48</v>
      </c>
      <c r="AF35" s="40">
        <v>2.0194154601643002E-2</v>
      </c>
      <c r="AG35" s="40" t="s">
        <v>48</v>
      </c>
      <c r="AH35" s="40" t="s">
        <v>48</v>
      </c>
      <c r="AI35" s="42">
        <v>2.142586842251424E-2</v>
      </c>
      <c r="AJ35" s="40" t="s">
        <v>48</v>
      </c>
      <c r="AK35" s="70" t="s">
        <v>48</v>
      </c>
      <c r="AL35" s="40">
        <v>2.7250197765122584E-2</v>
      </c>
      <c r="AM35" s="40" t="s">
        <v>48</v>
      </c>
      <c r="AN35" s="40" t="s">
        <v>48</v>
      </c>
    </row>
    <row r="36" spans="1:40" x14ac:dyDescent="0.3">
      <c r="A36" s="12">
        <v>27</v>
      </c>
      <c r="B36" s="33"/>
      <c r="C36" s="38" t="str">
        <f>Notes!U35</f>
        <v xml:space="preserve">      Coffee</v>
      </c>
      <c r="D36" s="4" t="s">
        <v>343</v>
      </c>
      <c r="E36" s="42" t="s">
        <v>48</v>
      </c>
      <c r="F36" s="40" t="s">
        <v>48</v>
      </c>
      <c r="G36" s="40" t="s">
        <v>48</v>
      </c>
      <c r="H36" s="40" t="s">
        <v>48</v>
      </c>
      <c r="I36" s="42" t="s">
        <v>48</v>
      </c>
      <c r="J36" s="40" t="s">
        <v>48</v>
      </c>
      <c r="K36" s="7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2" t="s">
        <v>48</v>
      </c>
      <c r="Q36" s="40" t="s">
        <v>48</v>
      </c>
      <c r="R36" s="40" t="s">
        <v>48</v>
      </c>
      <c r="S36" s="42" t="s">
        <v>48</v>
      </c>
      <c r="T36" s="40" t="s">
        <v>48</v>
      </c>
      <c r="U36" s="40" t="s">
        <v>48</v>
      </c>
      <c r="W36" s="33"/>
      <c r="X36" s="38" t="str">
        <f>Notes!U35</f>
        <v xml:space="preserve">      Coffee</v>
      </c>
      <c r="Y36" s="4" t="s">
        <v>343</v>
      </c>
      <c r="Z36" s="42" t="s">
        <v>48</v>
      </c>
      <c r="AA36" s="40" t="s">
        <v>48</v>
      </c>
      <c r="AB36" s="70" t="s">
        <v>48</v>
      </c>
      <c r="AC36" s="42" t="s">
        <v>48</v>
      </c>
      <c r="AD36" s="40" t="s">
        <v>48</v>
      </c>
      <c r="AE36" s="70" t="s">
        <v>48</v>
      </c>
      <c r="AF36" s="40" t="s">
        <v>48</v>
      </c>
      <c r="AG36" s="40" t="s">
        <v>48</v>
      </c>
      <c r="AH36" s="40" t="s">
        <v>48</v>
      </c>
      <c r="AI36" s="42" t="s">
        <v>48</v>
      </c>
      <c r="AJ36" s="40" t="s">
        <v>48</v>
      </c>
      <c r="AK36" s="70" t="s">
        <v>48</v>
      </c>
      <c r="AL36" s="40" t="s">
        <v>48</v>
      </c>
      <c r="AM36" s="40" t="s">
        <v>48</v>
      </c>
      <c r="AN36" s="40" t="s">
        <v>48</v>
      </c>
    </row>
    <row r="37" spans="1:40" x14ac:dyDescent="0.3">
      <c r="A37" s="12">
        <v>28</v>
      </c>
      <c r="B37" s="33"/>
      <c r="C37" s="38" t="str">
        <f>Notes!U36</f>
        <v xml:space="preserve">      Cocoa</v>
      </c>
      <c r="D37" s="4" t="s">
        <v>528</v>
      </c>
      <c r="E37" s="42" t="s">
        <v>48</v>
      </c>
      <c r="F37" s="40" t="s">
        <v>48</v>
      </c>
      <c r="G37" s="40" t="s">
        <v>48</v>
      </c>
      <c r="H37" s="40" t="s">
        <v>48</v>
      </c>
      <c r="I37" s="42" t="s">
        <v>48</v>
      </c>
      <c r="J37" s="40" t="s">
        <v>48</v>
      </c>
      <c r="K37" s="7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2" t="s">
        <v>48</v>
      </c>
      <c r="Q37" s="40" t="s">
        <v>48</v>
      </c>
      <c r="R37" s="40" t="s">
        <v>48</v>
      </c>
      <c r="S37" s="42" t="s">
        <v>48</v>
      </c>
      <c r="T37" s="40" t="s">
        <v>48</v>
      </c>
      <c r="U37" s="40" t="s">
        <v>48</v>
      </c>
      <c r="W37" s="33"/>
      <c r="X37" s="38" t="str">
        <f>Notes!U36</f>
        <v xml:space="preserve">      Cocoa</v>
      </c>
      <c r="Y37" s="4" t="s">
        <v>528</v>
      </c>
      <c r="Z37" s="42" t="s">
        <v>48</v>
      </c>
      <c r="AA37" s="40" t="s">
        <v>48</v>
      </c>
      <c r="AB37" s="70" t="s">
        <v>48</v>
      </c>
      <c r="AC37" s="42" t="s">
        <v>48</v>
      </c>
      <c r="AD37" s="40" t="s">
        <v>48</v>
      </c>
      <c r="AE37" s="70" t="s">
        <v>48</v>
      </c>
      <c r="AF37" s="40" t="s">
        <v>48</v>
      </c>
      <c r="AG37" s="40" t="s">
        <v>48</v>
      </c>
      <c r="AH37" s="40" t="s">
        <v>48</v>
      </c>
      <c r="AI37" s="42" t="s">
        <v>48</v>
      </c>
      <c r="AJ37" s="40" t="s">
        <v>48</v>
      </c>
      <c r="AK37" s="70" t="s">
        <v>48</v>
      </c>
      <c r="AL37" s="40" t="s">
        <v>48</v>
      </c>
      <c r="AM37" s="40" t="s">
        <v>48</v>
      </c>
      <c r="AN37" s="40" t="s">
        <v>48</v>
      </c>
    </row>
    <row r="38" spans="1:40" x14ac:dyDescent="0.3">
      <c r="A38" s="12">
        <v>29</v>
      </c>
      <c r="B38" s="33"/>
      <c r="C38" s="38" t="str">
        <f>Notes!U37</f>
        <v xml:space="preserve">      Cut flowers</v>
      </c>
      <c r="D38" s="4" t="s">
        <v>530</v>
      </c>
      <c r="E38" s="42" t="s">
        <v>48</v>
      </c>
      <c r="F38" s="40" t="s">
        <v>48</v>
      </c>
      <c r="G38" s="40" t="s">
        <v>48</v>
      </c>
      <c r="H38" s="40" t="s">
        <v>48</v>
      </c>
      <c r="I38" s="42" t="s">
        <v>48</v>
      </c>
      <c r="J38" s="40" t="s">
        <v>48</v>
      </c>
      <c r="K38" s="7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2" t="s">
        <v>48</v>
      </c>
      <c r="Q38" s="40" t="s">
        <v>48</v>
      </c>
      <c r="R38" s="40" t="s">
        <v>48</v>
      </c>
      <c r="S38" s="42" t="s">
        <v>48</v>
      </c>
      <c r="T38" s="40" t="s">
        <v>48</v>
      </c>
      <c r="U38" s="40" t="s">
        <v>48</v>
      </c>
      <c r="W38" s="33"/>
      <c r="X38" s="38" t="str">
        <f>Notes!U37</f>
        <v xml:space="preserve">      Cut flowers</v>
      </c>
      <c r="Y38" s="4" t="s">
        <v>530</v>
      </c>
      <c r="Z38" s="42" t="s">
        <v>48</v>
      </c>
      <c r="AA38" s="40" t="s">
        <v>48</v>
      </c>
      <c r="AB38" s="70" t="s">
        <v>48</v>
      </c>
      <c r="AC38" s="42" t="s">
        <v>48</v>
      </c>
      <c r="AD38" s="40" t="s">
        <v>48</v>
      </c>
      <c r="AE38" s="70" t="s">
        <v>48</v>
      </c>
      <c r="AF38" s="40" t="s">
        <v>48</v>
      </c>
      <c r="AG38" s="40" t="s">
        <v>48</v>
      </c>
      <c r="AH38" s="40" t="s">
        <v>48</v>
      </c>
      <c r="AI38" s="42" t="s">
        <v>48</v>
      </c>
      <c r="AJ38" s="40" t="s">
        <v>48</v>
      </c>
      <c r="AK38" s="70" t="s">
        <v>48</v>
      </c>
      <c r="AL38" s="40" t="s">
        <v>48</v>
      </c>
      <c r="AM38" s="40" t="s">
        <v>48</v>
      </c>
      <c r="AN38" s="40" t="s">
        <v>48</v>
      </c>
    </row>
    <row r="39" spans="1:40" x14ac:dyDescent="0.3">
      <c r="A39" s="12">
        <v>30</v>
      </c>
      <c r="B39" s="33"/>
      <c r="C39" s="38" t="str">
        <f>Notes!U38</f>
        <v xml:space="preserve">      Rubber</v>
      </c>
      <c r="D39" s="4" t="s">
        <v>532</v>
      </c>
      <c r="E39" s="42" t="s">
        <v>48</v>
      </c>
      <c r="F39" s="40" t="s">
        <v>48</v>
      </c>
      <c r="G39" s="40" t="s">
        <v>48</v>
      </c>
      <c r="H39" s="40" t="s">
        <v>48</v>
      </c>
      <c r="I39" s="42" t="s">
        <v>48</v>
      </c>
      <c r="J39" s="40" t="s">
        <v>48</v>
      </c>
      <c r="K39" s="7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2" t="s">
        <v>48</v>
      </c>
      <c r="Q39" s="40" t="s">
        <v>48</v>
      </c>
      <c r="R39" s="40" t="s">
        <v>48</v>
      </c>
      <c r="S39" s="42" t="s">
        <v>48</v>
      </c>
      <c r="T39" s="40" t="s">
        <v>48</v>
      </c>
      <c r="U39" s="40" t="s">
        <v>48</v>
      </c>
      <c r="W39" s="33"/>
      <c r="X39" s="38" t="str">
        <f>Notes!U38</f>
        <v xml:space="preserve">      Rubber</v>
      </c>
      <c r="Y39" s="4" t="s">
        <v>532</v>
      </c>
      <c r="Z39" s="42" t="s">
        <v>48</v>
      </c>
      <c r="AA39" s="40" t="s">
        <v>48</v>
      </c>
      <c r="AB39" s="70" t="s">
        <v>48</v>
      </c>
      <c r="AC39" s="42" t="s">
        <v>48</v>
      </c>
      <c r="AD39" s="40" t="s">
        <v>48</v>
      </c>
      <c r="AE39" s="70" t="s">
        <v>48</v>
      </c>
      <c r="AF39" s="40" t="s">
        <v>48</v>
      </c>
      <c r="AG39" s="40" t="s">
        <v>48</v>
      </c>
      <c r="AH39" s="40" t="s">
        <v>48</v>
      </c>
      <c r="AI39" s="42" t="s">
        <v>48</v>
      </c>
      <c r="AJ39" s="40" t="s">
        <v>48</v>
      </c>
      <c r="AK39" s="70" t="s">
        <v>48</v>
      </c>
      <c r="AL39" s="40" t="s">
        <v>48</v>
      </c>
      <c r="AM39" s="40" t="s">
        <v>48</v>
      </c>
      <c r="AN39" s="40" t="s">
        <v>48</v>
      </c>
    </row>
    <row r="40" spans="1:40" x14ac:dyDescent="0.3">
      <c r="A40" s="12">
        <v>31</v>
      </c>
      <c r="B40" s="33"/>
      <c r="C40" s="38" t="str">
        <f>Notes!U39</f>
        <v xml:space="preserve">      Other crops</v>
      </c>
      <c r="D40" s="4" t="s">
        <v>344</v>
      </c>
      <c r="E40" s="42">
        <v>0.35974115005701035</v>
      </c>
      <c r="F40" s="40">
        <v>0.25513224301359988</v>
      </c>
      <c r="G40" s="40">
        <v>0.39547924235424869</v>
      </c>
      <c r="H40" s="40">
        <v>0.31065581200553399</v>
      </c>
      <c r="I40" s="42" t="s">
        <v>48</v>
      </c>
      <c r="J40" s="40" t="s">
        <v>48</v>
      </c>
      <c r="K40" s="70" t="s">
        <v>48</v>
      </c>
      <c r="L40" s="40" t="s">
        <v>48</v>
      </c>
      <c r="M40" s="40" t="s">
        <v>48</v>
      </c>
      <c r="N40" s="40" t="s">
        <v>48</v>
      </c>
      <c r="O40" s="40">
        <v>0.62931443632267992</v>
      </c>
      <c r="P40" s="42" t="s">
        <v>48</v>
      </c>
      <c r="Q40" s="40" t="s">
        <v>48</v>
      </c>
      <c r="R40" s="40">
        <v>19.416223658517062</v>
      </c>
      <c r="S40" s="42" t="s">
        <v>48</v>
      </c>
      <c r="T40" s="40">
        <v>10.232282668211582</v>
      </c>
      <c r="U40" s="40">
        <v>10.23228266821158</v>
      </c>
      <c r="W40" s="33"/>
      <c r="X40" s="38" t="str">
        <f>Notes!U39</f>
        <v xml:space="preserve">      Other crops</v>
      </c>
      <c r="Y40" s="4" t="s">
        <v>344</v>
      </c>
      <c r="Z40" s="42">
        <v>0.62931443632267992</v>
      </c>
      <c r="AA40" s="40">
        <v>18.131329882542904</v>
      </c>
      <c r="AB40" s="70">
        <v>3.1271565290172822</v>
      </c>
      <c r="AC40" s="42" t="s">
        <v>48</v>
      </c>
      <c r="AD40" s="40" t="s">
        <v>48</v>
      </c>
      <c r="AE40" s="70" t="s">
        <v>48</v>
      </c>
      <c r="AF40" s="40">
        <v>0.31065581200553399</v>
      </c>
      <c r="AG40" s="40">
        <v>0.35249526436839818</v>
      </c>
      <c r="AH40" s="40">
        <v>8.9411056090688668E-2</v>
      </c>
      <c r="AI40" s="42">
        <v>0.25513224301359988</v>
      </c>
      <c r="AJ40" s="40" t="s">
        <v>48</v>
      </c>
      <c r="AK40" s="70" t="s">
        <v>48</v>
      </c>
      <c r="AL40" s="40">
        <v>0.35974115005701035</v>
      </c>
      <c r="AM40" s="40" t="s">
        <v>48</v>
      </c>
      <c r="AN40" s="40" t="s">
        <v>48</v>
      </c>
    </row>
    <row r="41" spans="1:40" x14ac:dyDescent="0.3">
      <c r="A41" s="12">
        <v>32</v>
      </c>
      <c r="B41" s="33"/>
      <c r="C41" s="38" t="str">
        <f>Notes!U40</f>
        <v xml:space="preserve">   Livestock</v>
      </c>
      <c r="D41" s="4" t="s">
        <v>346</v>
      </c>
      <c r="E41" s="42">
        <v>1.7216311004157709</v>
      </c>
      <c r="F41" s="40">
        <v>2.1205223756082257</v>
      </c>
      <c r="G41" s="40">
        <v>1.6180891283371215</v>
      </c>
      <c r="H41" s="40">
        <v>1.7115212923456136</v>
      </c>
      <c r="I41" s="42">
        <v>3.5124524809292179</v>
      </c>
      <c r="J41" s="40">
        <v>73.183561217687341</v>
      </c>
      <c r="K41" s="70">
        <v>2.2804389121302608</v>
      </c>
      <c r="L41" s="40" t="s">
        <v>48</v>
      </c>
      <c r="M41" s="40" t="s">
        <v>48</v>
      </c>
      <c r="N41" s="40" t="s">
        <v>48</v>
      </c>
      <c r="O41" s="40">
        <v>2.4905270838702628E-2</v>
      </c>
      <c r="P41" s="42">
        <v>20.871257436110788</v>
      </c>
      <c r="Q41" s="40" t="s">
        <v>48</v>
      </c>
      <c r="R41" s="40">
        <v>0.13756077403141453</v>
      </c>
      <c r="S41" s="42" t="s">
        <v>48</v>
      </c>
      <c r="T41" s="40">
        <v>9.5435375768129926</v>
      </c>
      <c r="U41" s="40">
        <v>13.832992807410472</v>
      </c>
      <c r="W41" s="33"/>
      <c r="X41" s="38" t="str">
        <f>Notes!U40</f>
        <v xml:space="preserve">   Livestock</v>
      </c>
      <c r="Y41" s="4" t="s">
        <v>346</v>
      </c>
      <c r="Z41" s="42">
        <v>2.4905270838702628E-2</v>
      </c>
      <c r="AA41" s="40">
        <v>17.822213142841846</v>
      </c>
      <c r="AB41" s="70">
        <v>0.12164805470911623</v>
      </c>
      <c r="AC41" s="42" t="s">
        <v>48</v>
      </c>
      <c r="AD41" s="40" t="s">
        <v>48</v>
      </c>
      <c r="AE41" s="70" t="s">
        <v>48</v>
      </c>
      <c r="AF41" s="40">
        <v>1.7115212923456136</v>
      </c>
      <c r="AG41" s="40" t="s">
        <v>48</v>
      </c>
      <c r="AH41" s="40" t="s">
        <v>48</v>
      </c>
      <c r="AI41" s="42">
        <v>2.1205223756082257</v>
      </c>
      <c r="AJ41" s="40" t="s">
        <v>48</v>
      </c>
      <c r="AK41" s="70" t="s">
        <v>48</v>
      </c>
      <c r="AL41" s="40">
        <v>1.7216311004157709</v>
      </c>
      <c r="AM41" s="40" t="s">
        <v>48</v>
      </c>
      <c r="AN41" s="40" t="s">
        <v>48</v>
      </c>
    </row>
    <row r="42" spans="1:40" x14ac:dyDescent="0.3">
      <c r="A42" s="12">
        <v>33</v>
      </c>
      <c r="B42" s="33"/>
      <c r="C42" s="38" t="str">
        <f>Notes!U41</f>
        <v xml:space="preserve">      Cattle</v>
      </c>
      <c r="D42" s="4" t="s">
        <v>348</v>
      </c>
      <c r="E42" s="42">
        <v>0.41802316240825266</v>
      </c>
      <c r="F42" s="40">
        <v>0.65258334826667974</v>
      </c>
      <c r="G42" s="40">
        <v>0.39920543239680206</v>
      </c>
      <c r="H42" s="40">
        <v>0.61620979182559799</v>
      </c>
      <c r="I42" s="42">
        <v>0.11126270815357635</v>
      </c>
      <c r="J42" s="40">
        <v>6.4032358117216885</v>
      </c>
      <c r="K42" s="7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2">
        <v>5.9339166712749476</v>
      </c>
      <c r="Q42" s="40" t="s">
        <v>48</v>
      </c>
      <c r="R42" s="40" t="s">
        <v>48</v>
      </c>
      <c r="S42" s="42" t="s">
        <v>48</v>
      </c>
      <c r="T42" s="40" t="s">
        <v>48</v>
      </c>
      <c r="U42" s="40">
        <v>12.564295108421323</v>
      </c>
      <c r="W42" s="33"/>
      <c r="X42" s="38" t="str">
        <f>Notes!U41</f>
        <v xml:space="preserve">      Cattle</v>
      </c>
      <c r="Y42" s="4" t="s">
        <v>348</v>
      </c>
      <c r="Z42" s="42" t="s">
        <v>48</v>
      </c>
      <c r="AA42" s="40" t="s">
        <v>48</v>
      </c>
      <c r="AB42" s="70" t="s">
        <v>48</v>
      </c>
      <c r="AC42" s="42" t="s">
        <v>48</v>
      </c>
      <c r="AD42" s="40" t="s">
        <v>48</v>
      </c>
      <c r="AE42" s="70" t="s">
        <v>48</v>
      </c>
      <c r="AF42" s="40">
        <v>0.61620979182559799</v>
      </c>
      <c r="AG42" s="40" t="s">
        <v>48</v>
      </c>
      <c r="AH42" s="40" t="s">
        <v>48</v>
      </c>
      <c r="AI42" s="42">
        <v>0.65258334826667974</v>
      </c>
      <c r="AJ42" s="40" t="s">
        <v>48</v>
      </c>
      <c r="AK42" s="70" t="s">
        <v>48</v>
      </c>
      <c r="AL42" s="40">
        <v>0.41802316240825266</v>
      </c>
      <c r="AM42" s="40" t="s">
        <v>48</v>
      </c>
      <c r="AN42" s="40" t="s">
        <v>48</v>
      </c>
    </row>
    <row r="43" spans="1:40" x14ac:dyDescent="0.3">
      <c r="A43" s="12">
        <v>34</v>
      </c>
      <c r="B43" s="33"/>
      <c r="C43" s="38" t="str">
        <f>Notes!U42</f>
        <v xml:space="preserve">      Raw milk</v>
      </c>
      <c r="D43" s="4" t="s">
        <v>535</v>
      </c>
      <c r="E43" s="42">
        <v>0.26075099712188166</v>
      </c>
      <c r="F43" s="40">
        <v>0.39983807189116899</v>
      </c>
      <c r="G43" s="40">
        <v>0.24954649276297391</v>
      </c>
      <c r="H43" s="40">
        <v>0.36242817924561466</v>
      </c>
      <c r="I43" s="42">
        <v>1.1122407972702848</v>
      </c>
      <c r="J43" s="40">
        <v>9.1157580404361855</v>
      </c>
      <c r="K43" s="70">
        <v>0.97071237866921145</v>
      </c>
      <c r="L43" s="40" t="s">
        <v>48</v>
      </c>
      <c r="M43" s="40" t="s">
        <v>48</v>
      </c>
      <c r="N43" s="40" t="s">
        <v>48</v>
      </c>
      <c r="O43" s="40" t="s">
        <v>48</v>
      </c>
      <c r="P43" s="42">
        <v>13.787533477918032</v>
      </c>
      <c r="Q43" s="40" t="s">
        <v>48</v>
      </c>
      <c r="R43" s="40" t="s">
        <v>48</v>
      </c>
      <c r="S43" s="42" t="s">
        <v>48</v>
      </c>
      <c r="T43" s="40" t="s">
        <v>48</v>
      </c>
      <c r="U43" s="40">
        <v>16.520350103694366</v>
      </c>
      <c r="W43" s="33"/>
      <c r="X43" s="38" t="str">
        <f>Notes!U42</f>
        <v xml:space="preserve">      Raw milk</v>
      </c>
      <c r="Y43" s="4" t="s">
        <v>535</v>
      </c>
      <c r="Z43" s="42" t="s">
        <v>48</v>
      </c>
      <c r="AA43" s="40" t="s">
        <v>48</v>
      </c>
      <c r="AB43" s="70" t="s">
        <v>48</v>
      </c>
      <c r="AC43" s="42" t="s">
        <v>48</v>
      </c>
      <c r="AD43" s="40" t="s">
        <v>48</v>
      </c>
      <c r="AE43" s="70" t="s">
        <v>48</v>
      </c>
      <c r="AF43" s="40">
        <v>0.36242817924561466</v>
      </c>
      <c r="AG43" s="40" t="s">
        <v>48</v>
      </c>
      <c r="AH43" s="40" t="s">
        <v>48</v>
      </c>
      <c r="AI43" s="42">
        <v>0.39983807189116899</v>
      </c>
      <c r="AJ43" s="40" t="s">
        <v>48</v>
      </c>
      <c r="AK43" s="70" t="s">
        <v>48</v>
      </c>
      <c r="AL43" s="40">
        <v>0.26075099712188166</v>
      </c>
      <c r="AM43" s="40" t="s">
        <v>48</v>
      </c>
      <c r="AN43" s="40" t="s">
        <v>48</v>
      </c>
    </row>
    <row r="44" spans="1:40" x14ac:dyDescent="0.3">
      <c r="A44" s="12">
        <v>35</v>
      </c>
      <c r="B44" s="33"/>
      <c r="C44" s="38" t="str">
        <f>Notes!U43</f>
        <v xml:space="preserve">      Poultry</v>
      </c>
      <c r="D44" s="4" t="s">
        <v>349</v>
      </c>
      <c r="E44" s="42">
        <v>0.14655953336668501</v>
      </c>
      <c r="F44" s="40">
        <v>0.21005913439011262</v>
      </c>
      <c r="G44" s="40">
        <v>0.1202330824209267</v>
      </c>
      <c r="H44" s="40">
        <v>0.15946739587300085</v>
      </c>
      <c r="I44" s="42">
        <v>0.13831226988725981</v>
      </c>
      <c r="J44" s="40">
        <v>7.9599543678206768</v>
      </c>
      <c r="K44" s="70" t="s">
        <v>48</v>
      </c>
      <c r="L44" s="40" t="s">
        <v>48</v>
      </c>
      <c r="M44" s="40" t="s">
        <v>48</v>
      </c>
      <c r="N44" s="40" t="s">
        <v>48</v>
      </c>
      <c r="O44" s="40">
        <v>2.4905270838702628E-2</v>
      </c>
      <c r="P44" s="42">
        <v>22.916428900931649</v>
      </c>
      <c r="Q44" s="40" t="s">
        <v>48</v>
      </c>
      <c r="R44" s="40">
        <v>1.4764033265697241</v>
      </c>
      <c r="S44" s="42" t="s">
        <v>48</v>
      </c>
      <c r="T44" s="40">
        <v>9.5435375768129926</v>
      </c>
      <c r="U44" s="40">
        <v>9.5435375768129944</v>
      </c>
      <c r="W44" s="33"/>
      <c r="X44" s="38" t="str">
        <f>Notes!U43</f>
        <v xml:space="preserve">      Poultry</v>
      </c>
      <c r="Y44" s="4" t="s">
        <v>349</v>
      </c>
      <c r="Z44" s="42">
        <v>2.4905270838702628E-2</v>
      </c>
      <c r="AA44" s="40">
        <v>17.822213142841846</v>
      </c>
      <c r="AB44" s="70">
        <v>0.12164805470911623</v>
      </c>
      <c r="AC44" s="42" t="s">
        <v>48</v>
      </c>
      <c r="AD44" s="40" t="s">
        <v>48</v>
      </c>
      <c r="AE44" s="70" t="s">
        <v>48</v>
      </c>
      <c r="AF44" s="40">
        <v>0.15946739587300085</v>
      </c>
      <c r="AG44" s="40" t="s">
        <v>48</v>
      </c>
      <c r="AH44" s="40" t="s">
        <v>48</v>
      </c>
      <c r="AI44" s="42">
        <v>0.21005913439011262</v>
      </c>
      <c r="AJ44" s="40" t="s">
        <v>48</v>
      </c>
      <c r="AK44" s="70" t="s">
        <v>48</v>
      </c>
      <c r="AL44" s="40">
        <v>0.14655953336668501</v>
      </c>
      <c r="AM44" s="40" t="s">
        <v>48</v>
      </c>
      <c r="AN44" s="40" t="s">
        <v>48</v>
      </c>
    </row>
    <row r="45" spans="1:40" x14ac:dyDescent="0.3">
      <c r="A45" s="12">
        <v>36</v>
      </c>
      <c r="B45" s="33"/>
      <c r="C45" s="38" t="str">
        <f>Notes!U44</f>
        <v xml:space="preserve">      Eggs</v>
      </c>
      <c r="D45" s="4" t="s">
        <v>538</v>
      </c>
      <c r="E45" s="42">
        <v>0.1514936527637181</v>
      </c>
      <c r="F45" s="40">
        <v>0.20464479632364949</v>
      </c>
      <c r="G45" s="40">
        <v>0.13066577973762039</v>
      </c>
      <c r="H45" s="40">
        <v>0.16596226606062436</v>
      </c>
      <c r="I45" s="42">
        <v>0.62943755769265197</v>
      </c>
      <c r="J45" s="40">
        <v>4.9577373288940336</v>
      </c>
      <c r="K45" s="70">
        <v>0.55289903053790734</v>
      </c>
      <c r="L45" s="40" t="s">
        <v>48</v>
      </c>
      <c r="M45" s="40" t="s">
        <v>48</v>
      </c>
      <c r="N45" s="40" t="s">
        <v>48</v>
      </c>
      <c r="O45" s="40" t="s">
        <v>48</v>
      </c>
      <c r="P45" s="42">
        <v>14.650779853941371</v>
      </c>
      <c r="Q45" s="40" t="s">
        <v>48</v>
      </c>
      <c r="R45" s="40" t="s">
        <v>48</v>
      </c>
      <c r="S45" s="42" t="s">
        <v>48</v>
      </c>
      <c r="T45" s="40" t="s">
        <v>48</v>
      </c>
      <c r="U45" s="40">
        <v>7.6282293681453677</v>
      </c>
      <c r="W45" s="33"/>
      <c r="X45" s="38" t="str">
        <f>Notes!U44</f>
        <v xml:space="preserve">      Eggs</v>
      </c>
      <c r="Y45" s="4" t="s">
        <v>538</v>
      </c>
      <c r="Z45" s="42" t="s">
        <v>48</v>
      </c>
      <c r="AA45" s="40" t="s">
        <v>48</v>
      </c>
      <c r="AB45" s="70" t="s">
        <v>48</v>
      </c>
      <c r="AC45" s="42" t="s">
        <v>48</v>
      </c>
      <c r="AD45" s="40" t="s">
        <v>48</v>
      </c>
      <c r="AE45" s="70" t="s">
        <v>48</v>
      </c>
      <c r="AF45" s="40">
        <v>0.16596226606062436</v>
      </c>
      <c r="AG45" s="40" t="s">
        <v>48</v>
      </c>
      <c r="AH45" s="40" t="s">
        <v>48</v>
      </c>
      <c r="AI45" s="42">
        <v>0.20464479632364949</v>
      </c>
      <c r="AJ45" s="40" t="s">
        <v>48</v>
      </c>
      <c r="AK45" s="70" t="s">
        <v>48</v>
      </c>
      <c r="AL45" s="40">
        <v>0.1514936527637181</v>
      </c>
      <c r="AM45" s="40" t="s">
        <v>48</v>
      </c>
      <c r="AN45" s="40" t="s">
        <v>48</v>
      </c>
    </row>
    <row r="46" spans="1:40" x14ac:dyDescent="0.3">
      <c r="A46" s="12">
        <v>37</v>
      </c>
      <c r="B46" s="33"/>
      <c r="C46" s="38" t="str">
        <f>Notes!U45</f>
        <v xml:space="preserve">      Small ruminants</v>
      </c>
      <c r="D46" s="4" t="s">
        <v>540</v>
      </c>
      <c r="E46" s="42">
        <v>0.52739007502436441</v>
      </c>
      <c r="F46" s="40">
        <v>0.46594919703338644</v>
      </c>
      <c r="G46" s="40">
        <v>0.51274241008004451</v>
      </c>
      <c r="H46" s="40">
        <v>0.22717494599317603</v>
      </c>
      <c r="I46" s="42">
        <v>1.4873537169178976</v>
      </c>
      <c r="J46" s="40">
        <v>42.799050746276066</v>
      </c>
      <c r="K46" s="70">
        <v>0.75682750292314216</v>
      </c>
      <c r="L46" s="40" t="s">
        <v>48</v>
      </c>
      <c r="M46" s="40" t="s">
        <v>48</v>
      </c>
      <c r="N46" s="40" t="s">
        <v>48</v>
      </c>
      <c r="O46" s="40" t="s">
        <v>48</v>
      </c>
      <c r="P46" s="42">
        <v>55.548649448165591</v>
      </c>
      <c r="Q46" s="40" t="s">
        <v>48</v>
      </c>
      <c r="R46" s="40" t="s">
        <v>48</v>
      </c>
      <c r="S46" s="42" t="s">
        <v>48</v>
      </c>
      <c r="T46" s="40" t="s">
        <v>48</v>
      </c>
      <c r="U46" s="40">
        <v>19.977621430178168</v>
      </c>
      <c r="W46" s="33"/>
      <c r="X46" s="38" t="str">
        <f>Notes!U45</f>
        <v xml:space="preserve">      Small ruminants</v>
      </c>
      <c r="Y46" s="4" t="s">
        <v>540</v>
      </c>
      <c r="Z46" s="42" t="s">
        <v>48</v>
      </c>
      <c r="AA46" s="40" t="s">
        <v>48</v>
      </c>
      <c r="AB46" s="70" t="s">
        <v>48</v>
      </c>
      <c r="AC46" s="42" t="s">
        <v>48</v>
      </c>
      <c r="AD46" s="40" t="s">
        <v>48</v>
      </c>
      <c r="AE46" s="70" t="s">
        <v>48</v>
      </c>
      <c r="AF46" s="40">
        <v>0.22717494599317603</v>
      </c>
      <c r="AG46" s="40" t="s">
        <v>48</v>
      </c>
      <c r="AH46" s="40" t="s">
        <v>48</v>
      </c>
      <c r="AI46" s="42">
        <v>0.46594919703338644</v>
      </c>
      <c r="AJ46" s="40" t="s">
        <v>48</v>
      </c>
      <c r="AK46" s="70" t="s">
        <v>48</v>
      </c>
      <c r="AL46" s="40">
        <v>0.52739007502436441</v>
      </c>
      <c r="AM46" s="40" t="s">
        <v>48</v>
      </c>
      <c r="AN46" s="40" t="s">
        <v>48</v>
      </c>
    </row>
    <row r="47" spans="1:40" x14ac:dyDescent="0.3">
      <c r="A47" s="12">
        <v>38</v>
      </c>
      <c r="B47" s="33"/>
      <c r="C47" s="38" t="str">
        <f>Notes!U46</f>
        <v xml:space="preserve">      Other livestock</v>
      </c>
      <c r="D47" s="4" t="s">
        <v>350</v>
      </c>
      <c r="E47" s="42">
        <v>0.21741367973086892</v>
      </c>
      <c r="F47" s="40">
        <v>0.18744782770322838</v>
      </c>
      <c r="G47" s="40">
        <v>0.2056959309387536</v>
      </c>
      <c r="H47" s="40">
        <v>0.18027871334759996</v>
      </c>
      <c r="I47" s="42">
        <v>3.3845431007547638E-2</v>
      </c>
      <c r="J47" s="40">
        <v>1.9478249225386897</v>
      </c>
      <c r="K47" s="7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2">
        <v>6.2841630072083197</v>
      </c>
      <c r="Q47" s="40" t="s">
        <v>48</v>
      </c>
      <c r="R47" s="40" t="s">
        <v>48</v>
      </c>
      <c r="S47" s="42" t="s">
        <v>48</v>
      </c>
      <c r="T47" s="40" t="s">
        <v>48</v>
      </c>
      <c r="U47" s="40">
        <v>14.474167217903153</v>
      </c>
      <c r="W47" s="33"/>
      <c r="X47" s="38" t="str">
        <f>Notes!U46</f>
        <v xml:space="preserve">      Other livestock</v>
      </c>
      <c r="Y47" s="4" t="s">
        <v>350</v>
      </c>
      <c r="Z47" s="42" t="s">
        <v>48</v>
      </c>
      <c r="AA47" s="40" t="s">
        <v>48</v>
      </c>
      <c r="AB47" s="70" t="s">
        <v>48</v>
      </c>
      <c r="AC47" s="42" t="s">
        <v>48</v>
      </c>
      <c r="AD47" s="40" t="s">
        <v>48</v>
      </c>
      <c r="AE47" s="70" t="s">
        <v>48</v>
      </c>
      <c r="AF47" s="40">
        <v>0.18027871334759996</v>
      </c>
      <c r="AG47" s="40" t="s">
        <v>48</v>
      </c>
      <c r="AH47" s="40" t="s">
        <v>48</v>
      </c>
      <c r="AI47" s="42">
        <v>0.18744782770322838</v>
      </c>
      <c r="AJ47" s="40" t="s">
        <v>48</v>
      </c>
      <c r="AK47" s="70" t="s">
        <v>48</v>
      </c>
      <c r="AL47" s="40">
        <v>0.21741367973086892</v>
      </c>
      <c r="AM47" s="40" t="s">
        <v>48</v>
      </c>
      <c r="AN47" s="40" t="s">
        <v>48</v>
      </c>
    </row>
    <row r="48" spans="1:40" x14ac:dyDescent="0.3">
      <c r="A48" s="12">
        <v>39</v>
      </c>
      <c r="B48" s="33"/>
      <c r="C48" s="38" t="str">
        <f>Notes!U47</f>
        <v xml:space="preserve">   Other agriculture</v>
      </c>
      <c r="D48" s="4" t="s">
        <v>352</v>
      </c>
      <c r="E48" s="42">
        <v>4.0303379768437386</v>
      </c>
      <c r="F48" s="40">
        <v>4.1855585573349385</v>
      </c>
      <c r="G48" s="40">
        <v>3.6389872730428805</v>
      </c>
      <c r="H48" s="40">
        <v>4.5269757471237106</v>
      </c>
      <c r="I48" s="42">
        <v>5.1166851728782721</v>
      </c>
      <c r="J48" s="40">
        <v>14.950341441454547</v>
      </c>
      <c r="K48" s="70">
        <v>4.9427938975209882</v>
      </c>
      <c r="L48" s="40" t="s">
        <v>48</v>
      </c>
      <c r="M48" s="40" t="s">
        <v>48</v>
      </c>
      <c r="N48" s="40">
        <v>0.46717703836868085</v>
      </c>
      <c r="O48" s="40" t="s">
        <v>48</v>
      </c>
      <c r="P48" s="42">
        <v>2.1601087913511963</v>
      </c>
      <c r="Q48" s="40">
        <v>0.47383862036475033</v>
      </c>
      <c r="R48" s="40" t="s">
        <v>48</v>
      </c>
      <c r="S48" s="42">
        <v>22.426323741158587</v>
      </c>
      <c r="T48" s="40" t="s">
        <v>48</v>
      </c>
      <c r="U48" s="40">
        <v>20.978215828585405</v>
      </c>
      <c r="W48" s="33"/>
      <c r="X48" s="38" t="str">
        <f>Notes!U47</f>
        <v xml:space="preserve">   Other agriculture</v>
      </c>
      <c r="Y48" s="4" t="s">
        <v>352</v>
      </c>
      <c r="Z48" s="42" t="s">
        <v>48</v>
      </c>
      <c r="AA48" s="40" t="s">
        <v>48</v>
      </c>
      <c r="AB48" s="70" t="s">
        <v>48</v>
      </c>
      <c r="AC48" s="42">
        <v>0.46717703836868085</v>
      </c>
      <c r="AD48" s="40" t="s">
        <v>48</v>
      </c>
      <c r="AE48" s="70" t="s">
        <v>48</v>
      </c>
      <c r="AF48" s="40">
        <v>4.5269757471237106</v>
      </c>
      <c r="AG48" s="40" t="s">
        <v>48</v>
      </c>
      <c r="AH48" s="40" t="s">
        <v>48</v>
      </c>
      <c r="AI48" s="42">
        <v>4.1855585573349385</v>
      </c>
      <c r="AJ48" s="40" t="s">
        <v>48</v>
      </c>
      <c r="AK48" s="70" t="s">
        <v>48</v>
      </c>
      <c r="AL48" s="40">
        <v>4.0303379768437386</v>
      </c>
      <c r="AM48" s="40" t="s">
        <v>48</v>
      </c>
      <c r="AN48" s="40" t="s">
        <v>48</v>
      </c>
    </row>
    <row r="49" spans="1:40" x14ac:dyDescent="0.3">
      <c r="A49" s="12">
        <v>40</v>
      </c>
      <c r="B49" s="33"/>
      <c r="C49" s="38" t="str">
        <f>Notes!U48</f>
        <v xml:space="preserve">      Forestry</v>
      </c>
      <c r="D49" s="4" t="s">
        <v>354</v>
      </c>
      <c r="E49" s="42">
        <v>1.4548768769006111</v>
      </c>
      <c r="F49" s="40">
        <v>1.5966246854567121</v>
      </c>
      <c r="G49" s="40">
        <v>0.66566441884274385</v>
      </c>
      <c r="H49" s="40">
        <v>2.0201608849642749</v>
      </c>
      <c r="I49" s="42">
        <v>0.75247041256379033</v>
      </c>
      <c r="J49" s="40" t="s">
        <v>48</v>
      </c>
      <c r="K49" s="70">
        <v>0.76577655588786286</v>
      </c>
      <c r="L49" s="40" t="s">
        <v>48</v>
      </c>
      <c r="M49" s="40" t="s">
        <v>48</v>
      </c>
      <c r="N49" s="40" t="s">
        <v>48</v>
      </c>
      <c r="O49" s="40" t="s">
        <v>48</v>
      </c>
      <c r="P49" s="42" t="s">
        <v>48</v>
      </c>
      <c r="Q49" s="40" t="s">
        <v>48</v>
      </c>
      <c r="R49" s="40" t="s">
        <v>48</v>
      </c>
      <c r="S49" s="42" t="s">
        <v>48</v>
      </c>
      <c r="T49" s="40" t="s">
        <v>48</v>
      </c>
      <c r="U49" s="40">
        <v>30.631030471658484</v>
      </c>
      <c r="W49" s="33"/>
      <c r="X49" s="38" t="str">
        <f>Notes!U48</f>
        <v xml:space="preserve">      Forestry</v>
      </c>
      <c r="Y49" s="4" t="s">
        <v>354</v>
      </c>
      <c r="Z49" s="42" t="s">
        <v>48</v>
      </c>
      <c r="AA49" s="40" t="s">
        <v>48</v>
      </c>
      <c r="AB49" s="70" t="s">
        <v>48</v>
      </c>
      <c r="AC49" s="42" t="s">
        <v>48</v>
      </c>
      <c r="AD49" s="40" t="s">
        <v>48</v>
      </c>
      <c r="AE49" s="70" t="s">
        <v>48</v>
      </c>
      <c r="AF49" s="40">
        <v>2.0201608849642749</v>
      </c>
      <c r="AG49" s="40" t="s">
        <v>48</v>
      </c>
      <c r="AH49" s="40" t="s">
        <v>48</v>
      </c>
      <c r="AI49" s="42">
        <v>1.5966246854567121</v>
      </c>
      <c r="AJ49" s="40" t="s">
        <v>48</v>
      </c>
      <c r="AK49" s="70" t="s">
        <v>48</v>
      </c>
      <c r="AL49" s="40">
        <v>1.4548768769006111</v>
      </c>
      <c r="AM49" s="40" t="s">
        <v>48</v>
      </c>
      <c r="AN49" s="40" t="s">
        <v>48</v>
      </c>
    </row>
    <row r="50" spans="1:40" x14ac:dyDescent="0.3">
      <c r="A50" s="12">
        <v>41</v>
      </c>
      <c r="B50" s="33"/>
      <c r="C50" s="38" t="str">
        <f>Notes!U49</f>
        <v xml:space="preserve">      Aquaculture</v>
      </c>
      <c r="D50" s="4" t="s">
        <v>542</v>
      </c>
      <c r="E50" s="42">
        <v>1.4625278270047946</v>
      </c>
      <c r="F50" s="40">
        <v>1.8079230134216904</v>
      </c>
      <c r="G50" s="40">
        <v>1.5914007272515109</v>
      </c>
      <c r="H50" s="40">
        <v>1.6985209374932304</v>
      </c>
      <c r="I50" s="42">
        <v>2.7741856676765968</v>
      </c>
      <c r="J50" s="40">
        <v>7.1427651340885721</v>
      </c>
      <c r="K50" s="70">
        <v>2.6969348634826846</v>
      </c>
      <c r="L50" s="40" t="s">
        <v>48</v>
      </c>
      <c r="M50" s="40" t="s">
        <v>48</v>
      </c>
      <c r="N50" s="40" t="s">
        <v>48</v>
      </c>
      <c r="O50" s="40" t="s">
        <v>48</v>
      </c>
      <c r="P50" s="42">
        <v>2.3892652811542536</v>
      </c>
      <c r="Q50" s="40" t="s">
        <v>48</v>
      </c>
      <c r="R50" s="40" t="s">
        <v>48</v>
      </c>
      <c r="S50" s="42" t="s">
        <v>48</v>
      </c>
      <c r="T50" s="40" t="s">
        <v>48</v>
      </c>
      <c r="U50" s="40">
        <v>8.8083714990550526</v>
      </c>
      <c r="W50" s="33"/>
      <c r="X50" s="38" t="str">
        <f>Notes!U49</f>
        <v xml:space="preserve">      Aquaculture</v>
      </c>
      <c r="Y50" s="4" t="s">
        <v>542</v>
      </c>
      <c r="Z50" s="42" t="s">
        <v>48</v>
      </c>
      <c r="AA50" s="40" t="s">
        <v>48</v>
      </c>
      <c r="AB50" s="70" t="s">
        <v>48</v>
      </c>
      <c r="AC50" s="42" t="s">
        <v>48</v>
      </c>
      <c r="AD50" s="40" t="s">
        <v>48</v>
      </c>
      <c r="AE50" s="70" t="s">
        <v>48</v>
      </c>
      <c r="AF50" s="40">
        <v>1.6985209374932304</v>
      </c>
      <c r="AG50" s="40" t="s">
        <v>48</v>
      </c>
      <c r="AH50" s="40" t="s">
        <v>48</v>
      </c>
      <c r="AI50" s="42">
        <v>1.8079230134216904</v>
      </c>
      <c r="AJ50" s="40" t="s">
        <v>48</v>
      </c>
      <c r="AK50" s="70" t="s">
        <v>48</v>
      </c>
      <c r="AL50" s="40">
        <v>1.4625278270047946</v>
      </c>
      <c r="AM50" s="40" t="s">
        <v>48</v>
      </c>
      <c r="AN50" s="40" t="s">
        <v>48</v>
      </c>
    </row>
    <row r="51" spans="1:40" x14ac:dyDescent="0.3">
      <c r="A51" s="12">
        <v>42</v>
      </c>
      <c r="B51" s="33"/>
      <c r="C51" s="38" t="str">
        <f>Notes!U50</f>
        <v xml:space="preserve">      Capture fisheries</v>
      </c>
      <c r="D51" s="4" t="s">
        <v>356</v>
      </c>
      <c r="E51" s="42">
        <v>1.1129332729383328</v>
      </c>
      <c r="F51" s="40">
        <v>0.78101085845653606</v>
      </c>
      <c r="G51" s="40">
        <v>1.381922126948625</v>
      </c>
      <c r="H51" s="40">
        <v>0.80829392466620531</v>
      </c>
      <c r="I51" s="42">
        <v>1.5900290926378833</v>
      </c>
      <c r="J51" s="40">
        <v>7.8075763073659736</v>
      </c>
      <c r="K51" s="70">
        <v>1.4800824781504389</v>
      </c>
      <c r="L51" s="40" t="s">
        <v>48</v>
      </c>
      <c r="M51" s="40" t="s">
        <v>48</v>
      </c>
      <c r="N51" s="40">
        <v>0.46717703836868085</v>
      </c>
      <c r="O51" s="40" t="s">
        <v>48</v>
      </c>
      <c r="P51" s="42">
        <v>6.0455678667225259</v>
      </c>
      <c r="Q51" s="40">
        <v>2.6443899292484194</v>
      </c>
      <c r="R51" s="40" t="s">
        <v>48</v>
      </c>
      <c r="S51" s="42">
        <v>22.426323741158587</v>
      </c>
      <c r="T51" s="40" t="s">
        <v>48</v>
      </c>
      <c r="U51" s="40">
        <v>22.426323741158591</v>
      </c>
      <c r="W51" s="33"/>
      <c r="X51" s="38" t="str">
        <f>Notes!U50</f>
        <v xml:space="preserve">      Capture fisheries</v>
      </c>
      <c r="Y51" s="4" t="s">
        <v>356</v>
      </c>
      <c r="Z51" s="42" t="s">
        <v>48</v>
      </c>
      <c r="AA51" s="40" t="s">
        <v>48</v>
      </c>
      <c r="AB51" s="70" t="s">
        <v>48</v>
      </c>
      <c r="AC51" s="42">
        <v>0.46717703836868085</v>
      </c>
      <c r="AD51" s="40" t="s">
        <v>48</v>
      </c>
      <c r="AE51" s="70" t="s">
        <v>48</v>
      </c>
      <c r="AF51" s="40">
        <v>0.80829392466620531</v>
      </c>
      <c r="AG51" s="40" t="s">
        <v>48</v>
      </c>
      <c r="AH51" s="40" t="s">
        <v>48</v>
      </c>
      <c r="AI51" s="42">
        <v>0.78101085845653606</v>
      </c>
      <c r="AJ51" s="40" t="s">
        <v>48</v>
      </c>
      <c r="AK51" s="70" t="s">
        <v>48</v>
      </c>
      <c r="AL51" s="40">
        <v>1.1129332729383328</v>
      </c>
      <c r="AM51" s="40" t="s">
        <v>48</v>
      </c>
      <c r="AN51" s="40" t="s">
        <v>48</v>
      </c>
    </row>
    <row r="52" spans="1:40" x14ac:dyDescent="0.3">
      <c r="A52" s="12">
        <v>43</v>
      </c>
      <c r="B52" s="33"/>
      <c r="C52" s="38" t="str">
        <f>Notes!U51</f>
        <v>Industry</v>
      </c>
      <c r="D52" s="4" t="s">
        <v>357</v>
      </c>
      <c r="E52" s="42">
        <v>35.260303605321546</v>
      </c>
      <c r="F52" s="40">
        <v>52.415029675695948</v>
      </c>
      <c r="G52" s="40">
        <v>51.221609303590029</v>
      </c>
      <c r="H52" s="40">
        <v>55.04773149343832</v>
      </c>
      <c r="I52" s="42">
        <v>58.00157805928481</v>
      </c>
      <c r="J52" s="40" t="s">
        <v>48</v>
      </c>
      <c r="K52" s="70">
        <v>59.027236075590928</v>
      </c>
      <c r="L52" s="40" t="s">
        <v>48</v>
      </c>
      <c r="M52" s="40">
        <v>100</v>
      </c>
      <c r="N52" s="40">
        <v>88.433346336756031</v>
      </c>
      <c r="O52" s="40">
        <v>69.802389904423322</v>
      </c>
      <c r="P52" s="42" t="s">
        <v>48</v>
      </c>
      <c r="Q52" s="40">
        <v>7.9388294085918378</v>
      </c>
      <c r="R52" s="40">
        <v>11.535118250230465</v>
      </c>
      <c r="S52" s="42">
        <v>12.119445845805098</v>
      </c>
      <c r="T52" s="40">
        <v>14.819872374186085</v>
      </c>
      <c r="U52" s="40">
        <v>11.052639099611843</v>
      </c>
      <c r="W52" s="33"/>
      <c r="X52" s="38" t="str">
        <f>Notes!U51</f>
        <v>Industry</v>
      </c>
      <c r="Y52" s="4" t="s">
        <v>357</v>
      </c>
      <c r="Z52" s="42">
        <v>69.802389904423322</v>
      </c>
      <c r="AA52" s="40">
        <v>4.3923551385002666</v>
      </c>
      <c r="AB52" s="70">
        <v>84.027222017363982</v>
      </c>
      <c r="AC52" s="42">
        <v>88.433346336756031</v>
      </c>
      <c r="AD52" s="40">
        <v>1.1882156478552848E-4</v>
      </c>
      <c r="AE52" s="70">
        <v>100</v>
      </c>
      <c r="AF52" s="40">
        <v>55.04773149343832</v>
      </c>
      <c r="AG52" s="40">
        <v>2.2228677551418059</v>
      </c>
      <c r="AH52" s="40">
        <v>99.910586222322408</v>
      </c>
      <c r="AI52" s="42">
        <v>52.415029675695948</v>
      </c>
      <c r="AJ52" s="40" t="s">
        <v>48</v>
      </c>
      <c r="AK52" s="70" t="s">
        <v>48</v>
      </c>
      <c r="AL52" s="40">
        <v>35.260303605321546</v>
      </c>
      <c r="AM52" s="40" t="s">
        <v>48</v>
      </c>
      <c r="AN52" s="40" t="s">
        <v>48</v>
      </c>
    </row>
    <row r="53" spans="1:40" x14ac:dyDescent="0.3">
      <c r="A53" s="12">
        <v>44</v>
      </c>
      <c r="B53" s="33"/>
      <c r="C53" s="38" t="str">
        <f>Notes!U52</f>
        <v xml:space="preserve">   Mining</v>
      </c>
      <c r="D53" s="4" t="s">
        <v>545</v>
      </c>
      <c r="E53" s="42">
        <v>1.526092406662966</v>
      </c>
      <c r="F53" s="40">
        <v>1.5416611941527703</v>
      </c>
      <c r="G53" s="40">
        <v>0.9101384920555915</v>
      </c>
      <c r="H53" s="40">
        <v>1.9491739327663886</v>
      </c>
      <c r="I53" s="42">
        <v>1.3124345160746755E-2</v>
      </c>
      <c r="J53" s="40" t="s">
        <v>48</v>
      </c>
      <c r="K53" s="70">
        <v>1.3356426601860816E-2</v>
      </c>
      <c r="L53" s="40" t="s">
        <v>48</v>
      </c>
      <c r="M53" s="40" t="s">
        <v>48</v>
      </c>
      <c r="N53" s="40" t="s">
        <v>48</v>
      </c>
      <c r="O53" s="40">
        <v>6.4842517833868243</v>
      </c>
      <c r="P53" s="42" t="s">
        <v>48</v>
      </c>
      <c r="Q53" s="40" t="s">
        <v>48</v>
      </c>
      <c r="R53" s="40">
        <v>26.575174981706279</v>
      </c>
      <c r="S53" s="42" t="s">
        <v>48</v>
      </c>
      <c r="T53" s="40">
        <v>4.7101008116688527</v>
      </c>
      <c r="U53" s="40">
        <v>5.4455197918877616</v>
      </c>
      <c r="W53" s="33"/>
      <c r="X53" s="38" t="str">
        <f>Notes!U52</f>
        <v xml:space="preserve">   Mining</v>
      </c>
      <c r="Y53" s="4" t="s">
        <v>545</v>
      </c>
      <c r="Z53" s="42">
        <v>6.4842517833868243</v>
      </c>
      <c r="AA53" s="40">
        <v>4.876293193343165</v>
      </c>
      <c r="AB53" s="70">
        <v>8.6656660120327444</v>
      </c>
      <c r="AC53" s="42" t="s">
        <v>48</v>
      </c>
      <c r="AD53" s="40" t="s">
        <v>48</v>
      </c>
      <c r="AE53" s="70" t="s">
        <v>48</v>
      </c>
      <c r="AF53" s="40">
        <v>1.9491739327663886</v>
      </c>
      <c r="AG53" s="40">
        <v>8.8241174779597319E-3</v>
      </c>
      <c r="AH53" s="40">
        <v>1.4043660782381829E-2</v>
      </c>
      <c r="AI53" s="42">
        <v>1.5416611941527703</v>
      </c>
      <c r="AJ53" s="40" t="s">
        <v>48</v>
      </c>
      <c r="AK53" s="70" t="s">
        <v>48</v>
      </c>
      <c r="AL53" s="40">
        <v>1.526092406662966</v>
      </c>
      <c r="AM53" s="40" t="s">
        <v>48</v>
      </c>
      <c r="AN53" s="40" t="s">
        <v>48</v>
      </c>
    </row>
    <row r="54" spans="1:40" x14ac:dyDescent="0.3">
      <c r="A54" s="12">
        <v>45</v>
      </c>
      <c r="B54" s="33"/>
      <c r="C54" s="38" t="str">
        <f>Notes!U53</f>
        <v xml:space="preserve">      Coal and lignite</v>
      </c>
      <c r="D54" s="4" t="s">
        <v>546</v>
      </c>
      <c r="E54" s="42">
        <v>0.25682763702617678</v>
      </c>
      <c r="F54" s="40">
        <v>0.2901480991031169</v>
      </c>
      <c r="G54" s="40">
        <v>0.1722870385885131</v>
      </c>
      <c r="H54" s="40">
        <v>0.44545793084529067</v>
      </c>
      <c r="I54" s="42">
        <v>1.3124345160746755E-2</v>
      </c>
      <c r="J54" s="40" t="s">
        <v>48</v>
      </c>
      <c r="K54" s="70">
        <v>1.3356426601860816E-2</v>
      </c>
      <c r="L54" s="40" t="s">
        <v>48</v>
      </c>
      <c r="M54" s="40" t="s">
        <v>48</v>
      </c>
      <c r="N54" s="40" t="s">
        <v>48</v>
      </c>
      <c r="O54" s="40">
        <v>2.3561123614806756</v>
      </c>
      <c r="P54" s="42" t="s">
        <v>48</v>
      </c>
      <c r="Q54" s="40" t="s">
        <v>48</v>
      </c>
      <c r="R54" s="40">
        <v>40.172387895565628</v>
      </c>
      <c r="S54" s="42" t="s">
        <v>48</v>
      </c>
      <c r="T54" s="40">
        <v>4.4436117381595501</v>
      </c>
      <c r="U54" s="40">
        <v>4.443611738159551</v>
      </c>
      <c r="W54" s="33"/>
      <c r="X54" s="38" t="str">
        <f>Notes!U53</f>
        <v xml:space="preserve">      Coal and lignite</v>
      </c>
      <c r="Y54" s="4" t="s">
        <v>546</v>
      </c>
      <c r="Z54" s="42">
        <v>2.3561123614806756</v>
      </c>
      <c r="AA54" s="40" t="s">
        <v>48</v>
      </c>
      <c r="AB54" s="70" t="s">
        <v>48</v>
      </c>
      <c r="AC54" s="42" t="s">
        <v>48</v>
      </c>
      <c r="AD54" s="40" t="s">
        <v>48</v>
      </c>
      <c r="AE54" s="70" t="s">
        <v>48</v>
      </c>
      <c r="AF54" s="40">
        <v>0.44545793084529067</v>
      </c>
      <c r="AG54" s="40" t="s">
        <v>48</v>
      </c>
      <c r="AH54" s="40" t="s">
        <v>48</v>
      </c>
      <c r="AI54" s="42">
        <v>0.2901480991031169</v>
      </c>
      <c r="AJ54" s="40" t="s">
        <v>48</v>
      </c>
      <c r="AK54" s="70" t="s">
        <v>48</v>
      </c>
      <c r="AL54" s="40">
        <v>0.25682763702617678</v>
      </c>
      <c r="AM54" s="40" t="s">
        <v>48</v>
      </c>
      <c r="AN54" s="40" t="s">
        <v>48</v>
      </c>
    </row>
    <row r="55" spans="1:40" x14ac:dyDescent="0.3">
      <c r="A55" s="12">
        <v>46</v>
      </c>
      <c r="B55" s="33"/>
      <c r="C55" s="38" t="str">
        <f>Notes!U54</f>
        <v xml:space="preserve">      Crude oil</v>
      </c>
      <c r="D55" s="4" t="s">
        <v>548</v>
      </c>
      <c r="E55" s="42" t="s">
        <v>48</v>
      </c>
      <c r="F55" s="40" t="s">
        <v>48</v>
      </c>
      <c r="G55" s="40" t="s">
        <v>48</v>
      </c>
      <c r="H55" s="40">
        <v>0.14305597829765332</v>
      </c>
      <c r="I55" s="42" t="s">
        <v>48</v>
      </c>
      <c r="J55" s="40" t="s">
        <v>48</v>
      </c>
      <c r="K55" s="70" t="s">
        <v>48</v>
      </c>
      <c r="L55" s="40" t="s">
        <v>48</v>
      </c>
      <c r="M55" s="40" t="s">
        <v>48</v>
      </c>
      <c r="N55" s="40" t="s">
        <v>48</v>
      </c>
      <c r="O55" s="40">
        <v>1.8786272200052154</v>
      </c>
      <c r="P55" s="42" t="s">
        <v>48</v>
      </c>
      <c r="Q55" s="40" t="s">
        <v>48</v>
      </c>
      <c r="R55" s="40">
        <v>99.999999999999972</v>
      </c>
      <c r="S55" s="42" t="s">
        <v>48</v>
      </c>
      <c r="T55" s="40">
        <v>4.5765442284317803</v>
      </c>
      <c r="U55" s="40" t="s">
        <v>48</v>
      </c>
      <c r="W55" s="33"/>
      <c r="X55" s="38" t="str">
        <f>Notes!U54</f>
        <v xml:space="preserve">      Crude oil</v>
      </c>
      <c r="Y55" s="4" t="s">
        <v>548</v>
      </c>
      <c r="Z55" s="42">
        <v>1.8786272200052154</v>
      </c>
      <c r="AA55" s="40" t="s">
        <v>48</v>
      </c>
      <c r="AB55" s="70" t="s">
        <v>48</v>
      </c>
      <c r="AC55" s="42" t="s">
        <v>48</v>
      </c>
      <c r="AD55" s="40" t="s">
        <v>48</v>
      </c>
      <c r="AE55" s="70" t="s">
        <v>48</v>
      </c>
      <c r="AF55" s="40">
        <v>0.14305597829765332</v>
      </c>
      <c r="AG55" s="40">
        <v>0.12023083531623045</v>
      </c>
      <c r="AH55" s="40">
        <v>1.4043660782381829E-2</v>
      </c>
      <c r="AI55" s="42" t="s">
        <v>48</v>
      </c>
      <c r="AJ55" s="40" t="s">
        <v>48</v>
      </c>
      <c r="AK55" s="70" t="s">
        <v>48</v>
      </c>
      <c r="AL55" s="40" t="s">
        <v>48</v>
      </c>
      <c r="AM55" s="40" t="s">
        <v>48</v>
      </c>
      <c r="AN55" s="40" t="s">
        <v>48</v>
      </c>
    </row>
    <row r="56" spans="1:40" x14ac:dyDescent="0.3">
      <c r="A56" s="12">
        <v>47</v>
      </c>
      <c r="B56" s="33"/>
      <c r="C56" s="38" t="str">
        <f>Notes!U55</f>
        <v xml:space="preserve">      Natural gas</v>
      </c>
      <c r="D56" s="4" t="s">
        <v>550</v>
      </c>
      <c r="E56" s="42">
        <v>0.2768926598081965</v>
      </c>
      <c r="F56" s="40">
        <v>0.15042788293481033</v>
      </c>
      <c r="G56" s="40">
        <v>9.1875122967726985E-2</v>
      </c>
      <c r="H56" s="40">
        <v>0.14671045981582689</v>
      </c>
      <c r="I56" s="42" t="s">
        <v>48</v>
      </c>
      <c r="J56" s="40" t="s">
        <v>48</v>
      </c>
      <c r="K56" s="7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2" t="s">
        <v>48</v>
      </c>
      <c r="Q56" s="40" t="s">
        <v>48</v>
      </c>
      <c r="R56" s="40" t="s">
        <v>48</v>
      </c>
      <c r="S56" s="42" t="s">
        <v>48</v>
      </c>
      <c r="T56" s="40" t="s">
        <v>48</v>
      </c>
      <c r="U56" s="40">
        <v>10.005570828814099</v>
      </c>
      <c r="W56" s="33"/>
      <c r="X56" s="38" t="str">
        <f>Notes!U55</f>
        <v xml:space="preserve">      Natural gas</v>
      </c>
      <c r="Y56" s="4" t="s">
        <v>550</v>
      </c>
      <c r="Z56" s="42" t="s">
        <v>48</v>
      </c>
      <c r="AA56" s="40" t="s">
        <v>48</v>
      </c>
      <c r="AB56" s="70" t="s">
        <v>48</v>
      </c>
      <c r="AC56" s="42" t="s">
        <v>48</v>
      </c>
      <c r="AD56" s="40" t="s">
        <v>48</v>
      </c>
      <c r="AE56" s="70" t="s">
        <v>48</v>
      </c>
      <c r="AF56" s="40">
        <v>0.14671045981582689</v>
      </c>
      <c r="AG56" s="40" t="s">
        <v>48</v>
      </c>
      <c r="AH56" s="40" t="s">
        <v>48</v>
      </c>
      <c r="AI56" s="42">
        <v>0.15042788293481033</v>
      </c>
      <c r="AJ56" s="40" t="s">
        <v>48</v>
      </c>
      <c r="AK56" s="70" t="s">
        <v>48</v>
      </c>
      <c r="AL56" s="40">
        <v>0.2768926598081965</v>
      </c>
      <c r="AM56" s="40" t="s">
        <v>48</v>
      </c>
      <c r="AN56" s="40" t="s">
        <v>48</v>
      </c>
    </row>
    <row r="57" spans="1:40" x14ac:dyDescent="0.3">
      <c r="A57" s="12">
        <v>48</v>
      </c>
      <c r="B57" s="33"/>
      <c r="C57" s="38" t="str">
        <f>Notes!U56</f>
        <v xml:space="preserve">      Other mining</v>
      </c>
      <c r="D57" s="4" t="s">
        <v>552</v>
      </c>
      <c r="E57" s="42">
        <v>0.99237210982859281</v>
      </c>
      <c r="F57" s="40">
        <v>1.1010852121148429</v>
      </c>
      <c r="G57" s="40">
        <v>0.64597633049935133</v>
      </c>
      <c r="H57" s="40">
        <v>1.2139495638076174</v>
      </c>
      <c r="I57" s="42" t="s">
        <v>48</v>
      </c>
      <c r="J57" s="40" t="s">
        <v>48</v>
      </c>
      <c r="K57" s="70" t="s">
        <v>48</v>
      </c>
      <c r="L57" s="40" t="s">
        <v>48</v>
      </c>
      <c r="M57" s="40" t="s">
        <v>48</v>
      </c>
      <c r="N57" s="40" t="s">
        <v>48</v>
      </c>
      <c r="O57" s="40">
        <v>2.2495122019009344</v>
      </c>
      <c r="P57" s="42" t="s">
        <v>48</v>
      </c>
      <c r="Q57" s="40" t="s">
        <v>48</v>
      </c>
      <c r="R57" s="40">
        <v>16.155169191316574</v>
      </c>
      <c r="S57" s="42" t="s">
        <v>48</v>
      </c>
      <c r="T57" s="40">
        <v>5.0505714518661486</v>
      </c>
      <c r="U57" s="40">
        <v>5.0505714518661478</v>
      </c>
      <c r="W57" s="33"/>
      <c r="X57" s="38" t="str">
        <f>Notes!U56</f>
        <v xml:space="preserve">      Other mining</v>
      </c>
      <c r="Y57" s="4" t="s">
        <v>552</v>
      </c>
      <c r="Z57" s="42">
        <v>2.2495122019009344</v>
      </c>
      <c r="AA57" s="40">
        <v>14.055986363858327</v>
      </c>
      <c r="AB57" s="70">
        <v>8.6656660120327444</v>
      </c>
      <c r="AC57" s="42" t="s">
        <v>48</v>
      </c>
      <c r="AD57" s="40" t="s">
        <v>48</v>
      </c>
      <c r="AE57" s="70" t="s">
        <v>48</v>
      </c>
      <c r="AF57" s="40">
        <v>1.2139495638076174</v>
      </c>
      <c r="AG57" s="40" t="s">
        <v>48</v>
      </c>
      <c r="AH57" s="40" t="s">
        <v>48</v>
      </c>
      <c r="AI57" s="42">
        <v>1.1010852121148429</v>
      </c>
      <c r="AJ57" s="40" t="s">
        <v>48</v>
      </c>
      <c r="AK57" s="70" t="s">
        <v>48</v>
      </c>
      <c r="AL57" s="40">
        <v>0.99237210982859281</v>
      </c>
      <c r="AM57" s="40" t="s">
        <v>48</v>
      </c>
      <c r="AN57" s="40" t="s">
        <v>48</v>
      </c>
    </row>
    <row r="58" spans="1:40" x14ac:dyDescent="0.3">
      <c r="A58" s="12">
        <v>49</v>
      </c>
      <c r="B58" s="33"/>
      <c r="C58" s="38" t="str">
        <f>Notes!U57</f>
        <v xml:space="preserve">   Manufacturing</v>
      </c>
      <c r="D58" s="4" t="s">
        <v>360</v>
      </c>
      <c r="E58" s="42">
        <v>22.639906134399531</v>
      </c>
      <c r="F58" s="40">
        <v>35.207724332958833</v>
      </c>
      <c r="G58" s="40">
        <v>26.835501579119402</v>
      </c>
      <c r="H58" s="40">
        <v>39.216166663623234</v>
      </c>
      <c r="I58" s="42">
        <v>56.078325383875097</v>
      </c>
      <c r="J58" s="40" t="s">
        <v>48</v>
      </c>
      <c r="K58" s="70">
        <v>57.069973988887256</v>
      </c>
      <c r="L58" s="40" t="s">
        <v>48</v>
      </c>
      <c r="M58" s="40">
        <v>20.716233492579082</v>
      </c>
      <c r="N58" s="40">
        <v>88.433346336756031</v>
      </c>
      <c r="O58" s="40">
        <v>61.491338073446421</v>
      </c>
      <c r="P58" s="42" t="s">
        <v>48</v>
      </c>
      <c r="Q58" s="40">
        <v>11.818826320793882</v>
      </c>
      <c r="R58" s="40">
        <v>14.629491162349984</v>
      </c>
      <c r="S58" s="42">
        <v>12.119445845805098</v>
      </c>
      <c r="T58" s="40">
        <v>16.115491663118455</v>
      </c>
      <c r="U58" s="40">
        <v>15.985517092434879</v>
      </c>
      <c r="W58" s="33"/>
      <c r="X58" s="38" t="str">
        <f>Notes!U57</f>
        <v xml:space="preserve">   Manufacturing</v>
      </c>
      <c r="Y58" s="4" t="s">
        <v>360</v>
      </c>
      <c r="Z58" s="42">
        <v>61.491338073446421</v>
      </c>
      <c r="AA58" s="40">
        <v>4.4718131326497037</v>
      </c>
      <c r="AB58" s="70">
        <v>75.361556005331238</v>
      </c>
      <c r="AC58" s="42">
        <v>88.433346336756031</v>
      </c>
      <c r="AD58" s="40">
        <v>1.1882156478552848E-4</v>
      </c>
      <c r="AE58" s="70">
        <v>100</v>
      </c>
      <c r="AF58" s="40">
        <v>39.216166663623234</v>
      </c>
      <c r="AG58" s="40">
        <v>3.119800786245349</v>
      </c>
      <c r="AH58" s="40">
        <v>99.896542561540016</v>
      </c>
      <c r="AI58" s="42">
        <v>35.207724332958833</v>
      </c>
      <c r="AJ58" s="40" t="s">
        <v>48</v>
      </c>
      <c r="AK58" s="70" t="s">
        <v>48</v>
      </c>
      <c r="AL58" s="40">
        <v>22.639906134399531</v>
      </c>
      <c r="AM58" s="40" t="s">
        <v>48</v>
      </c>
      <c r="AN58" s="40" t="s">
        <v>48</v>
      </c>
    </row>
    <row r="59" spans="1:40" x14ac:dyDescent="0.3">
      <c r="A59" s="12">
        <v>50</v>
      </c>
      <c r="B59" s="33"/>
      <c r="C59" s="38" t="str">
        <f>Notes!U58</f>
        <v xml:space="preserve">      Food processing</v>
      </c>
      <c r="D59" s="4" t="s">
        <v>554</v>
      </c>
      <c r="E59" s="42">
        <v>3.0534492956759061</v>
      </c>
      <c r="F59" s="40">
        <v>5.8596306194094518</v>
      </c>
      <c r="G59" s="40">
        <v>5.122632386511067</v>
      </c>
      <c r="H59" s="40">
        <v>6.7018493167656272</v>
      </c>
      <c r="I59" s="42">
        <v>17.422599851504152</v>
      </c>
      <c r="J59" s="40" t="s">
        <v>48</v>
      </c>
      <c r="K59" s="70">
        <v>17.730688524269642</v>
      </c>
      <c r="L59" s="40" t="s">
        <v>48</v>
      </c>
      <c r="M59" s="40" t="s">
        <v>48</v>
      </c>
      <c r="N59" s="40">
        <v>0.29433303964441859</v>
      </c>
      <c r="O59" s="40">
        <v>7.8145728547701134</v>
      </c>
      <c r="P59" s="42" t="s">
        <v>48</v>
      </c>
      <c r="Q59" s="40">
        <v>0.25086436231406606</v>
      </c>
      <c r="R59" s="40">
        <v>10.024508161511946</v>
      </c>
      <c r="S59" s="42">
        <v>6.7247936931135524</v>
      </c>
      <c r="T59" s="40">
        <v>6.6891796249783129</v>
      </c>
      <c r="U59" s="40">
        <v>9.4592777205716896</v>
      </c>
      <c r="W59" s="33"/>
      <c r="X59" s="38" t="str">
        <f>Notes!U58</f>
        <v xml:space="preserve">      Food processing</v>
      </c>
      <c r="Y59" s="4" t="s">
        <v>554</v>
      </c>
      <c r="Z59" s="42">
        <v>7.8145728547701134</v>
      </c>
      <c r="AA59" s="40">
        <v>3.860718740802207</v>
      </c>
      <c r="AB59" s="70">
        <v>8.2684798895583391</v>
      </c>
      <c r="AC59" s="42">
        <v>0.29433303964441859</v>
      </c>
      <c r="AD59" s="40" t="s">
        <v>48</v>
      </c>
      <c r="AE59" s="70" t="s">
        <v>48</v>
      </c>
      <c r="AF59" s="40">
        <v>6.7018493167656272</v>
      </c>
      <c r="AG59" s="40">
        <v>6.0352637370094433</v>
      </c>
      <c r="AH59" s="40">
        <v>33.025497371665146</v>
      </c>
      <c r="AI59" s="42">
        <v>5.8596306194094518</v>
      </c>
      <c r="AJ59" s="40" t="s">
        <v>48</v>
      </c>
      <c r="AK59" s="70" t="s">
        <v>48</v>
      </c>
      <c r="AL59" s="40">
        <v>3.0534492956759061</v>
      </c>
      <c r="AM59" s="40" t="s">
        <v>48</v>
      </c>
      <c r="AN59" s="40" t="s">
        <v>48</v>
      </c>
    </row>
    <row r="60" spans="1:40" x14ac:dyDescent="0.3">
      <c r="A60" s="12">
        <v>51</v>
      </c>
      <c r="B60" s="33"/>
      <c r="C60" s="38" t="str">
        <f>Notes!U59</f>
        <v xml:space="preserve">         Meat processing</v>
      </c>
      <c r="D60" s="4" t="s">
        <v>556</v>
      </c>
      <c r="E60" s="42">
        <v>0.62866702340800185</v>
      </c>
      <c r="F60" s="40">
        <v>0.70691068398713364</v>
      </c>
      <c r="G60" s="40">
        <v>1.4991464255365679</v>
      </c>
      <c r="H60" s="40">
        <v>0.69755231086016523</v>
      </c>
      <c r="I60" s="42">
        <v>1.4514389074520777</v>
      </c>
      <c r="J60" s="40" t="s">
        <v>48</v>
      </c>
      <c r="K60" s="70">
        <v>1.4771051048283836</v>
      </c>
      <c r="L60" s="40" t="s">
        <v>48</v>
      </c>
      <c r="M60" s="40" t="s">
        <v>48</v>
      </c>
      <c r="N60" s="40" t="s">
        <v>48</v>
      </c>
      <c r="O60" s="40">
        <v>9.956689215557743E-2</v>
      </c>
      <c r="P60" s="42" t="s">
        <v>48</v>
      </c>
      <c r="Q60" s="40" t="s">
        <v>48</v>
      </c>
      <c r="R60" s="40">
        <v>1.1512543356271383</v>
      </c>
      <c r="S60" s="42" t="s">
        <v>48</v>
      </c>
      <c r="T60" s="40">
        <v>10.016068852576741</v>
      </c>
      <c r="U60" s="40">
        <v>10.016068852576741</v>
      </c>
      <c r="W60" s="33"/>
      <c r="X60" s="38" t="str">
        <f>Notes!U59</f>
        <v xml:space="preserve">         Meat processing</v>
      </c>
      <c r="Y60" s="4" t="s">
        <v>556</v>
      </c>
      <c r="Z60" s="42">
        <v>9.956689215557743E-2</v>
      </c>
      <c r="AA60" s="40" t="s">
        <v>48</v>
      </c>
      <c r="AB60" s="70" t="s">
        <v>48</v>
      </c>
      <c r="AC60" s="42" t="s">
        <v>48</v>
      </c>
      <c r="AD60" s="40" t="s">
        <v>48</v>
      </c>
      <c r="AE60" s="70" t="s">
        <v>48</v>
      </c>
      <c r="AF60" s="40">
        <v>0.69755231086016523</v>
      </c>
      <c r="AG60" s="40" t="s">
        <v>48</v>
      </c>
      <c r="AH60" s="40" t="s">
        <v>48</v>
      </c>
      <c r="AI60" s="42">
        <v>0.70691068398713364</v>
      </c>
      <c r="AJ60" s="40" t="s">
        <v>48</v>
      </c>
      <c r="AK60" s="70" t="s">
        <v>48</v>
      </c>
      <c r="AL60" s="40">
        <v>0.62866702340800185</v>
      </c>
      <c r="AM60" s="40" t="s">
        <v>48</v>
      </c>
      <c r="AN60" s="40" t="s">
        <v>48</v>
      </c>
    </row>
    <row r="61" spans="1:40" x14ac:dyDescent="0.3">
      <c r="A61" s="12">
        <v>52</v>
      </c>
      <c r="B61" s="33"/>
      <c r="C61" s="38" t="str">
        <f>Notes!U60</f>
        <v xml:space="preserve">         Fish and seafood processing</v>
      </c>
      <c r="D61" s="4" t="s">
        <v>557</v>
      </c>
      <c r="E61" s="42">
        <v>0.26916541968581481</v>
      </c>
      <c r="F61" s="40">
        <v>0.31055157566161157</v>
      </c>
      <c r="G61" s="40">
        <v>0.36162367272812163</v>
      </c>
      <c r="H61" s="40">
        <v>0.2902193834850671</v>
      </c>
      <c r="I61" s="42">
        <v>0.64941486265231974</v>
      </c>
      <c r="J61" s="40" t="s">
        <v>48</v>
      </c>
      <c r="K61" s="70">
        <v>0.66089864606088267</v>
      </c>
      <c r="L61" s="40" t="s">
        <v>48</v>
      </c>
      <c r="M61" s="40" t="s">
        <v>48</v>
      </c>
      <c r="N61" s="40">
        <v>9.6800017274927194E-2</v>
      </c>
      <c r="O61" s="40">
        <v>7.3775733081072173E-2</v>
      </c>
      <c r="P61" s="42" t="s">
        <v>48</v>
      </c>
      <c r="Q61" s="40">
        <v>1.5836520432014771</v>
      </c>
      <c r="R61" s="40">
        <v>2.5888127269338987</v>
      </c>
      <c r="S61" s="42">
        <v>5.1113884776088216</v>
      </c>
      <c r="T61" s="40">
        <v>5.1113884776088216</v>
      </c>
      <c r="U61" s="40">
        <v>5.1113884776088216</v>
      </c>
      <c r="W61" s="33"/>
      <c r="X61" s="38" t="str">
        <f>Notes!U60</f>
        <v xml:space="preserve">         Fish and seafood processing</v>
      </c>
      <c r="Y61" s="4" t="s">
        <v>557</v>
      </c>
      <c r="Z61" s="42">
        <v>7.3775733081072173E-2</v>
      </c>
      <c r="AA61" s="40">
        <v>33.146433217360844</v>
      </c>
      <c r="AB61" s="70">
        <v>0.67019718919117655</v>
      </c>
      <c r="AC61" s="42">
        <v>9.6800017274927194E-2</v>
      </c>
      <c r="AD61" s="40" t="s">
        <v>48</v>
      </c>
      <c r="AE61" s="70" t="s">
        <v>48</v>
      </c>
      <c r="AF61" s="40">
        <v>0.2902193834850671</v>
      </c>
      <c r="AG61" s="40" t="s">
        <v>48</v>
      </c>
      <c r="AH61" s="40" t="s">
        <v>48</v>
      </c>
      <c r="AI61" s="42">
        <v>0.31055157566161157</v>
      </c>
      <c r="AJ61" s="40" t="s">
        <v>48</v>
      </c>
      <c r="AK61" s="70" t="s">
        <v>48</v>
      </c>
      <c r="AL61" s="40">
        <v>0.26916541968581481</v>
      </c>
      <c r="AM61" s="40" t="s">
        <v>48</v>
      </c>
      <c r="AN61" s="40" t="s">
        <v>48</v>
      </c>
    </row>
    <row r="62" spans="1:40" x14ac:dyDescent="0.3">
      <c r="A62" s="12">
        <v>53</v>
      </c>
      <c r="B62" s="33"/>
      <c r="C62" s="38" t="str">
        <f>Notes!U61</f>
        <v xml:space="preserve">         Dairy</v>
      </c>
      <c r="D62" s="4" t="s">
        <v>559</v>
      </c>
      <c r="E62" s="42">
        <v>9.3111443655862575E-2</v>
      </c>
      <c r="F62" s="40">
        <v>0.12760946903860076</v>
      </c>
      <c r="G62" s="40">
        <v>6.9648108921569835E-2</v>
      </c>
      <c r="H62" s="40">
        <v>0.20657418766588748</v>
      </c>
      <c r="I62" s="42">
        <v>0.60199608106323743</v>
      </c>
      <c r="J62" s="40" t="s">
        <v>48</v>
      </c>
      <c r="K62" s="70">
        <v>0.61264134498513068</v>
      </c>
      <c r="L62" s="40" t="s">
        <v>48</v>
      </c>
      <c r="M62" s="40" t="s">
        <v>48</v>
      </c>
      <c r="N62" s="40" t="s">
        <v>48</v>
      </c>
      <c r="O62" s="40">
        <v>0.49489296737953514</v>
      </c>
      <c r="P62" s="42" t="s">
        <v>48</v>
      </c>
      <c r="Q62" s="40" t="s">
        <v>48</v>
      </c>
      <c r="R62" s="40">
        <v>24.281693923509263</v>
      </c>
      <c r="S62" s="42" t="s">
        <v>48</v>
      </c>
      <c r="T62" s="40">
        <v>7.0912545859689118</v>
      </c>
      <c r="U62" s="40">
        <v>7.0912545859689136</v>
      </c>
      <c r="W62" s="33"/>
      <c r="X62" s="38" t="str">
        <f>Notes!U61</f>
        <v xml:space="preserve">         Dairy</v>
      </c>
      <c r="Y62" s="4" t="s">
        <v>559</v>
      </c>
      <c r="Z62" s="42">
        <v>0.49489296737953514</v>
      </c>
      <c r="AA62" s="40" t="s">
        <v>48</v>
      </c>
      <c r="AB62" s="70" t="s">
        <v>48</v>
      </c>
      <c r="AC62" s="42" t="s">
        <v>48</v>
      </c>
      <c r="AD62" s="40" t="s">
        <v>48</v>
      </c>
      <c r="AE62" s="70" t="s">
        <v>48</v>
      </c>
      <c r="AF62" s="40">
        <v>0.20657418766588748</v>
      </c>
      <c r="AG62" s="40">
        <v>22.927805642900889</v>
      </c>
      <c r="AH62" s="40">
        <v>3.8672032663104314</v>
      </c>
      <c r="AI62" s="42">
        <v>0.12760946903860076</v>
      </c>
      <c r="AJ62" s="40" t="s">
        <v>48</v>
      </c>
      <c r="AK62" s="70" t="s">
        <v>48</v>
      </c>
      <c r="AL62" s="40">
        <v>9.3111443655862575E-2</v>
      </c>
      <c r="AM62" s="40" t="s">
        <v>48</v>
      </c>
      <c r="AN62" s="40" t="s">
        <v>48</v>
      </c>
    </row>
    <row r="63" spans="1:40" x14ac:dyDescent="0.3">
      <c r="A63" s="12">
        <v>54</v>
      </c>
      <c r="B63" s="33"/>
      <c r="C63" s="38" t="str">
        <f>Notes!U62</f>
        <v xml:space="preserve">         Fruit and vegetable processing</v>
      </c>
      <c r="D63" s="4" t="s">
        <v>561</v>
      </c>
      <c r="E63" s="42">
        <v>6.2082849708840045E-2</v>
      </c>
      <c r="F63" s="40">
        <v>9.3836070550551723E-2</v>
      </c>
      <c r="G63" s="40">
        <v>0.14518883300550933</v>
      </c>
      <c r="H63" s="40">
        <v>0.10812968018445693</v>
      </c>
      <c r="I63" s="42">
        <v>0.28097799776261118</v>
      </c>
      <c r="J63" s="40" t="s">
        <v>48</v>
      </c>
      <c r="K63" s="70">
        <v>0.28594660974617309</v>
      </c>
      <c r="L63" s="40" t="s">
        <v>48</v>
      </c>
      <c r="M63" s="40" t="s">
        <v>48</v>
      </c>
      <c r="N63" s="40" t="s">
        <v>48</v>
      </c>
      <c r="O63" s="40">
        <v>0.28742831939614227</v>
      </c>
      <c r="P63" s="42" t="s">
        <v>48</v>
      </c>
      <c r="Q63" s="40" t="s">
        <v>48</v>
      </c>
      <c r="R63" s="40">
        <v>20.209688257461377</v>
      </c>
      <c r="S63" s="42" t="s">
        <v>48</v>
      </c>
      <c r="T63" s="40">
        <v>4.5396342156355507</v>
      </c>
      <c r="U63" s="40">
        <v>4.5396342156355525</v>
      </c>
      <c r="W63" s="33"/>
      <c r="X63" s="38" t="str">
        <f>Notes!U62</f>
        <v xml:space="preserve">         Fruit and vegetable processing</v>
      </c>
      <c r="Y63" s="4" t="s">
        <v>561</v>
      </c>
      <c r="Z63" s="42">
        <v>0.28742831939614227</v>
      </c>
      <c r="AA63" s="40" t="s">
        <v>48</v>
      </c>
      <c r="AB63" s="70" t="s">
        <v>48</v>
      </c>
      <c r="AC63" s="42" t="s">
        <v>48</v>
      </c>
      <c r="AD63" s="40" t="s">
        <v>48</v>
      </c>
      <c r="AE63" s="70" t="s">
        <v>48</v>
      </c>
      <c r="AF63" s="40">
        <v>0.10812968018445693</v>
      </c>
      <c r="AG63" s="40" t="s">
        <v>48</v>
      </c>
      <c r="AH63" s="40" t="s">
        <v>48</v>
      </c>
      <c r="AI63" s="42">
        <v>9.3836070550551723E-2</v>
      </c>
      <c r="AJ63" s="40" t="s">
        <v>48</v>
      </c>
      <c r="AK63" s="70" t="s">
        <v>48</v>
      </c>
      <c r="AL63" s="40">
        <v>6.2082849708840045E-2</v>
      </c>
      <c r="AM63" s="40" t="s">
        <v>48</v>
      </c>
      <c r="AN63" s="40" t="s">
        <v>48</v>
      </c>
    </row>
    <row r="64" spans="1:40" x14ac:dyDescent="0.3">
      <c r="A64" s="12">
        <v>55</v>
      </c>
      <c r="B64" s="33"/>
      <c r="C64" s="38" t="str">
        <f>Notes!U63</f>
        <v xml:space="preserve">         Fats and oils</v>
      </c>
      <c r="D64" s="4" t="s">
        <v>563</v>
      </c>
      <c r="E64" s="42">
        <v>4.878157282793593E-2</v>
      </c>
      <c r="F64" s="40">
        <v>5.6115384260452525E-2</v>
      </c>
      <c r="G64" s="40">
        <v>5.7593375875219621E-2</v>
      </c>
      <c r="H64" s="40">
        <v>0.31634386404058479</v>
      </c>
      <c r="I64" s="42">
        <v>0.46477616741323197</v>
      </c>
      <c r="J64" s="40" t="s">
        <v>48</v>
      </c>
      <c r="K64" s="70">
        <v>0.47299493348556482</v>
      </c>
      <c r="L64" s="40" t="s">
        <v>48</v>
      </c>
      <c r="M64" s="40" t="s">
        <v>48</v>
      </c>
      <c r="N64" s="40" t="s">
        <v>48</v>
      </c>
      <c r="O64" s="40">
        <v>1.5910610860874581</v>
      </c>
      <c r="P64" s="42" t="s">
        <v>48</v>
      </c>
      <c r="Q64" s="40" t="s">
        <v>48</v>
      </c>
      <c r="R64" s="40">
        <v>72.302618727985774</v>
      </c>
      <c r="S64" s="42" t="s">
        <v>48</v>
      </c>
      <c r="T64" s="40">
        <v>5.7127233581745571</v>
      </c>
      <c r="U64" s="40">
        <v>5.7127233581745571</v>
      </c>
      <c r="W64" s="33"/>
      <c r="X64" s="38" t="str">
        <f>Notes!U63</f>
        <v xml:space="preserve">         Fats and oils</v>
      </c>
      <c r="Y64" s="4" t="s">
        <v>563</v>
      </c>
      <c r="Z64" s="42">
        <v>1.5910610860874581</v>
      </c>
      <c r="AA64" s="40">
        <v>11.34242991357843</v>
      </c>
      <c r="AB64" s="70">
        <v>4.9458987858888275</v>
      </c>
      <c r="AC64" s="42" t="s">
        <v>48</v>
      </c>
      <c r="AD64" s="40" t="s">
        <v>48</v>
      </c>
      <c r="AE64" s="70" t="s">
        <v>48</v>
      </c>
      <c r="AF64" s="40">
        <v>0.31634386404058479</v>
      </c>
      <c r="AG64" s="40">
        <v>40.381768899928318</v>
      </c>
      <c r="AH64" s="40">
        <v>10.430453920760744</v>
      </c>
      <c r="AI64" s="42">
        <v>5.6115384260452525E-2</v>
      </c>
      <c r="AJ64" s="40" t="s">
        <v>48</v>
      </c>
      <c r="AK64" s="70" t="s">
        <v>48</v>
      </c>
      <c r="AL64" s="40">
        <v>4.878157282793593E-2</v>
      </c>
      <c r="AM64" s="40" t="s">
        <v>48</v>
      </c>
      <c r="AN64" s="40" t="s">
        <v>48</v>
      </c>
    </row>
    <row r="65" spans="1:40" x14ac:dyDescent="0.3">
      <c r="A65" s="12">
        <v>56</v>
      </c>
      <c r="B65" s="33"/>
      <c r="C65" s="38" t="str">
        <f>Notes!U64</f>
        <v xml:space="preserve">         Maize milling</v>
      </c>
      <c r="D65" s="4" t="s">
        <v>362</v>
      </c>
      <c r="E65" s="42">
        <v>2.4231569781987896E-2</v>
      </c>
      <c r="F65" s="40">
        <v>4.4722673543996713E-2</v>
      </c>
      <c r="G65" s="40">
        <v>3.5723633158496373E-2</v>
      </c>
      <c r="H65" s="40">
        <v>4.4650412337253906E-2</v>
      </c>
      <c r="I65" s="42">
        <v>8.6015355656307024E-2</v>
      </c>
      <c r="J65" s="40" t="s">
        <v>48</v>
      </c>
      <c r="K65" s="70">
        <v>8.753638908343446E-2</v>
      </c>
      <c r="L65" s="40" t="s">
        <v>48</v>
      </c>
      <c r="M65" s="40" t="s">
        <v>48</v>
      </c>
      <c r="N65" s="40" t="s">
        <v>48</v>
      </c>
      <c r="O65" s="40">
        <v>8.2596363816595242E-3</v>
      </c>
      <c r="P65" s="42" t="s">
        <v>48</v>
      </c>
      <c r="Q65" s="40" t="s">
        <v>48</v>
      </c>
      <c r="R65" s="40">
        <v>1.5041829710505539</v>
      </c>
      <c r="S65" s="42" t="s">
        <v>48</v>
      </c>
      <c r="T65" s="40">
        <v>10.74493748901825</v>
      </c>
      <c r="U65" s="40">
        <v>10.744937489018252</v>
      </c>
      <c r="W65" s="33"/>
      <c r="X65" s="38" t="str">
        <f>Notes!U64</f>
        <v xml:space="preserve">         Maize milling</v>
      </c>
      <c r="Y65" s="4" t="s">
        <v>362</v>
      </c>
      <c r="Z65" s="42">
        <v>8.2596363816595242E-3</v>
      </c>
      <c r="AA65" s="40" t="s">
        <v>48</v>
      </c>
      <c r="AB65" s="70" t="s">
        <v>48</v>
      </c>
      <c r="AC65" s="42" t="s">
        <v>48</v>
      </c>
      <c r="AD65" s="40" t="s">
        <v>48</v>
      </c>
      <c r="AE65" s="70" t="s">
        <v>48</v>
      </c>
      <c r="AF65" s="40">
        <v>4.4650412337253906E-2</v>
      </c>
      <c r="AG65" s="40" t="s">
        <v>48</v>
      </c>
      <c r="AH65" s="40" t="s">
        <v>48</v>
      </c>
      <c r="AI65" s="42">
        <v>4.4722673543996713E-2</v>
      </c>
      <c r="AJ65" s="40" t="s">
        <v>48</v>
      </c>
      <c r="AK65" s="70" t="s">
        <v>48</v>
      </c>
      <c r="AL65" s="40">
        <v>2.4231569781987896E-2</v>
      </c>
      <c r="AM65" s="40" t="s">
        <v>48</v>
      </c>
      <c r="AN65" s="40" t="s">
        <v>48</v>
      </c>
    </row>
    <row r="66" spans="1:40" x14ac:dyDescent="0.3">
      <c r="A66" s="12">
        <v>57</v>
      </c>
      <c r="B66" s="33"/>
      <c r="C66" s="38" t="str">
        <f>Notes!U65</f>
        <v xml:space="preserve">         Sorghum and millet milling</v>
      </c>
      <c r="D66" s="4" t="s">
        <v>363</v>
      </c>
      <c r="E66" s="42" t="s">
        <v>48</v>
      </c>
      <c r="F66" s="40" t="s">
        <v>48</v>
      </c>
      <c r="G66" s="40" t="s">
        <v>48</v>
      </c>
      <c r="H66" s="40" t="s">
        <v>48</v>
      </c>
      <c r="I66" s="42" t="s">
        <v>48</v>
      </c>
      <c r="J66" s="40" t="s">
        <v>48</v>
      </c>
      <c r="K66" s="7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2" t="s">
        <v>48</v>
      </c>
      <c r="Q66" s="40" t="s">
        <v>48</v>
      </c>
      <c r="R66" s="40" t="s">
        <v>48</v>
      </c>
      <c r="S66" s="42" t="s">
        <v>48</v>
      </c>
      <c r="T66" s="40" t="s">
        <v>48</v>
      </c>
      <c r="U66" s="40" t="s">
        <v>48</v>
      </c>
      <c r="W66" s="33"/>
      <c r="X66" s="38" t="str">
        <f>Notes!U65</f>
        <v xml:space="preserve">         Sorghum and millet milling</v>
      </c>
      <c r="Y66" s="4" t="s">
        <v>363</v>
      </c>
      <c r="Z66" s="42" t="s">
        <v>48</v>
      </c>
      <c r="AA66" s="40" t="s">
        <v>48</v>
      </c>
      <c r="AB66" s="70" t="s">
        <v>48</v>
      </c>
      <c r="AC66" s="42" t="s">
        <v>48</v>
      </c>
      <c r="AD66" s="40" t="s">
        <v>48</v>
      </c>
      <c r="AE66" s="70" t="s">
        <v>48</v>
      </c>
      <c r="AF66" s="40" t="s">
        <v>48</v>
      </c>
      <c r="AG66" s="40" t="s">
        <v>48</v>
      </c>
      <c r="AH66" s="40" t="s">
        <v>48</v>
      </c>
      <c r="AI66" s="42" t="s">
        <v>48</v>
      </c>
      <c r="AJ66" s="40" t="s">
        <v>48</v>
      </c>
      <c r="AK66" s="70" t="s">
        <v>48</v>
      </c>
      <c r="AL66" s="40" t="s">
        <v>48</v>
      </c>
      <c r="AM66" s="40" t="s">
        <v>48</v>
      </c>
      <c r="AN66" s="40" t="s">
        <v>48</v>
      </c>
    </row>
    <row r="67" spans="1:40" x14ac:dyDescent="0.3">
      <c r="A67" s="12">
        <v>58</v>
      </c>
      <c r="B67" s="33"/>
      <c r="C67" s="38" t="str">
        <f>Notes!U66</f>
        <v xml:space="preserve">         Rice milling</v>
      </c>
      <c r="D67" s="4" t="s">
        <v>364</v>
      </c>
      <c r="E67" s="42" t="s">
        <v>48</v>
      </c>
      <c r="F67" s="40" t="s">
        <v>48</v>
      </c>
      <c r="G67" s="40" t="s">
        <v>48</v>
      </c>
      <c r="H67" s="40" t="s">
        <v>48</v>
      </c>
      <c r="I67" s="42" t="s">
        <v>48</v>
      </c>
      <c r="J67" s="40" t="s">
        <v>48</v>
      </c>
      <c r="K67" s="7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2" t="s">
        <v>48</v>
      </c>
      <c r="Q67" s="40" t="s">
        <v>48</v>
      </c>
      <c r="R67" s="40" t="s">
        <v>48</v>
      </c>
      <c r="S67" s="42" t="s">
        <v>48</v>
      </c>
      <c r="T67" s="40" t="s">
        <v>48</v>
      </c>
      <c r="U67" s="40" t="s">
        <v>48</v>
      </c>
      <c r="W67" s="33"/>
      <c r="X67" s="38" t="str">
        <f>Notes!U66</f>
        <v xml:space="preserve">         Rice milling</v>
      </c>
      <c r="Y67" s="4" t="s">
        <v>364</v>
      </c>
      <c r="Z67" s="42" t="s">
        <v>48</v>
      </c>
      <c r="AA67" s="40" t="s">
        <v>48</v>
      </c>
      <c r="AB67" s="70" t="s">
        <v>48</v>
      </c>
      <c r="AC67" s="42" t="s">
        <v>48</v>
      </c>
      <c r="AD67" s="40" t="s">
        <v>48</v>
      </c>
      <c r="AE67" s="70" t="s">
        <v>48</v>
      </c>
      <c r="AF67" s="40" t="s">
        <v>48</v>
      </c>
      <c r="AG67" s="40" t="s">
        <v>48</v>
      </c>
      <c r="AH67" s="40" t="s">
        <v>48</v>
      </c>
      <c r="AI67" s="42" t="s">
        <v>48</v>
      </c>
      <c r="AJ67" s="40" t="s">
        <v>48</v>
      </c>
      <c r="AK67" s="70" t="s">
        <v>48</v>
      </c>
      <c r="AL67" s="40" t="s">
        <v>48</v>
      </c>
      <c r="AM67" s="40" t="s">
        <v>48</v>
      </c>
      <c r="AN67" s="40" t="s">
        <v>48</v>
      </c>
    </row>
    <row r="68" spans="1:40" x14ac:dyDescent="0.3">
      <c r="A68" s="12">
        <v>59</v>
      </c>
      <c r="B68" s="33"/>
      <c r="C68" s="38" t="str">
        <f>Notes!U67</f>
        <v xml:space="preserve">         Rice milling - coarse</v>
      </c>
      <c r="D68" s="4" t="s">
        <v>720</v>
      </c>
      <c r="E68" s="42">
        <v>0.21543311728234776</v>
      </c>
      <c r="F68" s="40">
        <v>1.0631823362851911</v>
      </c>
      <c r="G68" s="40">
        <v>0.29357987175416345</v>
      </c>
      <c r="H68" s="40">
        <v>1.0316097086291443</v>
      </c>
      <c r="I68" s="42">
        <v>3.3837172283857671</v>
      </c>
      <c r="J68" s="40" t="s">
        <v>48</v>
      </c>
      <c r="K68" s="70">
        <v>3.4435524400529336</v>
      </c>
      <c r="L68" s="40" t="s">
        <v>48</v>
      </c>
      <c r="M68" s="40" t="s">
        <v>48</v>
      </c>
      <c r="N68" s="40" t="s">
        <v>48</v>
      </c>
      <c r="O68" s="40" t="s">
        <v>48</v>
      </c>
      <c r="P68" s="42" t="s">
        <v>48</v>
      </c>
      <c r="Q68" s="40" t="s">
        <v>48</v>
      </c>
      <c r="R68" s="40" t="s">
        <v>48</v>
      </c>
      <c r="S68" s="42" t="s">
        <v>48</v>
      </c>
      <c r="T68" s="40" t="s">
        <v>48</v>
      </c>
      <c r="U68" s="40">
        <v>9.5433097129483588</v>
      </c>
      <c r="W68" s="33"/>
      <c r="X68" s="38" t="str">
        <f>Notes!U67</f>
        <v xml:space="preserve">         Rice milling - coarse</v>
      </c>
      <c r="Y68" s="4" t="s">
        <v>720</v>
      </c>
      <c r="Z68" s="42" t="s">
        <v>48</v>
      </c>
      <c r="AA68" s="40" t="s">
        <v>48</v>
      </c>
      <c r="AB68" s="70" t="s">
        <v>48</v>
      </c>
      <c r="AC68" s="42" t="s">
        <v>48</v>
      </c>
      <c r="AD68" s="40" t="s">
        <v>48</v>
      </c>
      <c r="AE68" s="70" t="s">
        <v>48</v>
      </c>
      <c r="AF68" s="40">
        <v>1.0316097086291443</v>
      </c>
      <c r="AG68" s="40" t="s">
        <v>48</v>
      </c>
      <c r="AH68" s="40" t="s">
        <v>48</v>
      </c>
      <c r="AI68" s="42">
        <v>1.0631823362851911</v>
      </c>
      <c r="AJ68" s="40" t="s">
        <v>48</v>
      </c>
      <c r="AK68" s="70" t="s">
        <v>48</v>
      </c>
      <c r="AL68" s="40">
        <v>0.21543311728234776</v>
      </c>
      <c r="AM68" s="40" t="s">
        <v>48</v>
      </c>
      <c r="AN68" s="40" t="s">
        <v>48</v>
      </c>
    </row>
    <row r="69" spans="1:40" x14ac:dyDescent="0.3">
      <c r="A69" s="12">
        <v>60</v>
      </c>
      <c r="B69" s="33"/>
      <c r="C69" s="38" t="str">
        <f>Notes!U68</f>
        <v xml:space="preserve">         Rice milling - other</v>
      </c>
      <c r="D69" s="4" t="s">
        <v>722</v>
      </c>
      <c r="E69" s="42">
        <v>0.44943005448759954</v>
      </c>
      <c r="F69" s="40">
        <v>1.6774555805967331</v>
      </c>
      <c r="G69" s="40">
        <v>0.61232139888102655</v>
      </c>
      <c r="H69" s="40">
        <v>1.6794530344386376</v>
      </c>
      <c r="I69" s="42">
        <v>5.4881763691994028</v>
      </c>
      <c r="J69" s="40" t="s">
        <v>48</v>
      </c>
      <c r="K69" s="70">
        <v>5.5852253164231769</v>
      </c>
      <c r="L69" s="40" t="s">
        <v>48</v>
      </c>
      <c r="M69" s="40" t="s">
        <v>48</v>
      </c>
      <c r="N69" s="40" t="s">
        <v>48</v>
      </c>
      <c r="O69" s="40" t="s">
        <v>48</v>
      </c>
      <c r="P69" s="42" t="s">
        <v>48</v>
      </c>
      <c r="Q69" s="40" t="s">
        <v>48</v>
      </c>
      <c r="R69" s="40" t="s">
        <v>48</v>
      </c>
      <c r="S69" s="42" t="s">
        <v>48</v>
      </c>
      <c r="T69" s="40" t="s">
        <v>48</v>
      </c>
      <c r="U69" s="40">
        <v>12.33393224614116</v>
      </c>
      <c r="W69" s="33"/>
      <c r="X69" s="38" t="str">
        <f>Notes!U68</f>
        <v xml:space="preserve">         Rice milling - other</v>
      </c>
      <c r="Y69" s="4" t="s">
        <v>722</v>
      </c>
      <c r="Z69" s="42" t="s">
        <v>48</v>
      </c>
      <c r="AA69" s="40" t="s">
        <v>48</v>
      </c>
      <c r="AB69" s="70" t="s">
        <v>48</v>
      </c>
      <c r="AC69" s="42" t="s">
        <v>48</v>
      </c>
      <c r="AD69" s="40" t="s">
        <v>48</v>
      </c>
      <c r="AE69" s="70" t="s">
        <v>48</v>
      </c>
      <c r="AF69" s="40">
        <v>1.6794530344386376</v>
      </c>
      <c r="AG69" s="40" t="s">
        <v>48</v>
      </c>
      <c r="AH69" s="40" t="s">
        <v>48</v>
      </c>
      <c r="AI69" s="42">
        <v>1.6774555805967331</v>
      </c>
      <c r="AJ69" s="40" t="s">
        <v>48</v>
      </c>
      <c r="AK69" s="70" t="s">
        <v>48</v>
      </c>
      <c r="AL69" s="40">
        <v>0.44943005448759954</v>
      </c>
      <c r="AM69" s="40" t="s">
        <v>48</v>
      </c>
      <c r="AN69" s="40" t="s">
        <v>48</v>
      </c>
    </row>
    <row r="70" spans="1:40" x14ac:dyDescent="0.3">
      <c r="A70" s="12">
        <v>61</v>
      </c>
      <c r="B70" s="33"/>
      <c r="C70" s="38" t="str">
        <f>Notes!U69</f>
        <v xml:space="preserve">         Wheat and barley milling</v>
      </c>
      <c r="D70" s="4" t="s">
        <v>365</v>
      </c>
      <c r="E70" s="42">
        <v>3.5891905285135202E-2</v>
      </c>
      <c r="F70" s="40">
        <v>0.20519103915846165</v>
      </c>
      <c r="G70" s="40">
        <v>5.2898345150873799E-2</v>
      </c>
      <c r="H70" s="40">
        <v>0.2042317788849537</v>
      </c>
      <c r="I70" s="42">
        <v>0.66857041411251172</v>
      </c>
      <c r="J70" s="40" t="s">
        <v>48</v>
      </c>
      <c r="K70" s="70">
        <v>0.68039293045851013</v>
      </c>
      <c r="L70" s="40" t="s">
        <v>48</v>
      </c>
      <c r="M70" s="40" t="s">
        <v>48</v>
      </c>
      <c r="N70" s="40" t="s">
        <v>48</v>
      </c>
      <c r="O70" s="40" t="s">
        <v>48</v>
      </c>
      <c r="P70" s="42" t="s">
        <v>48</v>
      </c>
      <c r="Q70" s="40" t="s">
        <v>48</v>
      </c>
      <c r="R70" s="40" t="s">
        <v>48</v>
      </c>
      <c r="S70" s="42" t="s">
        <v>48</v>
      </c>
      <c r="T70" s="40" t="s">
        <v>48</v>
      </c>
      <c r="U70" s="40">
        <v>11.817291848472772</v>
      </c>
      <c r="W70" s="33"/>
      <c r="X70" s="38" t="str">
        <f>Notes!U69</f>
        <v xml:space="preserve">         Wheat and barley milling</v>
      </c>
      <c r="Y70" s="4" t="s">
        <v>365</v>
      </c>
      <c r="Z70" s="42" t="s">
        <v>48</v>
      </c>
      <c r="AA70" s="40" t="s">
        <v>48</v>
      </c>
      <c r="AB70" s="70" t="s">
        <v>48</v>
      </c>
      <c r="AC70" s="42" t="s">
        <v>48</v>
      </c>
      <c r="AD70" s="40" t="s">
        <v>48</v>
      </c>
      <c r="AE70" s="70" t="s">
        <v>48</v>
      </c>
      <c r="AF70" s="40">
        <v>0.2042317788849537</v>
      </c>
      <c r="AG70" s="40" t="s">
        <v>48</v>
      </c>
      <c r="AH70" s="40" t="s">
        <v>48</v>
      </c>
      <c r="AI70" s="42">
        <v>0.20519103915846165</v>
      </c>
      <c r="AJ70" s="40" t="s">
        <v>48</v>
      </c>
      <c r="AK70" s="70" t="s">
        <v>48</v>
      </c>
      <c r="AL70" s="40">
        <v>3.5891905285135202E-2</v>
      </c>
      <c r="AM70" s="40" t="s">
        <v>48</v>
      </c>
      <c r="AN70" s="40" t="s">
        <v>48</v>
      </c>
    </row>
    <row r="71" spans="1:40" x14ac:dyDescent="0.3">
      <c r="A71" s="12">
        <v>62</v>
      </c>
      <c r="B71" s="33"/>
      <c r="C71" s="38" t="str">
        <f>Notes!U70</f>
        <v xml:space="preserve">         Other grain milling</v>
      </c>
      <c r="D71" s="4" t="s">
        <v>366</v>
      </c>
      <c r="E71" s="42">
        <v>1.6337218821433099E-2</v>
      </c>
      <c r="F71" s="40">
        <v>9.07257554832855E-2</v>
      </c>
      <c r="G71" s="40">
        <v>2.4074390666109311E-2</v>
      </c>
      <c r="H71" s="40">
        <v>8.9390612140509793E-2</v>
      </c>
      <c r="I71" s="42">
        <v>9.8126476545553801E-2</v>
      </c>
      <c r="J71" s="40" t="s">
        <v>48</v>
      </c>
      <c r="K71" s="70">
        <v>9.9861674287552313E-2</v>
      </c>
      <c r="L71" s="40" t="s">
        <v>48</v>
      </c>
      <c r="M71" s="40" t="s">
        <v>48</v>
      </c>
      <c r="N71" s="40" t="s">
        <v>48</v>
      </c>
      <c r="O71" s="40" t="s">
        <v>48</v>
      </c>
      <c r="P71" s="42" t="s">
        <v>48</v>
      </c>
      <c r="Q71" s="40" t="s">
        <v>48</v>
      </c>
      <c r="R71" s="40" t="s">
        <v>48</v>
      </c>
      <c r="S71" s="42" t="s">
        <v>48</v>
      </c>
      <c r="T71" s="40" t="s">
        <v>48</v>
      </c>
      <c r="U71" s="40">
        <v>10.918598024685796</v>
      </c>
      <c r="W71" s="33"/>
      <c r="X71" s="38" t="str">
        <f>Notes!U70</f>
        <v xml:space="preserve">         Other grain milling</v>
      </c>
      <c r="Y71" s="4" t="s">
        <v>366</v>
      </c>
      <c r="Z71" s="42" t="s">
        <v>48</v>
      </c>
      <c r="AA71" s="40" t="s">
        <v>48</v>
      </c>
      <c r="AB71" s="70" t="s">
        <v>48</v>
      </c>
      <c r="AC71" s="42" t="s">
        <v>48</v>
      </c>
      <c r="AD71" s="40" t="s">
        <v>48</v>
      </c>
      <c r="AE71" s="70" t="s">
        <v>48</v>
      </c>
      <c r="AF71" s="40">
        <v>8.9390612140509793E-2</v>
      </c>
      <c r="AG71" s="40" t="s">
        <v>48</v>
      </c>
      <c r="AH71" s="40" t="s">
        <v>48</v>
      </c>
      <c r="AI71" s="42">
        <v>9.07257554832855E-2</v>
      </c>
      <c r="AJ71" s="40" t="s">
        <v>48</v>
      </c>
      <c r="AK71" s="70" t="s">
        <v>48</v>
      </c>
      <c r="AL71" s="40">
        <v>1.6337218821433099E-2</v>
      </c>
      <c r="AM71" s="40" t="s">
        <v>48</v>
      </c>
      <c r="AN71" s="40" t="s">
        <v>48</v>
      </c>
    </row>
    <row r="72" spans="1:40" x14ac:dyDescent="0.3">
      <c r="A72" s="12">
        <v>63</v>
      </c>
      <c r="B72" s="33"/>
      <c r="C72" s="38" t="str">
        <f>Notes!U71</f>
        <v xml:space="preserve">         Sugar refining</v>
      </c>
      <c r="D72" s="4" t="s">
        <v>367</v>
      </c>
      <c r="E72" s="42">
        <v>0.10713987847154359</v>
      </c>
      <c r="F72" s="40">
        <v>0.16003964157468403</v>
      </c>
      <c r="G72" s="40">
        <v>0.24807955128549</v>
      </c>
      <c r="H72" s="40">
        <v>0.63880419547179046</v>
      </c>
      <c r="I72" s="42">
        <v>1.5367258099634196</v>
      </c>
      <c r="J72" s="40" t="s">
        <v>48</v>
      </c>
      <c r="K72" s="70">
        <v>1.5639001593275432</v>
      </c>
      <c r="L72" s="40" t="s">
        <v>48</v>
      </c>
      <c r="M72" s="40" t="s">
        <v>48</v>
      </c>
      <c r="N72" s="40" t="s">
        <v>48</v>
      </c>
      <c r="O72" s="40">
        <v>3.8387755680927951</v>
      </c>
      <c r="P72" s="42" t="s">
        <v>48</v>
      </c>
      <c r="Q72" s="40" t="s">
        <v>48</v>
      </c>
      <c r="R72" s="40">
        <v>66.990362725038452</v>
      </c>
      <c r="S72" s="42" t="s">
        <v>48</v>
      </c>
      <c r="T72" s="40">
        <v>7.5342356936845807</v>
      </c>
      <c r="U72" s="40">
        <v>7.5342356936845807</v>
      </c>
      <c r="W72" s="33"/>
      <c r="X72" s="38" t="str">
        <f>Notes!U71</f>
        <v xml:space="preserve">         Sugar refining</v>
      </c>
      <c r="Y72" s="4" t="s">
        <v>367</v>
      </c>
      <c r="Z72" s="42">
        <v>3.8387755680927951</v>
      </c>
      <c r="AA72" s="40">
        <v>2.3191008657942898</v>
      </c>
      <c r="AB72" s="70">
        <v>2.4398584228828502</v>
      </c>
      <c r="AC72" s="42" t="s">
        <v>48</v>
      </c>
      <c r="AD72" s="40" t="s">
        <v>48</v>
      </c>
      <c r="AE72" s="70" t="s">
        <v>48</v>
      </c>
      <c r="AF72" s="40">
        <v>0.63880419547179046</v>
      </c>
      <c r="AG72" s="40">
        <v>27.957884760097418</v>
      </c>
      <c r="AH72" s="40">
        <v>14.582450970128621</v>
      </c>
      <c r="AI72" s="42">
        <v>0.16003964157468403</v>
      </c>
      <c r="AJ72" s="40" t="s">
        <v>48</v>
      </c>
      <c r="AK72" s="70" t="s">
        <v>48</v>
      </c>
      <c r="AL72" s="40">
        <v>0.10713987847154359</v>
      </c>
      <c r="AM72" s="40" t="s">
        <v>48</v>
      </c>
      <c r="AN72" s="40" t="s">
        <v>48</v>
      </c>
    </row>
    <row r="73" spans="1:40" x14ac:dyDescent="0.3">
      <c r="A73" s="12">
        <v>64</v>
      </c>
      <c r="B73" s="33"/>
      <c r="C73" s="38" t="str">
        <f>Notes!U72</f>
        <v xml:space="preserve">         Coffee processing</v>
      </c>
      <c r="D73" s="4" t="s">
        <v>368</v>
      </c>
      <c r="E73" s="42" t="s">
        <v>48</v>
      </c>
      <c r="F73" s="40" t="s">
        <v>48</v>
      </c>
      <c r="G73" s="40" t="s">
        <v>48</v>
      </c>
      <c r="H73" s="40" t="s">
        <v>48</v>
      </c>
      <c r="I73" s="42" t="s">
        <v>48</v>
      </c>
      <c r="J73" s="40" t="s">
        <v>48</v>
      </c>
      <c r="K73" s="7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2" t="s">
        <v>48</v>
      </c>
      <c r="Q73" s="40" t="s">
        <v>48</v>
      </c>
      <c r="R73" s="40" t="s">
        <v>48</v>
      </c>
      <c r="S73" s="42" t="s">
        <v>48</v>
      </c>
      <c r="T73" s="40" t="s">
        <v>48</v>
      </c>
      <c r="U73" s="40" t="s">
        <v>48</v>
      </c>
      <c r="W73" s="33"/>
      <c r="X73" s="38" t="str">
        <f>Notes!U72</f>
        <v xml:space="preserve">         Coffee processing</v>
      </c>
      <c r="Y73" s="4" t="s">
        <v>368</v>
      </c>
      <c r="Z73" s="42" t="s">
        <v>48</v>
      </c>
      <c r="AA73" s="40" t="s">
        <v>48</v>
      </c>
      <c r="AB73" s="70" t="s">
        <v>48</v>
      </c>
      <c r="AC73" s="42" t="s">
        <v>48</v>
      </c>
      <c r="AD73" s="40" t="s">
        <v>48</v>
      </c>
      <c r="AE73" s="70" t="s">
        <v>48</v>
      </c>
      <c r="AF73" s="40" t="s">
        <v>48</v>
      </c>
      <c r="AG73" s="40" t="s">
        <v>48</v>
      </c>
      <c r="AH73" s="40" t="s">
        <v>48</v>
      </c>
      <c r="AI73" s="42" t="s">
        <v>48</v>
      </c>
      <c r="AJ73" s="40" t="s">
        <v>48</v>
      </c>
      <c r="AK73" s="70" t="s">
        <v>48</v>
      </c>
      <c r="AL73" s="40" t="s">
        <v>48</v>
      </c>
      <c r="AM73" s="40" t="s">
        <v>48</v>
      </c>
      <c r="AN73" s="40" t="s">
        <v>48</v>
      </c>
    </row>
    <row r="74" spans="1:40" x14ac:dyDescent="0.3">
      <c r="A74" s="12">
        <v>65</v>
      </c>
      <c r="B74" s="33"/>
      <c r="C74" s="38" t="str">
        <f>Notes!U73</f>
        <v xml:space="preserve">         Tea processing</v>
      </c>
      <c r="D74" s="4" t="s">
        <v>369</v>
      </c>
      <c r="E74" s="42" t="s">
        <v>48</v>
      </c>
      <c r="F74" s="40" t="s">
        <v>48</v>
      </c>
      <c r="G74" s="40" t="s">
        <v>48</v>
      </c>
      <c r="H74" s="40" t="s">
        <v>48</v>
      </c>
      <c r="I74" s="42" t="s">
        <v>48</v>
      </c>
      <c r="J74" s="40" t="s">
        <v>48</v>
      </c>
      <c r="K74" s="7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2" t="s">
        <v>48</v>
      </c>
      <c r="Q74" s="40" t="s">
        <v>48</v>
      </c>
      <c r="R74" s="40" t="s">
        <v>48</v>
      </c>
      <c r="S74" s="42" t="s">
        <v>48</v>
      </c>
      <c r="T74" s="40" t="s">
        <v>48</v>
      </c>
      <c r="U74" s="40" t="s">
        <v>48</v>
      </c>
      <c r="W74" s="33"/>
      <c r="X74" s="38" t="str">
        <f>Notes!U73</f>
        <v xml:space="preserve">         Tea processing</v>
      </c>
      <c r="Y74" s="4" t="s">
        <v>369</v>
      </c>
      <c r="Z74" s="42" t="s">
        <v>48</v>
      </c>
      <c r="AA74" s="40" t="s">
        <v>48</v>
      </c>
      <c r="AB74" s="70" t="s">
        <v>48</v>
      </c>
      <c r="AC74" s="42" t="s">
        <v>48</v>
      </c>
      <c r="AD74" s="40" t="s">
        <v>48</v>
      </c>
      <c r="AE74" s="70" t="s">
        <v>48</v>
      </c>
      <c r="AF74" s="40" t="s">
        <v>48</v>
      </c>
      <c r="AG74" s="40" t="s">
        <v>48</v>
      </c>
      <c r="AH74" s="40" t="s">
        <v>48</v>
      </c>
      <c r="AI74" s="42" t="s">
        <v>48</v>
      </c>
      <c r="AJ74" s="40" t="s">
        <v>48</v>
      </c>
      <c r="AK74" s="70" t="s">
        <v>48</v>
      </c>
      <c r="AL74" s="40" t="s">
        <v>48</v>
      </c>
      <c r="AM74" s="40" t="s">
        <v>48</v>
      </c>
      <c r="AN74" s="40" t="s">
        <v>48</v>
      </c>
    </row>
    <row r="75" spans="1:40" x14ac:dyDescent="0.3">
      <c r="A75" s="12">
        <v>66</v>
      </c>
      <c r="B75" s="33"/>
      <c r="C75" s="38" t="str">
        <f>Notes!U74</f>
        <v xml:space="preserve">         Other foods</v>
      </c>
      <c r="D75" s="4" t="s">
        <v>370</v>
      </c>
      <c r="E75" s="42">
        <v>0.73680164432661566</v>
      </c>
      <c r="F75" s="40">
        <v>0.87074635823126656</v>
      </c>
      <c r="G75" s="40">
        <v>0.86639863125508676</v>
      </c>
      <c r="H75" s="40">
        <v>0.90301942719895034</v>
      </c>
      <c r="I75" s="42">
        <v>2.7126641812977104</v>
      </c>
      <c r="J75" s="40" t="s">
        <v>48</v>
      </c>
      <c r="K75" s="70">
        <v>2.7606329755303545</v>
      </c>
      <c r="L75" s="40" t="s">
        <v>48</v>
      </c>
      <c r="M75" s="40" t="s">
        <v>48</v>
      </c>
      <c r="N75" s="40">
        <v>0.19753302236949141</v>
      </c>
      <c r="O75" s="40">
        <v>0.44041271054177589</v>
      </c>
      <c r="P75" s="42" t="s">
        <v>48</v>
      </c>
      <c r="Q75" s="40">
        <v>1.123366009138544</v>
      </c>
      <c r="R75" s="40">
        <v>4.1266937396020404</v>
      </c>
      <c r="S75" s="42">
        <v>7.515434421731479</v>
      </c>
      <c r="T75" s="40">
        <v>7.515434421731479</v>
      </c>
      <c r="U75" s="40">
        <v>7.5154344217314817</v>
      </c>
      <c r="W75" s="33"/>
      <c r="X75" s="38" t="str">
        <f>Notes!U74</f>
        <v xml:space="preserve">         Other foods</v>
      </c>
      <c r="Y75" s="4" t="s">
        <v>370</v>
      </c>
      <c r="Z75" s="42">
        <v>0.44041271054177589</v>
      </c>
      <c r="AA75" s="40">
        <v>1.760754952927466</v>
      </c>
      <c r="AB75" s="70">
        <v>0.21252549159548501</v>
      </c>
      <c r="AC75" s="42">
        <v>0.19753302236949141</v>
      </c>
      <c r="AD75" s="40" t="s">
        <v>48</v>
      </c>
      <c r="AE75" s="70" t="s">
        <v>48</v>
      </c>
      <c r="AF75" s="40">
        <v>0.90301942719895034</v>
      </c>
      <c r="AG75" s="40">
        <v>5.6222449727547792</v>
      </c>
      <c r="AH75" s="40">
        <v>4.1453892144653466</v>
      </c>
      <c r="AI75" s="42">
        <v>0.87074635823126656</v>
      </c>
      <c r="AJ75" s="40" t="s">
        <v>48</v>
      </c>
      <c r="AK75" s="70" t="s">
        <v>48</v>
      </c>
      <c r="AL75" s="40">
        <v>0.73680164432661566</v>
      </c>
      <c r="AM75" s="40" t="s">
        <v>48</v>
      </c>
      <c r="AN75" s="40" t="s">
        <v>48</v>
      </c>
    </row>
    <row r="76" spans="1:40" x14ac:dyDescent="0.3">
      <c r="A76" s="12">
        <v>67</v>
      </c>
      <c r="B76" s="33"/>
      <c r="C76" s="38" t="str">
        <f>Notes!U75</f>
        <v xml:space="preserve">         Animal feed</v>
      </c>
      <c r="D76" s="4" t="s">
        <v>371</v>
      </c>
      <c r="E76" s="42">
        <v>0.3663755979327879</v>
      </c>
      <c r="F76" s="40">
        <v>0.45254405103748346</v>
      </c>
      <c r="G76" s="40">
        <v>0.85635614829283191</v>
      </c>
      <c r="H76" s="40">
        <v>0.4918707214282258</v>
      </c>
      <c r="I76" s="42" t="s">
        <v>48</v>
      </c>
      <c r="J76" s="40" t="s">
        <v>48</v>
      </c>
      <c r="K76" s="70" t="s">
        <v>48</v>
      </c>
      <c r="L76" s="40" t="s">
        <v>48</v>
      </c>
      <c r="M76" s="40" t="s">
        <v>48</v>
      </c>
      <c r="N76" s="40" t="s">
        <v>48</v>
      </c>
      <c r="O76" s="40">
        <v>0.98039994165409738</v>
      </c>
      <c r="P76" s="42" t="s">
        <v>48</v>
      </c>
      <c r="Q76" s="40" t="s">
        <v>48</v>
      </c>
      <c r="R76" s="40">
        <v>15.192415229334857</v>
      </c>
      <c r="S76" s="42" t="s">
        <v>48</v>
      </c>
      <c r="T76" s="40">
        <v>4.7810135207667868</v>
      </c>
      <c r="U76" s="40">
        <v>4.7810135207667859</v>
      </c>
      <c r="W76" s="33"/>
      <c r="X76" s="38" t="str">
        <f>Notes!U75</f>
        <v xml:space="preserve">         Animal feed</v>
      </c>
      <c r="Y76" s="4" t="s">
        <v>371</v>
      </c>
      <c r="Z76" s="42">
        <v>0.98039994165409738</v>
      </c>
      <c r="AA76" s="40" t="s">
        <v>48</v>
      </c>
      <c r="AB76" s="70" t="s">
        <v>48</v>
      </c>
      <c r="AC76" s="42" t="s">
        <v>48</v>
      </c>
      <c r="AD76" s="40" t="s">
        <v>48</v>
      </c>
      <c r="AE76" s="70" t="s">
        <v>48</v>
      </c>
      <c r="AF76" s="40">
        <v>0.4918707214282258</v>
      </c>
      <c r="AG76" s="40" t="s">
        <v>48</v>
      </c>
      <c r="AH76" s="40" t="s">
        <v>48</v>
      </c>
      <c r="AI76" s="42">
        <v>0.45254405103748346</v>
      </c>
      <c r="AJ76" s="40" t="s">
        <v>48</v>
      </c>
      <c r="AK76" s="70" t="s">
        <v>48</v>
      </c>
      <c r="AL76" s="40">
        <v>0.3663755979327879</v>
      </c>
      <c r="AM76" s="40" t="s">
        <v>48</v>
      </c>
      <c r="AN76" s="40" t="s">
        <v>48</v>
      </c>
    </row>
    <row r="77" spans="1:40" x14ac:dyDescent="0.3">
      <c r="A77" s="12">
        <v>68</v>
      </c>
      <c r="B77" s="33"/>
      <c r="C77" s="38" t="str">
        <f>Notes!U76</f>
        <v xml:space="preserve">      Beverages and tobacco</v>
      </c>
      <c r="D77" s="4" t="s">
        <v>570</v>
      </c>
      <c r="E77" s="42">
        <v>0.46022998731144582</v>
      </c>
      <c r="F77" s="40">
        <v>1.0618210153361303</v>
      </c>
      <c r="G77" s="40">
        <v>0.35806846782666096</v>
      </c>
      <c r="H77" s="40">
        <v>1.1460516653969808</v>
      </c>
      <c r="I77" s="42">
        <v>3.3972409283387601</v>
      </c>
      <c r="J77" s="40" t="s">
        <v>48</v>
      </c>
      <c r="K77" s="70">
        <v>3.457315283348763</v>
      </c>
      <c r="L77" s="40" t="s">
        <v>48</v>
      </c>
      <c r="M77" s="40" t="s">
        <v>48</v>
      </c>
      <c r="N77" s="40">
        <v>0.29742041517978318</v>
      </c>
      <c r="O77" s="40">
        <v>0.10189902922472013</v>
      </c>
      <c r="P77" s="42" t="s">
        <v>48</v>
      </c>
      <c r="Q77" s="40">
        <v>1.3902932157062742</v>
      </c>
      <c r="R77" s="40">
        <v>0.69611493709495076</v>
      </c>
      <c r="S77" s="42">
        <v>7.2993096048081645</v>
      </c>
      <c r="T77" s="40">
        <v>7.2993096048081689</v>
      </c>
      <c r="U77" s="40">
        <v>19.248814092598842</v>
      </c>
      <c r="W77" s="33"/>
      <c r="X77" s="38" t="str">
        <f>Notes!U76</f>
        <v xml:space="preserve">      Beverages and tobacco</v>
      </c>
      <c r="Y77" s="4" t="s">
        <v>570</v>
      </c>
      <c r="Z77" s="42">
        <v>0.10189902922472013</v>
      </c>
      <c r="AA77" s="40" t="s">
        <v>48</v>
      </c>
      <c r="AB77" s="70" t="s">
        <v>48</v>
      </c>
      <c r="AC77" s="42">
        <v>0.29742041517978318</v>
      </c>
      <c r="AD77" s="40" t="s">
        <v>48</v>
      </c>
      <c r="AE77" s="70" t="s">
        <v>48</v>
      </c>
      <c r="AF77" s="40">
        <v>1.1460516653969808</v>
      </c>
      <c r="AG77" s="40" t="s">
        <v>48</v>
      </c>
      <c r="AH77" s="40" t="s">
        <v>48</v>
      </c>
      <c r="AI77" s="42">
        <v>1.0618210153361303</v>
      </c>
      <c r="AJ77" s="40" t="s">
        <v>48</v>
      </c>
      <c r="AK77" s="70" t="s">
        <v>48</v>
      </c>
      <c r="AL77" s="40">
        <v>0.46022998731144582</v>
      </c>
      <c r="AM77" s="40" t="s">
        <v>48</v>
      </c>
      <c r="AN77" s="40" t="s">
        <v>48</v>
      </c>
    </row>
    <row r="78" spans="1:40" x14ac:dyDescent="0.3">
      <c r="A78" s="12">
        <v>69</v>
      </c>
      <c r="B78" s="33"/>
      <c r="C78" s="38" t="str">
        <f>Notes!U77</f>
        <v xml:space="preserve">         Beverages</v>
      </c>
      <c r="D78" s="4" t="s">
        <v>372</v>
      </c>
      <c r="E78" s="42">
        <v>0.34709196546739057</v>
      </c>
      <c r="F78" s="40">
        <v>0.43987343055875316</v>
      </c>
      <c r="G78" s="40">
        <v>0.27898422199940426</v>
      </c>
      <c r="H78" s="40">
        <v>0.41047955692878957</v>
      </c>
      <c r="I78" s="42">
        <v>1.2171240562117556</v>
      </c>
      <c r="J78" s="40" t="s">
        <v>48</v>
      </c>
      <c r="K78" s="70">
        <v>1.2386467989863854</v>
      </c>
      <c r="L78" s="40" t="s">
        <v>48</v>
      </c>
      <c r="M78" s="40" t="s">
        <v>48</v>
      </c>
      <c r="N78" s="40">
        <v>0.29742041517978318</v>
      </c>
      <c r="O78" s="40">
        <v>0.10189902922472013</v>
      </c>
      <c r="P78" s="42" t="s">
        <v>48</v>
      </c>
      <c r="Q78" s="40">
        <v>3.3560621109598689</v>
      </c>
      <c r="R78" s="40">
        <v>1.943540596599755</v>
      </c>
      <c r="S78" s="42">
        <v>7.2993096048081645</v>
      </c>
      <c r="T78" s="40">
        <v>7.2993096048081689</v>
      </c>
      <c r="U78" s="40">
        <v>7.2993096048081654</v>
      </c>
      <c r="W78" s="33"/>
      <c r="X78" s="38" t="str">
        <f>Notes!U77</f>
        <v xml:space="preserve">         Beverages</v>
      </c>
      <c r="Y78" s="4" t="s">
        <v>372</v>
      </c>
      <c r="Z78" s="42">
        <v>0.10189902922472013</v>
      </c>
      <c r="AA78" s="40" t="s">
        <v>48</v>
      </c>
      <c r="AB78" s="70" t="s">
        <v>48</v>
      </c>
      <c r="AC78" s="42">
        <v>0.29742041517978318</v>
      </c>
      <c r="AD78" s="40" t="s">
        <v>48</v>
      </c>
      <c r="AE78" s="70" t="s">
        <v>48</v>
      </c>
      <c r="AF78" s="40">
        <v>0.41047955692878957</v>
      </c>
      <c r="AG78" s="40" t="s">
        <v>48</v>
      </c>
      <c r="AH78" s="40" t="s">
        <v>48</v>
      </c>
      <c r="AI78" s="42">
        <v>0.43987343055875316</v>
      </c>
      <c r="AJ78" s="40" t="s">
        <v>48</v>
      </c>
      <c r="AK78" s="70" t="s">
        <v>48</v>
      </c>
      <c r="AL78" s="40">
        <v>0.34709196546739057</v>
      </c>
      <c r="AM78" s="40" t="s">
        <v>48</v>
      </c>
      <c r="AN78" s="40" t="s">
        <v>48</v>
      </c>
    </row>
    <row r="79" spans="1:40" x14ac:dyDescent="0.3">
      <c r="A79" s="12">
        <v>70</v>
      </c>
      <c r="B79" s="33"/>
      <c r="C79" s="38" t="str">
        <f>Notes!U78</f>
        <v xml:space="preserve">         Tobacco processing</v>
      </c>
      <c r="D79" s="4" t="s">
        <v>373</v>
      </c>
      <c r="E79" s="42">
        <v>0.11313802184405525</v>
      </c>
      <c r="F79" s="40">
        <v>0.6219475847773771</v>
      </c>
      <c r="G79" s="40">
        <v>7.9084245827256733E-2</v>
      </c>
      <c r="H79" s="40">
        <v>0.73557210846819121</v>
      </c>
      <c r="I79" s="42">
        <v>2.1801168721270039</v>
      </c>
      <c r="J79" s="40" t="s">
        <v>48</v>
      </c>
      <c r="K79" s="70">
        <v>2.218668484362377</v>
      </c>
      <c r="L79" s="40" t="s">
        <v>48</v>
      </c>
      <c r="M79" s="40" t="s">
        <v>48</v>
      </c>
      <c r="N79" s="40" t="s">
        <v>48</v>
      </c>
      <c r="O79" s="40" t="s">
        <v>48</v>
      </c>
      <c r="P79" s="42" t="s">
        <v>48</v>
      </c>
      <c r="Q79" s="40" t="s">
        <v>48</v>
      </c>
      <c r="R79" s="40" t="s">
        <v>48</v>
      </c>
      <c r="S79" s="42" t="s">
        <v>48</v>
      </c>
      <c r="T79" s="40" t="s">
        <v>48</v>
      </c>
      <c r="U79" s="40">
        <v>25.787528727502757</v>
      </c>
      <c r="W79" s="33"/>
      <c r="X79" s="38" t="str">
        <f>Notes!U78</f>
        <v xml:space="preserve">         Tobacco processing</v>
      </c>
      <c r="Y79" s="4" t="s">
        <v>373</v>
      </c>
      <c r="Z79" s="42" t="s">
        <v>48</v>
      </c>
      <c r="AA79" s="40" t="s">
        <v>48</v>
      </c>
      <c r="AB79" s="70" t="s">
        <v>48</v>
      </c>
      <c r="AC79" s="42" t="s">
        <v>48</v>
      </c>
      <c r="AD79" s="40" t="s">
        <v>48</v>
      </c>
      <c r="AE79" s="70" t="s">
        <v>48</v>
      </c>
      <c r="AF79" s="40">
        <v>0.73557210846819121</v>
      </c>
      <c r="AG79" s="40" t="s">
        <v>48</v>
      </c>
      <c r="AH79" s="40" t="s">
        <v>48</v>
      </c>
      <c r="AI79" s="42">
        <v>0.6219475847773771</v>
      </c>
      <c r="AJ79" s="40" t="s">
        <v>48</v>
      </c>
      <c r="AK79" s="70" t="s">
        <v>48</v>
      </c>
      <c r="AL79" s="40">
        <v>0.11313802184405525</v>
      </c>
      <c r="AM79" s="40" t="s">
        <v>48</v>
      </c>
      <c r="AN79" s="40" t="s">
        <v>48</v>
      </c>
    </row>
    <row r="80" spans="1:40" x14ac:dyDescent="0.3">
      <c r="A80" s="12">
        <v>71</v>
      </c>
      <c r="B80" s="33"/>
      <c r="C80" s="38" t="str">
        <f>Notes!U79</f>
        <v xml:space="preserve">      Textiles, clothing and leather</v>
      </c>
      <c r="D80" s="4" t="s">
        <v>374</v>
      </c>
      <c r="E80" s="42">
        <v>8.317503488580428</v>
      </c>
      <c r="F80" s="40">
        <v>10.021368990533196</v>
      </c>
      <c r="G80" s="40">
        <v>14.079551648114167</v>
      </c>
      <c r="H80" s="40">
        <v>7.7984569712282878</v>
      </c>
      <c r="I80" s="42">
        <v>11.631567369358081</v>
      </c>
      <c r="J80" s="40" t="s">
        <v>48</v>
      </c>
      <c r="K80" s="70">
        <v>11.837251606128204</v>
      </c>
      <c r="L80" s="40" t="s">
        <v>48</v>
      </c>
      <c r="M80" s="40" t="s">
        <v>48</v>
      </c>
      <c r="N80" s="40">
        <v>71.024906579312486</v>
      </c>
      <c r="O80" s="40">
        <v>16.49126800517611</v>
      </c>
      <c r="P80" s="42" t="s">
        <v>48</v>
      </c>
      <c r="Q80" s="40">
        <v>34.584424929066898</v>
      </c>
      <c r="R80" s="40">
        <v>17.301244514685202</v>
      </c>
      <c r="S80" s="42">
        <v>8.863235296633567</v>
      </c>
      <c r="T80" s="40">
        <v>10.064766153597009</v>
      </c>
      <c r="U80" s="40">
        <v>10.198708058138987</v>
      </c>
      <c r="W80" s="33"/>
      <c r="X80" s="38" t="str">
        <f>Notes!U79</f>
        <v xml:space="preserve">      Textiles, clothing and leather</v>
      </c>
      <c r="Y80" s="4" t="s">
        <v>374</v>
      </c>
      <c r="Z80" s="42">
        <v>16.49126800517611</v>
      </c>
      <c r="AA80" s="40">
        <v>0.72333816541427887</v>
      </c>
      <c r="AB80" s="70">
        <v>3.2692467163552843</v>
      </c>
      <c r="AC80" s="42">
        <v>71.024906579312486</v>
      </c>
      <c r="AD80" s="40">
        <v>1.479451237182556E-4</v>
      </c>
      <c r="AE80" s="70">
        <v>100</v>
      </c>
      <c r="AF80" s="40">
        <v>7.7984569712282878</v>
      </c>
      <c r="AG80" s="40">
        <v>0.65035048277420038</v>
      </c>
      <c r="AH80" s="40">
        <v>4.1410893570953275</v>
      </c>
      <c r="AI80" s="42">
        <v>10.021368990533196</v>
      </c>
      <c r="AJ80" s="40" t="s">
        <v>48</v>
      </c>
      <c r="AK80" s="70" t="s">
        <v>48</v>
      </c>
      <c r="AL80" s="40">
        <v>8.317503488580428</v>
      </c>
      <c r="AM80" s="40" t="s">
        <v>48</v>
      </c>
      <c r="AN80" s="40" t="s">
        <v>48</v>
      </c>
    </row>
    <row r="81" spans="1:40" x14ac:dyDescent="0.3">
      <c r="A81" s="12">
        <v>72</v>
      </c>
      <c r="B81" s="33"/>
      <c r="C81" s="38" t="str">
        <f>Notes!U80</f>
        <v xml:space="preserve">         Jute baling</v>
      </c>
      <c r="D81" s="4" t="s">
        <v>726</v>
      </c>
      <c r="E81" s="42">
        <v>7.4761094487573357E-2</v>
      </c>
      <c r="F81" s="40">
        <v>8.4279372027887711E-2</v>
      </c>
      <c r="G81" s="40">
        <v>0.11082036082683111</v>
      </c>
      <c r="H81" s="40">
        <v>3.6546495455670293E-3</v>
      </c>
      <c r="I81" s="42" t="s">
        <v>48</v>
      </c>
      <c r="J81" s="40" t="s">
        <v>48</v>
      </c>
      <c r="K81" s="70" t="s">
        <v>48</v>
      </c>
      <c r="L81" s="40" t="s">
        <v>48</v>
      </c>
      <c r="M81" s="40" t="s">
        <v>48</v>
      </c>
      <c r="N81" s="40">
        <v>1.5593012280218344</v>
      </c>
      <c r="O81" s="40" t="s">
        <v>48</v>
      </c>
      <c r="P81" s="42" t="s">
        <v>48</v>
      </c>
      <c r="Q81" s="40">
        <v>95.249637927487555</v>
      </c>
      <c r="R81" s="40" t="s">
        <v>48</v>
      </c>
      <c r="S81" s="42">
        <v>3.8497035482405262</v>
      </c>
      <c r="T81" s="40" t="s">
        <v>48</v>
      </c>
      <c r="U81" s="40">
        <v>3.8497035482405408</v>
      </c>
      <c r="W81" s="33"/>
      <c r="X81" s="38" t="str">
        <f>Notes!U80</f>
        <v xml:space="preserve">         Jute baling</v>
      </c>
      <c r="Y81" s="4" t="s">
        <v>726</v>
      </c>
      <c r="Z81" s="42" t="s">
        <v>48</v>
      </c>
      <c r="AA81" s="40" t="s">
        <v>48</v>
      </c>
      <c r="AB81" s="70" t="s">
        <v>48</v>
      </c>
      <c r="AC81" s="42">
        <v>1.5593012280218344</v>
      </c>
      <c r="AD81" s="40" t="s">
        <v>48</v>
      </c>
      <c r="AE81" s="70" t="s">
        <v>48</v>
      </c>
      <c r="AF81" s="40">
        <v>3.6546495455670293E-3</v>
      </c>
      <c r="AG81" s="40" t="s">
        <v>48</v>
      </c>
      <c r="AH81" s="40" t="s">
        <v>48</v>
      </c>
      <c r="AI81" s="42">
        <v>8.4279372027887711E-2</v>
      </c>
      <c r="AJ81" s="40" t="s">
        <v>48</v>
      </c>
      <c r="AK81" s="70" t="s">
        <v>48</v>
      </c>
      <c r="AL81" s="40">
        <v>7.4761094487573357E-2</v>
      </c>
      <c r="AM81" s="40" t="s">
        <v>48</v>
      </c>
      <c r="AN81" s="40" t="s">
        <v>48</v>
      </c>
    </row>
    <row r="82" spans="1:40" x14ac:dyDescent="0.3">
      <c r="A82" s="12">
        <v>73</v>
      </c>
      <c r="B82" s="33"/>
      <c r="C82" s="38" t="str">
        <f>Notes!U81</f>
        <v xml:space="preserve">         Jute fabrication</v>
      </c>
      <c r="D82" s="4" t="s">
        <v>728</v>
      </c>
      <c r="E82" s="42">
        <v>4.9706312191795006E-2</v>
      </c>
      <c r="F82" s="40">
        <v>8.1334190212430893E-2</v>
      </c>
      <c r="G82" s="40">
        <v>0.12302625568609744</v>
      </c>
      <c r="H82" s="40">
        <v>7.4173902786611082E-2</v>
      </c>
      <c r="I82" s="42">
        <v>0.24120265793696793</v>
      </c>
      <c r="J82" s="40" t="s">
        <v>48</v>
      </c>
      <c r="K82" s="70">
        <v>0.24546791153773254</v>
      </c>
      <c r="L82" s="40" t="s">
        <v>48</v>
      </c>
      <c r="M82" s="40" t="s">
        <v>48</v>
      </c>
      <c r="N82" s="40" t="s">
        <v>48</v>
      </c>
      <c r="O82" s="40" t="s">
        <v>48</v>
      </c>
      <c r="P82" s="42" t="s">
        <v>48</v>
      </c>
      <c r="Q82" s="40" t="s">
        <v>48</v>
      </c>
      <c r="R82" s="40" t="s">
        <v>48</v>
      </c>
      <c r="S82" s="42" t="s">
        <v>48</v>
      </c>
      <c r="T82" s="40" t="s">
        <v>48</v>
      </c>
      <c r="U82" s="40">
        <v>3.7567283695990259</v>
      </c>
      <c r="W82" s="33"/>
      <c r="X82" s="38" t="str">
        <f>Notes!U81</f>
        <v xml:space="preserve">         Jute fabrication</v>
      </c>
      <c r="Y82" s="4" t="s">
        <v>728</v>
      </c>
      <c r="Z82" s="42" t="s">
        <v>48</v>
      </c>
      <c r="AA82" s="40" t="s">
        <v>48</v>
      </c>
      <c r="AB82" s="70" t="s">
        <v>48</v>
      </c>
      <c r="AC82" s="42" t="s">
        <v>48</v>
      </c>
      <c r="AD82" s="40" t="s">
        <v>48</v>
      </c>
      <c r="AE82" s="70" t="s">
        <v>48</v>
      </c>
      <c r="AF82" s="40">
        <v>7.4173902786611082E-2</v>
      </c>
      <c r="AG82" s="40" t="s">
        <v>48</v>
      </c>
      <c r="AH82" s="40" t="s">
        <v>48</v>
      </c>
      <c r="AI82" s="42">
        <v>8.1334190212430893E-2</v>
      </c>
      <c r="AJ82" s="40" t="s">
        <v>48</v>
      </c>
      <c r="AK82" s="70" t="s">
        <v>48</v>
      </c>
      <c r="AL82" s="40">
        <v>4.9706312191795006E-2</v>
      </c>
      <c r="AM82" s="40" t="s">
        <v>48</v>
      </c>
      <c r="AN82" s="40" t="s">
        <v>48</v>
      </c>
    </row>
    <row r="83" spans="1:40" x14ac:dyDescent="0.3">
      <c r="A83" s="12">
        <v>74</v>
      </c>
      <c r="B83" s="33"/>
      <c r="C83" s="38" t="str">
        <f>Notes!U82</f>
        <v xml:space="preserve">         Cotton yarn</v>
      </c>
      <c r="D83" s="4" t="s">
        <v>730</v>
      </c>
      <c r="E83" s="42">
        <v>0.12218707783537204</v>
      </c>
      <c r="F83" s="40">
        <v>0.14817036222631733</v>
      </c>
      <c r="G83" s="40">
        <v>0.23712581520952672</v>
      </c>
      <c r="H83" s="40">
        <v>0.57461887967012037</v>
      </c>
      <c r="I83" s="42">
        <v>9.7854548043690374E-3</v>
      </c>
      <c r="J83" s="40" t="s">
        <v>48</v>
      </c>
      <c r="K83" s="70">
        <v>9.9584937198455067E-3</v>
      </c>
      <c r="L83" s="40" t="s">
        <v>48</v>
      </c>
      <c r="M83" s="40" t="s">
        <v>48</v>
      </c>
      <c r="N83" s="40" t="s">
        <v>48</v>
      </c>
      <c r="O83" s="40">
        <v>5.1185766186040258</v>
      </c>
      <c r="P83" s="42" t="s">
        <v>48</v>
      </c>
      <c r="Q83" s="40" t="s">
        <v>48</v>
      </c>
      <c r="R83" s="40">
        <v>74.235596576555267</v>
      </c>
      <c r="S83" s="42" t="s">
        <v>48</v>
      </c>
      <c r="T83" s="40">
        <v>12.156481628336023</v>
      </c>
      <c r="U83" s="40">
        <v>12.156481628336021</v>
      </c>
      <c r="W83" s="33"/>
      <c r="X83" s="38" t="str">
        <f>Notes!U82</f>
        <v xml:space="preserve">         Cotton yarn</v>
      </c>
      <c r="Y83" s="4" t="s">
        <v>730</v>
      </c>
      <c r="Z83" s="42">
        <v>5.1185766186040258</v>
      </c>
      <c r="AA83" s="40">
        <v>0.86826161890936515</v>
      </c>
      <c r="AB83" s="70">
        <v>1.2180134342471121</v>
      </c>
      <c r="AC83" s="42" t="s">
        <v>48</v>
      </c>
      <c r="AD83" s="40" t="s">
        <v>48</v>
      </c>
      <c r="AE83" s="70" t="s">
        <v>48</v>
      </c>
      <c r="AF83" s="40">
        <v>0.57461887967012037</v>
      </c>
      <c r="AG83" s="40" t="s">
        <v>48</v>
      </c>
      <c r="AH83" s="40" t="s">
        <v>48</v>
      </c>
      <c r="AI83" s="42">
        <v>0.14817036222631733</v>
      </c>
      <c r="AJ83" s="40" t="s">
        <v>48</v>
      </c>
      <c r="AK83" s="70" t="s">
        <v>48</v>
      </c>
      <c r="AL83" s="40">
        <v>0.12218707783537204</v>
      </c>
      <c r="AM83" s="40" t="s">
        <v>48</v>
      </c>
      <c r="AN83" s="40" t="s">
        <v>48</v>
      </c>
    </row>
    <row r="84" spans="1:40" x14ac:dyDescent="0.3">
      <c r="A84" s="12">
        <v>75</v>
      </c>
      <c r="B84" s="33"/>
      <c r="C84" s="38" t="str">
        <f>Notes!U83</f>
        <v xml:space="preserve">         Textiles</v>
      </c>
      <c r="D84" s="4" t="s">
        <v>375</v>
      </c>
      <c r="E84" s="42">
        <v>1.0233706989923297</v>
      </c>
      <c r="F84" s="40">
        <v>1.248426481447745</v>
      </c>
      <c r="G84" s="40">
        <v>1.8163098724735434</v>
      </c>
      <c r="H84" s="40">
        <v>2.0710488165998497</v>
      </c>
      <c r="I84" s="42">
        <v>2.9995357091793982</v>
      </c>
      <c r="J84" s="40" t="s">
        <v>48</v>
      </c>
      <c r="K84" s="70">
        <v>3.0525773323257845</v>
      </c>
      <c r="L84" s="40" t="s">
        <v>48</v>
      </c>
      <c r="M84" s="40" t="s">
        <v>48</v>
      </c>
      <c r="N84" s="40">
        <v>1.7301490191600792</v>
      </c>
      <c r="O84" s="40">
        <v>11.372691386572084</v>
      </c>
      <c r="P84" s="42" t="s">
        <v>48</v>
      </c>
      <c r="Q84" s="40">
        <v>6.7459593524861861</v>
      </c>
      <c r="R84" s="40">
        <v>44.845112329763744</v>
      </c>
      <c r="S84" s="42">
        <v>9.0884200333015528</v>
      </c>
      <c r="T84" s="40">
        <v>9.088420033301551</v>
      </c>
      <c r="U84" s="40">
        <v>9.0884200333015546</v>
      </c>
      <c r="W84" s="33"/>
      <c r="X84" s="38" t="str">
        <f>Notes!U83</f>
        <v xml:space="preserve">         Textiles</v>
      </c>
      <c r="Y84" s="4" t="s">
        <v>375</v>
      </c>
      <c r="Z84" s="42">
        <v>11.372691386572084</v>
      </c>
      <c r="AA84" s="40">
        <v>0.65811158224829636</v>
      </c>
      <c r="AB84" s="70">
        <v>2.0512332821081722</v>
      </c>
      <c r="AC84" s="42">
        <v>1.7301490191600792</v>
      </c>
      <c r="AD84" s="40" t="s">
        <v>48</v>
      </c>
      <c r="AE84" s="70" t="s">
        <v>48</v>
      </c>
      <c r="AF84" s="40">
        <v>2.0710488165998497</v>
      </c>
      <c r="AG84" s="40">
        <v>1.6021868247187365</v>
      </c>
      <c r="AH84" s="40">
        <v>2.7093302533014478</v>
      </c>
      <c r="AI84" s="42">
        <v>1.248426481447745</v>
      </c>
      <c r="AJ84" s="40" t="s">
        <v>48</v>
      </c>
      <c r="AK84" s="70" t="s">
        <v>48</v>
      </c>
      <c r="AL84" s="40">
        <v>1.0233706989923297</v>
      </c>
      <c r="AM84" s="40" t="s">
        <v>48</v>
      </c>
      <c r="AN84" s="40" t="s">
        <v>48</v>
      </c>
    </row>
    <row r="85" spans="1:40" x14ac:dyDescent="0.3">
      <c r="A85" s="12">
        <v>76</v>
      </c>
      <c r="B85" s="33"/>
      <c r="C85" s="38" t="str">
        <f>Notes!U84</f>
        <v xml:space="preserve">         Clothing</v>
      </c>
      <c r="D85" s="4" t="s">
        <v>376</v>
      </c>
      <c r="E85" s="42">
        <v>6.1543026698061105</v>
      </c>
      <c r="F85" s="40">
        <v>6.9899387573944276</v>
      </c>
      <c r="G85" s="40">
        <v>10.547958510126866</v>
      </c>
      <c r="H85" s="40">
        <v>3.6877499598955117</v>
      </c>
      <c r="I85" s="42">
        <v>7.7368339265997523</v>
      </c>
      <c r="J85" s="40" t="s">
        <v>48</v>
      </c>
      <c r="K85" s="70">
        <v>7.8736465100355897</v>
      </c>
      <c r="L85" s="40" t="s">
        <v>48</v>
      </c>
      <c r="M85" s="40" t="s">
        <v>48</v>
      </c>
      <c r="N85" s="40">
        <v>64.888063279781576</v>
      </c>
      <c r="O85" s="40" t="s">
        <v>48</v>
      </c>
      <c r="P85" s="42" t="s">
        <v>48</v>
      </c>
      <c r="Q85" s="40">
        <v>45.380694953296228</v>
      </c>
      <c r="R85" s="40" t="s">
        <v>48</v>
      </c>
      <c r="S85" s="42">
        <v>8.698812028853693</v>
      </c>
      <c r="T85" s="40" t="s">
        <v>48</v>
      </c>
      <c r="U85" s="40">
        <v>8.6988120288536965</v>
      </c>
      <c r="W85" s="33"/>
      <c r="X85" s="38" t="str">
        <f>Notes!U84</f>
        <v xml:space="preserve">         Clothing</v>
      </c>
      <c r="Y85" s="4" t="s">
        <v>376</v>
      </c>
      <c r="Z85" s="42" t="s">
        <v>48</v>
      </c>
      <c r="AA85" s="40" t="s">
        <v>48</v>
      </c>
      <c r="AB85" s="70" t="s">
        <v>48</v>
      </c>
      <c r="AC85" s="42">
        <v>64.888063279781576</v>
      </c>
      <c r="AD85" s="40">
        <v>1.6193715854404374E-4</v>
      </c>
      <c r="AE85" s="70">
        <v>100</v>
      </c>
      <c r="AF85" s="40">
        <v>3.6877499598955117</v>
      </c>
      <c r="AG85" s="40">
        <v>0.47549946387260478</v>
      </c>
      <c r="AH85" s="40">
        <v>1.4317591037938799</v>
      </c>
      <c r="AI85" s="42">
        <v>6.9899387573944276</v>
      </c>
      <c r="AJ85" s="40" t="s">
        <v>48</v>
      </c>
      <c r="AK85" s="70" t="s">
        <v>48</v>
      </c>
      <c r="AL85" s="40">
        <v>6.1543026698061105</v>
      </c>
      <c r="AM85" s="40" t="s">
        <v>48</v>
      </c>
      <c r="AN85" s="40" t="s">
        <v>48</v>
      </c>
    </row>
    <row r="86" spans="1:40" x14ac:dyDescent="0.3">
      <c r="A86" s="12">
        <v>77</v>
      </c>
      <c r="B86" s="33"/>
      <c r="C86" s="38" t="str">
        <f>Notes!U85</f>
        <v xml:space="preserve">         Leather and footwear</v>
      </c>
      <c r="D86" s="4" t="s">
        <v>377</v>
      </c>
      <c r="E86" s="42">
        <v>0.89317563526724841</v>
      </c>
      <c r="F86" s="40">
        <v>1.4692198272243879</v>
      </c>
      <c r="G86" s="40">
        <v>1.2443108337913045</v>
      </c>
      <c r="H86" s="40">
        <v>1.387210762730628</v>
      </c>
      <c r="I86" s="42">
        <v>0.64420962083759548</v>
      </c>
      <c r="J86" s="40" t="s">
        <v>48</v>
      </c>
      <c r="K86" s="70">
        <v>0.65560135850925405</v>
      </c>
      <c r="L86" s="40" t="s">
        <v>48</v>
      </c>
      <c r="M86" s="40" t="s">
        <v>48</v>
      </c>
      <c r="N86" s="40">
        <v>2.8473930523489943</v>
      </c>
      <c r="O86" s="40" t="s">
        <v>48</v>
      </c>
      <c r="P86" s="42" t="s">
        <v>48</v>
      </c>
      <c r="Q86" s="40">
        <v>8.7975882435699795</v>
      </c>
      <c r="R86" s="40" t="s">
        <v>48</v>
      </c>
      <c r="S86" s="42">
        <v>15.218906205119476</v>
      </c>
      <c r="T86" s="40" t="s">
        <v>48</v>
      </c>
      <c r="U86" s="40">
        <v>15.218906205119472</v>
      </c>
      <c r="W86" s="33"/>
      <c r="X86" s="38" t="str">
        <f>Notes!U85</f>
        <v xml:space="preserve">         Leather and footwear</v>
      </c>
      <c r="Y86" s="4" t="s">
        <v>377</v>
      </c>
      <c r="Z86" s="42" t="s">
        <v>48</v>
      </c>
      <c r="AA86" s="40" t="s">
        <v>48</v>
      </c>
      <c r="AB86" s="70" t="s">
        <v>48</v>
      </c>
      <c r="AC86" s="42">
        <v>2.8473930523489943</v>
      </c>
      <c r="AD86" s="40" t="s">
        <v>48</v>
      </c>
      <c r="AE86" s="70" t="s">
        <v>48</v>
      </c>
      <c r="AF86" s="40">
        <v>1.387210762730628</v>
      </c>
      <c r="AG86" s="40" t="s">
        <v>48</v>
      </c>
      <c r="AH86" s="40" t="s">
        <v>48</v>
      </c>
      <c r="AI86" s="42">
        <v>1.4692198272243879</v>
      </c>
      <c r="AJ86" s="40" t="s">
        <v>48</v>
      </c>
      <c r="AK86" s="70" t="s">
        <v>48</v>
      </c>
      <c r="AL86" s="40">
        <v>0.89317563526724841</v>
      </c>
      <c r="AM86" s="40" t="s">
        <v>48</v>
      </c>
      <c r="AN86" s="40" t="s">
        <v>48</v>
      </c>
    </row>
    <row r="87" spans="1:40" x14ac:dyDescent="0.3">
      <c r="A87" s="12">
        <v>78</v>
      </c>
      <c r="B87" s="33"/>
      <c r="C87" s="38" t="str">
        <f>Notes!U86</f>
        <v xml:space="preserve">      Wood and paper products</v>
      </c>
      <c r="D87" s="4" t="s">
        <v>378</v>
      </c>
      <c r="E87" s="42">
        <v>0.64116577474350667</v>
      </c>
      <c r="F87" s="40">
        <v>1.4123104089955751</v>
      </c>
      <c r="G87" s="40">
        <v>0.76339970851678562</v>
      </c>
      <c r="H87" s="40">
        <v>1.5851099709720211</v>
      </c>
      <c r="I87" s="42">
        <v>0.7467579554760817</v>
      </c>
      <c r="J87" s="40" t="s">
        <v>48</v>
      </c>
      <c r="K87" s="70">
        <v>0.75996308383468514</v>
      </c>
      <c r="L87" s="40" t="s">
        <v>48</v>
      </c>
      <c r="M87" s="40" t="s">
        <v>48</v>
      </c>
      <c r="N87" s="40" t="s">
        <v>48</v>
      </c>
      <c r="O87" s="40">
        <v>1.2619011056731981</v>
      </c>
      <c r="P87" s="42" t="s">
        <v>48</v>
      </c>
      <c r="Q87" s="40" t="s">
        <v>48</v>
      </c>
      <c r="R87" s="40">
        <v>9.399749422013107</v>
      </c>
      <c r="S87" s="42" t="s">
        <v>48</v>
      </c>
      <c r="T87" s="40">
        <v>32.525962045208097</v>
      </c>
      <c r="U87" s="40">
        <v>13.176448695177781</v>
      </c>
      <c r="W87" s="33"/>
      <c r="X87" s="38" t="str">
        <f>Notes!U86</f>
        <v xml:space="preserve">      Wood and paper products</v>
      </c>
      <c r="Y87" s="4" t="s">
        <v>378</v>
      </c>
      <c r="Z87" s="42">
        <v>1.2619011056731981</v>
      </c>
      <c r="AA87" s="40">
        <v>9.1292478686874059</v>
      </c>
      <c r="AB87" s="70">
        <v>3.1572762733514996</v>
      </c>
      <c r="AC87" s="42" t="s">
        <v>48</v>
      </c>
      <c r="AD87" s="40" t="s">
        <v>48</v>
      </c>
      <c r="AE87" s="70" t="s">
        <v>48</v>
      </c>
      <c r="AF87" s="40">
        <v>1.5851099709720211</v>
      </c>
      <c r="AG87" s="40">
        <v>0.58493998029383365</v>
      </c>
      <c r="AH87" s="40">
        <v>0.7570580097382672</v>
      </c>
      <c r="AI87" s="42">
        <v>1.4123104089955751</v>
      </c>
      <c r="AJ87" s="40" t="s">
        <v>48</v>
      </c>
      <c r="AK87" s="70" t="s">
        <v>48</v>
      </c>
      <c r="AL87" s="40">
        <v>0.64116577474350667</v>
      </c>
      <c r="AM87" s="40" t="s">
        <v>48</v>
      </c>
      <c r="AN87" s="40" t="s">
        <v>48</v>
      </c>
    </row>
    <row r="88" spans="1:40" x14ac:dyDescent="0.3">
      <c r="A88" s="12">
        <v>79</v>
      </c>
      <c r="B88" s="33"/>
      <c r="C88" s="38" t="str">
        <f>Notes!U87</f>
        <v xml:space="preserve">         Wood products</v>
      </c>
      <c r="D88" s="4" t="s">
        <v>380</v>
      </c>
      <c r="E88" s="42">
        <v>0.42748718642660505</v>
      </c>
      <c r="F88" s="40">
        <v>1.1561183288408448</v>
      </c>
      <c r="G88" s="40">
        <v>0.45911436270113237</v>
      </c>
      <c r="H88" s="40">
        <v>1.0944576764518483</v>
      </c>
      <c r="I88" s="42">
        <v>0.24137113372292582</v>
      </c>
      <c r="J88" s="40" t="s">
        <v>48</v>
      </c>
      <c r="K88" s="70">
        <v>0.24563936652781215</v>
      </c>
      <c r="L88" s="40" t="s">
        <v>48</v>
      </c>
      <c r="M88" s="40" t="s">
        <v>48</v>
      </c>
      <c r="N88" s="40" t="s">
        <v>48</v>
      </c>
      <c r="O88" s="40" t="s">
        <v>48</v>
      </c>
      <c r="P88" s="42" t="s">
        <v>48</v>
      </c>
      <c r="Q88" s="40" t="s">
        <v>48</v>
      </c>
      <c r="R88" s="40" t="s">
        <v>48</v>
      </c>
      <c r="S88" s="42" t="s">
        <v>48</v>
      </c>
      <c r="T88" s="40" t="s">
        <v>48</v>
      </c>
      <c r="U88" s="40">
        <v>7.284642736328208</v>
      </c>
      <c r="W88" s="33"/>
      <c r="X88" s="38" t="str">
        <f>Notes!U87</f>
        <v xml:space="preserve">         Wood products</v>
      </c>
      <c r="Y88" s="4" t="s">
        <v>380</v>
      </c>
      <c r="Z88" s="42" t="s">
        <v>48</v>
      </c>
      <c r="AA88" s="40" t="s">
        <v>48</v>
      </c>
      <c r="AB88" s="70" t="s">
        <v>48</v>
      </c>
      <c r="AC88" s="42" t="s">
        <v>48</v>
      </c>
      <c r="AD88" s="40" t="s">
        <v>48</v>
      </c>
      <c r="AE88" s="70" t="s">
        <v>48</v>
      </c>
      <c r="AF88" s="40">
        <v>1.0944576764518483</v>
      </c>
      <c r="AG88" s="40" t="s">
        <v>48</v>
      </c>
      <c r="AH88" s="40" t="s">
        <v>48</v>
      </c>
      <c r="AI88" s="42">
        <v>1.1561183288408448</v>
      </c>
      <c r="AJ88" s="40" t="s">
        <v>48</v>
      </c>
      <c r="AK88" s="70" t="s">
        <v>48</v>
      </c>
      <c r="AL88" s="40">
        <v>0.42748718642660505</v>
      </c>
      <c r="AM88" s="40" t="s">
        <v>48</v>
      </c>
      <c r="AN88" s="40" t="s">
        <v>48</v>
      </c>
    </row>
    <row r="89" spans="1:40" x14ac:dyDescent="0.3">
      <c r="A89" s="12">
        <v>80</v>
      </c>
      <c r="B89" s="33"/>
      <c r="C89" s="38" t="str">
        <f>Notes!U88</f>
        <v xml:space="preserve">         Paper products and publishing</v>
      </c>
      <c r="D89" s="4" t="s">
        <v>381</v>
      </c>
      <c r="E89" s="42">
        <v>0.21367858831690154</v>
      </c>
      <c r="F89" s="40">
        <v>0.25619208015473027</v>
      </c>
      <c r="G89" s="40">
        <v>0.3042853458156532</v>
      </c>
      <c r="H89" s="40">
        <v>0.49065229452017267</v>
      </c>
      <c r="I89" s="42">
        <v>0.50538682175315597</v>
      </c>
      <c r="J89" s="40" t="s">
        <v>48</v>
      </c>
      <c r="K89" s="70">
        <v>0.5143237173068731</v>
      </c>
      <c r="L89" s="40" t="s">
        <v>48</v>
      </c>
      <c r="M89" s="40" t="s">
        <v>48</v>
      </c>
      <c r="N89" s="40" t="s">
        <v>48</v>
      </c>
      <c r="O89" s="40">
        <v>1.2619011056731981</v>
      </c>
      <c r="P89" s="42" t="s">
        <v>48</v>
      </c>
      <c r="Q89" s="40" t="s">
        <v>48</v>
      </c>
      <c r="R89" s="40">
        <v>30.770849959785291</v>
      </c>
      <c r="S89" s="42" t="s">
        <v>48</v>
      </c>
      <c r="T89" s="40">
        <v>32.525962045208097</v>
      </c>
      <c r="U89" s="40">
        <v>32.525962045208097</v>
      </c>
      <c r="W89" s="33"/>
      <c r="X89" s="38" t="str">
        <f>Notes!U88</f>
        <v xml:space="preserve">         Paper products and publishing</v>
      </c>
      <c r="Y89" s="4" t="s">
        <v>381</v>
      </c>
      <c r="Z89" s="42">
        <v>1.2619011056731981</v>
      </c>
      <c r="AA89" s="40">
        <v>9.1292478686874059</v>
      </c>
      <c r="AB89" s="70">
        <v>3.1572762733514996</v>
      </c>
      <c r="AC89" s="42" t="s">
        <v>48</v>
      </c>
      <c r="AD89" s="40" t="s">
        <v>48</v>
      </c>
      <c r="AE89" s="70" t="s">
        <v>48</v>
      </c>
      <c r="AF89" s="40">
        <v>0.49065229452017267</v>
      </c>
      <c r="AG89" s="40">
        <v>1.8897174344016294</v>
      </c>
      <c r="AH89" s="40">
        <v>0.7570580097382672</v>
      </c>
      <c r="AI89" s="42">
        <v>0.25619208015473027</v>
      </c>
      <c r="AJ89" s="40" t="s">
        <v>48</v>
      </c>
      <c r="AK89" s="70" t="s">
        <v>48</v>
      </c>
      <c r="AL89" s="40">
        <v>0.21367858831690154</v>
      </c>
      <c r="AM89" s="40" t="s">
        <v>48</v>
      </c>
      <c r="AN89" s="40" t="s">
        <v>48</v>
      </c>
    </row>
    <row r="90" spans="1:40" x14ac:dyDescent="0.3">
      <c r="A90" s="12">
        <v>81</v>
      </c>
      <c r="B90" s="33"/>
      <c r="C90" s="38" t="str">
        <f>Notes!U89</f>
        <v xml:space="preserve">      Chemical products</v>
      </c>
      <c r="D90" s="4" t="s">
        <v>382</v>
      </c>
      <c r="E90" s="42">
        <v>0.71318134230789221</v>
      </c>
      <c r="F90" s="40">
        <v>1.588101867590989</v>
      </c>
      <c r="G90" s="40">
        <v>0.41690778629068181</v>
      </c>
      <c r="H90" s="40">
        <v>4.4331036421962073</v>
      </c>
      <c r="I90" s="42">
        <v>3.0264647054337352</v>
      </c>
      <c r="J90" s="40" t="s">
        <v>48</v>
      </c>
      <c r="K90" s="70">
        <v>3.0799825215011336</v>
      </c>
      <c r="L90" s="40" t="s">
        <v>48</v>
      </c>
      <c r="M90" s="40" t="s">
        <v>48</v>
      </c>
      <c r="N90" s="40" t="s">
        <v>48</v>
      </c>
      <c r="O90" s="40">
        <v>16.932777283002267</v>
      </c>
      <c r="P90" s="42" t="s">
        <v>48</v>
      </c>
      <c r="Q90" s="40" t="s">
        <v>48</v>
      </c>
      <c r="R90" s="40">
        <v>45.774206079932107</v>
      </c>
      <c r="S90" s="42" t="s">
        <v>48</v>
      </c>
      <c r="T90" s="40">
        <v>21.665681538226863</v>
      </c>
      <c r="U90" s="40">
        <v>30.036791070099923</v>
      </c>
      <c r="W90" s="33"/>
      <c r="X90" s="38" t="str">
        <f>Notes!U89</f>
        <v xml:space="preserve">      Chemical products</v>
      </c>
      <c r="Y90" s="4" t="s">
        <v>382</v>
      </c>
      <c r="Z90" s="42">
        <v>16.932777283002267</v>
      </c>
      <c r="AA90" s="40">
        <v>7.2007194928383509</v>
      </c>
      <c r="AB90" s="70">
        <v>33.416145673368447</v>
      </c>
      <c r="AC90" s="42" t="s">
        <v>48</v>
      </c>
      <c r="AD90" s="40" t="s">
        <v>48</v>
      </c>
      <c r="AE90" s="70" t="s">
        <v>48</v>
      </c>
      <c r="AF90" s="40">
        <v>4.4331036421962073</v>
      </c>
      <c r="AG90" s="40">
        <v>17.12124983150753</v>
      </c>
      <c r="AH90" s="40">
        <v>61.972897823041272</v>
      </c>
      <c r="AI90" s="42">
        <v>1.588101867590989</v>
      </c>
      <c r="AJ90" s="40" t="s">
        <v>48</v>
      </c>
      <c r="AK90" s="70" t="s">
        <v>48</v>
      </c>
      <c r="AL90" s="40">
        <v>0.71318134230789221</v>
      </c>
      <c r="AM90" s="40" t="s">
        <v>48</v>
      </c>
      <c r="AN90" s="40" t="s">
        <v>48</v>
      </c>
    </row>
    <row r="91" spans="1:40" x14ac:dyDescent="0.3">
      <c r="A91" s="12">
        <v>82</v>
      </c>
      <c r="B91" s="33"/>
      <c r="C91" s="38" t="str">
        <f>Notes!U90</f>
        <v xml:space="preserve">         Petroleum products</v>
      </c>
      <c r="D91" s="4" t="s">
        <v>383</v>
      </c>
      <c r="E91" s="42">
        <v>7.971032990445677E-2</v>
      </c>
      <c r="F91" s="40">
        <v>0.16955023260057064</v>
      </c>
      <c r="G91" s="40">
        <v>2.0052832729075983E-2</v>
      </c>
      <c r="H91" s="40">
        <v>1.5470675368920288</v>
      </c>
      <c r="I91" s="42">
        <v>1.7380985251176952</v>
      </c>
      <c r="J91" s="40" t="s">
        <v>48</v>
      </c>
      <c r="K91" s="70">
        <v>1.7688338041405289</v>
      </c>
      <c r="L91" s="40" t="s">
        <v>48</v>
      </c>
      <c r="M91" s="40" t="s">
        <v>48</v>
      </c>
      <c r="N91" s="40" t="s">
        <v>48</v>
      </c>
      <c r="O91" s="40">
        <v>7.5921580660447923</v>
      </c>
      <c r="P91" s="42" t="s">
        <v>48</v>
      </c>
      <c r="Q91" s="40" t="s">
        <v>48</v>
      </c>
      <c r="R91" s="40">
        <v>79.761292421355819</v>
      </c>
      <c r="S91" s="42" t="s">
        <v>48</v>
      </c>
      <c r="T91" s="40">
        <v>6.6956152679002443</v>
      </c>
      <c r="U91" s="40">
        <v>6.6956152679002461</v>
      </c>
      <c r="W91" s="33"/>
      <c r="X91" s="38" t="str">
        <f>Notes!U90</f>
        <v xml:space="preserve">         Petroleum products</v>
      </c>
      <c r="Y91" s="4" t="s">
        <v>383</v>
      </c>
      <c r="Z91" s="42">
        <v>7.5921580660447923</v>
      </c>
      <c r="AA91" s="40">
        <v>6.437053992869771</v>
      </c>
      <c r="AB91" s="70">
        <v>13.393826211795293</v>
      </c>
      <c r="AC91" s="42" t="s">
        <v>48</v>
      </c>
      <c r="AD91" s="40" t="s">
        <v>48</v>
      </c>
      <c r="AE91" s="70" t="s">
        <v>48</v>
      </c>
      <c r="AF91" s="40">
        <v>1.5470675368920288</v>
      </c>
      <c r="AG91" s="40">
        <v>49.060737929700601</v>
      </c>
      <c r="AH91" s="40">
        <v>61.972897823041272</v>
      </c>
      <c r="AI91" s="42">
        <v>0.16955023260057064</v>
      </c>
      <c r="AJ91" s="40" t="s">
        <v>48</v>
      </c>
      <c r="AK91" s="70" t="s">
        <v>48</v>
      </c>
      <c r="AL91" s="40">
        <v>7.971032990445677E-2</v>
      </c>
      <c r="AM91" s="40" t="s">
        <v>48</v>
      </c>
      <c r="AN91" s="40" t="s">
        <v>48</v>
      </c>
    </row>
    <row r="92" spans="1:40" x14ac:dyDescent="0.3">
      <c r="A92" s="12">
        <v>83</v>
      </c>
      <c r="B92" s="33"/>
      <c r="C92" s="38" t="str">
        <f>Notes!U91</f>
        <v xml:space="preserve">         Fertilizers and herbicides</v>
      </c>
      <c r="D92" s="4" t="s">
        <v>384</v>
      </c>
      <c r="E92" s="42">
        <v>0.13922577888102694</v>
      </c>
      <c r="F92" s="40">
        <v>0.10908679907685521</v>
      </c>
      <c r="G92" s="40">
        <v>7.9533325256896825E-2</v>
      </c>
      <c r="H92" s="40">
        <v>0.30603848227686747</v>
      </c>
      <c r="I92" s="42" t="s">
        <v>48</v>
      </c>
      <c r="J92" s="40" t="s">
        <v>48</v>
      </c>
      <c r="K92" s="70" t="s">
        <v>48</v>
      </c>
      <c r="L92" s="40" t="s">
        <v>48</v>
      </c>
      <c r="M92" s="40" t="s">
        <v>48</v>
      </c>
      <c r="N92" s="40" t="s">
        <v>48</v>
      </c>
      <c r="O92" s="40">
        <v>2.0617859542664032</v>
      </c>
      <c r="P92" s="42" t="s">
        <v>48</v>
      </c>
      <c r="Q92" s="40" t="s">
        <v>48</v>
      </c>
      <c r="R92" s="40">
        <v>60.981146902426019</v>
      </c>
      <c r="S92" s="42" t="s">
        <v>48</v>
      </c>
      <c r="T92" s="40">
        <v>19.819267298207826</v>
      </c>
      <c r="U92" s="40">
        <v>19.819267298207826</v>
      </c>
      <c r="W92" s="33"/>
      <c r="X92" s="38" t="str">
        <f>Notes!U91</f>
        <v xml:space="preserve">         Fertilizers and herbicides</v>
      </c>
      <c r="Y92" s="4" t="s">
        <v>384</v>
      </c>
      <c r="Z92" s="42">
        <v>2.0617859542664032</v>
      </c>
      <c r="AA92" s="40" t="s">
        <v>48</v>
      </c>
      <c r="AB92" s="70" t="s">
        <v>48</v>
      </c>
      <c r="AC92" s="42" t="s">
        <v>48</v>
      </c>
      <c r="AD92" s="40" t="s">
        <v>48</v>
      </c>
      <c r="AE92" s="70" t="s">
        <v>48</v>
      </c>
      <c r="AF92" s="40">
        <v>0.30603848227686747</v>
      </c>
      <c r="AG92" s="40" t="s">
        <v>48</v>
      </c>
      <c r="AH92" s="40" t="s">
        <v>48</v>
      </c>
      <c r="AI92" s="42">
        <v>0.10908679907685521</v>
      </c>
      <c r="AJ92" s="40" t="s">
        <v>48</v>
      </c>
      <c r="AK92" s="70" t="s">
        <v>48</v>
      </c>
      <c r="AL92" s="40">
        <v>0.13922577888102694</v>
      </c>
      <c r="AM92" s="40" t="s">
        <v>48</v>
      </c>
      <c r="AN92" s="40" t="s">
        <v>48</v>
      </c>
    </row>
    <row r="93" spans="1:40" x14ac:dyDescent="0.3">
      <c r="A93" s="12">
        <v>84</v>
      </c>
      <c r="B93" s="33"/>
      <c r="C93" s="38" t="str">
        <f>Notes!U92</f>
        <v xml:space="preserve">         Other chemicals</v>
      </c>
      <c r="D93" s="4" t="s">
        <v>385</v>
      </c>
      <c r="E93" s="42">
        <v>0.49424523352240857</v>
      </c>
      <c r="F93" s="40">
        <v>1.3094648359135634</v>
      </c>
      <c r="G93" s="40">
        <v>0.31732162830470906</v>
      </c>
      <c r="H93" s="40">
        <v>2.5799976230273107</v>
      </c>
      <c r="I93" s="42">
        <v>1.2883661803160398</v>
      </c>
      <c r="J93" s="40" t="s">
        <v>48</v>
      </c>
      <c r="K93" s="70">
        <v>1.311148717360604</v>
      </c>
      <c r="L93" s="40" t="s">
        <v>48</v>
      </c>
      <c r="M93" s="40" t="s">
        <v>48</v>
      </c>
      <c r="N93" s="40" t="s">
        <v>48</v>
      </c>
      <c r="O93" s="40">
        <v>7.278833262691073</v>
      </c>
      <c r="P93" s="42" t="s">
        <v>48</v>
      </c>
      <c r="Q93" s="40" t="s">
        <v>48</v>
      </c>
      <c r="R93" s="40">
        <v>33.588948710720828</v>
      </c>
      <c r="S93" s="42" t="s">
        <v>48</v>
      </c>
      <c r="T93" s="40">
        <v>32.921623806406785</v>
      </c>
      <c r="U93" s="40">
        <v>32.921623806406792</v>
      </c>
      <c r="W93" s="33"/>
      <c r="X93" s="38" t="str">
        <f>Notes!U92</f>
        <v xml:space="preserve">         Other chemicals</v>
      </c>
      <c r="Y93" s="4" t="s">
        <v>385</v>
      </c>
      <c r="Z93" s="42">
        <v>7.278833262691073</v>
      </c>
      <c r="AA93" s="40">
        <v>10.036917376654223</v>
      </c>
      <c r="AB93" s="70">
        <v>20.022319461573161</v>
      </c>
      <c r="AC93" s="42" t="s">
        <v>48</v>
      </c>
      <c r="AD93" s="40" t="s">
        <v>48</v>
      </c>
      <c r="AE93" s="70" t="s">
        <v>48</v>
      </c>
      <c r="AF93" s="40">
        <v>2.5799976230273107</v>
      </c>
      <c r="AG93" s="40" t="s">
        <v>48</v>
      </c>
      <c r="AH93" s="40" t="s">
        <v>48</v>
      </c>
      <c r="AI93" s="42">
        <v>1.3094648359135634</v>
      </c>
      <c r="AJ93" s="40" t="s">
        <v>48</v>
      </c>
      <c r="AK93" s="70" t="s">
        <v>48</v>
      </c>
      <c r="AL93" s="40">
        <v>0.49424523352240857</v>
      </c>
      <c r="AM93" s="40" t="s">
        <v>48</v>
      </c>
      <c r="AN93" s="40" t="s">
        <v>48</v>
      </c>
    </row>
    <row r="94" spans="1:40" x14ac:dyDescent="0.3">
      <c r="A94" s="12">
        <v>85</v>
      </c>
      <c r="B94" s="33"/>
      <c r="C94" s="38" t="str">
        <f>Notes!U93</f>
        <v xml:space="preserve">      Non-metal minerals</v>
      </c>
      <c r="D94" s="4" t="s">
        <v>386</v>
      </c>
      <c r="E94" s="42">
        <v>2.9460631287813572</v>
      </c>
      <c r="F94" s="40">
        <v>4.8319183687976093</v>
      </c>
      <c r="G94" s="40">
        <v>1.4761712075776556</v>
      </c>
      <c r="H94" s="40">
        <v>5.3824023802627377</v>
      </c>
      <c r="I94" s="42">
        <v>9.0997657401666512</v>
      </c>
      <c r="J94" s="40" t="s">
        <v>48</v>
      </c>
      <c r="K94" s="70">
        <v>9.2606794254524196</v>
      </c>
      <c r="L94" s="40" t="s">
        <v>48</v>
      </c>
      <c r="M94" s="40" t="s">
        <v>48</v>
      </c>
      <c r="N94" s="40">
        <v>12.370367113964253</v>
      </c>
      <c r="O94" s="40" t="s">
        <v>48</v>
      </c>
      <c r="P94" s="42" t="s">
        <v>48</v>
      </c>
      <c r="Q94" s="40">
        <v>9.7480015809002172</v>
      </c>
      <c r="R94" s="40" t="s">
        <v>48</v>
      </c>
      <c r="S94" s="42">
        <v>28.887063045235656</v>
      </c>
      <c r="T94" s="40" t="s">
        <v>48</v>
      </c>
      <c r="U94" s="40">
        <v>28.88706304523566</v>
      </c>
      <c r="W94" s="33"/>
      <c r="X94" s="38" t="str">
        <f>Notes!U93</f>
        <v xml:space="preserve">      Non-metal minerals</v>
      </c>
      <c r="Y94" s="4" t="s">
        <v>386</v>
      </c>
      <c r="Z94" s="42" t="s">
        <v>48</v>
      </c>
      <c r="AA94" s="40" t="s">
        <v>48</v>
      </c>
      <c r="AB94" s="70" t="s">
        <v>48</v>
      </c>
      <c r="AC94" s="42">
        <v>12.370367113964253</v>
      </c>
      <c r="AD94" s="40" t="s">
        <v>48</v>
      </c>
      <c r="AE94" s="70" t="s">
        <v>48</v>
      </c>
      <c r="AF94" s="40">
        <v>5.3824023802627377</v>
      </c>
      <c r="AG94" s="40" t="s">
        <v>48</v>
      </c>
      <c r="AH94" s="40" t="s">
        <v>48</v>
      </c>
      <c r="AI94" s="42">
        <v>4.8319183687976093</v>
      </c>
      <c r="AJ94" s="40" t="s">
        <v>48</v>
      </c>
      <c r="AK94" s="70" t="s">
        <v>48</v>
      </c>
      <c r="AL94" s="40">
        <v>2.9460631287813572</v>
      </c>
      <c r="AM94" s="40" t="s">
        <v>48</v>
      </c>
      <c r="AN94" s="40" t="s">
        <v>48</v>
      </c>
    </row>
    <row r="95" spans="1:40" x14ac:dyDescent="0.3">
      <c r="A95" s="12">
        <v>86</v>
      </c>
      <c r="B95" s="33"/>
      <c r="C95" s="38" t="str">
        <f>Notes!U94</f>
        <v xml:space="preserve">      Metals and metal products</v>
      </c>
      <c r="D95" s="4" t="s">
        <v>388</v>
      </c>
      <c r="E95" s="42">
        <v>1.6338633390947326</v>
      </c>
      <c r="F95" s="40">
        <v>4.270513074072456</v>
      </c>
      <c r="G95" s="40">
        <v>2.8405277417175183</v>
      </c>
      <c r="H95" s="40">
        <v>4.4874375081696991</v>
      </c>
      <c r="I95" s="42">
        <v>1.4199161632316559</v>
      </c>
      <c r="J95" s="40" t="s">
        <v>48</v>
      </c>
      <c r="K95" s="70">
        <v>1.4450249351656299</v>
      </c>
      <c r="L95" s="40" t="s">
        <v>48</v>
      </c>
      <c r="M95" s="40" t="s">
        <v>48</v>
      </c>
      <c r="N95" s="40">
        <v>3.6918046267998648</v>
      </c>
      <c r="O95" s="40" t="s">
        <v>48</v>
      </c>
      <c r="P95" s="42" t="s">
        <v>48</v>
      </c>
      <c r="Q95" s="40">
        <v>3.722357498559139</v>
      </c>
      <c r="R95" s="40" t="s">
        <v>48</v>
      </c>
      <c r="S95" s="42">
        <v>19.581595783961252</v>
      </c>
      <c r="T95" s="40" t="s">
        <v>48</v>
      </c>
      <c r="U95" s="40">
        <v>19.581595783961252</v>
      </c>
      <c r="W95" s="33"/>
      <c r="X95" s="38" t="str">
        <f>Notes!U94</f>
        <v xml:space="preserve">      Metals and metal products</v>
      </c>
      <c r="Y95" s="4" t="s">
        <v>388</v>
      </c>
      <c r="Z95" s="42" t="s">
        <v>48</v>
      </c>
      <c r="AA95" s="40" t="s">
        <v>48</v>
      </c>
      <c r="AB95" s="70" t="s">
        <v>48</v>
      </c>
      <c r="AC95" s="42">
        <v>3.6918046267998648</v>
      </c>
      <c r="AD95" s="40" t="s">
        <v>48</v>
      </c>
      <c r="AE95" s="70" t="s">
        <v>48</v>
      </c>
      <c r="AF95" s="40">
        <v>4.4874375081696991</v>
      </c>
      <c r="AG95" s="40" t="s">
        <v>48</v>
      </c>
      <c r="AH95" s="40" t="s">
        <v>48</v>
      </c>
      <c r="AI95" s="42">
        <v>4.270513074072456</v>
      </c>
      <c r="AJ95" s="40" t="s">
        <v>48</v>
      </c>
      <c r="AK95" s="70" t="s">
        <v>48</v>
      </c>
      <c r="AL95" s="40">
        <v>1.6338633390947326</v>
      </c>
      <c r="AM95" s="40" t="s">
        <v>48</v>
      </c>
      <c r="AN95" s="40" t="s">
        <v>48</v>
      </c>
    </row>
    <row r="96" spans="1:40" x14ac:dyDescent="0.3">
      <c r="A96" s="12">
        <v>87</v>
      </c>
      <c r="B96" s="33"/>
      <c r="C96" s="38" t="str">
        <f>Notes!U95</f>
        <v xml:space="preserve">      Machinery and equipment</v>
      </c>
      <c r="D96" s="4" t="s">
        <v>389</v>
      </c>
      <c r="E96" s="42">
        <v>2.2978280877973387</v>
      </c>
      <c r="F96" s="40">
        <v>3.1265537896232689</v>
      </c>
      <c r="G96" s="40">
        <v>0.73892573488732971</v>
      </c>
      <c r="H96" s="40">
        <v>4.5873523192918757</v>
      </c>
      <c r="I96" s="42">
        <v>1.9966625764397246</v>
      </c>
      <c r="J96" s="40" t="s">
        <v>48</v>
      </c>
      <c r="K96" s="70">
        <v>2.0319701154051408</v>
      </c>
      <c r="L96" s="40" t="s">
        <v>48</v>
      </c>
      <c r="M96" s="40">
        <v>20.716233492579082</v>
      </c>
      <c r="N96" s="40" t="s">
        <v>48</v>
      </c>
      <c r="O96" s="40">
        <v>17.409898852382724</v>
      </c>
      <c r="P96" s="42" t="s">
        <v>48</v>
      </c>
      <c r="Q96" s="40" t="s">
        <v>48</v>
      </c>
      <c r="R96" s="40">
        <v>35.307936708377326</v>
      </c>
      <c r="S96" s="42" t="s">
        <v>48</v>
      </c>
      <c r="T96" s="40">
        <v>17.965838197246747</v>
      </c>
      <c r="U96" s="40">
        <v>7.5299341000422819</v>
      </c>
      <c r="W96" s="33"/>
      <c r="X96" s="38" t="str">
        <f>Notes!U95</f>
        <v xml:space="preserve">      Machinery and equipment</v>
      </c>
      <c r="Y96" s="4" t="s">
        <v>389</v>
      </c>
      <c r="Z96" s="42">
        <v>17.409898852382724</v>
      </c>
      <c r="AA96" s="40">
        <v>5.1561945373640743</v>
      </c>
      <c r="AB96" s="70">
        <v>24.602418888357942</v>
      </c>
      <c r="AC96" s="42" t="s">
        <v>48</v>
      </c>
      <c r="AD96" s="40" t="s">
        <v>48</v>
      </c>
      <c r="AE96" s="70" t="s">
        <v>48</v>
      </c>
      <c r="AF96" s="40">
        <v>4.5873523192918757</v>
      </c>
      <c r="AG96" s="40" t="s">
        <v>48</v>
      </c>
      <c r="AH96" s="40" t="s">
        <v>48</v>
      </c>
      <c r="AI96" s="42">
        <v>3.1265537896232689</v>
      </c>
      <c r="AJ96" s="40" t="s">
        <v>48</v>
      </c>
      <c r="AK96" s="70" t="s">
        <v>48</v>
      </c>
      <c r="AL96" s="40">
        <v>2.2978280877973387</v>
      </c>
      <c r="AM96" s="40" t="s">
        <v>48</v>
      </c>
      <c r="AN96" s="40" t="s">
        <v>48</v>
      </c>
    </row>
    <row r="97" spans="1:40" x14ac:dyDescent="0.3">
      <c r="A97" s="12">
        <v>88</v>
      </c>
      <c r="B97" s="33"/>
      <c r="C97" s="38" t="str">
        <f>Notes!U96</f>
        <v xml:space="preserve">         Machinery and other equipment</v>
      </c>
      <c r="D97" s="4" t="s">
        <v>390</v>
      </c>
      <c r="E97" s="42">
        <v>5.2246767814505747E-2</v>
      </c>
      <c r="F97" s="40">
        <v>0.12253503167113558</v>
      </c>
      <c r="G97" s="40">
        <v>1.551460145662277E-2</v>
      </c>
      <c r="H97" s="40">
        <v>1.0606516038235283</v>
      </c>
      <c r="I97" s="42">
        <v>1.3599048301405452E-2</v>
      </c>
      <c r="J97" s="40" t="s">
        <v>48</v>
      </c>
      <c r="K97" s="70">
        <v>1.3839524050017222E-2</v>
      </c>
      <c r="L97" s="40" t="s">
        <v>48</v>
      </c>
      <c r="M97" s="40">
        <v>3.0709145153647683</v>
      </c>
      <c r="N97" s="40" t="s">
        <v>48</v>
      </c>
      <c r="O97" s="40">
        <v>9.2688172959440891</v>
      </c>
      <c r="P97" s="42" t="s">
        <v>48</v>
      </c>
      <c r="Q97" s="40" t="s">
        <v>48</v>
      </c>
      <c r="R97" s="40">
        <v>86.854134281491241</v>
      </c>
      <c r="S97" s="42" t="s">
        <v>48</v>
      </c>
      <c r="T97" s="40">
        <v>22.865852497652668</v>
      </c>
      <c r="U97" s="40">
        <v>22.865852497652682</v>
      </c>
      <c r="W97" s="33"/>
      <c r="X97" s="38" t="str">
        <f>Notes!U96</f>
        <v xml:space="preserve">         Machinery and other equipment</v>
      </c>
      <c r="Y97" s="4" t="s">
        <v>390</v>
      </c>
      <c r="Z97" s="42">
        <v>9.2688172959440891</v>
      </c>
      <c r="AA97" s="40">
        <v>5.630063233483602</v>
      </c>
      <c r="AB97" s="70">
        <v>14.301772337002616</v>
      </c>
      <c r="AC97" s="42" t="s">
        <v>48</v>
      </c>
      <c r="AD97" s="40" t="s">
        <v>48</v>
      </c>
      <c r="AE97" s="70" t="s">
        <v>48</v>
      </c>
      <c r="AF97" s="40">
        <v>1.0606516038235283</v>
      </c>
      <c r="AG97" s="40" t="s">
        <v>48</v>
      </c>
      <c r="AH97" s="40" t="s">
        <v>48</v>
      </c>
      <c r="AI97" s="42">
        <v>0.12253503167113558</v>
      </c>
      <c r="AJ97" s="40" t="s">
        <v>48</v>
      </c>
      <c r="AK97" s="70" t="s">
        <v>48</v>
      </c>
      <c r="AL97" s="40">
        <v>5.2246767814505747E-2</v>
      </c>
      <c r="AM97" s="40" t="s">
        <v>48</v>
      </c>
      <c r="AN97" s="40" t="s">
        <v>48</v>
      </c>
    </row>
    <row r="98" spans="1:40" x14ac:dyDescent="0.3">
      <c r="A98" s="12">
        <v>89</v>
      </c>
      <c r="B98" s="33"/>
      <c r="C98" s="38" t="str">
        <f>Notes!U97</f>
        <v xml:space="preserve">         Electrical equipment</v>
      </c>
      <c r="D98" s="4" t="s">
        <v>391</v>
      </c>
      <c r="E98" s="42">
        <v>0.11009566666719413</v>
      </c>
      <c r="F98" s="40">
        <v>0.19367734412275261</v>
      </c>
      <c r="G98" s="40">
        <v>4.6914712797023979E-2</v>
      </c>
      <c r="H98" s="40">
        <v>0.66064467781574843</v>
      </c>
      <c r="I98" s="42">
        <v>0.7830837641364814</v>
      </c>
      <c r="J98" s="40" t="s">
        <v>48</v>
      </c>
      <c r="K98" s="70">
        <v>0.79693125186008806</v>
      </c>
      <c r="L98" s="40" t="s">
        <v>48</v>
      </c>
      <c r="M98" s="40" t="s">
        <v>48</v>
      </c>
      <c r="N98" s="40" t="s">
        <v>48</v>
      </c>
      <c r="O98" s="40">
        <v>5.4677448359637184</v>
      </c>
      <c r="P98" s="42" t="s">
        <v>48</v>
      </c>
      <c r="Q98" s="40" t="s">
        <v>48</v>
      </c>
      <c r="R98" s="40">
        <v>70.009783231493245</v>
      </c>
      <c r="S98" s="42" t="s">
        <v>48</v>
      </c>
      <c r="T98" s="40">
        <v>14.20151151040114</v>
      </c>
      <c r="U98" s="40">
        <v>14.201511510401138</v>
      </c>
      <c r="W98" s="33"/>
      <c r="X98" s="38" t="str">
        <f>Notes!U97</f>
        <v xml:space="preserve">         Electrical equipment</v>
      </c>
      <c r="Y98" s="4" t="s">
        <v>391</v>
      </c>
      <c r="Z98" s="42">
        <v>5.4677448359637184</v>
      </c>
      <c r="AA98" s="40" t="s">
        <v>48</v>
      </c>
      <c r="AB98" s="70" t="s">
        <v>48</v>
      </c>
      <c r="AC98" s="42" t="s">
        <v>48</v>
      </c>
      <c r="AD98" s="40" t="s">
        <v>48</v>
      </c>
      <c r="AE98" s="70" t="s">
        <v>48</v>
      </c>
      <c r="AF98" s="40">
        <v>0.66064467781574843</v>
      </c>
      <c r="AG98" s="40" t="s">
        <v>48</v>
      </c>
      <c r="AH98" s="40" t="s">
        <v>48</v>
      </c>
      <c r="AI98" s="42">
        <v>0.19367734412275261</v>
      </c>
      <c r="AJ98" s="40" t="s">
        <v>48</v>
      </c>
      <c r="AK98" s="70" t="s">
        <v>48</v>
      </c>
      <c r="AL98" s="40">
        <v>0.11009566666719413</v>
      </c>
      <c r="AM98" s="40" t="s">
        <v>48</v>
      </c>
      <c r="AN98" s="40" t="s">
        <v>48</v>
      </c>
    </row>
    <row r="99" spans="1:40" x14ac:dyDescent="0.3">
      <c r="A99" s="12">
        <v>90</v>
      </c>
      <c r="B99" s="33"/>
      <c r="C99" s="38" t="str">
        <f>Notes!U98</f>
        <v xml:space="preserve">         Vehicles and transport equipment</v>
      </c>
      <c r="D99" s="4" t="s">
        <v>392</v>
      </c>
      <c r="E99" s="42">
        <v>2.135485653315639</v>
      </c>
      <c r="F99" s="40">
        <v>2.8103414138293807</v>
      </c>
      <c r="G99" s="40">
        <v>0.67649642063368309</v>
      </c>
      <c r="H99" s="40">
        <v>2.8660560376525988</v>
      </c>
      <c r="I99" s="42">
        <v>1.1999797640018375</v>
      </c>
      <c r="J99" s="40" t="s">
        <v>48</v>
      </c>
      <c r="K99" s="70">
        <v>1.2211993394950356</v>
      </c>
      <c r="L99" s="40" t="s">
        <v>48</v>
      </c>
      <c r="M99" s="40">
        <v>17.645318977214313</v>
      </c>
      <c r="N99" s="40" t="s">
        <v>48</v>
      </c>
      <c r="O99" s="40">
        <v>2.6733367204749174</v>
      </c>
      <c r="P99" s="42" t="s">
        <v>48</v>
      </c>
      <c r="Q99" s="40" t="s">
        <v>48</v>
      </c>
      <c r="R99" s="40">
        <v>8.2330483170258422</v>
      </c>
      <c r="S99" s="42" t="s">
        <v>48</v>
      </c>
      <c r="T99" s="40">
        <v>6.2143351232906143</v>
      </c>
      <c r="U99" s="40">
        <v>6.2143351232906152</v>
      </c>
      <c r="W99" s="33"/>
      <c r="X99" s="38" t="str">
        <f>Notes!U98</f>
        <v xml:space="preserve">         Vehicles and transport equipment</v>
      </c>
      <c r="Y99" s="4" t="s">
        <v>392</v>
      </c>
      <c r="Z99" s="42">
        <v>2.6733367204749174</v>
      </c>
      <c r="AA99" s="40">
        <v>14.059133514714231</v>
      </c>
      <c r="AB99" s="70">
        <v>10.300646551355323</v>
      </c>
      <c r="AC99" s="42" t="s">
        <v>48</v>
      </c>
      <c r="AD99" s="40" t="s">
        <v>48</v>
      </c>
      <c r="AE99" s="70" t="s">
        <v>48</v>
      </c>
      <c r="AF99" s="40">
        <v>2.8660560376525988</v>
      </c>
      <c r="AG99" s="40" t="s">
        <v>48</v>
      </c>
      <c r="AH99" s="40" t="s">
        <v>48</v>
      </c>
      <c r="AI99" s="42">
        <v>2.8103414138293807</v>
      </c>
      <c r="AJ99" s="40" t="s">
        <v>48</v>
      </c>
      <c r="AK99" s="70" t="s">
        <v>48</v>
      </c>
      <c r="AL99" s="40">
        <v>2.135485653315639</v>
      </c>
      <c r="AM99" s="40" t="s">
        <v>48</v>
      </c>
      <c r="AN99" s="40" t="s">
        <v>48</v>
      </c>
    </row>
    <row r="100" spans="1:40" x14ac:dyDescent="0.3">
      <c r="A100" s="12">
        <v>91</v>
      </c>
      <c r="B100" s="33"/>
      <c r="C100" s="38" t="str">
        <f>Notes!U99</f>
        <v xml:space="preserve">      Other manufacturing</v>
      </c>
      <c r="D100" s="4" t="s">
        <v>393</v>
      </c>
      <c r="E100" s="42">
        <v>2.5766216901069221</v>
      </c>
      <c r="F100" s="40">
        <v>3.0355061986001535</v>
      </c>
      <c r="G100" s="40">
        <v>1.0393168976775324</v>
      </c>
      <c r="H100" s="40">
        <v>3.0944028893398028</v>
      </c>
      <c r="I100" s="42">
        <v>7.3373500939262177</v>
      </c>
      <c r="J100" s="40" t="s">
        <v>48</v>
      </c>
      <c r="K100" s="70">
        <v>7.4670984937816094</v>
      </c>
      <c r="L100" s="40" t="s">
        <v>48</v>
      </c>
      <c r="M100" s="40" t="s">
        <v>48</v>
      </c>
      <c r="N100" s="40">
        <v>0.75451456185522081</v>
      </c>
      <c r="O100" s="40">
        <v>1.4790209432172932</v>
      </c>
      <c r="P100" s="42" t="s">
        <v>48</v>
      </c>
      <c r="Q100" s="40">
        <v>1.1815347928691817</v>
      </c>
      <c r="R100" s="40">
        <v>4.1626724438000213</v>
      </c>
      <c r="S100" s="42">
        <v>11.221860967435802</v>
      </c>
      <c r="T100" s="40">
        <v>11.221860967435804</v>
      </c>
      <c r="U100" s="40">
        <v>11.221860967435804</v>
      </c>
      <c r="W100" s="33"/>
      <c r="X100" s="38" t="str">
        <f>Notes!U99</f>
        <v xml:space="preserve">      Other manufacturing</v>
      </c>
      <c r="Y100" s="4" t="s">
        <v>393</v>
      </c>
      <c r="Z100" s="42">
        <v>1.4790209432172932</v>
      </c>
      <c r="AA100" s="40">
        <v>6.5326518745877635</v>
      </c>
      <c r="AB100" s="70">
        <v>2.6479885643397201</v>
      </c>
      <c r="AC100" s="42">
        <v>0.75451456185522081</v>
      </c>
      <c r="AD100" s="40" t="s">
        <v>48</v>
      </c>
      <c r="AE100" s="70" t="s">
        <v>48</v>
      </c>
      <c r="AF100" s="40">
        <v>3.0944028893398028</v>
      </c>
      <c r="AG100" s="40" t="s">
        <v>48</v>
      </c>
      <c r="AH100" s="40" t="s">
        <v>48</v>
      </c>
      <c r="AI100" s="42">
        <v>3.0355061986001535</v>
      </c>
      <c r="AJ100" s="40" t="s">
        <v>48</v>
      </c>
      <c r="AK100" s="70" t="s">
        <v>48</v>
      </c>
      <c r="AL100" s="40">
        <v>2.5766216901069221</v>
      </c>
      <c r="AM100" s="40" t="s">
        <v>48</v>
      </c>
      <c r="AN100" s="40" t="s">
        <v>48</v>
      </c>
    </row>
    <row r="101" spans="1:40" x14ac:dyDescent="0.3">
      <c r="A101" s="12">
        <v>92</v>
      </c>
      <c r="B101" s="33"/>
      <c r="C101" s="38" t="str">
        <f>Notes!U100</f>
        <v xml:space="preserve">   Utilities</v>
      </c>
      <c r="D101" s="4" t="s">
        <v>395</v>
      </c>
      <c r="E101" s="42">
        <v>1.3307617917290735</v>
      </c>
      <c r="F101" s="40">
        <v>2.7394820240680895</v>
      </c>
      <c r="G101" s="40">
        <v>0.50721562782468144</v>
      </c>
      <c r="H101" s="40">
        <v>2.5370392815383251</v>
      </c>
      <c r="I101" s="42">
        <v>1.9101283302489589</v>
      </c>
      <c r="J101" s="40" t="s">
        <v>48</v>
      </c>
      <c r="K101" s="70">
        <v>1.9439056601017912</v>
      </c>
      <c r="L101" s="40" t="s">
        <v>48</v>
      </c>
      <c r="M101" s="40" t="s">
        <v>48</v>
      </c>
      <c r="N101" s="40" t="s">
        <v>48</v>
      </c>
      <c r="O101" s="40">
        <v>1.8268000475900603</v>
      </c>
      <c r="P101" s="42" t="s">
        <v>48</v>
      </c>
      <c r="Q101" s="40" t="s">
        <v>48</v>
      </c>
      <c r="R101" s="40">
        <v>5.2259096160376499</v>
      </c>
      <c r="S101" s="42" t="s">
        <v>48</v>
      </c>
      <c r="T101" s="40" t="s">
        <v>48</v>
      </c>
      <c r="U101" s="40" t="s">
        <v>48</v>
      </c>
      <c r="W101" s="33"/>
      <c r="X101" s="38" t="str">
        <f>Notes!U100</f>
        <v xml:space="preserve">   Utilities</v>
      </c>
      <c r="Y101" s="4" t="s">
        <v>395</v>
      </c>
      <c r="Z101" s="42">
        <v>1.8268000475900603</v>
      </c>
      <c r="AA101" s="40" t="s">
        <v>48</v>
      </c>
      <c r="AB101" s="70" t="s">
        <v>48</v>
      </c>
      <c r="AC101" s="42" t="s">
        <v>48</v>
      </c>
      <c r="AD101" s="40" t="s">
        <v>48</v>
      </c>
      <c r="AE101" s="70" t="s">
        <v>48</v>
      </c>
      <c r="AF101" s="40">
        <v>2.5370392815383251</v>
      </c>
      <c r="AG101" s="40" t="s">
        <v>48</v>
      </c>
      <c r="AH101" s="40" t="s">
        <v>48</v>
      </c>
      <c r="AI101" s="42">
        <v>2.7394820240680895</v>
      </c>
      <c r="AJ101" s="40" t="s">
        <v>48</v>
      </c>
      <c r="AK101" s="70" t="s">
        <v>48</v>
      </c>
      <c r="AL101" s="40">
        <v>1.3307617917290735</v>
      </c>
      <c r="AM101" s="40" t="s">
        <v>48</v>
      </c>
      <c r="AN101" s="40" t="s">
        <v>48</v>
      </c>
    </row>
    <row r="102" spans="1:40" x14ac:dyDescent="0.3">
      <c r="A102" s="12">
        <v>93</v>
      </c>
      <c r="B102" s="33"/>
      <c r="C102" s="38" t="str">
        <f>Notes!U101</f>
        <v xml:space="preserve">      Electricity, gas and steam</v>
      </c>
      <c r="D102" s="4" t="s">
        <v>397</v>
      </c>
      <c r="E102" s="42">
        <v>1.2408248005673266</v>
      </c>
      <c r="F102" s="40">
        <v>2.5780327869494184</v>
      </c>
      <c r="G102" s="40">
        <v>0.46184923583602167</v>
      </c>
      <c r="H102" s="40">
        <v>2.3953345477184418</v>
      </c>
      <c r="I102" s="42">
        <v>1.6306883306886955</v>
      </c>
      <c r="J102" s="40" t="s">
        <v>48</v>
      </c>
      <c r="K102" s="70">
        <v>1.659524245407398</v>
      </c>
      <c r="L102" s="40" t="s">
        <v>48</v>
      </c>
      <c r="M102" s="40" t="s">
        <v>48</v>
      </c>
      <c r="N102" s="40" t="s">
        <v>48</v>
      </c>
      <c r="O102" s="40">
        <v>1.8268000475900603</v>
      </c>
      <c r="P102" s="42" t="s">
        <v>48</v>
      </c>
      <c r="Q102" s="40" t="s">
        <v>48</v>
      </c>
      <c r="R102" s="40">
        <v>5.5350673208821553</v>
      </c>
      <c r="S102" s="42" t="s">
        <v>48</v>
      </c>
      <c r="T102" s="40" t="s">
        <v>48</v>
      </c>
      <c r="U102" s="40" t="s">
        <v>48</v>
      </c>
      <c r="W102" s="33"/>
      <c r="X102" s="38" t="str">
        <f>Notes!U101</f>
        <v xml:space="preserve">      Electricity, gas and steam</v>
      </c>
      <c r="Y102" s="4" t="s">
        <v>397</v>
      </c>
      <c r="Z102" s="42">
        <v>1.8268000475900603</v>
      </c>
      <c r="AA102" s="40" t="s">
        <v>48</v>
      </c>
      <c r="AB102" s="70" t="s">
        <v>48</v>
      </c>
      <c r="AC102" s="42" t="s">
        <v>48</v>
      </c>
      <c r="AD102" s="40" t="s">
        <v>48</v>
      </c>
      <c r="AE102" s="70" t="s">
        <v>48</v>
      </c>
      <c r="AF102" s="40">
        <v>2.3953345477184418</v>
      </c>
      <c r="AG102" s="40" t="s">
        <v>48</v>
      </c>
      <c r="AH102" s="40" t="s">
        <v>48</v>
      </c>
      <c r="AI102" s="42">
        <v>2.5780327869494184</v>
      </c>
      <c r="AJ102" s="40" t="s">
        <v>48</v>
      </c>
      <c r="AK102" s="70" t="s">
        <v>48</v>
      </c>
      <c r="AL102" s="40">
        <v>1.2408248005673266</v>
      </c>
      <c r="AM102" s="40" t="s">
        <v>48</v>
      </c>
      <c r="AN102" s="40" t="s">
        <v>48</v>
      </c>
    </row>
    <row r="103" spans="1:40" x14ac:dyDescent="0.3">
      <c r="A103" s="12">
        <v>94</v>
      </c>
      <c r="B103" s="33"/>
      <c r="C103" s="38" t="str">
        <f>Notes!U102</f>
        <v xml:space="preserve">      Water supply and sewage</v>
      </c>
      <c r="D103" s="4" t="s">
        <v>399</v>
      </c>
      <c r="E103" s="42">
        <v>8.9936991161746929E-2</v>
      </c>
      <c r="F103" s="40">
        <v>0.16144923711867121</v>
      </c>
      <c r="G103" s="40">
        <v>4.5366391988659771E-2</v>
      </c>
      <c r="H103" s="40">
        <v>0.14170473381988347</v>
      </c>
      <c r="I103" s="42">
        <v>0.2794399995602625</v>
      </c>
      <c r="J103" s="40" t="s">
        <v>48</v>
      </c>
      <c r="K103" s="70">
        <v>0.28438141469439226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2" t="s">
        <v>48</v>
      </c>
      <c r="Q103" s="40" t="s">
        <v>48</v>
      </c>
      <c r="R103" s="40" t="s">
        <v>48</v>
      </c>
      <c r="S103" s="42" t="s">
        <v>48</v>
      </c>
      <c r="T103" s="40" t="s">
        <v>48</v>
      </c>
      <c r="U103" s="40" t="s">
        <v>48</v>
      </c>
      <c r="W103" s="33"/>
      <c r="X103" s="38" t="str">
        <f>Notes!U102</f>
        <v xml:space="preserve">      Water supply and sewage</v>
      </c>
      <c r="Y103" s="4" t="s">
        <v>399</v>
      </c>
      <c r="Z103" s="42" t="s">
        <v>48</v>
      </c>
      <c r="AA103" s="40" t="s">
        <v>48</v>
      </c>
      <c r="AB103" s="70" t="s">
        <v>48</v>
      </c>
      <c r="AC103" s="42" t="s">
        <v>48</v>
      </c>
      <c r="AD103" s="40" t="s">
        <v>48</v>
      </c>
      <c r="AE103" s="70" t="s">
        <v>48</v>
      </c>
      <c r="AF103" s="40">
        <v>0.14170473381988347</v>
      </c>
      <c r="AG103" s="40" t="s">
        <v>48</v>
      </c>
      <c r="AH103" s="40" t="s">
        <v>48</v>
      </c>
      <c r="AI103" s="42">
        <v>0.16144923711867121</v>
      </c>
      <c r="AJ103" s="40" t="s">
        <v>48</v>
      </c>
      <c r="AK103" s="70" t="s">
        <v>48</v>
      </c>
      <c r="AL103" s="40">
        <v>8.9936991161746929E-2</v>
      </c>
      <c r="AM103" s="40" t="s">
        <v>48</v>
      </c>
      <c r="AN103" s="40" t="s">
        <v>48</v>
      </c>
    </row>
    <row r="104" spans="1:40" x14ac:dyDescent="0.3">
      <c r="A104" s="12">
        <v>95</v>
      </c>
      <c r="B104" s="33"/>
      <c r="C104" s="38" t="str">
        <f>Notes!U103</f>
        <v xml:space="preserve">   Construction</v>
      </c>
      <c r="D104" s="4" t="s">
        <v>401</v>
      </c>
      <c r="E104" s="42">
        <v>9.7635432725299705</v>
      </c>
      <c r="F104" s="40">
        <v>12.926162124516246</v>
      </c>
      <c r="G104" s="40">
        <v>22.968753604590354</v>
      </c>
      <c r="H104" s="40">
        <v>11.345351615510367</v>
      </c>
      <c r="I104" s="42" t="s">
        <v>48</v>
      </c>
      <c r="J104" s="40" t="s">
        <v>48</v>
      </c>
      <c r="K104" s="70" t="s">
        <v>48</v>
      </c>
      <c r="L104" s="40" t="s">
        <v>48</v>
      </c>
      <c r="M104" s="40">
        <v>79.283766507420921</v>
      </c>
      <c r="N104" s="40" t="s">
        <v>48</v>
      </c>
      <c r="O104" s="40" t="s">
        <v>48</v>
      </c>
      <c r="P104" s="42" t="s">
        <v>48</v>
      </c>
      <c r="Q104" s="40" t="s">
        <v>48</v>
      </c>
      <c r="R104" s="40" t="s">
        <v>48</v>
      </c>
      <c r="S104" s="42" t="s">
        <v>48</v>
      </c>
      <c r="T104" s="40" t="s">
        <v>48</v>
      </c>
      <c r="U104" s="40" t="s">
        <v>48</v>
      </c>
      <c r="W104" s="33"/>
      <c r="X104" s="38" t="str">
        <f>Notes!U103</f>
        <v xml:space="preserve">   Construction</v>
      </c>
      <c r="Y104" s="4" t="s">
        <v>401</v>
      </c>
      <c r="Z104" s="42" t="s">
        <v>48</v>
      </c>
      <c r="AA104" s="40" t="s">
        <v>48</v>
      </c>
      <c r="AB104" s="70" t="s">
        <v>48</v>
      </c>
      <c r="AC104" s="42" t="s">
        <v>48</v>
      </c>
      <c r="AD104" s="40" t="s">
        <v>48</v>
      </c>
      <c r="AE104" s="70" t="s">
        <v>48</v>
      </c>
      <c r="AF104" s="40">
        <v>11.345351615510367</v>
      </c>
      <c r="AG104" s="40" t="s">
        <v>48</v>
      </c>
      <c r="AH104" s="40" t="s">
        <v>48</v>
      </c>
      <c r="AI104" s="42">
        <v>12.926162124516246</v>
      </c>
      <c r="AJ104" s="40" t="s">
        <v>48</v>
      </c>
      <c r="AK104" s="70" t="s">
        <v>48</v>
      </c>
      <c r="AL104" s="40">
        <v>9.7635432725299705</v>
      </c>
      <c r="AM104" s="40" t="s">
        <v>48</v>
      </c>
      <c r="AN104" s="40" t="s">
        <v>48</v>
      </c>
    </row>
    <row r="105" spans="1:40" x14ac:dyDescent="0.3">
      <c r="A105" s="12">
        <v>96</v>
      </c>
      <c r="B105" s="33"/>
      <c r="C105" s="38" t="str">
        <f>Notes!U104</f>
        <v>Services</v>
      </c>
      <c r="D105" s="4" t="s">
        <v>403</v>
      </c>
      <c r="E105" s="42">
        <v>53.185949192735791</v>
      </c>
      <c r="F105" s="40">
        <v>37.346333039032885</v>
      </c>
      <c r="G105" s="40">
        <v>35.668562411580147</v>
      </c>
      <c r="H105" s="40">
        <v>33.592797850807329</v>
      </c>
      <c r="I105" s="42">
        <v>29.810685097982709</v>
      </c>
      <c r="J105" s="40" t="s">
        <v>48</v>
      </c>
      <c r="K105" s="70">
        <v>30.337835723282442</v>
      </c>
      <c r="L105" s="40">
        <v>100</v>
      </c>
      <c r="M105" s="40" t="s">
        <v>48</v>
      </c>
      <c r="N105" s="40">
        <v>10.322514763250501</v>
      </c>
      <c r="O105" s="40">
        <v>17.896312813002044</v>
      </c>
      <c r="P105" s="42" t="s">
        <v>48</v>
      </c>
      <c r="Q105" s="40">
        <v>1.4799311889717843</v>
      </c>
      <c r="R105" s="40">
        <v>3.8664772326333017</v>
      </c>
      <c r="S105" s="42" t="s">
        <v>48</v>
      </c>
      <c r="T105" s="40" t="s">
        <v>48</v>
      </c>
      <c r="U105" s="40" t="s">
        <v>48</v>
      </c>
      <c r="W105" s="33"/>
      <c r="X105" s="38" t="str">
        <f>Notes!U104</f>
        <v>Services</v>
      </c>
      <c r="Y105" s="4" t="s">
        <v>403</v>
      </c>
      <c r="Z105" s="42">
        <v>17.896312813002044</v>
      </c>
      <c r="AA105" s="40" t="s">
        <v>48</v>
      </c>
      <c r="AB105" s="70" t="s">
        <v>48</v>
      </c>
      <c r="AC105" s="42">
        <v>10.322514763250501</v>
      </c>
      <c r="AD105" s="40" t="s">
        <v>48</v>
      </c>
      <c r="AE105" s="70" t="s">
        <v>48</v>
      </c>
      <c r="AF105" s="40">
        <v>33.592797850807329</v>
      </c>
      <c r="AG105" s="40" t="s">
        <v>48</v>
      </c>
      <c r="AH105" s="40" t="s">
        <v>48</v>
      </c>
      <c r="AI105" s="42">
        <v>37.346333039032885</v>
      </c>
      <c r="AJ105" s="40" t="s">
        <v>48</v>
      </c>
      <c r="AK105" s="70" t="s">
        <v>48</v>
      </c>
      <c r="AL105" s="40">
        <v>53.185949192735791</v>
      </c>
      <c r="AM105" s="40" t="s">
        <v>48</v>
      </c>
      <c r="AN105" s="40" t="s">
        <v>48</v>
      </c>
    </row>
    <row r="106" spans="1:40" x14ac:dyDescent="0.3">
      <c r="A106" s="12">
        <v>97</v>
      </c>
      <c r="B106" s="33"/>
      <c r="C106" s="38" t="str">
        <f>Notes!U105</f>
        <v xml:space="preserve">   Trade and food services</v>
      </c>
      <c r="D106" s="4" t="s">
        <v>405</v>
      </c>
      <c r="E106" s="42">
        <v>16.338958081771604</v>
      </c>
      <c r="F106" s="40">
        <v>11.067526660830515</v>
      </c>
      <c r="G106" s="40">
        <v>10.467308445064901</v>
      </c>
      <c r="H106" s="40">
        <v>9.7897144283475637</v>
      </c>
      <c r="I106" s="42">
        <v>3.573173359840931</v>
      </c>
      <c r="J106" s="40" t="s">
        <v>48</v>
      </c>
      <c r="K106" s="70">
        <v>3.6363587769071075</v>
      </c>
      <c r="L106" s="40" t="s">
        <v>48</v>
      </c>
      <c r="M106" s="40" t="s">
        <v>48</v>
      </c>
      <c r="N106" s="40">
        <v>1.4185950935233229</v>
      </c>
      <c r="O106" s="40">
        <v>1.9615435981577709</v>
      </c>
      <c r="P106" s="42" t="s">
        <v>48</v>
      </c>
      <c r="Q106" s="40">
        <v>0.68629660819026195</v>
      </c>
      <c r="R106" s="40">
        <v>1.4542062722942863</v>
      </c>
      <c r="S106" s="42" t="s">
        <v>48</v>
      </c>
      <c r="T106" s="40" t="s">
        <v>48</v>
      </c>
      <c r="U106" s="40" t="s">
        <v>48</v>
      </c>
      <c r="W106" s="33"/>
      <c r="X106" s="38" t="str">
        <f>Notes!U105</f>
        <v xml:space="preserve">   Trade and food services</v>
      </c>
      <c r="Y106" s="4" t="s">
        <v>405</v>
      </c>
      <c r="Z106" s="42">
        <v>1.9615435981577709</v>
      </c>
      <c r="AA106" s="40" t="s">
        <v>48</v>
      </c>
      <c r="AB106" s="70" t="s">
        <v>48</v>
      </c>
      <c r="AC106" s="42">
        <v>1.4185950935233229</v>
      </c>
      <c r="AD106" s="40" t="s">
        <v>48</v>
      </c>
      <c r="AE106" s="70" t="s">
        <v>48</v>
      </c>
      <c r="AF106" s="40">
        <v>9.7897144283475637</v>
      </c>
      <c r="AG106" s="40" t="s">
        <v>48</v>
      </c>
      <c r="AH106" s="40" t="s">
        <v>48</v>
      </c>
      <c r="AI106" s="42">
        <v>11.067526660830515</v>
      </c>
      <c r="AJ106" s="40" t="s">
        <v>48</v>
      </c>
      <c r="AK106" s="70" t="s">
        <v>48</v>
      </c>
      <c r="AL106" s="40">
        <v>16.338958081771604</v>
      </c>
      <c r="AM106" s="40" t="s">
        <v>48</v>
      </c>
      <c r="AN106" s="40" t="s">
        <v>48</v>
      </c>
    </row>
    <row r="107" spans="1:40" x14ac:dyDescent="0.3">
      <c r="A107" s="12">
        <v>98</v>
      </c>
      <c r="B107" s="33"/>
      <c r="C107" s="38" t="str">
        <f>Notes!U106</f>
        <v xml:space="preserve">      Wholesale and retail trade</v>
      </c>
      <c r="D107" s="4" t="s">
        <v>407</v>
      </c>
      <c r="E107" s="42">
        <v>15.103994505166376</v>
      </c>
      <c r="F107" s="40">
        <v>8.8707572195371682</v>
      </c>
      <c r="G107" s="40">
        <v>9.4093162471673022</v>
      </c>
      <c r="H107" s="40">
        <v>7.7859041826958961</v>
      </c>
      <c r="I107" s="42" t="s">
        <v>48</v>
      </c>
      <c r="J107" s="40" t="s">
        <v>48</v>
      </c>
      <c r="K107" s="7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2" t="s">
        <v>48</v>
      </c>
      <c r="Q107" s="40" t="s">
        <v>48</v>
      </c>
      <c r="R107" s="40" t="s">
        <v>48</v>
      </c>
      <c r="S107" s="42" t="s">
        <v>48</v>
      </c>
      <c r="T107" s="40" t="s">
        <v>48</v>
      </c>
      <c r="U107" s="40" t="s">
        <v>48</v>
      </c>
      <c r="W107" s="33"/>
      <c r="X107" s="38" t="str">
        <f>Notes!U106</f>
        <v xml:space="preserve">      Wholesale and retail trade</v>
      </c>
      <c r="Y107" s="4" t="s">
        <v>407</v>
      </c>
      <c r="Z107" s="42" t="s">
        <v>48</v>
      </c>
      <c r="AA107" s="40" t="s">
        <v>48</v>
      </c>
      <c r="AB107" s="70" t="s">
        <v>48</v>
      </c>
      <c r="AC107" s="42" t="s">
        <v>48</v>
      </c>
      <c r="AD107" s="40" t="s">
        <v>48</v>
      </c>
      <c r="AE107" s="70" t="s">
        <v>48</v>
      </c>
      <c r="AF107" s="40">
        <v>7.7859041826958961</v>
      </c>
      <c r="AG107" s="40" t="s">
        <v>48</v>
      </c>
      <c r="AH107" s="40" t="s">
        <v>48</v>
      </c>
      <c r="AI107" s="42">
        <v>8.8707572195371682</v>
      </c>
      <c r="AJ107" s="40" t="s">
        <v>48</v>
      </c>
      <c r="AK107" s="70" t="s">
        <v>48</v>
      </c>
      <c r="AL107" s="40">
        <v>15.103994505166376</v>
      </c>
      <c r="AM107" s="40" t="s">
        <v>48</v>
      </c>
      <c r="AN107" s="40" t="s">
        <v>48</v>
      </c>
    </row>
    <row r="108" spans="1:40" x14ac:dyDescent="0.3">
      <c r="A108" s="12">
        <v>99</v>
      </c>
      <c r="B108" s="33"/>
      <c r="C108" s="38" t="str">
        <f>Notes!U107</f>
        <v xml:space="preserve">      Accommodation</v>
      </c>
      <c r="D108" s="4" t="s">
        <v>413</v>
      </c>
      <c r="E108" s="42">
        <v>0.19580321659394134</v>
      </c>
      <c r="F108" s="40">
        <v>0.20512125202713527</v>
      </c>
      <c r="G108" s="40">
        <v>0.32893646772918678</v>
      </c>
      <c r="H108" s="40">
        <v>0.25573152097256324</v>
      </c>
      <c r="I108" s="42">
        <v>0.1385872480655212</v>
      </c>
      <c r="J108" s="40" t="s">
        <v>48</v>
      </c>
      <c r="K108" s="70">
        <v>0.14103792486936467</v>
      </c>
      <c r="L108" s="40" t="s">
        <v>48</v>
      </c>
      <c r="M108" s="40" t="s">
        <v>48</v>
      </c>
      <c r="N108" s="40">
        <v>1.4185950935233229</v>
      </c>
      <c r="O108" s="40">
        <v>1.9615435981577709</v>
      </c>
      <c r="P108" s="42" t="s">
        <v>48</v>
      </c>
      <c r="Q108" s="40">
        <v>37.029834467754</v>
      </c>
      <c r="R108" s="40">
        <v>55.668789172064059</v>
      </c>
      <c r="S108" s="42" t="s">
        <v>48</v>
      </c>
      <c r="T108" s="40" t="s">
        <v>48</v>
      </c>
      <c r="U108" s="40" t="s">
        <v>48</v>
      </c>
      <c r="W108" s="33"/>
      <c r="X108" s="38" t="str">
        <f>Notes!U107</f>
        <v xml:space="preserve">      Accommodation</v>
      </c>
      <c r="Y108" s="4" t="s">
        <v>413</v>
      </c>
      <c r="Z108" s="42">
        <v>1.9615435981577709</v>
      </c>
      <c r="AA108" s="40" t="s">
        <v>48</v>
      </c>
      <c r="AB108" s="70" t="s">
        <v>48</v>
      </c>
      <c r="AC108" s="42">
        <v>1.4185950935233229</v>
      </c>
      <c r="AD108" s="40" t="s">
        <v>48</v>
      </c>
      <c r="AE108" s="70" t="s">
        <v>48</v>
      </c>
      <c r="AF108" s="40">
        <v>0.25573152097256324</v>
      </c>
      <c r="AG108" s="40" t="s">
        <v>48</v>
      </c>
      <c r="AH108" s="40" t="s">
        <v>48</v>
      </c>
      <c r="AI108" s="42">
        <v>0.20512125202713527</v>
      </c>
      <c r="AJ108" s="40" t="s">
        <v>48</v>
      </c>
      <c r="AK108" s="70" t="s">
        <v>48</v>
      </c>
      <c r="AL108" s="40">
        <v>0.19580321659394134</v>
      </c>
      <c r="AM108" s="40" t="s">
        <v>48</v>
      </c>
      <c r="AN108" s="40" t="s">
        <v>48</v>
      </c>
    </row>
    <row r="109" spans="1:40" x14ac:dyDescent="0.3">
      <c r="A109" s="12">
        <v>100</v>
      </c>
      <c r="B109" s="33"/>
      <c r="C109" s="38" t="str">
        <f>Notes!U108</f>
        <v xml:space="preserve">      Restaurants and food services</v>
      </c>
      <c r="D109" s="4" t="s">
        <v>414</v>
      </c>
      <c r="E109" s="42">
        <v>1.039160360011288</v>
      </c>
      <c r="F109" s="40">
        <v>1.991648189266211</v>
      </c>
      <c r="G109" s="40">
        <v>0.7290557301684103</v>
      </c>
      <c r="H109" s="40">
        <v>1.7480787246791043</v>
      </c>
      <c r="I109" s="42">
        <v>3.4345861117754097</v>
      </c>
      <c r="J109" s="40" t="s">
        <v>48</v>
      </c>
      <c r="K109" s="70">
        <v>3.495320852037743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2" t="s">
        <v>48</v>
      </c>
      <c r="Q109" s="40" t="s">
        <v>48</v>
      </c>
      <c r="R109" s="40" t="s">
        <v>48</v>
      </c>
      <c r="S109" s="42" t="s">
        <v>48</v>
      </c>
      <c r="T109" s="40" t="s">
        <v>48</v>
      </c>
      <c r="U109" s="40" t="s">
        <v>48</v>
      </c>
      <c r="W109" s="33"/>
      <c r="X109" s="38" t="str">
        <f>Notes!U108</f>
        <v xml:space="preserve">      Restaurants and food services</v>
      </c>
      <c r="Y109" s="4" t="s">
        <v>414</v>
      </c>
      <c r="Z109" s="42" t="s">
        <v>48</v>
      </c>
      <c r="AA109" s="40" t="s">
        <v>48</v>
      </c>
      <c r="AB109" s="70" t="s">
        <v>48</v>
      </c>
      <c r="AC109" s="42" t="s">
        <v>48</v>
      </c>
      <c r="AD109" s="40" t="s">
        <v>48</v>
      </c>
      <c r="AE109" s="70" t="s">
        <v>48</v>
      </c>
      <c r="AF109" s="40">
        <v>1.7480787246791043</v>
      </c>
      <c r="AG109" s="40" t="s">
        <v>48</v>
      </c>
      <c r="AH109" s="40" t="s">
        <v>48</v>
      </c>
      <c r="AI109" s="42">
        <v>1.991648189266211</v>
      </c>
      <c r="AJ109" s="40" t="s">
        <v>48</v>
      </c>
      <c r="AK109" s="70" t="s">
        <v>48</v>
      </c>
      <c r="AL109" s="40">
        <v>1.039160360011288</v>
      </c>
      <c r="AM109" s="40" t="s">
        <v>48</v>
      </c>
      <c r="AN109" s="40" t="s">
        <v>48</v>
      </c>
    </row>
    <row r="110" spans="1:40" x14ac:dyDescent="0.3">
      <c r="A110" s="12">
        <v>101</v>
      </c>
      <c r="B110" s="33"/>
      <c r="C110" s="38" t="str">
        <f>Notes!U109</f>
        <v xml:space="preserve">   Transport and communication</v>
      </c>
      <c r="D110" s="4" t="s">
        <v>409</v>
      </c>
      <c r="E110" s="42">
        <v>8.4735748932345238</v>
      </c>
      <c r="F110" s="40">
        <v>7.0773496532629512</v>
      </c>
      <c r="G110" s="40">
        <v>3.5452033954895654</v>
      </c>
      <c r="H110" s="40">
        <v>6.9542173812040575</v>
      </c>
      <c r="I110" s="42">
        <v>3.5746265498040191</v>
      </c>
      <c r="J110" s="40" t="s">
        <v>48</v>
      </c>
      <c r="K110" s="70">
        <v>3.6378376640319754</v>
      </c>
      <c r="L110" s="40" t="s">
        <v>48</v>
      </c>
      <c r="M110" s="40" t="s">
        <v>48</v>
      </c>
      <c r="N110" s="40">
        <v>5.8736187641885564</v>
      </c>
      <c r="O110" s="40">
        <v>14.032387348529859</v>
      </c>
      <c r="P110" s="42" t="s">
        <v>48</v>
      </c>
      <c r="Q110" s="40">
        <v>4.4436421567757467</v>
      </c>
      <c r="R110" s="40">
        <v>14.644730155452734</v>
      </c>
      <c r="S110" s="42" t="s">
        <v>48</v>
      </c>
      <c r="T110" s="40" t="s">
        <v>48</v>
      </c>
      <c r="U110" s="40" t="s">
        <v>48</v>
      </c>
      <c r="W110" s="33"/>
      <c r="X110" s="38" t="str">
        <f>Notes!U109</f>
        <v xml:space="preserve">   Transport and communication</v>
      </c>
      <c r="Y110" s="4" t="s">
        <v>409</v>
      </c>
      <c r="Z110" s="42">
        <v>14.032387348529859</v>
      </c>
      <c r="AA110" s="40" t="s">
        <v>48</v>
      </c>
      <c r="AB110" s="70" t="s">
        <v>48</v>
      </c>
      <c r="AC110" s="42">
        <v>5.8736187641885564</v>
      </c>
      <c r="AD110" s="40" t="s">
        <v>48</v>
      </c>
      <c r="AE110" s="70" t="s">
        <v>48</v>
      </c>
      <c r="AF110" s="40">
        <v>6.9542173812040575</v>
      </c>
      <c r="AG110" s="40" t="s">
        <v>48</v>
      </c>
      <c r="AH110" s="40" t="s">
        <v>48</v>
      </c>
      <c r="AI110" s="42">
        <v>7.0773496532629512</v>
      </c>
      <c r="AJ110" s="40" t="s">
        <v>48</v>
      </c>
      <c r="AK110" s="70" t="s">
        <v>48</v>
      </c>
      <c r="AL110" s="40">
        <v>8.4735748932345238</v>
      </c>
      <c r="AM110" s="40" t="s">
        <v>48</v>
      </c>
      <c r="AN110" s="40" t="s">
        <v>48</v>
      </c>
    </row>
    <row r="111" spans="1:40" x14ac:dyDescent="0.3">
      <c r="A111" s="12">
        <v>102</v>
      </c>
      <c r="B111" s="33"/>
      <c r="C111" s="38" t="str">
        <f>Notes!U110</f>
        <v xml:space="preserve">      Transportation and storage</v>
      </c>
      <c r="D111" s="4" t="s">
        <v>411</v>
      </c>
      <c r="E111" s="42">
        <v>7.4356718433976425</v>
      </c>
      <c r="F111" s="40">
        <v>5.6881237526704593</v>
      </c>
      <c r="G111" s="40">
        <v>3.1380792246896112</v>
      </c>
      <c r="H111" s="40">
        <v>5.7348874545197495</v>
      </c>
      <c r="I111" s="42">
        <v>2.0968916261468276</v>
      </c>
      <c r="J111" s="40" t="s">
        <v>48</v>
      </c>
      <c r="K111" s="70">
        <v>2.1339715432395039</v>
      </c>
      <c r="L111" s="40" t="s">
        <v>48</v>
      </c>
      <c r="M111" s="40" t="s">
        <v>48</v>
      </c>
      <c r="N111" s="40">
        <v>5.8736187641885564</v>
      </c>
      <c r="O111" s="40">
        <v>14.032387348529859</v>
      </c>
      <c r="P111" s="42" t="s">
        <v>48</v>
      </c>
      <c r="Q111" s="40">
        <v>5.5289249399183165</v>
      </c>
      <c r="R111" s="40">
        <v>17.758436900070098</v>
      </c>
      <c r="S111" s="42" t="s">
        <v>48</v>
      </c>
      <c r="T111" s="40" t="s">
        <v>48</v>
      </c>
      <c r="U111" s="40" t="s">
        <v>48</v>
      </c>
      <c r="W111" s="33"/>
      <c r="X111" s="38" t="str">
        <f>Notes!U110</f>
        <v xml:space="preserve">      Transportation and storage</v>
      </c>
      <c r="Y111" s="4" t="s">
        <v>411</v>
      </c>
      <c r="Z111" s="42">
        <v>14.032387348529859</v>
      </c>
      <c r="AA111" s="40" t="s">
        <v>48</v>
      </c>
      <c r="AB111" s="70" t="s">
        <v>48</v>
      </c>
      <c r="AC111" s="42">
        <v>5.8736187641885564</v>
      </c>
      <c r="AD111" s="40" t="s">
        <v>48</v>
      </c>
      <c r="AE111" s="70" t="s">
        <v>48</v>
      </c>
      <c r="AF111" s="40">
        <v>5.7348874545197495</v>
      </c>
      <c r="AG111" s="40" t="s">
        <v>48</v>
      </c>
      <c r="AH111" s="40" t="s">
        <v>48</v>
      </c>
      <c r="AI111" s="42">
        <v>5.6881237526704593</v>
      </c>
      <c r="AJ111" s="40" t="s">
        <v>48</v>
      </c>
      <c r="AK111" s="70" t="s">
        <v>48</v>
      </c>
      <c r="AL111" s="40">
        <v>7.4356718433976425</v>
      </c>
      <c r="AM111" s="40" t="s">
        <v>48</v>
      </c>
      <c r="AN111" s="40" t="s">
        <v>48</v>
      </c>
    </row>
    <row r="112" spans="1:40" x14ac:dyDescent="0.3">
      <c r="A112" s="12">
        <v>103</v>
      </c>
      <c r="B112" s="33"/>
      <c r="C112" s="38" t="str">
        <f>Notes!U111</f>
        <v xml:space="preserve">      Information and communication</v>
      </c>
      <c r="D112" s="4" t="s">
        <v>415</v>
      </c>
      <c r="E112" s="42">
        <v>1.0379030498368818</v>
      </c>
      <c r="F112" s="40">
        <v>1.3892259005924934</v>
      </c>
      <c r="G112" s="40">
        <v>0.40712417079995361</v>
      </c>
      <c r="H112" s="40">
        <v>1.2193299266843081</v>
      </c>
      <c r="I112" s="42">
        <v>1.4777349236571906</v>
      </c>
      <c r="J112" s="40" t="s">
        <v>48</v>
      </c>
      <c r="K112" s="70">
        <v>1.5038661207924706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2" t="s">
        <v>48</v>
      </c>
      <c r="Q112" s="40" t="s">
        <v>48</v>
      </c>
      <c r="R112" s="40" t="s">
        <v>48</v>
      </c>
      <c r="S112" s="42" t="s">
        <v>48</v>
      </c>
      <c r="T112" s="40" t="s">
        <v>48</v>
      </c>
      <c r="U112" s="40" t="s">
        <v>48</v>
      </c>
      <c r="W112" s="33"/>
      <c r="X112" s="38" t="str">
        <f>Notes!U111</f>
        <v xml:space="preserve">      Information and communication</v>
      </c>
      <c r="Y112" s="4" t="s">
        <v>415</v>
      </c>
      <c r="Z112" s="42" t="s">
        <v>48</v>
      </c>
      <c r="AA112" s="40" t="s">
        <v>48</v>
      </c>
      <c r="AB112" s="70" t="s">
        <v>48</v>
      </c>
      <c r="AC112" s="42" t="s">
        <v>48</v>
      </c>
      <c r="AD112" s="40" t="s">
        <v>48</v>
      </c>
      <c r="AE112" s="70" t="s">
        <v>48</v>
      </c>
      <c r="AF112" s="40">
        <v>1.2193299266843081</v>
      </c>
      <c r="AG112" s="40" t="s">
        <v>48</v>
      </c>
      <c r="AH112" s="40" t="s">
        <v>48</v>
      </c>
      <c r="AI112" s="42">
        <v>1.3892259005924934</v>
      </c>
      <c r="AJ112" s="40" t="s">
        <v>48</v>
      </c>
      <c r="AK112" s="70" t="s">
        <v>48</v>
      </c>
      <c r="AL112" s="40">
        <v>1.0379030498368818</v>
      </c>
      <c r="AM112" s="40" t="s">
        <v>48</v>
      </c>
      <c r="AN112" s="40" t="s">
        <v>48</v>
      </c>
    </row>
    <row r="113" spans="1:40" x14ac:dyDescent="0.3">
      <c r="A113" s="12">
        <v>104</v>
      </c>
      <c r="B113" s="33"/>
      <c r="C113" s="38" t="str">
        <f>Notes!U112</f>
        <v xml:space="preserve">   Finance and business services</v>
      </c>
      <c r="D113" s="4" t="s">
        <v>417</v>
      </c>
      <c r="E113" s="42">
        <v>12.910982180319417</v>
      </c>
      <c r="F113" s="40">
        <v>8.3357966742110925</v>
      </c>
      <c r="G113" s="40">
        <v>4.9001486517656394</v>
      </c>
      <c r="H113" s="40">
        <v>7.3120265197778052</v>
      </c>
      <c r="I113" s="42">
        <v>11.336235922508999</v>
      </c>
      <c r="J113" s="40" t="s">
        <v>48</v>
      </c>
      <c r="K113" s="70">
        <v>11.536697731268312</v>
      </c>
      <c r="L113" s="40" t="s">
        <v>48</v>
      </c>
      <c r="M113" s="40" t="s">
        <v>48</v>
      </c>
      <c r="N113" s="40">
        <v>3.0303009055386223</v>
      </c>
      <c r="O113" s="40">
        <v>1.9023818663144139</v>
      </c>
      <c r="P113" s="42" t="s">
        <v>48</v>
      </c>
      <c r="Q113" s="40">
        <v>1.946447161136285</v>
      </c>
      <c r="R113" s="40">
        <v>1.8882435556666306</v>
      </c>
      <c r="S113" s="42" t="s">
        <v>48</v>
      </c>
      <c r="T113" s="40" t="s">
        <v>48</v>
      </c>
      <c r="U113" s="40" t="s">
        <v>48</v>
      </c>
      <c r="W113" s="33"/>
      <c r="X113" s="38" t="str">
        <f>Notes!U112</f>
        <v xml:space="preserve">   Finance and business services</v>
      </c>
      <c r="Y113" s="4" t="s">
        <v>417</v>
      </c>
      <c r="Z113" s="42">
        <v>1.9023818663144139</v>
      </c>
      <c r="AA113" s="40" t="s">
        <v>48</v>
      </c>
      <c r="AB113" s="70" t="s">
        <v>48</v>
      </c>
      <c r="AC113" s="42">
        <v>3.0303009055386223</v>
      </c>
      <c r="AD113" s="40" t="s">
        <v>48</v>
      </c>
      <c r="AE113" s="70" t="s">
        <v>48</v>
      </c>
      <c r="AF113" s="40">
        <v>7.3120265197778052</v>
      </c>
      <c r="AG113" s="40" t="s">
        <v>48</v>
      </c>
      <c r="AH113" s="40" t="s">
        <v>48</v>
      </c>
      <c r="AI113" s="42">
        <v>8.3357966742110925</v>
      </c>
      <c r="AJ113" s="40" t="s">
        <v>48</v>
      </c>
      <c r="AK113" s="70" t="s">
        <v>48</v>
      </c>
      <c r="AL113" s="40">
        <v>12.910982180319417</v>
      </c>
      <c r="AM113" s="40" t="s">
        <v>48</v>
      </c>
      <c r="AN113" s="40" t="s">
        <v>48</v>
      </c>
    </row>
    <row r="114" spans="1:40" x14ac:dyDescent="0.3">
      <c r="A114" s="12">
        <v>105</v>
      </c>
      <c r="B114" s="33"/>
      <c r="C114" s="38" t="str">
        <f>Notes!U113</f>
        <v xml:space="preserve">      Finance and insurance</v>
      </c>
      <c r="D114" s="4" t="s">
        <v>419</v>
      </c>
      <c r="E114" s="42">
        <v>2.8100730814256423</v>
      </c>
      <c r="F114" s="40">
        <v>2.8040771963906268</v>
      </c>
      <c r="G114" s="40">
        <v>3.1040927380407193</v>
      </c>
      <c r="H114" s="40">
        <v>2.3800070964356639</v>
      </c>
      <c r="I114" s="42" t="s">
        <v>48</v>
      </c>
      <c r="J114" s="40" t="s">
        <v>48</v>
      </c>
      <c r="K114" s="70" t="s">
        <v>48</v>
      </c>
      <c r="L114" s="40" t="s">
        <v>48</v>
      </c>
      <c r="M114" s="40" t="s">
        <v>48</v>
      </c>
      <c r="N114" s="40">
        <v>1.7266550870708184</v>
      </c>
      <c r="O114" s="40" t="s">
        <v>48</v>
      </c>
      <c r="P114" s="42" t="s">
        <v>48</v>
      </c>
      <c r="Q114" s="40">
        <v>3.2970049776735175</v>
      </c>
      <c r="R114" s="40" t="s">
        <v>48</v>
      </c>
      <c r="S114" s="42" t="s">
        <v>48</v>
      </c>
      <c r="T114" s="40" t="s">
        <v>48</v>
      </c>
      <c r="U114" s="40" t="s">
        <v>48</v>
      </c>
      <c r="W114" s="33"/>
      <c r="X114" s="38" t="str">
        <f>Notes!U113</f>
        <v xml:space="preserve">      Finance and insurance</v>
      </c>
      <c r="Y114" s="4" t="s">
        <v>419</v>
      </c>
      <c r="Z114" s="42" t="s">
        <v>48</v>
      </c>
      <c r="AA114" s="40" t="s">
        <v>48</v>
      </c>
      <c r="AB114" s="70" t="s">
        <v>48</v>
      </c>
      <c r="AC114" s="42">
        <v>1.7266550870708184</v>
      </c>
      <c r="AD114" s="40" t="s">
        <v>48</v>
      </c>
      <c r="AE114" s="70" t="s">
        <v>48</v>
      </c>
      <c r="AF114" s="40">
        <v>2.3800070964356639</v>
      </c>
      <c r="AG114" s="40" t="s">
        <v>48</v>
      </c>
      <c r="AH114" s="40" t="s">
        <v>48</v>
      </c>
      <c r="AI114" s="42">
        <v>2.8040771963906268</v>
      </c>
      <c r="AJ114" s="40" t="s">
        <v>48</v>
      </c>
      <c r="AK114" s="70" t="s">
        <v>48</v>
      </c>
      <c r="AL114" s="40">
        <v>2.8100730814256423</v>
      </c>
      <c r="AM114" s="40" t="s">
        <v>48</v>
      </c>
      <c r="AN114" s="40" t="s">
        <v>48</v>
      </c>
    </row>
    <row r="115" spans="1:40" x14ac:dyDescent="0.3">
      <c r="A115" s="12">
        <v>106</v>
      </c>
      <c r="B115" s="33"/>
      <c r="C115" s="38" t="str">
        <f>Notes!U114</f>
        <v xml:space="preserve">      Real estate activities</v>
      </c>
      <c r="D115" s="4" t="s">
        <v>421</v>
      </c>
      <c r="E115" s="42">
        <v>8.549184660361087</v>
      </c>
      <c r="F115" s="40">
        <v>4.6091630533874</v>
      </c>
      <c r="G115" s="40">
        <v>1.5671799327433429</v>
      </c>
      <c r="H115" s="40">
        <v>4.0454834923290637</v>
      </c>
      <c r="I115" s="42">
        <v>11.271436221811541</v>
      </c>
      <c r="J115" s="40" t="s">
        <v>48</v>
      </c>
      <c r="K115" s="70">
        <v>11.470752159463578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2" t="s">
        <v>48</v>
      </c>
      <c r="Q115" s="40" t="s">
        <v>48</v>
      </c>
      <c r="R115" s="40" t="s">
        <v>48</v>
      </c>
      <c r="S115" s="42" t="s">
        <v>48</v>
      </c>
      <c r="T115" s="40" t="s">
        <v>48</v>
      </c>
      <c r="U115" s="40" t="s">
        <v>48</v>
      </c>
      <c r="W115" s="33"/>
      <c r="X115" s="38" t="str">
        <f>Notes!U114</f>
        <v xml:space="preserve">      Real estate activities</v>
      </c>
      <c r="Y115" s="4" t="s">
        <v>421</v>
      </c>
      <c r="Z115" s="42" t="s">
        <v>48</v>
      </c>
      <c r="AA115" s="40" t="s">
        <v>48</v>
      </c>
      <c r="AB115" s="70" t="s">
        <v>48</v>
      </c>
      <c r="AC115" s="42" t="s">
        <v>48</v>
      </c>
      <c r="AD115" s="40" t="s">
        <v>48</v>
      </c>
      <c r="AE115" s="70" t="s">
        <v>48</v>
      </c>
      <c r="AF115" s="40">
        <v>4.0454834923290637</v>
      </c>
      <c r="AG115" s="40" t="s">
        <v>48</v>
      </c>
      <c r="AH115" s="40" t="s">
        <v>48</v>
      </c>
      <c r="AI115" s="42">
        <v>4.6091630533874</v>
      </c>
      <c r="AJ115" s="40" t="s">
        <v>48</v>
      </c>
      <c r="AK115" s="70" t="s">
        <v>48</v>
      </c>
      <c r="AL115" s="40">
        <v>8.549184660361087</v>
      </c>
      <c r="AM115" s="40" t="s">
        <v>48</v>
      </c>
      <c r="AN115" s="40" t="s">
        <v>48</v>
      </c>
    </row>
    <row r="116" spans="1:40" x14ac:dyDescent="0.3">
      <c r="A116" s="12">
        <v>107</v>
      </c>
      <c r="B116" s="33"/>
      <c r="C116" s="38" t="str">
        <f>Notes!U115</f>
        <v xml:space="preserve">      Business services</v>
      </c>
      <c r="D116" s="4" t="s">
        <v>423</v>
      </c>
      <c r="E116" s="42">
        <v>1.5517244385326887</v>
      </c>
      <c r="F116" s="40">
        <v>0.92255642443306685</v>
      </c>
      <c r="G116" s="40">
        <v>0.22887598098157652</v>
      </c>
      <c r="H116" s="40">
        <v>0.88653593101307715</v>
      </c>
      <c r="I116" s="42">
        <v>6.4799700697460508E-2</v>
      </c>
      <c r="J116" s="40" t="s">
        <v>48</v>
      </c>
      <c r="K116" s="70">
        <v>6.5945571804737188E-2</v>
      </c>
      <c r="L116" s="40" t="s">
        <v>48</v>
      </c>
      <c r="M116" s="40" t="s">
        <v>48</v>
      </c>
      <c r="N116" s="40">
        <v>1.3036458184678039</v>
      </c>
      <c r="O116" s="40">
        <v>1.9023818663144139</v>
      </c>
      <c r="P116" s="42" t="s">
        <v>48</v>
      </c>
      <c r="Q116" s="40">
        <v>7.5660752157639175</v>
      </c>
      <c r="R116" s="40">
        <v>15.573973340320569</v>
      </c>
      <c r="S116" s="42" t="s">
        <v>48</v>
      </c>
      <c r="T116" s="40" t="s">
        <v>48</v>
      </c>
      <c r="U116" s="40" t="s">
        <v>48</v>
      </c>
      <c r="W116" s="33"/>
      <c r="X116" s="38" t="str">
        <f>Notes!U115</f>
        <v xml:space="preserve">      Business services</v>
      </c>
      <c r="Y116" s="4" t="s">
        <v>423</v>
      </c>
      <c r="Z116" s="42">
        <v>1.9023818663144139</v>
      </c>
      <c r="AA116" s="40" t="s">
        <v>48</v>
      </c>
      <c r="AB116" s="70" t="s">
        <v>48</v>
      </c>
      <c r="AC116" s="42">
        <v>1.3036458184678039</v>
      </c>
      <c r="AD116" s="40" t="s">
        <v>48</v>
      </c>
      <c r="AE116" s="70" t="s">
        <v>48</v>
      </c>
      <c r="AF116" s="40">
        <v>0.88653593101307715</v>
      </c>
      <c r="AG116" s="40" t="s">
        <v>48</v>
      </c>
      <c r="AH116" s="40" t="s">
        <v>48</v>
      </c>
      <c r="AI116" s="42">
        <v>0.92255642443306685</v>
      </c>
      <c r="AJ116" s="40" t="s">
        <v>48</v>
      </c>
      <c r="AK116" s="70" t="s">
        <v>48</v>
      </c>
      <c r="AL116" s="40">
        <v>1.5517244385326887</v>
      </c>
      <c r="AM116" s="40" t="s">
        <v>48</v>
      </c>
      <c r="AN116" s="40" t="s">
        <v>48</v>
      </c>
    </row>
    <row r="117" spans="1:40" x14ac:dyDescent="0.3">
      <c r="A117" s="12">
        <v>108</v>
      </c>
      <c r="B117" s="33"/>
      <c r="C117" s="38" t="str">
        <f>Notes!U116</f>
        <v xml:space="preserve">   Public and social services</v>
      </c>
      <c r="D117" s="4" t="s">
        <v>425</v>
      </c>
      <c r="E117" s="42">
        <v>10.22303409605313</v>
      </c>
      <c r="F117" s="40">
        <v>7.8827059513036053</v>
      </c>
      <c r="G117" s="40">
        <v>16.013251193739052</v>
      </c>
      <c r="H117" s="40">
        <v>6.9186870656368633</v>
      </c>
      <c r="I117" s="42">
        <v>10.286473952107059</v>
      </c>
      <c r="J117" s="40" t="s">
        <v>48</v>
      </c>
      <c r="K117" s="70">
        <v>10.468372528344396</v>
      </c>
      <c r="L117" s="40">
        <v>100</v>
      </c>
      <c r="M117" s="40" t="s">
        <v>48</v>
      </c>
      <c r="N117" s="40" t="s">
        <v>48</v>
      </c>
      <c r="O117" s="40" t="s">
        <v>48</v>
      </c>
      <c r="P117" s="42" t="s">
        <v>48</v>
      </c>
      <c r="Q117" s="40" t="s">
        <v>48</v>
      </c>
      <c r="R117" s="40" t="s">
        <v>48</v>
      </c>
      <c r="S117" s="42" t="s">
        <v>48</v>
      </c>
      <c r="T117" s="40" t="s">
        <v>48</v>
      </c>
      <c r="U117" s="40" t="s">
        <v>48</v>
      </c>
      <c r="W117" s="33"/>
      <c r="X117" s="38" t="str">
        <f>Notes!U116</f>
        <v xml:space="preserve">   Public and social services</v>
      </c>
      <c r="Y117" s="4" t="s">
        <v>425</v>
      </c>
      <c r="Z117" s="42" t="s">
        <v>48</v>
      </c>
      <c r="AA117" s="40" t="s">
        <v>48</v>
      </c>
      <c r="AB117" s="70" t="s">
        <v>48</v>
      </c>
      <c r="AC117" s="42" t="s">
        <v>48</v>
      </c>
      <c r="AD117" s="40" t="s">
        <v>48</v>
      </c>
      <c r="AE117" s="70" t="s">
        <v>48</v>
      </c>
      <c r="AF117" s="40">
        <v>6.9186870656368633</v>
      </c>
      <c r="AG117" s="40" t="s">
        <v>48</v>
      </c>
      <c r="AH117" s="40" t="s">
        <v>48</v>
      </c>
      <c r="AI117" s="42">
        <v>7.8827059513036053</v>
      </c>
      <c r="AJ117" s="40" t="s">
        <v>48</v>
      </c>
      <c r="AK117" s="70" t="s">
        <v>48</v>
      </c>
      <c r="AL117" s="40">
        <v>10.22303409605313</v>
      </c>
      <c r="AM117" s="40" t="s">
        <v>48</v>
      </c>
      <c r="AN117" s="40" t="s">
        <v>48</v>
      </c>
    </row>
    <row r="118" spans="1:40" x14ac:dyDescent="0.3">
      <c r="A118" s="12">
        <v>109</v>
      </c>
      <c r="B118" s="33"/>
      <c r="C118" s="38" t="str">
        <f>Notes!U117</f>
        <v xml:space="preserve">      Public administration</v>
      </c>
      <c r="D118" s="4" t="s">
        <v>427</v>
      </c>
      <c r="E118" s="42">
        <v>2.7549075754581609</v>
      </c>
      <c r="F118" s="40">
        <v>2.0902980843437233</v>
      </c>
      <c r="G118" s="40">
        <v>5.2442710873781815</v>
      </c>
      <c r="H118" s="40">
        <v>1.8346641887717205</v>
      </c>
      <c r="I118" s="42">
        <v>0.15450609665428947</v>
      </c>
      <c r="J118" s="40" t="s">
        <v>48</v>
      </c>
      <c r="K118" s="70">
        <v>0.15723827087961251</v>
      </c>
      <c r="L118" s="40">
        <v>42.884994937494092</v>
      </c>
      <c r="M118" s="40" t="s">
        <v>48</v>
      </c>
      <c r="N118" s="40" t="s">
        <v>48</v>
      </c>
      <c r="O118" s="40" t="s">
        <v>48</v>
      </c>
      <c r="P118" s="42" t="s">
        <v>48</v>
      </c>
      <c r="Q118" s="40" t="s">
        <v>48</v>
      </c>
      <c r="R118" s="40" t="s">
        <v>48</v>
      </c>
      <c r="S118" s="42" t="s">
        <v>48</v>
      </c>
      <c r="T118" s="40" t="s">
        <v>48</v>
      </c>
      <c r="U118" s="40" t="s">
        <v>48</v>
      </c>
      <c r="W118" s="33"/>
      <c r="X118" s="38" t="str">
        <f>Notes!U117</f>
        <v xml:space="preserve">      Public administration</v>
      </c>
      <c r="Y118" s="4" t="s">
        <v>427</v>
      </c>
      <c r="Z118" s="42" t="s">
        <v>48</v>
      </c>
      <c r="AA118" s="40" t="s">
        <v>48</v>
      </c>
      <c r="AB118" s="70" t="s">
        <v>48</v>
      </c>
      <c r="AC118" s="42" t="s">
        <v>48</v>
      </c>
      <c r="AD118" s="40" t="s">
        <v>48</v>
      </c>
      <c r="AE118" s="70" t="s">
        <v>48</v>
      </c>
      <c r="AF118" s="40">
        <v>1.8346641887717205</v>
      </c>
      <c r="AG118" s="40" t="s">
        <v>48</v>
      </c>
      <c r="AH118" s="40" t="s">
        <v>48</v>
      </c>
      <c r="AI118" s="42">
        <v>2.0902980843437233</v>
      </c>
      <c r="AJ118" s="40" t="s">
        <v>48</v>
      </c>
      <c r="AK118" s="70" t="s">
        <v>48</v>
      </c>
      <c r="AL118" s="40">
        <v>2.7549075754581609</v>
      </c>
      <c r="AM118" s="40" t="s">
        <v>48</v>
      </c>
      <c r="AN118" s="40" t="s">
        <v>48</v>
      </c>
    </row>
    <row r="119" spans="1:40" x14ac:dyDescent="0.3">
      <c r="A119" s="12">
        <v>110</v>
      </c>
      <c r="B119" s="33"/>
      <c r="C119" s="38" t="str">
        <f>Notes!U118</f>
        <v xml:space="preserve">      Education</v>
      </c>
      <c r="D119" s="4" t="s">
        <v>429</v>
      </c>
      <c r="E119" s="42">
        <v>2.7193009176240555</v>
      </c>
      <c r="F119" s="40">
        <v>1.6355508747480212</v>
      </c>
      <c r="G119" s="40">
        <v>6.6262460455442751</v>
      </c>
      <c r="H119" s="40">
        <v>1.4355304830873237</v>
      </c>
      <c r="I119" s="42">
        <v>2.001105382751089</v>
      </c>
      <c r="J119" s="40" t="s">
        <v>48</v>
      </c>
      <c r="K119" s="70">
        <v>2.0364914850946172</v>
      </c>
      <c r="L119" s="40">
        <v>24.381097598242839</v>
      </c>
      <c r="M119" s="40" t="s">
        <v>48</v>
      </c>
      <c r="N119" s="40" t="s">
        <v>48</v>
      </c>
      <c r="O119" s="40" t="s">
        <v>48</v>
      </c>
      <c r="P119" s="42" t="s">
        <v>48</v>
      </c>
      <c r="Q119" s="40" t="s">
        <v>48</v>
      </c>
      <c r="R119" s="40" t="s">
        <v>48</v>
      </c>
      <c r="S119" s="42" t="s">
        <v>48</v>
      </c>
      <c r="T119" s="40" t="s">
        <v>48</v>
      </c>
      <c r="U119" s="40" t="s">
        <v>48</v>
      </c>
      <c r="W119" s="33"/>
      <c r="X119" s="38" t="str">
        <f>Notes!U118</f>
        <v xml:space="preserve">      Education</v>
      </c>
      <c r="Y119" s="4" t="s">
        <v>429</v>
      </c>
      <c r="Z119" s="42" t="s">
        <v>48</v>
      </c>
      <c r="AA119" s="40" t="s">
        <v>48</v>
      </c>
      <c r="AB119" s="70" t="s">
        <v>48</v>
      </c>
      <c r="AC119" s="42" t="s">
        <v>48</v>
      </c>
      <c r="AD119" s="40" t="s">
        <v>48</v>
      </c>
      <c r="AE119" s="70" t="s">
        <v>48</v>
      </c>
      <c r="AF119" s="40">
        <v>1.4355304830873237</v>
      </c>
      <c r="AG119" s="40" t="s">
        <v>48</v>
      </c>
      <c r="AH119" s="40" t="s">
        <v>48</v>
      </c>
      <c r="AI119" s="42">
        <v>1.6355508747480212</v>
      </c>
      <c r="AJ119" s="40" t="s">
        <v>48</v>
      </c>
      <c r="AK119" s="70" t="s">
        <v>48</v>
      </c>
      <c r="AL119" s="40">
        <v>2.7193009176240555</v>
      </c>
      <c r="AM119" s="40" t="s">
        <v>48</v>
      </c>
      <c r="AN119" s="40" t="s">
        <v>48</v>
      </c>
    </row>
    <row r="120" spans="1:40" x14ac:dyDescent="0.3">
      <c r="A120" s="12">
        <v>111</v>
      </c>
      <c r="B120" s="33"/>
      <c r="C120" s="38" t="str">
        <f>Notes!U119</f>
        <v xml:space="preserve">      Health and social work</v>
      </c>
      <c r="D120" s="4" t="s">
        <v>431</v>
      </c>
      <c r="E120" s="42">
        <v>4.7488256029709142</v>
      </c>
      <c r="F120" s="40">
        <v>4.1568569922118614</v>
      </c>
      <c r="G120" s="40">
        <v>4.1427340608165952</v>
      </c>
      <c r="H120" s="40">
        <v>3.6484923937778198</v>
      </c>
      <c r="I120" s="42">
        <v>8.1308624727016809</v>
      </c>
      <c r="J120" s="40" t="s">
        <v>48</v>
      </c>
      <c r="K120" s="70">
        <v>8.2746427723701661</v>
      </c>
      <c r="L120" s="40">
        <v>32.733907464263062</v>
      </c>
      <c r="M120" s="40" t="s">
        <v>48</v>
      </c>
      <c r="N120" s="40" t="s">
        <v>48</v>
      </c>
      <c r="O120" s="40" t="s">
        <v>48</v>
      </c>
      <c r="P120" s="42" t="s">
        <v>48</v>
      </c>
      <c r="Q120" s="40" t="s">
        <v>48</v>
      </c>
      <c r="R120" s="40" t="s">
        <v>48</v>
      </c>
      <c r="S120" s="42" t="s">
        <v>48</v>
      </c>
      <c r="T120" s="40" t="s">
        <v>48</v>
      </c>
      <c r="U120" s="40" t="s">
        <v>48</v>
      </c>
      <c r="W120" s="33"/>
      <c r="X120" s="38" t="str">
        <f>Notes!U119</f>
        <v xml:space="preserve">      Health and social work</v>
      </c>
      <c r="Y120" s="4" t="s">
        <v>431</v>
      </c>
      <c r="Z120" s="42" t="s">
        <v>48</v>
      </c>
      <c r="AA120" s="40" t="s">
        <v>48</v>
      </c>
      <c r="AB120" s="70" t="s">
        <v>48</v>
      </c>
      <c r="AC120" s="42" t="s">
        <v>48</v>
      </c>
      <c r="AD120" s="40" t="s">
        <v>48</v>
      </c>
      <c r="AE120" s="70" t="s">
        <v>48</v>
      </c>
      <c r="AF120" s="40">
        <v>3.6484923937778198</v>
      </c>
      <c r="AG120" s="40" t="s">
        <v>48</v>
      </c>
      <c r="AH120" s="40" t="s">
        <v>48</v>
      </c>
      <c r="AI120" s="42">
        <v>4.1568569922118614</v>
      </c>
      <c r="AJ120" s="40" t="s">
        <v>48</v>
      </c>
      <c r="AK120" s="70" t="s">
        <v>48</v>
      </c>
      <c r="AL120" s="40">
        <v>4.7488256029709142</v>
      </c>
      <c r="AM120" s="40" t="s">
        <v>48</v>
      </c>
      <c r="AN120" s="40" t="s">
        <v>48</v>
      </c>
    </row>
    <row r="121" spans="1:40" x14ac:dyDescent="0.3">
      <c r="A121" s="12">
        <v>112</v>
      </c>
      <c r="B121" s="33"/>
      <c r="C121" s="38" t="str">
        <f>Notes!U120</f>
        <v xml:space="preserve">   Other services</v>
      </c>
      <c r="D121" s="4" t="s">
        <v>433</v>
      </c>
      <c r="E121" s="42">
        <v>5.2393999413571164</v>
      </c>
      <c r="F121" s="40">
        <v>2.9829540994247243</v>
      </c>
      <c r="G121" s="40">
        <v>0.74265072552100053</v>
      </c>
      <c r="H121" s="40">
        <v>2.6181524558410407</v>
      </c>
      <c r="I121" s="42">
        <v>1.0401753137216729</v>
      </c>
      <c r="J121" s="40" t="s">
        <v>48</v>
      </c>
      <c r="K121" s="70">
        <v>1.0585690227306224</v>
      </c>
      <c r="L121" s="40" t="s">
        <v>48</v>
      </c>
      <c r="M121" s="40" t="s">
        <v>48</v>
      </c>
      <c r="N121" s="40" t="s">
        <v>48</v>
      </c>
      <c r="O121" s="40" t="s">
        <v>48</v>
      </c>
      <c r="P121" s="42" t="s">
        <v>48</v>
      </c>
      <c r="Q121" s="40" t="s">
        <v>48</v>
      </c>
      <c r="R121" s="40" t="s">
        <v>48</v>
      </c>
      <c r="S121" s="42" t="s">
        <v>48</v>
      </c>
      <c r="T121" s="40" t="s">
        <v>48</v>
      </c>
      <c r="U121" s="40" t="s">
        <v>48</v>
      </c>
      <c r="W121" s="33"/>
      <c r="X121" s="38" t="str">
        <f>Notes!U120</f>
        <v xml:space="preserve">   Other services</v>
      </c>
      <c r="Y121" s="4" t="s">
        <v>433</v>
      </c>
      <c r="Z121" s="42" t="s">
        <v>48</v>
      </c>
      <c r="AA121" s="40" t="s">
        <v>48</v>
      </c>
      <c r="AB121" s="70" t="s">
        <v>48</v>
      </c>
      <c r="AC121" s="42" t="s">
        <v>48</v>
      </c>
      <c r="AD121" s="40" t="s">
        <v>48</v>
      </c>
      <c r="AE121" s="70" t="s">
        <v>48</v>
      </c>
      <c r="AF121" s="40">
        <v>2.6181524558410407</v>
      </c>
      <c r="AG121" s="40" t="s">
        <v>48</v>
      </c>
      <c r="AH121" s="40" t="s">
        <v>48</v>
      </c>
      <c r="AI121" s="42">
        <v>2.9829540994247243</v>
      </c>
      <c r="AJ121" s="40" t="s">
        <v>48</v>
      </c>
      <c r="AK121" s="70" t="s">
        <v>48</v>
      </c>
      <c r="AL121" s="40">
        <v>5.2393999413571164</v>
      </c>
      <c r="AM121" s="40" t="s">
        <v>48</v>
      </c>
      <c r="AN121" s="40" t="s">
        <v>48</v>
      </c>
    </row>
    <row r="122" spans="1:40" x14ac:dyDescent="0.3">
      <c r="A122" s="12">
        <v>113</v>
      </c>
      <c r="B122" s="33"/>
      <c r="C122" s="38" t="str">
        <f>Notes!U121</f>
        <v xml:space="preserve">               </v>
      </c>
      <c r="D122" s="4" t="s">
        <v>427</v>
      </c>
      <c r="E122" s="42">
        <v>12.694695276424204</v>
      </c>
      <c r="F122" s="40">
        <v>9.1958596314920094</v>
      </c>
      <c r="G122" s="40">
        <v>26.572030591336805</v>
      </c>
      <c r="H122" s="40">
        <v>5.8864997665526806</v>
      </c>
      <c r="I122" s="42">
        <v>4.9425303355858121</v>
      </c>
      <c r="J122" s="40" t="s">
        <v>48</v>
      </c>
      <c r="K122" s="70">
        <v>4.9425303355858121</v>
      </c>
      <c r="L122" s="40">
        <v>86.903053540200361</v>
      </c>
      <c r="M122" s="40" t="s">
        <v>48</v>
      </c>
      <c r="N122" s="40">
        <v>14.781135561266639</v>
      </c>
      <c r="O122" s="40" t="s">
        <v>48</v>
      </c>
      <c r="P122" s="42" t="s">
        <v>48</v>
      </c>
      <c r="Q122" s="40">
        <v>7.6547109738120973</v>
      </c>
      <c r="R122" s="40" t="s">
        <v>48</v>
      </c>
      <c r="S122" s="42" t="s">
        <v>48</v>
      </c>
      <c r="T122" s="40" t="s">
        <v>48</v>
      </c>
      <c r="U122" s="40" t="s">
        <v>48</v>
      </c>
      <c r="W122" s="33"/>
      <c r="X122" s="38" t="str">
        <f>Notes!U121</f>
        <v xml:space="preserve">               </v>
      </c>
      <c r="Y122" s="4" t="s">
        <v>427</v>
      </c>
      <c r="Z122" s="42" t="s">
        <v>48</v>
      </c>
      <c r="AA122" s="40" t="s">
        <v>48</v>
      </c>
      <c r="AB122" s="70" t="s">
        <v>48</v>
      </c>
      <c r="AC122" s="42">
        <v>14.781135561266639</v>
      </c>
      <c r="AD122" s="40" t="s">
        <v>48</v>
      </c>
      <c r="AE122" s="70" t="s">
        <v>48</v>
      </c>
      <c r="AF122" s="40">
        <v>5.8864997665526806</v>
      </c>
      <c r="AG122" s="40" t="s">
        <v>48</v>
      </c>
      <c r="AH122" s="40" t="s">
        <v>48</v>
      </c>
      <c r="AI122" s="42">
        <v>9.1958596314920094</v>
      </c>
      <c r="AJ122" s="40" t="s">
        <v>48</v>
      </c>
      <c r="AK122" s="70" t="s">
        <v>48</v>
      </c>
      <c r="AL122" s="40">
        <v>12.694695276424204</v>
      </c>
      <c r="AM122" s="40" t="s">
        <v>48</v>
      </c>
      <c r="AN122" s="40" t="s">
        <v>48</v>
      </c>
    </row>
    <row r="123" spans="1:40" x14ac:dyDescent="0.3">
      <c r="A123" s="12">
        <v>114</v>
      </c>
      <c r="B123" s="33"/>
      <c r="C123" s="38" t="str">
        <f>Notes!U122</f>
        <v xml:space="preserve">               </v>
      </c>
      <c r="D123" s="4" t="s">
        <v>429</v>
      </c>
      <c r="E123" s="42">
        <v>4.2613600083227876</v>
      </c>
      <c r="F123" s="40">
        <v>3.5777065458994159</v>
      </c>
      <c r="G123" s="40">
        <v>8.0797797063144845</v>
      </c>
      <c r="H123" s="40">
        <v>2.480017631120639</v>
      </c>
      <c r="I123" s="42">
        <v>4.2713718578878961</v>
      </c>
      <c r="J123" s="40" t="s">
        <v>48</v>
      </c>
      <c r="K123" s="70">
        <v>4.2713718578878961</v>
      </c>
      <c r="L123" s="40">
        <v>10.471572888265269</v>
      </c>
      <c r="M123" s="40">
        <v>7.9640577534636249E-3</v>
      </c>
      <c r="N123" s="40" t="s">
        <v>48</v>
      </c>
      <c r="O123" s="40" t="s">
        <v>48</v>
      </c>
      <c r="P123" s="42" t="s">
        <v>48</v>
      </c>
      <c r="Q123" s="40" t="s">
        <v>48</v>
      </c>
      <c r="R123" s="40" t="s">
        <v>48</v>
      </c>
      <c r="S123" s="42" t="s">
        <v>48</v>
      </c>
      <c r="T123" s="40" t="s">
        <v>48</v>
      </c>
      <c r="U123" s="40" t="s">
        <v>48</v>
      </c>
      <c r="W123" s="33"/>
      <c r="X123" s="38" t="str">
        <f>Notes!U122</f>
        <v xml:space="preserve">               </v>
      </c>
      <c r="Y123" s="4" t="s">
        <v>429</v>
      </c>
      <c r="Z123" s="42" t="s">
        <v>48</v>
      </c>
      <c r="AA123" s="40" t="s">
        <v>48</v>
      </c>
      <c r="AB123" s="70" t="s">
        <v>48</v>
      </c>
      <c r="AC123" s="42" t="s">
        <v>48</v>
      </c>
      <c r="AD123" s="40" t="s">
        <v>48</v>
      </c>
      <c r="AE123" s="70" t="s">
        <v>48</v>
      </c>
      <c r="AF123" s="40">
        <v>2.480017631120639</v>
      </c>
      <c r="AG123" s="40" t="s">
        <v>48</v>
      </c>
      <c r="AH123" s="40" t="s">
        <v>48</v>
      </c>
      <c r="AI123" s="42">
        <v>3.5777065458994159</v>
      </c>
      <c r="AJ123" s="40" t="s">
        <v>48</v>
      </c>
      <c r="AK123" s="70" t="s">
        <v>48</v>
      </c>
      <c r="AL123" s="40">
        <v>4.2613600083227876</v>
      </c>
      <c r="AM123" s="40" t="s">
        <v>48</v>
      </c>
      <c r="AN123" s="40" t="s">
        <v>48</v>
      </c>
    </row>
    <row r="124" spans="1:40" x14ac:dyDescent="0.3">
      <c r="A124" s="12">
        <v>115</v>
      </c>
      <c r="B124" s="33"/>
      <c r="C124" s="38" t="str">
        <f>Notes!U123</f>
        <v xml:space="preserve">               </v>
      </c>
      <c r="D124" s="4" t="s">
        <v>431</v>
      </c>
      <c r="E124" s="42">
        <v>0.11051931050379919</v>
      </c>
      <c r="F124" s="40">
        <v>0.43177364348156616</v>
      </c>
      <c r="G124" s="40">
        <v>6.6006643233155554E-2</v>
      </c>
      <c r="H124" s="40">
        <v>0.29929963085283873</v>
      </c>
      <c r="I124" s="42">
        <v>0.34505793515694227</v>
      </c>
      <c r="J124" s="40" t="s">
        <v>48</v>
      </c>
      <c r="K124" s="70">
        <v>0.34505793515694227</v>
      </c>
      <c r="L124" s="40">
        <v>2.6228517974576175</v>
      </c>
      <c r="M124" s="40" t="s">
        <v>48</v>
      </c>
      <c r="N124" s="40" t="s">
        <v>48</v>
      </c>
      <c r="O124" s="40" t="s">
        <v>48</v>
      </c>
      <c r="P124" s="42" t="s">
        <v>48</v>
      </c>
      <c r="Q124" s="40" t="s">
        <v>48</v>
      </c>
      <c r="R124" s="40" t="s">
        <v>48</v>
      </c>
      <c r="S124" s="42" t="s">
        <v>48</v>
      </c>
      <c r="T124" s="40" t="s">
        <v>48</v>
      </c>
      <c r="U124" s="40" t="s">
        <v>48</v>
      </c>
      <c r="W124" s="33"/>
      <c r="X124" s="38" t="str">
        <f>Notes!U123</f>
        <v xml:space="preserve">               </v>
      </c>
      <c r="Y124" s="4" t="s">
        <v>431</v>
      </c>
      <c r="Z124" s="42" t="s">
        <v>48</v>
      </c>
      <c r="AA124" s="40" t="s">
        <v>48</v>
      </c>
      <c r="AB124" s="70" t="s">
        <v>48</v>
      </c>
      <c r="AC124" s="42" t="s">
        <v>48</v>
      </c>
      <c r="AD124" s="40" t="s">
        <v>48</v>
      </c>
      <c r="AE124" s="70" t="s">
        <v>48</v>
      </c>
      <c r="AF124" s="40">
        <v>0.29929963085283873</v>
      </c>
      <c r="AG124" s="40" t="s">
        <v>48</v>
      </c>
      <c r="AH124" s="40" t="s">
        <v>48</v>
      </c>
      <c r="AI124" s="42">
        <v>0.43177364348156616</v>
      </c>
      <c r="AJ124" s="40" t="s">
        <v>48</v>
      </c>
      <c r="AK124" s="70" t="s">
        <v>48</v>
      </c>
      <c r="AL124" s="40">
        <v>0.11051931050379919</v>
      </c>
      <c r="AM124" s="40" t="s">
        <v>48</v>
      </c>
      <c r="AN124" s="40" t="s">
        <v>48</v>
      </c>
    </row>
    <row r="125" spans="1:40" x14ac:dyDescent="0.3">
      <c r="A125" s="12">
        <v>116</v>
      </c>
      <c r="B125" s="33"/>
      <c r="C125" s="38" t="str">
        <f>Notes!U124</f>
        <v xml:space="preserve">               </v>
      </c>
      <c r="D125" s="4" t="s">
        <v>433</v>
      </c>
      <c r="E125" s="42">
        <v>0.56377147807703898</v>
      </c>
      <c r="F125" s="40">
        <v>0.57944211778501364</v>
      </c>
      <c r="G125" s="40">
        <v>0.65554085222216119</v>
      </c>
      <c r="H125" s="40">
        <v>0.40166141350183165</v>
      </c>
      <c r="I125" s="42">
        <v>1.0512846991436809E-2</v>
      </c>
      <c r="J125" s="40" t="s">
        <v>48</v>
      </c>
      <c r="K125" s="70">
        <v>1.0512846991436809E-2</v>
      </c>
      <c r="L125" s="40">
        <v>2.5217740767509798E-3</v>
      </c>
      <c r="M125" s="40" t="s">
        <v>48</v>
      </c>
      <c r="N125" s="40" t="s">
        <v>48</v>
      </c>
      <c r="O125" s="40" t="s">
        <v>48</v>
      </c>
      <c r="P125" s="42" t="s">
        <v>48</v>
      </c>
      <c r="Q125" s="40" t="s">
        <v>48</v>
      </c>
      <c r="R125" s="40" t="s">
        <v>48</v>
      </c>
      <c r="S125" s="42" t="s">
        <v>48</v>
      </c>
      <c r="T125" s="40" t="s">
        <v>48</v>
      </c>
      <c r="U125" s="40" t="s">
        <v>48</v>
      </c>
      <c r="W125" s="33"/>
      <c r="X125" s="38" t="str">
        <f>Notes!U124</f>
        <v xml:space="preserve">               </v>
      </c>
      <c r="Y125" s="4" t="s">
        <v>433</v>
      </c>
      <c r="Z125" s="42" t="s">
        <v>48</v>
      </c>
      <c r="AA125" s="40" t="s">
        <v>48</v>
      </c>
      <c r="AB125" s="70" t="s">
        <v>48</v>
      </c>
      <c r="AC125" s="42" t="s">
        <v>48</v>
      </c>
      <c r="AD125" s="40" t="s">
        <v>48</v>
      </c>
      <c r="AE125" s="70" t="s">
        <v>48</v>
      </c>
      <c r="AF125" s="40">
        <v>0.40166141350183165</v>
      </c>
      <c r="AG125" s="40" t="s">
        <v>48</v>
      </c>
      <c r="AH125" s="40" t="s">
        <v>48</v>
      </c>
      <c r="AI125" s="42">
        <v>0.57944211778501364</v>
      </c>
      <c r="AJ125" s="40" t="s">
        <v>48</v>
      </c>
      <c r="AK125" s="70" t="s">
        <v>48</v>
      </c>
      <c r="AL125" s="40">
        <v>0.56377147807703898</v>
      </c>
      <c r="AM125" s="40" t="s">
        <v>48</v>
      </c>
      <c r="AN125" s="40" t="s">
        <v>48</v>
      </c>
    </row>
    <row r="126" spans="1:40" x14ac:dyDescent="0.3">
      <c r="A126" s="12">
        <v>117</v>
      </c>
      <c r="B126" s="33"/>
      <c r="C126" s="38" t="str">
        <f>Notes!U125</f>
        <v xml:space="preserve">               </v>
      </c>
      <c r="D126" s="4"/>
      <c r="E126" s="42"/>
      <c r="F126" s="40"/>
      <c r="G126" s="40"/>
      <c r="H126" s="40"/>
      <c r="I126" s="42"/>
      <c r="J126" s="40"/>
      <c r="K126" s="70"/>
      <c r="L126" s="40"/>
      <c r="M126" s="40"/>
      <c r="N126" s="40"/>
      <c r="O126" s="40"/>
      <c r="P126" s="42"/>
      <c r="Q126" s="40"/>
      <c r="R126" s="40"/>
      <c r="S126" s="42"/>
      <c r="T126" s="40"/>
      <c r="U126" s="40"/>
      <c r="W126" s="33"/>
      <c r="X126" s="38" t="str">
        <f>Notes!U125</f>
        <v xml:space="preserve">               </v>
      </c>
      <c r="Y126" s="4"/>
      <c r="Z126" s="42"/>
      <c r="AA126" s="40"/>
      <c r="AB126" s="70"/>
      <c r="AC126" s="42"/>
      <c r="AD126" s="40"/>
      <c r="AE126" s="70"/>
      <c r="AF126" s="40"/>
      <c r="AG126" s="40"/>
      <c r="AH126" s="40"/>
      <c r="AI126" s="42"/>
      <c r="AJ126" s="40"/>
      <c r="AK126" s="70"/>
      <c r="AL126" s="40"/>
      <c r="AM126" s="40"/>
      <c r="AN126" s="40"/>
    </row>
    <row r="127" spans="1:40" x14ac:dyDescent="0.3">
      <c r="A127" s="12">
        <v>118</v>
      </c>
      <c r="B127" s="33"/>
      <c r="C127" s="38" t="str">
        <f>Notes!U126</f>
        <v xml:space="preserve">               </v>
      </c>
      <c r="D127" s="4"/>
      <c r="E127" s="42"/>
      <c r="F127" s="40"/>
      <c r="G127" s="40"/>
      <c r="H127" s="40"/>
      <c r="I127" s="42"/>
      <c r="J127" s="40"/>
      <c r="K127" s="70"/>
      <c r="L127" s="40"/>
      <c r="M127" s="40"/>
      <c r="N127" s="40"/>
      <c r="O127" s="40"/>
      <c r="P127" s="42"/>
      <c r="Q127" s="40"/>
      <c r="R127" s="40"/>
      <c r="S127" s="42"/>
      <c r="T127" s="40"/>
      <c r="U127" s="40"/>
      <c r="W127" s="33"/>
      <c r="X127" s="38" t="str">
        <f>Notes!U126</f>
        <v xml:space="preserve">               </v>
      </c>
      <c r="Y127" s="4"/>
      <c r="Z127" s="42"/>
      <c r="AA127" s="40"/>
      <c r="AB127" s="70"/>
      <c r="AC127" s="42"/>
      <c r="AD127" s="40"/>
      <c r="AE127" s="70"/>
      <c r="AF127" s="40"/>
      <c r="AG127" s="40"/>
      <c r="AH127" s="40"/>
      <c r="AI127" s="42"/>
      <c r="AJ127" s="40"/>
      <c r="AK127" s="70"/>
      <c r="AL127" s="40"/>
      <c r="AM127" s="40"/>
      <c r="AN127" s="40"/>
    </row>
    <row r="128" spans="1:40" x14ac:dyDescent="0.3">
      <c r="A128" s="12">
        <v>119</v>
      </c>
      <c r="B128" s="33"/>
      <c r="C128" s="38" t="str">
        <f>Notes!U127</f>
        <v xml:space="preserve">               </v>
      </c>
      <c r="D128" s="4"/>
      <c r="E128" s="42"/>
      <c r="F128" s="40"/>
      <c r="G128" s="40"/>
      <c r="H128" s="40"/>
      <c r="I128" s="42"/>
      <c r="J128" s="40"/>
      <c r="K128" s="70"/>
      <c r="L128" s="40"/>
      <c r="M128" s="40"/>
      <c r="N128" s="40"/>
      <c r="O128" s="40"/>
      <c r="P128" s="42"/>
      <c r="Q128" s="40"/>
      <c r="R128" s="40"/>
      <c r="S128" s="42"/>
      <c r="T128" s="40"/>
      <c r="U128" s="40"/>
      <c r="W128" s="33"/>
      <c r="X128" s="38" t="str">
        <f>Notes!U127</f>
        <v xml:space="preserve">               </v>
      </c>
      <c r="Y128" s="4"/>
      <c r="Z128" s="42"/>
      <c r="AA128" s="40"/>
      <c r="AB128" s="70"/>
      <c r="AC128" s="42"/>
      <c r="AD128" s="40"/>
      <c r="AE128" s="70"/>
      <c r="AF128" s="40"/>
      <c r="AG128" s="40"/>
      <c r="AH128" s="40"/>
      <c r="AI128" s="42"/>
      <c r="AJ128" s="40"/>
      <c r="AK128" s="70"/>
      <c r="AL128" s="40"/>
      <c r="AM128" s="40"/>
      <c r="AN128" s="40"/>
    </row>
    <row r="129" spans="1:40" x14ac:dyDescent="0.3">
      <c r="A129" s="12">
        <v>120</v>
      </c>
      <c r="B129" s="33"/>
      <c r="C129" s="38" t="str">
        <f>Notes!U128</f>
        <v xml:space="preserve">               </v>
      </c>
      <c r="D129" s="4"/>
      <c r="E129" s="42"/>
      <c r="F129" s="40"/>
      <c r="G129" s="40"/>
      <c r="H129" s="40"/>
      <c r="I129" s="42"/>
      <c r="J129" s="40"/>
      <c r="K129" s="70"/>
      <c r="L129" s="40"/>
      <c r="M129" s="40"/>
      <c r="N129" s="40"/>
      <c r="O129" s="40"/>
      <c r="P129" s="42"/>
      <c r="Q129" s="40"/>
      <c r="R129" s="40"/>
      <c r="S129" s="42"/>
      <c r="T129" s="40"/>
      <c r="U129" s="40"/>
      <c r="W129" s="33"/>
      <c r="X129" s="38" t="str">
        <f>Notes!U128</f>
        <v xml:space="preserve">               </v>
      </c>
      <c r="Y129" s="4"/>
      <c r="Z129" s="42"/>
      <c r="AA129" s="40"/>
      <c r="AB129" s="70"/>
      <c r="AC129" s="42"/>
      <c r="AD129" s="40"/>
      <c r="AE129" s="70"/>
      <c r="AF129" s="40"/>
      <c r="AG129" s="40"/>
      <c r="AH129" s="40"/>
      <c r="AI129" s="42"/>
      <c r="AJ129" s="40"/>
      <c r="AK129" s="70"/>
      <c r="AL129" s="40"/>
      <c r="AM129" s="40"/>
      <c r="AN129" s="40"/>
    </row>
    <row r="130" spans="1:40" x14ac:dyDescent="0.3">
      <c r="A130" s="12">
        <v>121</v>
      </c>
      <c r="B130" s="33"/>
      <c r="C130" s="38" t="str">
        <f>Notes!U129</f>
        <v xml:space="preserve">               </v>
      </c>
      <c r="D130" s="4"/>
      <c r="E130" s="42"/>
      <c r="F130" s="40"/>
      <c r="G130" s="40"/>
      <c r="H130" s="40"/>
      <c r="I130" s="42"/>
      <c r="J130" s="40"/>
      <c r="K130" s="70"/>
      <c r="L130" s="40"/>
      <c r="M130" s="40"/>
      <c r="N130" s="40"/>
      <c r="O130" s="40"/>
      <c r="P130" s="42"/>
      <c r="Q130" s="40"/>
      <c r="R130" s="40"/>
      <c r="S130" s="42"/>
      <c r="T130" s="40"/>
      <c r="U130" s="40"/>
      <c r="W130" s="33"/>
      <c r="X130" s="38" t="str">
        <f>Notes!U129</f>
        <v xml:space="preserve">               </v>
      </c>
      <c r="Y130" s="4"/>
      <c r="Z130" s="42"/>
      <c r="AA130" s="40"/>
      <c r="AB130" s="70"/>
      <c r="AC130" s="42"/>
      <c r="AD130" s="40"/>
      <c r="AE130" s="70"/>
      <c r="AF130" s="40"/>
      <c r="AG130" s="40"/>
      <c r="AH130" s="40"/>
      <c r="AI130" s="42"/>
      <c r="AJ130" s="40"/>
      <c r="AK130" s="70"/>
      <c r="AL130" s="40"/>
      <c r="AM130" s="40"/>
      <c r="AN130" s="40"/>
    </row>
    <row r="131" spans="1:40" x14ac:dyDescent="0.3">
      <c r="A131" s="12">
        <v>122</v>
      </c>
      <c r="B131" s="33"/>
      <c r="C131" s="38" t="str">
        <f>Notes!U130</f>
        <v xml:space="preserve">               </v>
      </c>
      <c r="D131" s="4"/>
      <c r="E131" s="42"/>
      <c r="F131" s="40"/>
      <c r="G131" s="40"/>
      <c r="H131" s="40"/>
      <c r="I131" s="42"/>
      <c r="J131" s="40"/>
      <c r="K131" s="70"/>
      <c r="L131" s="40"/>
      <c r="M131" s="40"/>
      <c r="N131" s="40"/>
      <c r="O131" s="40"/>
      <c r="P131" s="42"/>
      <c r="Q131" s="40"/>
      <c r="R131" s="40"/>
      <c r="S131" s="42"/>
      <c r="T131" s="40"/>
      <c r="U131" s="40"/>
      <c r="W131" s="33"/>
      <c r="X131" s="38" t="str">
        <f>Notes!U130</f>
        <v xml:space="preserve">               </v>
      </c>
      <c r="Y131" s="4"/>
      <c r="Z131" s="42"/>
      <c r="AA131" s="40"/>
      <c r="AB131" s="70"/>
      <c r="AC131" s="42"/>
      <c r="AD131" s="40"/>
      <c r="AE131" s="70"/>
      <c r="AF131" s="40"/>
      <c r="AG131" s="40"/>
      <c r="AH131" s="40"/>
      <c r="AI131" s="42"/>
      <c r="AJ131" s="40"/>
      <c r="AK131" s="70"/>
      <c r="AL131" s="40"/>
      <c r="AM131" s="40"/>
      <c r="AN131" s="40"/>
    </row>
    <row r="132" spans="1:40" x14ac:dyDescent="0.3">
      <c r="A132" s="12">
        <v>123</v>
      </c>
      <c r="B132" s="33"/>
      <c r="C132" s="38" t="str">
        <f>Notes!U131</f>
        <v xml:space="preserve">               </v>
      </c>
      <c r="D132" s="4"/>
      <c r="E132" s="42"/>
      <c r="F132" s="40"/>
      <c r="G132" s="40"/>
      <c r="H132" s="40"/>
      <c r="I132" s="42"/>
      <c r="J132" s="40"/>
      <c r="K132" s="70"/>
      <c r="L132" s="40"/>
      <c r="M132" s="40"/>
      <c r="N132" s="40"/>
      <c r="O132" s="40"/>
      <c r="P132" s="42"/>
      <c r="Q132" s="40"/>
      <c r="R132" s="40"/>
      <c r="S132" s="42"/>
      <c r="T132" s="40"/>
      <c r="U132" s="40"/>
      <c r="W132" s="33"/>
      <c r="X132" s="38" t="str">
        <f>Notes!U131</f>
        <v xml:space="preserve">               </v>
      </c>
      <c r="Y132" s="4"/>
      <c r="Z132" s="42"/>
      <c r="AA132" s="40"/>
      <c r="AB132" s="70"/>
      <c r="AC132" s="42"/>
      <c r="AD132" s="40"/>
      <c r="AE132" s="70"/>
      <c r="AF132" s="40"/>
      <c r="AG132" s="40"/>
      <c r="AH132" s="40"/>
      <c r="AI132" s="42"/>
      <c r="AJ132" s="40"/>
      <c r="AK132" s="70"/>
      <c r="AL132" s="40"/>
      <c r="AM132" s="40"/>
      <c r="AN132" s="40"/>
    </row>
    <row r="133" spans="1:40" x14ac:dyDescent="0.3">
      <c r="A133" s="12">
        <v>124</v>
      </c>
      <c r="B133" s="33"/>
      <c r="C133" s="38" t="str">
        <f>Notes!U132</f>
        <v xml:space="preserve">               </v>
      </c>
      <c r="D133" s="4"/>
      <c r="E133" s="42"/>
      <c r="F133" s="40"/>
      <c r="G133" s="40"/>
      <c r="H133" s="40"/>
      <c r="I133" s="42"/>
      <c r="J133" s="40"/>
      <c r="K133" s="70"/>
      <c r="L133" s="40"/>
      <c r="M133" s="40"/>
      <c r="N133" s="40"/>
      <c r="O133" s="40"/>
      <c r="P133" s="42"/>
      <c r="Q133" s="40"/>
      <c r="R133" s="40"/>
      <c r="S133" s="42"/>
      <c r="T133" s="40"/>
      <c r="U133" s="40"/>
      <c r="W133" s="33"/>
      <c r="X133" s="38" t="str">
        <f>Notes!U132</f>
        <v xml:space="preserve">               </v>
      </c>
      <c r="Y133" s="4"/>
      <c r="Z133" s="42"/>
      <c r="AA133" s="40"/>
      <c r="AB133" s="70"/>
      <c r="AC133" s="42"/>
      <c r="AD133" s="40"/>
      <c r="AE133" s="70"/>
      <c r="AF133" s="40"/>
      <c r="AG133" s="40"/>
      <c r="AH133" s="40"/>
      <c r="AI133" s="42"/>
      <c r="AJ133" s="40"/>
      <c r="AK133" s="70"/>
      <c r="AL133" s="40"/>
      <c r="AM133" s="40"/>
      <c r="AN133" s="40"/>
    </row>
    <row r="134" spans="1:40" x14ac:dyDescent="0.3">
      <c r="A134" s="12">
        <v>125</v>
      </c>
      <c r="B134" s="33"/>
      <c r="C134" s="38" t="str">
        <f>Notes!U133</f>
        <v xml:space="preserve">               </v>
      </c>
      <c r="D134" s="4"/>
      <c r="E134" s="42"/>
      <c r="F134" s="40"/>
      <c r="G134" s="40"/>
      <c r="H134" s="40"/>
      <c r="I134" s="42"/>
      <c r="J134" s="40"/>
      <c r="K134" s="70"/>
      <c r="L134" s="40"/>
      <c r="M134" s="40"/>
      <c r="N134" s="40"/>
      <c r="O134" s="40"/>
      <c r="P134" s="42"/>
      <c r="Q134" s="40"/>
      <c r="R134" s="40"/>
      <c r="S134" s="42"/>
      <c r="T134" s="40"/>
      <c r="U134" s="40"/>
      <c r="W134" s="33"/>
      <c r="X134" s="38" t="str">
        <f>Notes!U133</f>
        <v xml:space="preserve">               </v>
      </c>
      <c r="Y134" s="4"/>
      <c r="Z134" s="42"/>
      <c r="AA134" s="40"/>
      <c r="AB134" s="70"/>
      <c r="AC134" s="42"/>
      <c r="AD134" s="40"/>
      <c r="AE134" s="70"/>
      <c r="AF134" s="40"/>
      <c r="AG134" s="40"/>
      <c r="AH134" s="40"/>
      <c r="AI134" s="42"/>
      <c r="AJ134" s="40"/>
      <c r="AK134" s="70"/>
      <c r="AL134" s="40"/>
      <c r="AM134" s="40"/>
      <c r="AN134" s="40"/>
    </row>
    <row r="135" spans="1:40" x14ac:dyDescent="0.3">
      <c r="A135" s="12">
        <v>126</v>
      </c>
      <c r="B135" s="33"/>
      <c r="C135" s="38" t="str">
        <f>Notes!U134</f>
        <v xml:space="preserve">               </v>
      </c>
      <c r="D135" s="4"/>
      <c r="E135" s="42"/>
      <c r="F135" s="40"/>
      <c r="G135" s="40"/>
      <c r="H135" s="40"/>
      <c r="I135" s="42"/>
      <c r="J135" s="40"/>
      <c r="K135" s="70"/>
      <c r="L135" s="40"/>
      <c r="M135" s="40"/>
      <c r="N135" s="40"/>
      <c r="O135" s="40"/>
      <c r="P135" s="42"/>
      <c r="Q135" s="40"/>
      <c r="R135" s="40"/>
      <c r="S135" s="42"/>
      <c r="T135" s="40"/>
      <c r="U135" s="40"/>
      <c r="W135" s="33"/>
      <c r="X135" s="38" t="str">
        <f>Notes!U134</f>
        <v xml:space="preserve">               </v>
      </c>
      <c r="Y135" s="4"/>
      <c r="Z135" s="42"/>
      <c r="AA135" s="40"/>
      <c r="AB135" s="70"/>
      <c r="AC135" s="42"/>
      <c r="AD135" s="40"/>
      <c r="AE135" s="70"/>
      <c r="AF135" s="40"/>
      <c r="AG135" s="40"/>
      <c r="AH135" s="40"/>
      <c r="AI135" s="42"/>
      <c r="AJ135" s="40"/>
      <c r="AK135" s="70"/>
      <c r="AL135" s="40"/>
      <c r="AM135" s="40"/>
      <c r="AN135" s="40"/>
    </row>
    <row r="136" spans="1:40" x14ac:dyDescent="0.3">
      <c r="A136" s="12">
        <v>127</v>
      </c>
      <c r="B136" s="33"/>
      <c r="C136" s="38" t="str">
        <f>Notes!U135</f>
        <v xml:space="preserve">               </v>
      </c>
      <c r="D136" s="4"/>
      <c r="E136" s="42"/>
      <c r="F136" s="40"/>
      <c r="G136" s="40"/>
      <c r="H136" s="40"/>
      <c r="I136" s="42"/>
      <c r="J136" s="40"/>
      <c r="K136" s="70"/>
      <c r="L136" s="40"/>
      <c r="M136" s="40"/>
      <c r="N136" s="40"/>
      <c r="O136" s="40"/>
      <c r="P136" s="42"/>
      <c r="Q136" s="40"/>
      <c r="R136" s="40"/>
      <c r="S136" s="42"/>
      <c r="T136" s="40"/>
      <c r="U136" s="40"/>
      <c r="W136" s="33"/>
      <c r="X136" s="38" t="str">
        <f>Notes!U135</f>
        <v xml:space="preserve">               </v>
      </c>
      <c r="Y136" s="4"/>
      <c r="Z136" s="42"/>
      <c r="AA136" s="40"/>
      <c r="AB136" s="70"/>
      <c r="AC136" s="42"/>
      <c r="AD136" s="40"/>
      <c r="AE136" s="70"/>
      <c r="AF136" s="40"/>
      <c r="AG136" s="40"/>
      <c r="AH136" s="40"/>
      <c r="AI136" s="42"/>
      <c r="AJ136" s="40"/>
      <c r="AK136" s="70"/>
      <c r="AL136" s="40"/>
      <c r="AM136" s="40"/>
      <c r="AN136" s="40"/>
    </row>
    <row r="137" spans="1:40" x14ac:dyDescent="0.3">
      <c r="A137" s="12">
        <v>128</v>
      </c>
      <c r="B137" s="33"/>
      <c r="C137" s="38" t="str">
        <f>Notes!U136</f>
        <v xml:space="preserve">               </v>
      </c>
      <c r="D137" s="4"/>
      <c r="E137" s="42"/>
      <c r="F137" s="40"/>
      <c r="G137" s="40"/>
      <c r="H137" s="40"/>
      <c r="I137" s="42"/>
      <c r="J137" s="40"/>
      <c r="K137" s="70"/>
      <c r="L137" s="40"/>
      <c r="M137" s="40"/>
      <c r="N137" s="40"/>
      <c r="O137" s="40"/>
      <c r="P137" s="42"/>
      <c r="Q137" s="40"/>
      <c r="R137" s="40"/>
      <c r="S137" s="42"/>
      <c r="T137" s="40"/>
      <c r="U137" s="40"/>
      <c r="W137" s="33"/>
      <c r="X137" s="38" t="str">
        <f>Notes!U136</f>
        <v xml:space="preserve">               </v>
      </c>
      <c r="Y137" s="4"/>
      <c r="Z137" s="42"/>
      <c r="AA137" s="40"/>
      <c r="AB137" s="70"/>
      <c r="AC137" s="42"/>
      <c r="AD137" s="40"/>
      <c r="AE137" s="70"/>
      <c r="AF137" s="40"/>
      <c r="AG137" s="40"/>
      <c r="AH137" s="40"/>
      <c r="AI137" s="42"/>
      <c r="AJ137" s="40"/>
      <c r="AK137" s="70"/>
      <c r="AL137" s="40"/>
      <c r="AM137" s="40"/>
      <c r="AN137" s="40"/>
    </row>
    <row r="138" spans="1:40" x14ac:dyDescent="0.3">
      <c r="A138" s="12">
        <v>129</v>
      </c>
      <c r="B138" s="33"/>
      <c r="C138" s="38" t="str">
        <f>Notes!U137</f>
        <v xml:space="preserve">               </v>
      </c>
      <c r="D138" s="4"/>
      <c r="E138" s="42"/>
      <c r="F138" s="40"/>
      <c r="G138" s="40"/>
      <c r="H138" s="40"/>
      <c r="I138" s="42"/>
      <c r="J138" s="40"/>
      <c r="K138" s="70"/>
      <c r="L138" s="40"/>
      <c r="M138" s="40"/>
      <c r="N138" s="40"/>
      <c r="O138" s="40"/>
      <c r="P138" s="42"/>
      <c r="Q138" s="40"/>
      <c r="R138" s="40"/>
      <c r="S138" s="42"/>
      <c r="T138" s="40"/>
      <c r="U138" s="40"/>
      <c r="W138" s="33"/>
      <c r="X138" s="38" t="str">
        <f>Notes!U137</f>
        <v xml:space="preserve">               </v>
      </c>
      <c r="Y138" s="4"/>
      <c r="Z138" s="42"/>
      <c r="AA138" s="40"/>
      <c r="AB138" s="70"/>
      <c r="AC138" s="42"/>
      <c r="AD138" s="40"/>
      <c r="AE138" s="70"/>
      <c r="AF138" s="40"/>
      <c r="AG138" s="40"/>
      <c r="AH138" s="40"/>
      <c r="AI138" s="42"/>
      <c r="AJ138" s="40"/>
      <c r="AK138" s="70"/>
      <c r="AL138" s="40"/>
      <c r="AM138" s="40"/>
      <c r="AN138" s="40"/>
    </row>
    <row r="139" spans="1:40" x14ac:dyDescent="0.3">
      <c r="A139" s="12">
        <v>130</v>
      </c>
      <c r="B139" s="33"/>
      <c r="C139" s="38" t="str">
        <f>Notes!U138</f>
        <v xml:space="preserve">               </v>
      </c>
      <c r="D139" s="4"/>
      <c r="E139" s="42"/>
      <c r="F139" s="40"/>
      <c r="G139" s="40"/>
      <c r="H139" s="40"/>
      <c r="I139" s="42"/>
      <c r="J139" s="40"/>
      <c r="K139" s="70"/>
      <c r="L139" s="40"/>
      <c r="M139" s="40"/>
      <c r="N139" s="40"/>
      <c r="O139" s="40"/>
      <c r="P139" s="42"/>
      <c r="Q139" s="40"/>
      <c r="R139" s="40"/>
      <c r="S139" s="42"/>
      <c r="T139" s="40"/>
      <c r="U139" s="40"/>
      <c r="W139" s="33"/>
      <c r="X139" s="38" t="str">
        <f>Notes!U138</f>
        <v xml:space="preserve">               </v>
      </c>
      <c r="Y139" s="4"/>
      <c r="Z139" s="42"/>
      <c r="AA139" s="40"/>
      <c r="AB139" s="70"/>
      <c r="AC139" s="42"/>
      <c r="AD139" s="40"/>
      <c r="AE139" s="70"/>
      <c r="AF139" s="40"/>
      <c r="AG139" s="40"/>
      <c r="AH139" s="40"/>
      <c r="AI139" s="42"/>
      <c r="AJ139" s="40"/>
      <c r="AK139" s="70"/>
      <c r="AL139" s="40"/>
      <c r="AM139" s="40"/>
      <c r="AN139" s="40"/>
    </row>
    <row r="140" spans="1:40" x14ac:dyDescent="0.3">
      <c r="A140" s="12">
        <v>131</v>
      </c>
      <c r="B140" s="33"/>
      <c r="C140" s="38" t="str">
        <f>Notes!U139</f>
        <v xml:space="preserve">               </v>
      </c>
      <c r="D140" s="4"/>
      <c r="E140" s="42"/>
      <c r="F140" s="40"/>
      <c r="G140" s="40"/>
      <c r="H140" s="40"/>
      <c r="I140" s="42"/>
      <c r="J140" s="40"/>
      <c r="K140" s="70"/>
      <c r="L140" s="40"/>
      <c r="M140" s="40"/>
      <c r="N140" s="40"/>
      <c r="O140" s="40"/>
      <c r="P140" s="42"/>
      <c r="Q140" s="40"/>
      <c r="R140" s="40"/>
      <c r="S140" s="42"/>
      <c r="T140" s="40"/>
      <c r="U140" s="40"/>
      <c r="W140" s="33"/>
      <c r="X140" s="38" t="str">
        <f>Notes!U139</f>
        <v xml:space="preserve">               </v>
      </c>
      <c r="Y140" s="4"/>
      <c r="Z140" s="42"/>
      <c r="AA140" s="40"/>
      <c r="AB140" s="70"/>
      <c r="AC140" s="42"/>
      <c r="AD140" s="40"/>
      <c r="AE140" s="70"/>
      <c r="AF140" s="40"/>
      <c r="AG140" s="40"/>
      <c r="AH140" s="40"/>
      <c r="AI140" s="42"/>
      <c r="AJ140" s="40"/>
      <c r="AK140" s="70"/>
      <c r="AL140" s="40"/>
      <c r="AM140" s="40"/>
      <c r="AN140" s="40"/>
    </row>
    <row r="141" spans="1:40" x14ac:dyDescent="0.3">
      <c r="A141" s="12">
        <v>132</v>
      </c>
      <c r="B141" s="33"/>
      <c r="C141" s="38" t="str">
        <f>Notes!U140</f>
        <v xml:space="preserve">               </v>
      </c>
      <c r="D141" s="4"/>
      <c r="E141" s="42"/>
      <c r="F141" s="40"/>
      <c r="G141" s="40"/>
      <c r="H141" s="40"/>
      <c r="I141" s="42"/>
      <c r="J141" s="40"/>
      <c r="K141" s="70"/>
      <c r="L141" s="40"/>
      <c r="M141" s="40"/>
      <c r="N141" s="40"/>
      <c r="O141" s="40"/>
      <c r="P141" s="42"/>
      <c r="Q141" s="40"/>
      <c r="R141" s="40"/>
      <c r="S141" s="42"/>
      <c r="T141" s="40"/>
      <c r="U141" s="40"/>
      <c r="W141" s="33"/>
      <c r="X141" s="38" t="str">
        <f>Notes!U140</f>
        <v xml:space="preserve">               </v>
      </c>
      <c r="Y141" s="4"/>
      <c r="Z141" s="42"/>
      <c r="AA141" s="40"/>
      <c r="AB141" s="70"/>
      <c r="AC141" s="42"/>
      <c r="AD141" s="40"/>
      <c r="AE141" s="70"/>
      <c r="AF141" s="40"/>
      <c r="AG141" s="40"/>
      <c r="AH141" s="40"/>
      <c r="AI141" s="42"/>
      <c r="AJ141" s="40"/>
      <c r="AK141" s="70"/>
      <c r="AL141" s="40"/>
      <c r="AM141" s="40"/>
      <c r="AN141" s="40"/>
    </row>
    <row r="142" spans="1:40" x14ac:dyDescent="0.3">
      <c r="A142" s="12">
        <v>133</v>
      </c>
      <c r="B142" s="33"/>
      <c r="C142" s="38" t="str">
        <f>Notes!U141</f>
        <v xml:space="preserve">               </v>
      </c>
      <c r="D142" s="4"/>
      <c r="E142" s="42"/>
      <c r="F142" s="40"/>
      <c r="G142" s="40"/>
      <c r="H142" s="40"/>
      <c r="I142" s="42"/>
      <c r="J142" s="40"/>
      <c r="K142" s="70"/>
      <c r="L142" s="40"/>
      <c r="M142" s="40"/>
      <c r="N142" s="40"/>
      <c r="O142" s="40"/>
      <c r="P142" s="42"/>
      <c r="Q142" s="40"/>
      <c r="R142" s="40"/>
      <c r="S142" s="42"/>
      <c r="T142" s="40"/>
      <c r="U142" s="40"/>
      <c r="W142" s="33"/>
      <c r="X142" s="38" t="str">
        <f>Notes!U141</f>
        <v xml:space="preserve">               </v>
      </c>
      <c r="Y142" s="4"/>
      <c r="Z142" s="42"/>
      <c r="AA142" s="40"/>
      <c r="AB142" s="70"/>
      <c r="AC142" s="42"/>
      <c r="AD142" s="40"/>
      <c r="AE142" s="70"/>
      <c r="AF142" s="40"/>
      <c r="AG142" s="40"/>
      <c r="AH142" s="40"/>
      <c r="AI142" s="42"/>
      <c r="AJ142" s="40"/>
      <c r="AK142" s="70"/>
      <c r="AL142" s="40"/>
      <c r="AM142" s="40"/>
      <c r="AN142" s="40"/>
    </row>
    <row r="143" spans="1:40" x14ac:dyDescent="0.3">
      <c r="A143" s="12">
        <v>134</v>
      </c>
      <c r="B143" s="33"/>
      <c r="C143" s="38" t="str">
        <f>Notes!U142</f>
        <v xml:space="preserve">               </v>
      </c>
      <c r="D143" s="4"/>
      <c r="E143" s="42"/>
      <c r="F143" s="40"/>
      <c r="G143" s="40"/>
      <c r="H143" s="40"/>
      <c r="I143" s="42"/>
      <c r="J143" s="40"/>
      <c r="K143" s="70"/>
      <c r="L143" s="40"/>
      <c r="M143" s="40"/>
      <c r="N143" s="40"/>
      <c r="O143" s="40"/>
      <c r="P143" s="42"/>
      <c r="Q143" s="40"/>
      <c r="R143" s="40"/>
      <c r="S143" s="42"/>
      <c r="T143" s="40"/>
      <c r="U143" s="40"/>
      <c r="W143" s="33"/>
      <c r="X143" s="38" t="str">
        <f>Notes!U142</f>
        <v xml:space="preserve">               </v>
      </c>
      <c r="Y143" s="4"/>
      <c r="Z143" s="42"/>
      <c r="AA143" s="40"/>
      <c r="AB143" s="70"/>
      <c r="AC143" s="42"/>
      <c r="AD143" s="40"/>
      <c r="AE143" s="70"/>
      <c r="AF143" s="40"/>
      <c r="AG143" s="40"/>
      <c r="AH143" s="40"/>
      <c r="AI143" s="42"/>
      <c r="AJ143" s="40"/>
      <c r="AK143" s="70"/>
      <c r="AL143" s="40"/>
      <c r="AM143" s="40"/>
      <c r="AN143" s="40"/>
    </row>
    <row r="144" spans="1:40" x14ac:dyDescent="0.3">
      <c r="A144" s="12">
        <v>135</v>
      </c>
      <c r="B144" s="33"/>
      <c r="C144" s="38" t="str">
        <f>Notes!U143</f>
        <v xml:space="preserve">               </v>
      </c>
      <c r="D144" s="4"/>
      <c r="E144" s="42"/>
      <c r="F144" s="40"/>
      <c r="G144" s="40"/>
      <c r="H144" s="40"/>
      <c r="I144" s="42"/>
      <c r="J144" s="40"/>
      <c r="K144" s="70"/>
      <c r="L144" s="40"/>
      <c r="M144" s="40"/>
      <c r="N144" s="40"/>
      <c r="O144" s="40"/>
      <c r="P144" s="42"/>
      <c r="Q144" s="40"/>
      <c r="R144" s="40"/>
      <c r="S144" s="42"/>
      <c r="T144" s="40"/>
      <c r="U144" s="40"/>
      <c r="W144" s="33"/>
      <c r="X144" s="38" t="str">
        <f>Notes!U143</f>
        <v xml:space="preserve">               </v>
      </c>
      <c r="Y144" s="4"/>
      <c r="Z144" s="42"/>
      <c r="AA144" s="40"/>
      <c r="AB144" s="70"/>
      <c r="AC144" s="42"/>
      <c r="AD144" s="40"/>
      <c r="AE144" s="70"/>
      <c r="AF144" s="40"/>
      <c r="AG144" s="40"/>
      <c r="AH144" s="40"/>
      <c r="AI144" s="42"/>
      <c r="AJ144" s="40"/>
      <c r="AK144" s="70"/>
      <c r="AL144" s="40"/>
      <c r="AM144" s="40"/>
      <c r="AN144" s="40"/>
    </row>
    <row r="145" spans="1:40" x14ac:dyDescent="0.3">
      <c r="A145" s="12">
        <v>136</v>
      </c>
      <c r="B145" s="33"/>
      <c r="C145" s="38" t="str">
        <f>Notes!U144</f>
        <v xml:space="preserve">               </v>
      </c>
      <c r="D145" s="4"/>
      <c r="E145" s="42"/>
      <c r="F145" s="40"/>
      <c r="G145" s="40"/>
      <c r="H145" s="40"/>
      <c r="I145" s="42"/>
      <c r="J145" s="40"/>
      <c r="K145" s="70"/>
      <c r="L145" s="40"/>
      <c r="M145" s="40"/>
      <c r="N145" s="40"/>
      <c r="O145" s="40"/>
      <c r="P145" s="42"/>
      <c r="Q145" s="40"/>
      <c r="R145" s="40"/>
      <c r="S145" s="42"/>
      <c r="T145" s="40"/>
      <c r="U145" s="40"/>
      <c r="W145" s="33"/>
      <c r="X145" s="38" t="str">
        <f>Notes!U144</f>
        <v xml:space="preserve">               </v>
      </c>
      <c r="Y145" s="4"/>
      <c r="Z145" s="42"/>
      <c r="AA145" s="40"/>
      <c r="AB145" s="70"/>
      <c r="AC145" s="42"/>
      <c r="AD145" s="40"/>
      <c r="AE145" s="70"/>
      <c r="AF145" s="40"/>
      <c r="AG145" s="40"/>
      <c r="AH145" s="40"/>
      <c r="AI145" s="42"/>
      <c r="AJ145" s="40"/>
      <c r="AK145" s="70"/>
      <c r="AL145" s="40"/>
      <c r="AM145" s="40"/>
      <c r="AN145" s="40"/>
    </row>
    <row r="146" spans="1:40" x14ac:dyDescent="0.3">
      <c r="A146" s="12">
        <v>137</v>
      </c>
      <c r="B146" s="33"/>
      <c r="C146" s="38" t="str">
        <f>Notes!U145</f>
        <v xml:space="preserve">               </v>
      </c>
      <c r="D146" s="4"/>
      <c r="E146" s="42"/>
      <c r="F146" s="40"/>
      <c r="G146" s="40"/>
      <c r="H146" s="40"/>
      <c r="I146" s="42"/>
      <c r="J146" s="40"/>
      <c r="K146" s="70"/>
      <c r="L146" s="40"/>
      <c r="M146" s="40"/>
      <c r="N146" s="40"/>
      <c r="O146" s="40"/>
      <c r="P146" s="42"/>
      <c r="Q146" s="40"/>
      <c r="R146" s="40"/>
      <c r="S146" s="42"/>
      <c r="T146" s="40"/>
      <c r="U146" s="40"/>
      <c r="W146" s="33"/>
      <c r="X146" s="38" t="str">
        <f>Notes!U145</f>
        <v xml:space="preserve">               </v>
      </c>
      <c r="Y146" s="4"/>
      <c r="Z146" s="42"/>
      <c r="AA146" s="40"/>
      <c r="AB146" s="70"/>
      <c r="AC146" s="42"/>
      <c r="AD146" s="40"/>
      <c r="AE146" s="70"/>
      <c r="AF146" s="40"/>
      <c r="AG146" s="40"/>
      <c r="AH146" s="40"/>
      <c r="AI146" s="42"/>
      <c r="AJ146" s="40"/>
      <c r="AK146" s="70"/>
      <c r="AL146" s="40"/>
      <c r="AM146" s="40"/>
      <c r="AN146" s="40"/>
    </row>
    <row r="147" spans="1:40" x14ac:dyDescent="0.3">
      <c r="A147" s="12">
        <v>138</v>
      </c>
      <c r="B147" s="33"/>
      <c r="C147" s="38" t="str">
        <f>Notes!U146</f>
        <v xml:space="preserve">               </v>
      </c>
      <c r="D147" s="4"/>
      <c r="E147" s="42"/>
      <c r="F147" s="40"/>
      <c r="G147" s="40"/>
      <c r="H147" s="40"/>
      <c r="I147" s="42"/>
      <c r="J147" s="40"/>
      <c r="K147" s="70"/>
      <c r="L147" s="40"/>
      <c r="M147" s="40"/>
      <c r="N147" s="40"/>
      <c r="O147" s="40"/>
      <c r="P147" s="42"/>
      <c r="Q147" s="40"/>
      <c r="R147" s="40"/>
      <c r="S147" s="42"/>
      <c r="T147" s="40"/>
      <c r="U147" s="40"/>
      <c r="W147" s="33"/>
      <c r="X147" s="38" t="str">
        <f>Notes!U146</f>
        <v xml:space="preserve">               </v>
      </c>
      <c r="Y147" s="4"/>
      <c r="Z147" s="42"/>
      <c r="AA147" s="40"/>
      <c r="AB147" s="70"/>
      <c r="AC147" s="42"/>
      <c r="AD147" s="40"/>
      <c r="AE147" s="70"/>
      <c r="AF147" s="40"/>
      <c r="AG147" s="40"/>
      <c r="AH147" s="40"/>
      <c r="AI147" s="42"/>
      <c r="AJ147" s="40"/>
      <c r="AK147" s="70"/>
      <c r="AL147" s="40"/>
      <c r="AM147" s="40"/>
      <c r="AN147" s="40"/>
    </row>
    <row r="148" spans="1:40" x14ac:dyDescent="0.3">
      <c r="A148" s="12">
        <v>139</v>
      </c>
      <c r="B148" s="33"/>
      <c r="C148" s="38" t="str">
        <f>Notes!U147</f>
        <v xml:space="preserve">               </v>
      </c>
      <c r="D148" s="4"/>
      <c r="E148" s="42"/>
      <c r="F148" s="40"/>
      <c r="G148" s="40"/>
      <c r="H148" s="40"/>
      <c r="I148" s="42"/>
      <c r="J148" s="40"/>
      <c r="K148" s="70"/>
      <c r="L148" s="40"/>
      <c r="M148" s="40"/>
      <c r="N148" s="40"/>
      <c r="O148" s="40"/>
      <c r="P148" s="42"/>
      <c r="Q148" s="40"/>
      <c r="R148" s="40"/>
      <c r="S148" s="42"/>
      <c r="T148" s="40"/>
      <c r="U148" s="40"/>
      <c r="W148" s="33"/>
      <c r="X148" s="38" t="str">
        <f>Notes!U147</f>
        <v xml:space="preserve">               </v>
      </c>
      <c r="Y148" s="4"/>
      <c r="Z148" s="42"/>
      <c r="AA148" s="40"/>
      <c r="AB148" s="70"/>
      <c r="AC148" s="42"/>
      <c r="AD148" s="40"/>
      <c r="AE148" s="70"/>
      <c r="AF148" s="40"/>
      <c r="AG148" s="40"/>
      <c r="AH148" s="40"/>
      <c r="AI148" s="42"/>
      <c r="AJ148" s="40"/>
      <c r="AK148" s="70"/>
      <c r="AL148" s="40"/>
      <c r="AM148" s="40"/>
      <c r="AN148" s="40"/>
    </row>
    <row r="149" spans="1:40" x14ac:dyDescent="0.3">
      <c r="A149" s="12">
        <v>140</v>
      </c>
      <c r="B149" s="33"/>
      <c r="C149" s="38" t="str">
        <f>Notes!U148</f>
        <v xml:space="preserve">               </v>
      </c>
      <c r="D149" s="4"/>
      <c r="E149" s="42"/>
      <c r="F149" s="40"/>
      <c r="G149" s="40"/>
      <c r="H149" s="40"/>
      <c r="I149" s="42"/>
      <c r="J149" s="40"/>
      <c r="K149" s="70"/>
      <c r="L149" s="40"/>
      <c r="M149" s="40"/>
      <c r="N149" s="40"/>
      <c r="O149" s="40"/>
      <c r="P149" s="42"/>
      <c r="Q149" s="40"/>
      <c r="R149" s="40"/>
      <c r="S149" s="42"/>
      <c r="T149" s="40"/>
      <c r="U149" s="40"/>
      <c r="W149" s="33"/>
      <c r="X149" s="38" t="str">
        <f>Notes!U148</f>
        <v xml:space="preserve">               </v>
      </c>
      <c r="Y149" s="4"/>
      <c r="Z149" s="42"/>
      <c r="AA149" s="40"/>
      <c r="AB149" s="70"/>
      <c r="AC149" s="42"/>
      <c r="AD149" s="40"/>
      <c r="AE149" s="70"/>
      <c r="AF149" s="40"/>
      <c r="AG149" s="40"/>
      <c r="AH149" s="40"/>
      <c r="AI149" s="42"/>
      <c r="AJ149" s="40"/>
      <c r="AK149" s="70"/>
      <c r="AL149" s="40"/>
      <c r="AM149" s="40"/>
      <c r="AN149" s="40"/>
    </row>
    <row r="150" spans="1:40" x14ac:dyDescent="0.3">
      <c r="A150" s="12">
        <v>141</v>
      </c>
      <c r="B150" s="33"/>
      <c r="C150" s="38" t="str">
        <f>Notes!U149</f>
        <v xml:space="preserve">               </v>
      </c>
      <c r="D150" s="4"/>
      <c r="E150" s="42"/>
      <c r="F150" s="40"/>
      <c r="G150" s="40"/>
      <c r="H150" s="40"/>
      <c r="I150" s="42"/>
      <c r="J150" s="40"/>
      <c r="K150" s="70"/>
      <c r="L150" s="40"/>
      <c r="M150" s="40"/>
      <c r="N150" s="40"/>
      <c r="O150" s="40"/>
      <c r="P150" s="42"/>
      <c r="Q150" s="40"/>
      <c r="R150" s="40"/>
      <c r="S150" s="42"/>
      <c r="T150" s="40"/>
      <c r="U150" s="40"/>
      <c r="W150" s="33"/>
      <c r="X150" s="38" t="str">
        <f>Notes!U149</f>
        <v xml:space="preserve">               </v>
      </c>
      <c r="Y150" s="4"/>
      <c r="Z150" s="42"/>
      <c r="AA150" s="40"/>
      <c r="AB150" s="70"/>
      <c r="AC150" s="42"/>
      <c r="AD150" s="40"/>
      <c r="AE150" s="70"/>
      <c r="AF150" s="40"/>
      <c r="AG150" s="40"/>
      <c r="AH150" s="40"/>
      <c r="AI150" s="42"/>
      <c r="AJ150" s="40"/>
      <c r="AK150" s="70"/>
      <c r="AL150" s="40"/>
      <c r="AM150" s="40"/>
      <c r="AN150" s="40"/>
    </row>
    <row r="151" spans="1:40" x14ac:dyDescent="0.3">
      <c r="A151" s="12">
        <v>142</v>
      </c>
      <c r="B151" s="33"/>
      <c r="C151" s="38" t="str">
        <f>Notes!U150</f>
        <v xml:space="preserve">               </v>
      </c>
      <c r="D151" s="4"/>
      <c r="E151" s="42"/>
      <c r="F151" s="40"/>
      <c r="G151" s="40"/>
      <c r="H151" s="40"/>
      <c r="I151" s="42"/>
      <c r="J151" s="40"/>
      <c r="K151" s="70"/>
      <c r="L151" s="40"/>
      <c r="M151" s="40"/>
      <c r="N151" s="40"/>
      <c r="O151" s="40"/>
      <c r="P151" s="42"/>
      <c r="Q151" s="40"/>
      <c r="R151" s="40"/>
      <c r="S151" s="42"/>
      <c r="T151" s="40"/>
      <c r="U151" s="40"/>
      <c r="W151" s="33"/>
      <c r="X151" s="38" t="str">
        <f>Notes!U150</f>
        <v xml:space="preserve">               </v>
      </c>
      <c r="Y151" s="4"/>
      <c r="Z151" s="42"/>
      <c r="AA151" s="40"/>
      <c r="AB151" s="70"/>
      <c r="AC151" s="42"/>
      <c r="AD151" s="40"/>
      <c r="AE151" s="70"/>
      <c r="AF151" s="40"/>
      <c r="AG151" s="40"/>
      <c r="AH151" s="40"/>
      <c r="AI151" s="42"/>
      <c r="AJ151" s="40"/>
      <c r="AK151" s="70"/>
      <c r="AL151" s="40"/>
      <c r="AM151" s="40"/>
      <c r="AN151" s="40"/>
    </row>
    <row r="152" spans="1:40" x14ac:dyDescent="0.3">
      <c r="A152" s="12">
        <v>143</v>
      </c>
      <c r="B152" s="33"/>
      <c r="C152" s="38" t="str">
        <f>Notes!U151</f>
        <v xml:space="preserve">               </v>
      </c>
      <c r="D152" s="4"/>
      <c r="E152" s="42"/>
      <c r="F152" s="40"/>
      <c r="G152" s="40"/>
      <c r="H152" s="40"/>
      <c r="I152" s="42"/>
      <c r="J152" s="40"/>
      <c r="K152" s="70"/>
      <c r="L152" s="40"/>
      <c r="M152" s="40"/>
      <c r="N152" s="40"/>
      <c r="O152" s="40"/>
      <c r="P152" s="42"/>
      <c r="Q152" s="40"/>
      <c r="R152" s="40"/>
      <c r="S152" s="42"/>
      <c r="T152" s="40"/>
      <c r="U152" s="40"/>
      <c r="W152" s="33"/>
      <c r="X152" s="38" t="str">
        <f>Notes!U151</f>
        <v xml:space="preserve">               </v>
      </c>
      <c r="Y152" s="4"/>
      <c r="Z152" s="42"/>
      <c r="AA152" s="40"/>
      <c r="AB152" s="70"/>
      <c r="AC152" s="42"/>
      <c r="AD152" s="40"/>
      <c r="AE152" s="70"/>
      <c r="AF152" s="40"/>
      <c r="AG152" s="40"/>
      <c r="AH152" s="40"/>
      <c r="AI152" s="42"/>
      <c r="AJ152" s="40"/>
      <c r="AK152" s="70"/>
      <c r="AL152" s="40"/>
      <c r="AM152" s="40"/>
      <c r="AN152" s="40"/>
    </row>
    <row r="153" spans="1:40" x14ac:dyDescent="0.3">
      <c r="A153" s="12">
        <v>144</v>
      </c>
      <c r="B153" s="33"/>
      <c r="C153" s="38" t="str">
        <f>Notes!U152</f>
        <v xml:space="preserve">               </v>
      </c>
      <c r="D153" s="4"/>
      <c r="E153" s="42"/>
      <c r="F153" s="40"/>
      <c r="G153" s="40"/>
      <c r="H153" s="40"/>
      <c r="I153" s="42"/>
      <c r="J153" s="40"/>
      <c r="K153" s="70"/>
      <c r="L153" s="40"/>
      <c r="M153" s="40"/>
      <c r="N153" s="40"/>
      <c r="O153" s="40"/>
      <c r="P153" s="42"/>
      <c r="Q153" s="40"/>
      <c r="R153" s="40"/>
      <c r="S153" s="42"/>
      <c r="T153" s="40"/>
      <c r="U153" s="40"/>
      <c r="W153" s="33"/>
      <c r="X153" s="38" t="str">
        <f>Notes!U152</f>
        <v xml:space="preserve">               </v>
      </c>
      <c r="Y153" s="4"/>
      <c r="Z153" s="42"/>
      <c r="AA153" s="40"/>
      <c r="AB153" s="70"/>
      <c r="AC153" s="42"/>
      <c r="AD153" s="40"/>
      <c r="AE153" s="70"/>
      <c r="AF153" s="40"/>
      <c r="AG153" s="40"/>
      <c r="AH153" s="40"/>
      <c r="AI153" s="42"/>
      <c r="AJ153" s="40"/>
      <c r="AK153" s="70"/>
      <c r="AL153" s="40"/>
      <c r="AM153" s="40"/>
      <c r="AN153" s="40"/>
    </row>
    <row r="154" spans="1:40" x14ac:dyDescent="0.3">
      <c r="A154" s="12">
        <v>145</v>
      </c>
      <c r="B154" s="33"/>
      <c r="C154" s="38" t="str">
        <f>Notes!U153</f>
        <v xml:space="preserve">               </v>
      </c>
      <c r="D154" s="4"/>
      <c r="E154" s="42"/>
      <c r="F154" s="40"/>
      <c r="G154" s="40"/>
      <c r="H154" s="40"/>
      <c r="I154" s="42"/>
      <c r="J154" s="40"/>
      <c r="K154" s="70"/>
      <c r="L154" s="40"/>
      <c r="M154" s="40"/>
      <c r="N154" s="40"/>
      <c r="O154" s="40"/>
      <c r="P154" s="42"/>
      <c r="Q154" s="40"/>
      <c r="R154" s="40"/>
      <c r="S154" s="42"/>
      <c r="T154" s="40"/>
      <c r="U154" s="40"/>
      <c r="W154" s="33"/>
      <c r="X154" s="38" t="str">
        <f>Notes!U153</f>
        <v xml:space="preserve">               </v>
      </c>
      <c r="Y154" s="4"/>
      <c r="Z154" s="42"/>
      <c r="AA154" s="40"/>
      <c r="AB154" s="70"/>
      <c r="AC154" s="42"/>
      <c r="AD154" s="40"/>
      <c r="AE154" s="70"/>
      <c r="AF154" s="40"/>
      <c r="AG154" s="40"/>
      <c r="AH154" s="40"/>
      <c r="AI154" s="42"/>
      <c r="AJ154" s="40"/>
      <c r="AK154" s="70"/>
      <c r="AL154" s="40"/>
      <c r="AM154" s="40"/>
      <c r="AN154" s="40"/>
    </row>
    <row r="155" spans="1:40" x14ac:dyDescent="0.3">
      <c r="A155" s="12">
        <v>146</v>
      </c>
      <c r="B155" s="33"/>
      <c r="C155" s="38" t="str">
        <f>Notes!U154</f>
        <v xml:space="preserve">               </v>
      </c>
      <c r="D155" s="4"/>
      <c r="E155" s="42"/>
      <c r="F155" s="40"/>
      <c r="G155" s="40"/>
      <c r="H155" s="40"/>
      <c r="I155" s="42"/>
      <c r="J155" s="40"/>
      <c r="K155" s="70"/>
      <c r="L155" s="40"/>
      <c r="M155" s="40"/>
      <c r="N155" s="40"/>
      <c r="O155" s="40"/>
      <c r="P155" s="42"/>
      <c r="Q155" s="40"/>
      <c r="R155" s="40"/>
      <c r="S155" s="42"/>
      <c r="T155" s="40"/>
      <c r="U155" s="40"/>
      <c r="W155" s="33"/>
      <c r="X155" s="38" t="str">
        <f>Notes!U154</f>
        <v xml:space="preserve">               </v>
      </c>
      <c r="Y155" s="4"/>
      <c r="Z155" s="42"/>
      <c r="AA155" s="40"/>
      <c r="AB155" s="70"/>
      <c r="AC155" s="42"/>
      <c r="AD155" s="40"/>
      <c r="AE155" s="70"/>
      <c r="AF155" s="40"/>
      <c r="AG155" s="40"/>
      <c r="AH155" s="40"/>
      <c r="AI155" s="42"/>
      <c r="AJ155" s="40"/>
      <c r="AK155" s="70"/>
      <c r="AL155" s="40"/>
      <c r="AM155" s="40"/>
      <c r="AN155" s="40"/>
    </row>
    <row r="156" spans="1:40" x14ac:dyDescent="0.3">
      <c r="A156" s="12">
        <v>147</v>
      </c>
      <c r="B156" s="33"/>
      <c r="C156" s="38" t="str">
        <f>Notes!U155</f>
        <v xml:space="preserve">               </v>
      </c>
      <c r="D156" s="4"/>
      <c r="E156" s="42"/>
      <c r="F156" s="40"/>
      <c r="G156" s="40"/>
      <c r="H156" s="40"/>
      <c r="I156" s="42"/>
      <c r="J156" s="40"/>
      <c r="K156" s="70"/>
      <c r="L156" s="40"/>
      <c r="M156" s="40"/>
      <c r="N156" s="40"/>
      <c r="O156" s="40"/>
      <c r="P156" s="42"/>
      <c r="Q156" s="40"/>
      <c r="R156" s="40"/>
      <c r="S156" s="42"/>
      <c r="T156" s="40"/>
      <c r="U156" s="40"/>
      <c r="W156" s="33"/>
      <c r="X156" s="38" t="str">
        <f>Notes!U155</f>
        <v xml:space="preserve">               </v>
      </c>
      <c r="Y156" s="4"/>
      <c r="Z156" s="42"/>
      <c r="AA156" s="40"/>
      <c r="AB156" s="70"/>
      <c r="AC156" s="42"/>
      <c r="AD156" s="40"/>
      <c r="AE156" s="70"/>
      <c r="AF156" s="40"/>
      <c r="AG156" s="40"/>
      <c r="AH156" s="40"/>
      <c r="AI156" s="42"/>
      <c r="AJ156" s="40"/>
      <c r="AK156" s="70"/>
      <c r="AL156" s="40"/>
      <c r="AM156" s="40"/>
      <c r="AN156" s="40"/>
    </row>
    <row r="157" spans="1:40" x14ac:dyDescent="0.3">
      <c r="A157" s="12">
        <v>148</v>
      </c>
      <c r="B157" s="33"/>
      <c r="C157" s="38" t="str">
        <f>Notes!U156</f>
        <v xml:space="preserve">               </v>
      </c>
      <c r="D157" s="4"/>
      <c r="E157" s="42"/>
      <c r="F157" s="40"/>
      <c r="G157" s="40"/>
      <c r="H157" s="40"/>
      <c r="I157" s="42"/>
      <c r="J157" s="40"/>
      <c r="K157" s="70"/>
      <c r="L157" s="40"/>
      <c r="M157" s="40"/>
      <c r="N157" s="40"/>
      <c r="O157" s="40"/>
      <c r="P157" s="42"/>
      <c r="Q157" s="40"/>
      <c r="R157" s="40"/>
      <c r="S157" s="42"/>
      <c r="T157" s="40"/>
      <c r="U157" s="40"/>
      <c r="W157" s="33"/>
      <c r="X157" s="38" t="str">
        <f>Notes!U156</f>
        <v xml:space="preserve">               </v>
      </c>
      <c r="Y157" s="4"/>
      <c r="Z157" s="42"/>
      <c r="AA157" s="40"/>
      <c r="AB157" s="70"/>
      <c r="AC157" s="42"/>
      <c r="AD157" s="40"/>
      <c r="AE157" s="70"/>
      <c r="AF157" s="40"/>
      <c r="AG157" s="40"/>
      <c r="AH157" s="40"/>
      <c r="AI157" s="42"/>
      <c r="AJ157" s="40"/>
      <c r="AK157" s="70"/>
      <c r="AL157" s="40"/>
      <c r="AM157" s="40"/>
      <c r="AN157" s="40"/>
    </row>
    <row r="158" spans="1:40" x14ac:dyDescent="0.3">
      <c r="A158" s="12">
        <v>149</v>
      </c>
      <c r="B158" s="33"/>
      <c r="C158" s="38" t="str">
        <f>Notes!U157</f>
        <v xml:space="preserve">               </v>
      </c>
      <c r="D158" s="4"/>
      <c r="E158" s="42"/>
      <c r="F158" s="40"/>
      <c r="G158" s="40"/>
      <c r="H158" s="40"/>
      <c r="I158" s="42"/>
      <c r="J158" s="40"/>
      <c r="K158" s="70"/>
      <c r="L158" s="40"/>
      <c r="M158" s="40"/>
      <c r="N158" s="40"/>
      <c r="O158" s="40"/>
      <c r="P158" s="42"/>
      <c r="Q158" s="40"/>
      <c r="R158" s="40"/>
      <c r="S158" s="42"/>
      <c r="T158" s="40"/>
      <c r="U158" s="40"/>
      <c r="W158" s="33"/>
      <c r="X158" s="38" t="str">
        <f>Notes!U157</f>
        <v xml:space="preserve">               </v>
      </c>
      <c r="Y158" s="4"/>
      <c r="Z158" s="42"/>
      <c r="AA158" s="40"/>
      <c r="AB158" s="70"/>
      <c r="AC158" s="42"/>
      <c r="AD158" s="40"/>
      <c r="AE158" s="70"/>
      <c r="AF158" s="40"/>
      <c r="AG158" s="40"/>
      <c r="AH158" s="40"/>
      <c r="AI158" s="42"/>
      <c r="AJ158" s="40"/>
      <c r="AK158" s="70"/>
      <c r="AL158" s="40"/>
      <c r="AM158" s="40"/>
      <c r="AN158" s="40"/>
    </row>
    <row r="159" spans="1:40" x14ac:dyDescent="0.3">
      <c r="A159" s="12">
        <v>150</v>
      </c>
      <c r="B159" s="33"/>
      <c r="C159" s="38" t="str">
        <f>Notes!U158</f>
        <v xml:space="preserve">               </v>
      </c>
      <c r="D159" s="4"/>
      <c r="E159" s="54"/>
      <c r="F159" s="55"/>
      <c r="G159" s="55"/>
      <c r="H159" s="55"/>
      <c r="I159" s="54"/>
      <c r="J159" s="55"/>
      <c r="K159" s="72"/>
      <c r="L159" s="55"/>
      <c r="M159" s="55"/>
      <c r="N159" s="55"/>
      <c r="O159" s="55"/>
      <c r="P159" s="54"/>
      <c r="Q159" s="55"/>
      <c r="R159" s="55"/>
      <c r="S159" s="54"/>
      <c r="T159" s="55"/>
      <c r="U159" s="55"/>
      <c r="W159" s="33"/>
      <c r="X159" s="38" t="str">
        <f>Notes!U158</f>
        <v xml:space="preserve">               </v>
      </c>
      <c r="Y159" s="4"/>
      <c r="Z159" s="54"/>
      <c r="AA159" s="55"/>
      <c r="AB159" s="72"/>
      <c r="AC159" s="54"/>
      <c r="AD159" s="55"/>
      <c r="AE159" s="72"/>
      <c r="AF159" s="40"/>
      <c r="AG159" s="40"/>
      <c r="AH159" s="40"/>
      <c r="AI159" s="54"/>
      <c r="AJ159" s="55"/>
      <c r="AK159" s="72"/>
      <c r="AL159" s="40"/>
      <c r="AM159" s="40"/>
      <c r="AN159" s="40"/>
    </row>
    <row r="160" spans="1:40" x14ac:dyDescent="0.3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</sheetData>
  <sheetProtection sheet="1" objects="1" scenarios="1"/>
  <mergeCells count="9">
    <mergeCell ref="AL6:AN6"/>
    <mergeCell ref="E6:O6"/>
    <mergeCell ref="P6:R6"/>
    <mergeCell ref="I7:K7"/>
    <mergeCell ref="Z6:AB6"/>
    <mergeCell ref="AC6:AE6"/>
    <mergeCell ref="AF6:AH6"/>
    <mergeCell ref="AI6:AK6"/>
    <mergeCell ref="S6:U6"/>
  </mergeCells>
  <conditionalFormatting sqref="E10:U159">
    <cfRule type="cellIs" dxfId="23" priority="2" operator="equal">
      <formula>"Eps"</formula>
    </cfRule>
  </conditionalFormatting>
  <conditionalFormatting sqref="Z10:AN159">
    <cfRule type="cellIs" dxfId="22" priority="1" operator="equal">
      <formula>"Eps"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4B2-37DC-41C4-A83B-CBA8EE472923}">
  <sheetPr>
    <tabColor theme="8" tint="-0.499984740745262"/>
  </sheetPr>
  <dimension ref="A1:W39"/>
  <sheetViews>
    <sheetView tabSelected="1" zoomScale="85" zoomScaleNormal="85" workbookViewId="0">
      <pane ySplit="7" topLeftCell="A8" activePane="bottomLeft" state="frozen"/>
      <selection activeCell="E6" sqref="E6"/>
      <selection pane="bottomLeft" activeCell="G24" sqref="G24"/>
    </sheetView>
  </sheetViews>
  <sheetFormatPr defaultColWidth="0" defaultRowHeight="14.4" zeroHeight="1" x14ac:dyDescent="0.3"/>
  <cols>
    <col min="1" max="2" width="2.44140625" customWidth="1"/>
    <col min="3" max="3" width="15" customWidth="1"/>
    <col min="4" max="4" width="32.109375" customWidth="1"/>
    <col min="5" max="5" width="9.109375" hidden="1" customWidth="1"/>
    <col min="6" max="22" width="9.109375" customWidth="1"/>
    <col min="23" max="23" width="2.44140625" customWidth="1"/>
    <col min="24" max="16384" width="9.109375" hidden="1"/>
  </cols>
  <sheetData>
    <row r="1" spans="1:23" ht="18" x14ac:dyDescent="0.35">
      <c r="A1" s="9" t="s">
        <v>116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7" t="s">
        <v>65</v>
      </c>
      <c r="O1" s="8" t="str">
        <f>C5</f>
        <v>Quantities, price indices, and GDP shares</v>
      </c>
    </row>
    <row r="2" spans="1:23" x14ac:dyDescent="0.3">
      <c r="N2" s="8"/>
      <c r="O2" s="8"/>
    </row>
    <row r="3" spans="1:23" x14ac:dyDescent="0.3">
      <c r="N3" s="8"/>
      <c r="O3" s="8"/>
    </row>
    <row r="4" spans="1:23" x14ac:dyDescent="0.3"/>
    <row r="5" spans="1:23" ht="15.6" x14ac:dyDescent="0.3">
      <c r="B5" s="13"/>
      <c r="C5" s="11" t="s">
        <v>117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3" x14ac:dyDescent="0.3">
      <c r="B6" s="29"/>
      <c r="C6" s="35" t="s">
        <v>493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1:23" x14ac:dyDescent="0.3">
      <c r="B7" s="29"/>
      <c r="C7" s="34"/>
      <c r="D7" s="34"/>
      <c r="E7" s="34"/>
      <c r="F7" s="43" t="s">
        <v>260</v>
      </c>
      <c r="G7" s="41" t="s">
        <v>42</v>
      </c>
      <c r="H7" s="41" t="s">
        <v>704</v>
      </c>
      <c r="I7" s="39" t="s">
        <v>481</v>
      </c>
      <c r="J7" s="39" t="s">
        <v>482</v>
      </c>
      <c r="K7" s="39" t="s">
        <v>483</v>
      </c>
      <c r="L7" s="39" t="s">
        <v>484</v>
      </c>
      <c r="M7" s="39" t="s">
        <v>485</v>
      </c>
      <c r="N7" s="39" t="s">
        <v>486</v>
      </c>
      <c r="O7" s="39" t="s">
        <v>487</v>
      </c>
      <c r="P7" s="39" t="s">
        <v>488</v>
      </c>
      <c r="Q7" s="39" t="s">
        <v>489</v>
      </c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</row>
    <row r="8" spans="1:23" x14ac:dyDescent="0.3">
      <c r="A8" s="12">
        <v>1</v>
      </c>
      <c r="B8" s="33"/>
      <c r="C8" s="52" t="s">
        <v>147</v>
      </c>
      <c r="D8" s="38" t="s">
        <v>150</v>
      </c>
      <c r="E8" s="4" t="s">
        <v>118</v>
      </c>
      <c r="F8" s="91">
        <v>52862.931687910837</v>
      </c>
      <c r="G8" s="42">
        <v>3.068407929902861</v>
      </c>
      <c r="H8" s="42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V8" s="40" t="s">
        <v>48</v>
      </c>
    </row>
    <row r="9" spans="1:23" x14ac:dyDescent="0.3">
      <c r="A9" s="12">
        <v>2</v>
      </c>
      <c r="B9" s="33"/>
      <c r="C9" s="38"/>
      <c r="D9" s="63" t="s">
        <v>151</v>
      </c>
      <c r="E9" s="64" t="s">
        <v>119</v>
      </c>
      <c r="F9" s="92">
        <v>33987.205405437162</v>
      </c>
      <c r="G9" s="68">
        <v>3.0405703619693636</v>
      </c>
      <c r="H9" s="66" t="s">
        <v>48</v>
      </c>
      <c r="I9" s="67" t="s">
        <v>48</v>
      </c>
      <c r="J9" s="67" t="s">
        <v>48</v>
      </c>
      <c r="K9" s="67" t="s">
        <v>48</v>
      </c>
      <c r="L9" s="67" t="s">
        <v>48</v>
      </c>
      <c r="M9" s="67" t="s">
        <v>48</v>
      </c>
      <c r="N9" s="67" t="s">
        <v>48</v>
      </c>
      <c r="O9" s="67" t="s">
        <v>48</v>
      </c>
      <c r="P9" s="67" t="s">
        <v>48</v>
      </c>
      <c r="Q9" s="67" t="s">
        <v>48</v>
      </c>
      <c r="R9" s="67" t="s">
        <v>48</v>
      </c>
      <c r="S9" s="67" t="s">
        <v>48</v>
      </c>
      <c r="T9" s="67" t="s">
        <v>48</v>
      </c>
      <c r="U9" s="67" t="s">
        <v>48</v>
      </c>
      <c r="V9" s="67" t="s">
        <v>48</v>
      </c>
      <c r="W9" s="49"/>
    </row>
    <row r="10" spans="1:23" x14ac:dyDescent="0.3">
      <c r="A10" s="12">
        <v>3</v>
      </c>
      <c r="B10" s="33"/>
      <c r="C10" s="38"/>
      <c r="D10" s="63" t="s">
        <v>152</v>
      </c>
      <c r="E10" s="64" t="s">
        <v>120</v>
      </c>
      <c r="F10" s="93">
        <v>3146.0384931469839</v>
      </c>
      <c r="G10" s="66">
        <v>3.499999999999992</v>
      </c>
      <c r="H10" s="68" t="s">
        <v>48</v>
      </c>
      <c r="I10" s="69" t="s">
        <v>48</v>
      </c>
      <c r="J10" s="69" t="s">
        <v>48</v>
      </c>
      <c r="K10" s="69" t="s">
        <v>48</v>
      </c>
      <c r="L10" s="69" t="s">
        <v>48</v>
      </c>
      <c r="M10" s="69" t="s">
        <v>48</v>
      </c>
      <c r="N10" s="69" t="s">
        <v>48</v>
      </c>
      <c r="O10" s="69" t="s">
        <v>48</v>
      </c>
      <c r="P10" s="69" t="s">
        <v>48</v>
      </c>
      <c r="Q10" s="69" t="s">
        <v>48</v>
      </c>
      <c r="R10" s="69" t="s">
        <v>48</v>
      </c>
      <c r="S10" s="69" t="s">
        <v>48</v>
      </c>
      <c r="T10" s="69" t="s">
        <v>48</v>
      </c>
      <c r="U10" s="69" t="s">
        <v>48</v>
      </c>
      <c r="V10" s="69" t="s">
        <v>48</v>
      </c>
    </row>
    <row r="11" spans="1:23" x14ac:dyDescent="0.3">
      <c r="A11" s="12">
        <v>4</v>
      </c>
      <c r="B11" s="33"/>
      <c r="C11" s="38"/>
      <c r="D11" s="63" t="s">
        <v>153</v>
      </c>
      <c r="E11" s="64" t="s">
        <v>121</v>
      </c>
      <c r="F11" s="93">
        <v>15729.68778932669</v>
      </c>
      <c r="G11" s="66">
        <v>3.0410730557902665</v>
      </c>
      <c r="H11" s="68" t="s">
        <v>48</v>
      </c>
      <c r="I11" s="69" t="s">
        <v>48</v>
      </c>
      <c r="J11" s="69" t="s">
        <v>48</v>
      </c>
      <c r="K11" s="69" t="s">
        <v>48</v>
      </c>
      <c r="L11" s="69" t="s">
        <v>48</v>
      </c>
      <c r="M11" s="69" t="s">
        <v>48</v>
      </c>
      <c r="N11" s="69" t="s">
        <v>48</v>
      </c>
      <c r="O11" s="69" t="s">
        <v>48</v>
      </c>
      <c r="P11" s="69" t="s">
        <v>48</v>
      </c>
      <c r="Q11" s="69" t="s">
        <v>48</v>
      </c>
      <c r="R11" s="69" t="s">
        <v>48</v>
      </c>
      <c r="S11" s="69" t="s">
        <v>48</v>
      </c>
      <c r="T11" s="69" t="s">
        <v>48</v>
      </c>
      <c r="U11" s="69" t="s">
        <v>48</v>
      </c>
      <c r="V11" s="69" t="s">
        <v>48</v>
      </c>
    </row>
    <row r="12" spans="1:23" x14ac:dyDescent="0.3">
      <c r="A12" s="12">
        <v>5</v>
      </c>
      <c r="B12" s="33"/>
      <c r="C12" s="38"/>
      <c r="D12" s="38" t="s">
        <v>154</v>
      </c>
      <c r="E12" s="4" t="s">
        <v>122</v>
      </c>
      <c r="F12" s="94">
        <v>5228.6747520441604</v>
      </c>
      <c r="G12" s="47">
        <v>2.9317432758176887</v>
      </c>
      <c r="H12" s="42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V12" s="40" t="s">
        <v>48</v>
      </c>
    </row>
    <row r="13" spans="1:23" x14ac:dyDescent="0.3">
      <c r="A13" s="12">
        <v>6</v>
      </c>
      <c r="B13" s="33"/>
      <c r="C13" s="38"/>
      <c r="D13" s="38" t="s">
        <v>155</v>
      </c>
      <c r="E13" s="4" t="s">
        <v>123</v>
      </c>
      <c r="F13" s="94">
        <v>8074.9038852132899</v>
      </c>
      <c r="G13" s="47">
        <v>3.0511198547487295</v>
      </c>
      <c r="H13" s="42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V13" s="40" t="s">
        <v>48</v>
      </c>
    </row>
    <row r="14" spans="1:23" x14ac:dyDescent="0.3">
      <c r="A14" s="12">
        <v>7</v>
      </c>
      <c r="B14" s="33"/>
      <c r="C14" s="58" t="s">
        <v>148</v>
      </c>
      <c r="D14" s="56" t="s">
        <v>156</v>
      </c>
      <c r="E14" s="59" t="s">
        <v>124</v>
      </c>
      <c r="F14" s="60">
        <v>100.00000000000003</v>
      </c>
      <c r="G14" s="89">
        <v>-1.8013939585881378E-2</v>
      </c>
      <c r="H14" s="61" t="s">
        <v>48</v>
      </c>
      <c r="I14" s="57" t="s">
        <v>48</v>
      </c>
      <c r="J14" s="57" t="s">
        <v>48</v>
      </c>
      <c r="K14" s="57" t="s">
        <v>48</v>
      </c>
      <c r="L14" s="57" t="s">
        <v>48</v>
      </c>
      <c r="M14" s="57" t="s">
        <v>48</v>
      </c>
      <c r="N14" s="57" t="s">
        <v>48</v>
      </c>
      <c r="O14" s="57" t="s">
        <v>48</v>
      </c>
      <c r="P14" s="57" t="s">
        <v>48</v>
      </c>
      <c r="Q14" s="57" t="s">
        <v>48</v>
      </c>
      <c r="R14" s="57" t="s">
        <v>48</v>
      </c>
      <c r="S14" s="57" t="s">
        <v>48</v>
      </c>
      <c r="T14" s="57" t="s">
        <v>48</v>
      </c>
      <c r="U14" s="57" t="s">
        <v>48</v>
      </c>
      <c r="V14" s="57" t="s">
        <v>48</v>
      </c>
    </row>
    <row r="15" spans="1:23" x14ac:dyDescent="0.3">
      <c r="A15" s="12">
        <v>8</v>
      </c>
      <c r="B15" s="33"/>
      <c r="C15" s="38"/>
      <c r="D15" s="38" t="s">
        <v>157</v>
      </c>
      <c r="E15" s="4" t="s">
        <v>125</v>
      </c>
      <c r="F15" s="46">
        <v>100</v>
      </c>
      <c r="G15" s="47">
        <v>-1.8013938786776151E-2</v>
      </c>
      <c r="H15" s="42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V15" s="40" t="s">
        <v>48</v>
      </c>
    </row>
    <row r="16" spans="1:23" x14ac:dyDescent="0.3">
      <c r="A16" s="12">
        <v>9</v>
      </c>
      <c r="B16" s="33"/>
      <c r="C16" s="38"/>
      <c r="D16" s="38" t="s">
        <v>158</v>
      </c>
      <c r="E16" s="4" t="s">
        <v>126</v>
      </c>
      <c r="F16" s="46">
        <v>100</v>
      </c>
      <c r="G16" s="47" t="s">
        <v>48</v>
      </c>
      <c r="H16" s="42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V16" s="40" t="s">
        <v>48</v>
      </c>
    </row>
    <row r="17" spans="1:22" x14ac:dyDescent="0.3">
      <c r="A17" s="12">
        <v>10</v>
      </c>
      <c r="B17" s="33"/>
      <c r="C17" s="38"/>
      <c r="D17" s="38" t="s">
        <v>159</v>
      </c>
      <c r="E17" s="4" t="s">
        <v>127</v>
      </c>
      <c r="F17" s="44">
        <v>100</v>
      </c>
      <c r="G17" s="42" t="s">
        <v>48</v>
      </c>
      <c r="H17" s="42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V17" s="40" t="s">
        <v>48</v>
      </c>
    </row>
    <row r="18" spans="1:22" x14ac:dyDescent="0.3">
      <c r="A18" s="12">
        <v>11</v>
      </c>
      <c r="B18" s="33"/>
      <c r="C18" s="38"/>
      <c r="D18" s="38" t="s">
        <v>160</v>
      </c>
      <c r="E18" s="4" t="s">
        <v>128</v>
      </c>
      <c r="F18" s="44">
        <v>100</v>
      </c>
      <c r="G18" s="42" t="s">
        <v>48</v>
      </c>
      <c r="H18" s="42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V18" s="40" t="s">
        <v>48</v>
      </c>
    </row>
    <row r="19" spans="1:22" x14ac:dyDescent="0.3">
      <c r="A19" s="12">
        <v>12</v>
      </c>
      <c r="B19" s="33"/>
      <c r="C19" s="38"/>
      <c r="D19" s="38" t="s">
        <v>161</v>
      </c>
      <c r="E19" s="4" t="s">
        <v>129</v>
      </c>
      <c r="F19" s="44">
        <v>99.999999999999972</v>
      </c>
      <c r="G19" s="42">
        <v>7.9924955542765019E-10</v>
      </c>
      <c r="H19" s="42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V19" s="40" t="s">
        <v>48</v>
      </c>
    </row>
    <row r="20" spans="1:22" x14ac:dyDescent="0.3">
      <c r="A20" s="12">
        <v>13</v>
      </c>
      <c r="B20" s="33"/>
      <c r="C20" s="38"/>
      <c r="D20" s="38" t="s">
        <v>162</v>
      </c>
      <c r="E20" s="4" t="s">
        <v>130</v>
      </c>
      <c r="F20" s="44">
        <v>100</v>
      </c>
      <c r="G20" s="42">
        <v>-1.6062872714162069E-4</v>
      </c>
      <c r="H20" s="42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</row>
    <row r="21" spans="1:22" x14ac:dyDescent="0.3">
      <c r="A21" s="12">
        <v>14</v>
      </c>
      <c r="B21" s="33"/>
      <c r="C21" s="38"/>
      <c r="D21" s="38" t="s">
        <v>163</v>
      </c>
      <c r="E21" s="4" t="s">
        <v>131</v>
      </c>
      <c r="F21" s="44">
        <v>100</v>
      </c>
      <c r="G21" s="42" t="s">
        <v>48</v>
      </c>
      <c r="H21" s="42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V21" s="40" t="s">
        <v>48</v>
      </c>
    </row>
    <row r="22" spans="1:22" x14ac:dyDescent="0.3">
      <c r="A22" s="12">
        <v>15</v>
      </c>
      <c r="B22" s="33"/>
      <c r="C22" s="58" t="s">
        <v>149</v>
      </c>
      <c r="D22" s="56" t="s">
        <v>167</v>
      </c>
      <c r="E22" s="59" t="s">
        <v>132</v>
      </c>
      <c r="F22" s="62">
        <v>31.448870049182155</v>
      </c>
      <c r="G22" s="61">
        <v>-4.4809076372853696E-2</v>
      </c>
      <c r="H22" s="61" t="s">
        <v>48</v>
      </c>
      <c r="I22" s="57" t="s">
        <v>48</v>
      </c>
      <c r="J22" s="57" t="s">
        <v>48</v>
      </c>
      <c r="K22" s="57" t="s">
        <v>48</v>
      </c>
      <c r="L22" s="57" t="s">
        <v>48</v>
      </c>
      <c r="M22" s="57" t="s">
        <v>48</v>
      </c>
      <c r="N22" s="57" t="s">
        <v>48</v>
      </c>
      <c r="O22" s="57" t="s">
        <v>48</v>
      </c>
      <c r="P22" s="57" t="s">
        <v>48</v>
      </c>
      <c r="Q22" s="57" t="s">
        <v>48</v>
      </c>
      <c r="R22" s="57" t="s">
        <v>48</v>
      </c>
      <c r="S22" s="57" t="s">
        <v>48</v>
      </c>
      <c r="T22" s="57" t="s">
        <v>48</v>
      </c>
      <c r="U22" s="57" t="s">
        <v>48</v>
      </c>
      <c r="V22" s="57" t="s">
        <v>48</v>
      </c>
    </row>
    <row r="23" spans="1:22" x14ac:dyDescent="0.3">
      <c r="A23" s="12"/>
      <c r="B23" s="33"/>
      <c r="C23" s="52"/>
      <c r="D23" s="38" t="s">
        <v>168</v>
      </c>
      <c r="E23" s="4" t="s">
        <v>166</v>
      </c>
      <c r="F23" s="44">
        <v>31.44887004918219</v>
      </c>
      <c r="G23" s="42">
        <v>-4.4809079641797922E-2</v>
      </c>
      <c r="H23" s="42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V23" s="40" t="s">
        <v>48</v>
      </c>
    </row>
    <row r="24" spans="1:22" x14ac:dyDescent="0.3">
      <c r="A24" s="12">
        <v>16</v>
      </c>
      <c r="B24" s="33"/>
      <c r="C24" s="38"/>
      <c r="D24" s="63" t="s">
        <v>174</v>
      </c>
      <c r="E24" s="64" t="s">
        <v>133</v>
      </c>
      <c r="F24" s="65">
        <v>32.11175546225715</v>
      </c>
      <c r="G24" s="68">
        <v>-0.14613319739398634</v>
      </c>
      <c r="H24" s="68" t="s">
        <v>48</v>
      </c>
      <c r="I24" s="69" t="s">
        <v>48</v>
      </c>
      <c r="J24" s="69" t="s">
        <v>48</v>
      </c>
      <c r="K24" s="69" t="s">
        <v>48</v>
      </c>
      <c r="L24" s="69" t="s">
        <v>48</v>
      </c>
      <c r="M24" s="69" t="s">
        <v>48</v>
      </c>
      <c r="N24" s="69" t="s">
        <v>48</v>
      </c>
      <c r="O24" s="69" t="s">
        <v>48</v>
      </c>
      <c r="P24" s="69" t="s">
        <v>48</v>
      </c>
      <c r="Q24" s="69" t="s">
        <v>48</v>
      </c>
      <c r="R24" s="69" t="s">
        <v>48</v>
      </c>
      <c r="S24" s="69" t="s">
        <v>48</v>
      </c>
      <c r="T24" s="69" t="s">
        <v>48</v>
      </c>
      <c r="U24" s="69" t="s">
        <v>48</v>
      </c>
      <c r="V24" s="69" t="s">
        <v>48</v>
      </c>
    </row>
    <row r="25" spans="1:22" x14ac:dyDescent="0.3">
      <c r="A25" s="12">
        <v>17</v>
      </c>
      <c r="B25" s="33"/>
      <c r="C25" s="38"/>
      <c r="D25" s="63" t="s">
        <v>175</v>
      </c>
      <c r="E25" s="64" t="s">
        <v>136</v>
      </c>
      <c r="F25" s="65">
        <v>-2.5917391711591686</v>
      </c>
      <c r="G25" s="68">
        <v>0.11248925280249367</v>
      </c>
      <c r="H25" s="68" t="s">
        <v>48</v>
      </c>
      <c r="I25" s="69" t="s">
        <v>48</v>
      </c>
      <c r="J25" s="69" t="s">
        <v>48</v>
      </c>
      <c r="K25" s="69" t="s">
        <v>48</v>
      </c>
      <c r="L25" s="69" t="s">
        <v>48</v>
      </c>
      <c r="M25" s="69" t="s">
        <v>48</v>
      </c>
      <c r="N25" s="69" t="s">
        <v>48</v>
      </c>
      <c r="O25" s="69" t="s">
        <v>48</v>
      </c>
      <c r="P25" s="69" t="s">
        <v>48</v>
      </c>
      <c r="Q25" s="69" t="s">
        <v>48</v>
      </c>
      <c r="R25" s="69" t="s">
        <v>48</v>
      </c>
      <c r="S25" s="69" t="s">
        <v>48</v>
      </c>
      <c r="T25" s="69" t="s">
        <v>48</v>
      </c>
      <c r="U25" s="69" t="s">
        <v>48</v>
      </c>
      <c r="V25" s="69" t="s">
        <v>48</v>
      </c>
    </row>
    <row r="26" spans="1:22" x14ac:dyDescent="0.3">
      <c r="A26" s="12">
        <v>18</v>
      </c>
      <c r="B26" s="33"/>
      <c r="C26" s="38"/>
      <c r="D26" s="63" t="s">
        <v>176</v>
      </c>
      <c r="E26" s="64" t="s">
        <v>134</v>
      </c>
      <c r="F26" s="65">
        <v>1.928853758084206</v>
      </c>
      <c r="G26" s="68">
        <v>-1.1165135050299924E-2</v>
      </c>
      <c r="H26" s="68" t="s">
        <v>48</v>
      </c>
      <c r="I26" s="69" t="s">
        <v>48</v>
      </c>
      <c r="J26" s="69" t="s">
        <v>48</v>
      </c>
      <c r="K26" s="69" t="s">
        <v>48</v>
      </c>
      <c r="L26" s="69" t="s">
        <v>48</v>
      </c>
      <c r="M26" s="69" t="s">
        <v>48</v>
      </c>
      <c r="N26" s="69" t="s">
        <v>48</v>
      </c>
      <c r="O26" s="69" t="s">
        <v>48</v>
      </c>
      <c r="P26" s="69" t="s">
        <v>48</v>
      </c>
      <c r="Q26" s="69" t="s">
        <v>48</v>
      </c>
      <c r="R26" s="69" t="s">
        <v>48</v>
      </c>
      <c r="S26" s="69" t="s">
        <v>48</v>
      </c>
      <c r="T26" s="69" t="s">
        <v>48</v>
      </c>
      <c r="U26" s="69" t="s">
        <v>48</v>
      </c>
      <c r="V26" s="69" t="s">
        <v>48</v>
      </c>
    </row>
    <row r="27" spans="1:22" x14ac:dyDescent="0.3">
      <c r="A27" s="12">
        <v>19</v>
      </c>
      <c r="B27" s="33"/>
      <c r="C27" s="38"/>
      <c r="D27" s="63" t="s">
        <v>177</v>
      </c>
      <c r="E27" s="64" t="s">
        <v>135</v>
      </c>
      <c r="F27" s="65">
        <v>9.7200713737956299</v>
      </c>
      <c r="G27" s="68">
        <v>5.7433811163477344E-2</v>
      </c>
      <c r="H27" s="68" t="s">
        <v>48</v>
      </c>
      <c r="I27" s="69" t="s">
        <v>48</v>
      </c>
      <c r="J27" s="69" t="s">
        <v>48</v>
      </c>
      <c r="K27" s="69" t="s">
        <v>48</v>
      </c>
      <c r="L27" s="69" t="s">
        <v>48</v>
      </c>
      <c r="M27" s="69" t="s">
        <v>48</v>
      </c>
      <c r="N27" s="69" t="s">
        <v>48</v>
      </c>
      <c r="O27" s="69" t="s">
        <v>48</v>
      </c>
      <c r="P27" s="69" t="s">
        <v>48</v>
      </c>
      <c r="Q27" s="69" t="s">
        <v>48</v>
      </c>
      <c r="R27" s="69" t="s">
        <v>48</v>
      </c>
      <c r="S27" s="69" t="s">
        <v>48</v>
      </c>
      <c r="T27" s="69" t="s">
        <v>48</v>
      </c>
      <c r="U27" s="69" t="s">
        <v>48</v>
      </c>
      <c r="V27" s="69" t="s">
        <v>48</v>
      </c>
    </row>
    <row r="28" spans="1:22" x14ac:dyDescent="0.3">
      <c r="A28" s="12">
        <v>20</v>
      </c>
      <c r="B28" s="33"/>
      <c r="C28" s="38"/>
      <c r="D28" s="38" t="s">
        <v>169</v>
      </c>
      <c r="E28" s="4" t="s">
        <v>137</v>
      </c>
      <c r="F28" s="44">
        <v>5.1475267179523572</v>
      </c>
      <c r="G28" s="42">
        <v>-1.848243039050157E-2</v>
      </c>
      <c r="H28" s="42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V28" s="40" t="s">
        <v>48</v>
      </c>
    </row>
    <row r="29" spans="1:22" x14ac:dyDescent="0.3">
      <c r="A29" s="12">
        <v>21</v>
      </c>
      <c r="B29" s="33"/>
      <c r="C29" s="38"/>
      <c r="D29" s="38" t="s">
        <v>170</v>
      </c>
      <c r="E29" s="4" t="s">
        <v>138</v>
      </c>
      <c r="F29" s="44">
        <v>3.3134532868717841</v>
      </c>
      <c r="G29" s="42">
        <v>-6.6687152292521645E-3</v>
      </c>
      <c r="H29" s="42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</row>
    <row r="30" spans="1:22" x14ac:dyDescent="0.3">
      <c r="A30" s="12">
        <v>22</v>
      </c>
      <c r="B30" s="33"/>
      <c r="C30" s="38"/>
      <c r="D30" s="63" t="s">
        <v>178</v>
      </c>
      <c r="E30" s="64" t="s">
        <v>139</v>
      </c>
      <c r="F30" s="65" t="s">
        <v>48</v>
      </c>
      <c r="G30" s="68" t="s">
        <v>48</v>
      </c>
      <c r="H30" s="68" t="s">
        <v>48</v>
      </c>
      <c r="I30" s="69" t="s">
        <v>48</v>
      </c>
      <c r="J30" s="69" t="s">
        <v>48</v>
      </c>
      <c r="K30" s="69" t="s">
        <v>48</v>
      </c>
      <c r="L30" s="69" t="s">
        <v>48</v>
      </c>
      <c r="M30" s="69" t="s">
        <v>48</v>
      </c>
      <c r="N30" s="69" t="s">
        <v>48</v>
      </c>
      <c r="O30" s="69" t="s">
        <v>48</v>
      </c>
      <c r="P30" s="69" t="s">
        <v>48</v>
      </c>
      <c r="Q30" s="69" t="s">
        <v>48</v>
      </c>
      <c r="R30" s="69" t="s">
        <v>48</v>
      </c>
      <c r="S30" s="69" t="s">
        <v>48</v>
      </c>
      <c r="T30" s="69" t="s">
        <v>48</v>
      </c>
      <c r="U30" s="69" t="s">
        <v>48</v>
      </c>
      <c r="V30" s="69" t="s">
        <v>48</v>
      </c>
    </row>
    <row r="31" spans="1:22" x14ac:dyDescent="0.3">
      <c r="A31" s="12">
        <v>23</v>
      </c>
      <c r="B31" s="33"/>
      <c r="C31" s="38"/>
      <c r="D31" s="63" t="s">
        <v>179</v>
      </c>
      <c r="E31" s="64" t="s">
        <v>140</v>
      </c>
      <c r="F31" s="65" t="s">
        <v>48</v>
      </c>
      <c r="G31" s="68" t="s">
        <v>48</v>
      </c>
      <c r="H31" s="68" t="s">
        <v>48</v>
      </c>
      <c r="I31" s="69" t="s">
        <v>48</v>
      </c>
      <c r="J31" s="69" t="s">
        <v>48</v>
      </c>
      <c r="K31" s="69" t="s">
        <v>48</v>
      </c>
      <c r="L31" s="69" t="s">
        <v>48</v>
      </c>
      <c r="M31" s="69" t="s">
        <v>48</v>
      </c>
      <c r="N31" s="69" t="s">
        <v>48</v>
      </c>
      <c r="O31" s="69" t="s">
        <v>48</v>
      </c>
      <c r="P31" s="69" t="s">
        <v>48</v>
      </c>
      <c r="Q31" s="69" t="s">
        <v>48</v>
      </c>
      <c r="R31" s="69" t="s">
        <v>48</v>
      </c>
      <c r="S31" s="69" t="s">
        <v>48</v>
      </c>
      <c r="T31" s="69" t="s">
        <v>48</v>
      </c>
      <c r="U31" s="69" t="s">
        <v>48</v>
      </c>
      <c r="V31" s="69" t="s">
        <v>48</v>
      </c>
    </row>
    <row r="32" spans="1:22" x14ac:dyDescent="0.3">
      <c r="A32" s="12">
        <v>24</v>
      </c>
      <c r="B32" s="33"/>
      <c r="C32" s="38"/>
      <c r="D32" s="63" t="s">
        <v>180</v>
      </c>
      <c r="E32" s="64" t="s">
        <v>141</v>
      </c>
      <c r="F32" s="65">
        <v>2.7243680524934666</v>
      </c>
      <c r="G32" s="68">
        <v>-5.7883392441322457E-3</v>
      </c>
      <c r="H32" s="68" t="s">
        <v>48</v>
      </c>
      <c r="I32" s="69" t="s">
        <v>48</v>
      </c>
      <c r="J32" s="69" t="s">
        <v>48</v>
      </c>
      <c r="K32" s="69" t="s">
        <v>48</v>
      </c>
      <c r="L32" s="69" t="s">
        <v>48</v>
      </c>
      <c r="M32" s="69" t="s">
        <v>48</v>
      </c>
      <c r="N32" s="69" t="s">
        <v>48</v>
      </c>
      <c r="O32" s="69" t="s">
        <v>48</v>
      </c>
      <c r="P32" s="69" t="s">
        <v>48</v>
      </c>
      <c r="Q32" s="69" t="s">
        <v>48</v>
      </c>
      <c r="R32" s="69" t="s">
        <v>48</v>
      </c>
      <c r="S32" s="69" t="s">
        <v>48</v>
      </c>
      <c r="T32" s="69" t="s">
        <v>48</v>
      </c>
      <c r="U32" s="69" t="s">
        <v>48</v>
      </c>
      <c r="V32" s="69" t="s">
        <v>48</v>
      </c>
    </row>
    <row r="33" spans="1:22" x14ac:dyDescent="0.3">
      <c r="A33" s="12">
        <v>25</v>
      </c>
      <c r="B33" s="33"/>
      <c r="C33" s="38"/>
      <c r="D33" s="63" t="s">
        <v>181</v>
      </c>
      <c r="E33" s="64" t="s">
        <v>142</v>
      </c>
      <c r="F33" s="65">
        <v>1.0984692332567591E-5</v>
      </c>
      <c r="G33" s="68">
        <v>-1.4555339435833396E-7</v>
      </c>
      <c r="H33" s="68" t="s">
        <v>48</v>
      </c>
      <c r="I33" s="69" t="s">
        <v>48</v>
      </c>
      <c r="J33" s="69" t="s">
        <v>48</v>
      </c>
      <c r="K33" s="69" t="s">
        <v>48</v>
      </c>
      <c r="L33" s="69" t="s">
        <v>48</v>
      </c>
      <c r="M33" s="69" t="s">
        <v>48</v>
      </c>
      <c r="N33" s="69" t="s">
        <v>48</v>
      </c>
      <c r="O33" s="69" t="s">
        <v>48</v>
      </c>
      <c r="P33" s="69" t="s">
        <v>48</v>
      </c>
      <c r="Q33" s="69" t="s">
        <v>48</v>
      </c>
      <c r="R33" s="69" t="s">
        <v>48</v>
      </c>
      <c r="S33" s="69" t="s">
        <v>48</v>
      </c>
      <c r="T33" s="69" t="s">
        <v>48</v>
      </c>
      <c r="U33" s="69" t="s">
        <v>48</v>
      </c>
      <c r="V33" s="69" t="s">
        <v>48</v>
      </c>
    </row>
    <row r="34" spans="1:22" x14ac:dyDescent="0.3">
      <c r="A34" s="12">
        <v>26</v>
      </c>
      <c r="B34" s="33"/>
      <c r="C34" s="38"/>
      <c r="D34" s="63" t="s">
        <v>182</v>
      </c>
      <c r="E34" s="64" t="s">
        <v>143</v>
      </c>
      <c r="F34" s="65">
        <v>0.5890742496859851</v>
      </c>
      <c r="G34" s="68">
        <v>-8.8023043172613669E-4</v>
      </c>
      <c r="H34" s="68" t="s">
        <v>48</v>
      </c>
      <c r="I34" s="69" t="s">
        <v>48</v>
      </c>
      <c r="J34" s="69" t="s">
        <v>48</v>
      </c>
      <c r="K34" s="69" t="s">
        <v>48</v>
      </c>
      <c r="L34" s="69" t="s">
        <v>48</v>
      </c>
      <c r="M34" s="69" t="s">
        <v>48</v>
      </c>
      <c r="N34" s="69" t="s">
        <v>48</v>
      </c>
      <c r="O34" s="69" t="s">
        <v>48</v>
      </c>
      <c r="P34" s="69" t="s">
        <v>48</v>
      </c>
      <c r="Q34" s="69" t="s">
        <v>48</v>
      </c>
      <c r="R34" s="69" t="s">
        <v>48</v>
      </c>
      <c r="S34" s="69" t="s">
        <v>48</v>
      </c>
      <c r="T34" s="69" t="s">
        <v>48</v>
      </c>
      <c r="U34" s="69" t="s">
        <v>48</v>
      </c>
      <c r="V34" s="69" t="s">
        <v>48</v>
      </c>
    </row>
    <row r="35" spans="1:22" x14ac:dyDescent="0.3">
      <c r="A35" s="12">
        <v>27</v>
      </c>
      <c r="B35" s="33"/>
      <c r="C35" s="38"/>
      <c r="D35" s="38" t="s">
        <v>171</v>
      </c>
      <c r="E35" s="4" t="s">
        <v>144</v>
      </c>
      <c r="F35" s="44">
        <v>1.8340734310805729</v>
      </c>
      <c r="G35" s="42">
        <v>-1.1813715161248739E-2</v>
      </c>
      <c r="H35" s="42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V35" s="40" t="s">
        <v>48</v>
      </c>
    </row>
    <row r="36" spans="1:22" x14ac:dyDescent="0.3">
      <c r="A36" s="12">
        <v>28</v>
      </c>
      <c r="B36" s="33"/>
      <c r="C36" s="38"/>
      <c r="D36" s="38" t="s">
        <v>172</v>
      </c>
      <c r="E36" s="4" t="s">
        <v>145</v>
      </c>
      <c r="F36" s="44">
        <v>1.8333890370205028E-2</v>
      </c>
      <c r="G36" s="42">
        <v>-2.9622283560036544E-5</v>
      </c>
      <c r="H36" s="42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U36" s="40" t="s">
        <v>48</v>
      </c>
      <c r="V36" s="40" t="s">
        <v>48</v>
      </c>
    </row>
    <row r="37" spans="1:22" x14ac:dyDescent="0.3">
      <c r="A37" s="12">
        <v>29</v>
      </c>
      <c r="B37" s="33"/>
      <c r="C37" s="38"/>
      <c r="D37" s="38" t="s">
        <v>173</v>
      </c>
      <c r="E37" s="4" t="s">
        <v>146</v>
      </c>
      <c r="F37" s="44">
        <v>1.8157395407103678</v>
      </c>
      <c r="G37" s="42">
        <v>-1.1784092877688668E-2</v>
      </c>
      <c r="H37" s="42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V37" s="40" t="s">
        <v>48</v>
      </c>
    </row>
    <row r="38" spans="1:22" x14ac:dyDescent="0.3">
      <c r="A38" s="12">
        <v>30</v>
      </c>
      <c r="B38" s="33"/>
      <c r="C38" s="38"/>
      <c r="D38" s="38"/>
      <c r="E38" s="4"/>
      <c r="F38" s="44"/>
      <c r="G38" s="42"/>
      <c r="H38" s="42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 x14ac:dyDescent="0.3">
      <c r="A39" s="12">
        <v>31</v>
      </c>
      <c r="B39" s="56"/>
      <c r="C39" s="56"/>
      <c r="D39" s="56"/>
      <c r="E39" s="56"/>
      <c r="F39" s="56"/>
      <c r="G39" s="56"/>
      <c r="H39" s="56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</sheetData>
  <sheetProtection sheet="1" objects="1" scenarios="1"/>
  <conditionalFormatting sqref="F8:V39">
    <cfRule type="cellIs" dxfId="21" priority="1" operator="equal">
      <formula>"Eps"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67E9-160C-4E69-B04C-802CB98ACFFD}">
  <sheetPr>
    <tabColor theme="8" tint="-0.499984740745262"/>
  </sheetPr>
  <dimension ref="A1:AU33"/>
  <sheetViews>
    <sheetView topLeftCell="T1" zoomScale="85" zoomScaleNormal="85" workbookViewId="0">
      <pane ySplit="7" topLeftCell="A8" activePane="bottomLeft" state="frozen"/>
      <selection pane="bottomLeft" activeCell="Z6" sqref="Z6"/>
    </sheetView>
  </sheetViews>
  <sheetFormatPr defaultColWidth="0" defaultRowHeight="14.4" zeroHeight="1" x14ac:dyDescent="0.3"/>
  <cols>
    <col min="1" max="2" width="2.44140625" customWidth="1"/>
    <col min="3" max="3" width="9.5546875" customWidth="1"/>
    <col min="4" max="4" width="27" customWidth="1"/>
    <col min="5" max="6" width="9.109375" hidden="1" customWidth="1"/>
    <col min="7" max="23" width="9.109375" customWidth="1"/>
    <col min="24" max="25" width="2.44140625" customWidth="1"/>
    <col min="26" max="26" width="9.5546875" customWidth="1"/>
    <col min="27" max="27" width="27" customWidth="1"/>
    <col min="28" max="29" width="9.109375" hidden="1" customWidth="1"/>
    <col min="30" max="46" width="9.109375" customWidth="1"/>
    <col min="47" max="47" width="2.44140625" customWidth="1"/>
    <col min="48" max="16384" width="9.109375" hidden="1"/>
  </cols>
  <sheetData>
    <row r="1" spans="1:46" ht="18" x14ac:dyDescent="0.35">
      <c r="A1" s="9" t="s">
        <v>84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7" t="s">
        <v>65</v>
      </c>
      <c r="P1" s="8" t="str">
        <f>C5</f>
        <v>GDP by expenditure component</v>
      </c>
    </row>
    <row r="2" spans="1:46" x14ac:dyDescent="0.3">
      <c r="O2" s="8"/>
      <c r="P2" s="8" t="str">
        <f>Z5</f>
        <v>Share of total GDP at market prices</v>
      </c>
    </row>
    <row r="3" spans="1:46" x14ac:dyDescent="0.3">
      <c r="O3" s="8"/>
      <c r="P3" s="8"/>
    </row>
    <row r="4" spans="1:46" x14ac:dyDescent="0.3"/>
    <row r="5" spans="1:46" ht="15.6" x14ac:dyDescent="0.3">
      <c r="B5" s="13"/>
      <c r="C5" s="11" t="s">
        <v>115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Y5" s="13"/>
      <c r="Z5" s="11" t="s">
        <v>114</v>
      </c>
      <c r="AA5" s="11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x14ac:dyDescent="0.3">
      <c r="B6" s="29"/>
      <c r="C6" s="35" t="s">
        <v>492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Y6" s="29"/>
      <c r="Z6" s="35" t="s">
        <v>491</v>
      </c>
      <c r="AA6" s="35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</row>
    <row r="7" spans="1:46" x14ac:dyDescent="0.3">
      <c r="B7" s="29"/>
      <c r="C7" s="51"/>
      <c r="D7" s="51"/>
      <c r="E7" s="34"/>
      <c r="F7" s="34"/>
      <c r="G7" s="43" t="s">
        <v>260</v>
      </c>
      <c r="H7" s="41" t="s">
        <v>42</v>
      </c>
      <c r="I7" s="41" t="s">
        <v>704</v>
      </c>
      <c r="J7" s="39" t="s">
        <v>481</v>
      </c>
      <c r="K7" s="39" t="s">
        <v>482</v>
      </c>
      <c r="L7" s="39" t="s">
        <v>483</v>
      </c>
      <c r="M7" s="39" t="s">
        <v>484</v>
      </c>
      <c r="N7" s="39" t="s">
        <v>485</v>
      </c>
      <c r="O7" s="39" t="s">
        <v>486</v>
      </c>
      <c r="P7" s="39" t="s">
        <v>487</v>
      </c>
      <c r="Q7" s="39" t="s">
        <v>488</v>
      </c>
      <c r="R7" s="39" t="s">
        <v>489</v>
      </c>
      <c r="S7" s="39" t="s">
        <v>43</v>
      </c>
      <c r="T7" s="39" t="s">
        <v>44</v>
      </c>
      <c r="U7" s="39" t="s">
        <v>45</v>
      </c>
      <c r="V7" s="39" t="s">
        <v>46</v>
      </c>
      <c r="W7" s="39" t="s">
        <v>47</v>
      </c>
      <c r="Y7" s="29"/>
      <c r="Z7" s="51"/>
      <c r="AA7" s="51"/>
      <c r="AB7" s="34"/>
      <c r="AC7" s="34"/>
      <c r="AD7" s="43" t="s">
        <v>260</v>
      </c>
      <c r="AE7" s="41" t="s">
        <v>42</v>
      </c>
      <c r="AF7" s="41" t="s">
        <v>704</v>
      </c>
      <c r="AG7" s="39" t="s">
        <v>481</v>
      </c>
      <c r="AH7" s="39" t="s">
        <v>482</v>
      </c>
      <c r="AI7" s="39" t="s">
        <v>483</v>
      </c>
      <c r="AJ7" s="39" t="s">
        <v>484</v>
      </c>
      <c r="AK7" s="39" t="s">
        <v>485</v>
      </c>
      <c r="AL7" s="39" t="s">
        <v>486</v>
      </c>
      <c r="AM7" s="39" t="s">
        <v>487</v>
      </c>
      <c r="AN7" s="39" t="s">
        <v>488</v>
      </c>
      <c r="AO7" s="39" t="s">
        <v>489</v>
      </c>
      <c r="AP7" s="39" t="s">
        <v>43</v>
      </c>
      <c r="AQ7" s="39" t="s">
        <v>44</v>
      </c>
      <c r="AR7" s="39" t="s">
        <v>45</v>
      </c>
      <c r="AS7" s="39" t="s">
        <v>46</v>
      </c>
      <c r="AT7" s="39" t="s">
        <v>47</v>
      </c>
    </row>
    <row r="8" spans="1:46" x14ac:dyDescent="0.3">
      <c r="A8" s="12">
        <v>1</v>
      </c>
      <c r="B8" s="33"/>
      <c r="C8" s="52" t="s">
        <v>100</v>
      </c>
      <c r="D8" s="38" t="s">
        <v>102</v>
      </c>
      <c r="E8" s="4" t="s">
        <v>85</v>
      </c>
      <c r="F8" s="4" t="s">
        <v>86</v>
      </c>
      <c r="G8" s="44">
        <v>96.68654671312828</v>
      </c>
      <c r="H8" s="42">
        <v>3.0679020338679086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V8" s="40" t="s">
        <v>48</v>
      </c>
      <c r="W8" s="40" t="s">
        <v>48</v>
      </c>
      <c r="Y8" s="33"/>
      <c r="Z8" s="52" t="s">
        <v>100</v>
      </c>
      <c r="AA8" s="38" t="s">
        <v>102</v>
      </c>
      <c r="AB8" s="4" t="s">
        <v>85</v>
      </c>
      <c r="AC8" s="4" t="s">
        <v>86</v>
      </c>
      <c r="AD8" s="44">
        <v>96.68654671312828</v>
      </c>
      <c r="AE8" s="42">
        <v>6.6687120193087424E-3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  <c r="AQ8" s="40" t="s">
        <v>48</v>
      </c>
      <c r="AR8" s="40" t="s">
        <v>48</v>
      </c>
      <c r="AS8" s="40" t="s">
        <v>48</v>
      </c>
      <c r="AT8" s="40" t="s">
        <v>48</v>
      </c>
    </row>
    <row r="9" spans="1:46" x14ac:dyDescent="0.3">
      <c r="A9" s="12">
        <v>2</v>
      </c>
      <c r="B9" s="33"/>
      <c r="C9" s="52"/>
      <c r="D9" s="38" t="s">
        <v>103</v>
      </c>
      <c r="E9" s="4" t="s">
        <v>85</v>
      </c>
      <c r="F9" s="4" t="s">
        <v>87</v>
      </c>
      <c r="G9" s="44">
        <v>3.3134532868717184</v>
      </c>
      <c r="H9" s="47">
        <v>3.0372274808533328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V9" s="48" t="s">
        <v>48</v>
      </c>
      <c r="W9" s="48" t="s">
        <v>48</v>
      </c>
      <c r="X9" s="49"/>
      <c r="Y9" s="33"/>
      <c r="Z9" s="52"/>
      <c r="AA9" s="38" t="s">
        <v>103</v>
      </c>
      <c r="AB9" s="4" t="s">
        <v>85</v>
      </c>
      <c r="AC9" s="4" t="s">
        <v>87</v>
      </c>
      <c r="AD9" s="44">
        <v>3.3134532868717184</v>
      </c>
      <c r="AE9" s="47">
        <v>-6.6687120193073546E-3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Q9" s="48" t="s">
        <v>48</v>
      </c>
      <c r="AR9" s="48" t="s">
        <v>48</v>
      </c>
      <c r="AS9" s="48" t="s">
        <v>48</v>
      </c>
      <c r="AT9" s="48" t="s">
        <v>48</v>
      </c>
    </row>
    <row r="10" spans="1:46" x14ac:dyDescent="0.3">
      <c r="A10" s="12">
        <v>3</v>
      </c>
      <c r="B10" s="33"/>
      <c r="C10" s="52"/>
      <c r="D10" s="38" t="s">
        <v>104</v>
      </c>
      <c r="E10" s="4" t="s">
        <v>85</v>
      </c>
      <c r="F10" s="4" t="s">
        <v>88</v>
      </c>
      <c r="G10" s="46">
        <v>100</v>
      </c>
      <c r="H10" s="42">
        <v>3.0668865238923981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V10" s="40" t="s">
        <v>48</v>
      </c>
      <c r="W10" s="40" t="s">
        <v>48</v>
      </c>
      <c r="Y10" s="33"/>
      <c r="Z10" s="52"/>
      <c r="AA10" s="38" t="s">
        <v>104</v>
      </c>
      <c r="AB10" s="4" t="s">
        <v>85</v>
      </c>
      <c r="AC10" s="4" t="s">
        <v>88</v>
      </c>
      <c r="AD10" s="46">
        <v>100</v>
      </c>
      <c r="AE10" s="42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  <c r="AQ10" s="40" t="s">
        <v>48</v>
      </c>
      <c r="AR10" s="40" t="s">
        <v>48</v>
      </c>
      <c r="AS10" s="40" t="s">
        <v>48</v>
      </c>
      <c r="AT10" s="40" t="s">
        <v>48</v>
      </c>
    </row>
    <row r="11" spans="1:46" x14ac:dyDescent="0.3">
      <c r="A11" s="12">
        <v>4</v>
      </c>
      <c r="B11" s="33"/>
      <c r="C11" s="52"/>
      <c r="D11" s="38" t="s">
        <v>105</v>
      </c>
      <c r="E11" s="4" t="s">
        <v>85</v>
      </c>
      <c r="F11" s="4" t="s">
        <v>89</v>
      </c>
      <c r="G11" s="46">
        <v>105.69055732943215</v>
      </c>
      <c r="H11" s="42">
        <v>3.0767780994814586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V11" s="40" t="s">
        <v>48</v>
      </c>
      <c r="W11" s="40" t="s">
        <v>48</v>
      </c>
      <c r="Y11" s="33"/>
      <c r="Z11" s="52"/>
      <c r="AA11" s="38" t="s">
        <v>105</v>
      </c>
      <c r="AB11" s="4" t="s">
        <v>85</v>
      </c>
      <c r="AC11" s="4" t="s">
        <v>89</v>
      </c>
      <c r="AD11" s="46">
        <v>105.69055732943215</v>
      </c>
      <c r="AE11" s="42">
        <v>7.1024075290693212E-2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  <c r="AQ11" s="40" t="s">
        <v>48</v>
      </c>
      <c r="AR11" s="40" t="s">
        <v>48</v>
      </c>
      <c r="AS11" s="40" t="s">
        <v>48</v>
      </c>
      <c r="AT11" s="40" t="s">
        <v>48</v>
      </c>
    </row>
    <row r="12" spans="1:46" x14ac:dyDescent="0.3">
      <c r="A12" s="12">
        <v>5</v>
      </c>
      <c r="B12" s="33"/>
      <c r="C12" s="52"/>
      <c r="D12" s="63" t="s">
        <v>106</v>
      </c>
      <c r="E12" s="64" t="s">
        <v>85</v>
      </c>
      <c r="F12" s="64" t="s">
        <v>90</v>
      </c>
      <c r="G12" s="96">
        <v>67.951711467262825</v>
      </c>
      <c r="H12" s="68">
        <v>3.0411835264679832</v>
      </c>
      <c r="I12" s="69" t="s">
        <v>48</v>
      </c>
      <c r="J12" s="69" t="s">
        <v>48</v>
      </c>
      <c r="K12" s="69" t="s">
        <v>48</v>
      </c>
      <c r="L12" s="69" t="s">
        <v>48</v>
      </c>
      <c r="M12" s="69" t="s">
        <v>48</v>
      </c>
      <c r="N12" s="69" t="s">
        <v>48</v>
      </c>
      <c r="O12" s="69" t="s">
        <v>48</v>
      </c>
      <c r="P12" s="69" t="s">
        <v>48</v>
      </c>
      <c r="Q12" s="69" t="s">
        <v>48</v>
      </c>
      <c r="R12" s="69" t="s">
        <v>48</v>
      </c>
      <c r="S12" s="69" t="s">
        <v>48</v>
      </c>
      <c r="T12" s="69" t="s">
        <v>48</v>
      </c>
      <c r="U12" s="69" t="s">
        <v>48</v>
      </c>
      <c r="V12" s="69" t="s">
        <v>48</v>
      </c>
      <c r="W12" s="69" t="s">
        <v>48</v>
      </c>
      <c r="Y12" s="33"/>
      <c r="Z12" s="52"/>
      <c r="AA12" s="63" t="s">
        <v>106</v>
      </c>
      <c r="AB12" s="64" t="s">
        <v>85</v>
      </c>
      <c r="AC12" s="64" t="s">
        <v>90</v>
      </c>
      <c r="AD12" s="96">
        <v>67.951711467262825</v>
      </c>
      <c r="AE12" s="68">
        <v>-0.11853269357199325</v>
      </c>
      <c r="AF12" s="69" t="s">
        <v>48</v>
      </c>
      <c r="AG12" s="69" t="s">
        <v>48</v>
      </c>
      <c r="AH12" s="69" t="s">
        <v>48</v>
      </c>
      <c r="AI12" s="69" t="s">
        <v>48</v>
      </c>
      <c r="AJ12" s="69" t="s">
        <v>48</v>
      </c>
      <c r="AK12" s="69" t="s">
        <v>48</v>
      </c>
      <c r="AL12" s="69" t="s">
        <v>48</v>
      </c>
      <c r="AM12" s="69" t="s">
        <v>48</v>
      </c>
      <c r="AN12" s="69" t="s">
        <v>48</v>
      </c>
      <c r="AO12" s="69" t="s">
        <v>48</v>
      </c>
      <c r="AP12" s="69" t="s">
        <v>48</v>
      </c>
      <c r="AQ12" s="69" t="s">
        <v>48</v>
      </c>
      <c r="AR12" s="69" t="s">
        <v>48</v>
      </c>
      <c r="AS12" s="69" t="s">
        <v>48</v>
      </c>
      <c r="AT12" s="69" t="s">
        <v>48</v>
      </c>
    </row>
    <row r="13" spans="1:46" x14ac:dyDescent="0.3">
      <c r="A13" s="12">
        <v>6</v>
      </c>
      <c r="B13" s="33"/>
      <c r="C13" s="52"/>
      <c r="D13" s="63" t="s">
        <v>107</v>
      </c>
      <c r="E13" s="64" t="s">
        <v>85</v>
      </c>
      <c r="F13" s="64" t="s">
        <v>91</v>
      </c>
      <c r="G13" s="96">
        <v>6.2899758129871586</v>
      </c>
      <c r="H13" s="68">
        <v>3.6069362084510503</v>
      </c>
      <c r="I13" s="69" t="s">
        <v>48</v>
      </c>
      <c r="J13" s="69" t="s">
        <v>48</v>
      </c>
      <c r="K13" s="69" t="s">
        <v>48</v>
      </c>
      <c r="L13" s="69" t="s">
        <v>48</v>
      </c>
      <c r="M13" s="69" t="s">
        <v>48</v>
      </c>
      <c r="N13" s="69" t="s">
        <v>48</v>
      </c>
      <c r="O13" s="69" t="s">
        <v>48</v>
      </c>
      <c r="P13" s="69" t="s">
        <v>48</v>
      </c>
      <c r="Q13" s="69" t="s">
        <v>48</v>
      </c>
      <c r="R13" s="69" t="s">
        <v>48</v>
      </c>
      <c r="S13" s="69" t="s">
        <v>48</v>
      </c>
      <c r="T13" s="69" t="s">
        <v>48</v>
      </c>
      <c r="U13" s="69" t="s">
        <v>48</v>
      </c>
      <c r="V13" s="69" t="s">
        <v>48</v>
      </c>
      <c r="W13" s="69" t="s">
        <v>48</v>
      </c>
      <c r="Y13" s="33"/>
      <c r="Z13" s="52"/>
      <c r="AA13" s="63" t="s">
        <v>107</v>
      </c>
      <c r="AB13" s="64" t="s">
        <v>85</v>
      </c>
      <c r="AC13" s="64" t="s">
        <v>91</v>
      </c>
      <c r="AD13" s="96">
        <v>6.2899758129871586</v>
      </c>
      <c r="AE13" s="68">
        <v>0.23436584523555959</v>
      </c>
      <c r="AF13" s="69" t="s">
        <v>48</v>
      </c>
      <c r="AG13" s="69" t="s">
        <v>48</v>
      </c>
      <c r="AH13" s="69" t="s">
        <v>48</v>
      </c>
      <c r="AI13" s="69" t="s">
        <v>48</v>
      </c>
      <c r="AJ13" s="69" t="s">
        <v>48</v>
      </c>
      <c r="AK13" s="69" t="s">
        <v>48</v>
      </c>
      <c r="AL13" s="69" t="s">
        <v>48</v>
      </c>
      <c r="AM13" s="69" t="s">
        <v>48</v>
      </c>
      <c r="AN13" s="69" t="s">
        <v>48</v>
      </c>
      <c r="AO13" s="69" t="s">
        <v>48</v>
      </c>
      <c r="AP13" s="69" t="s">
        <v>48</v>
      </c>
      <c r="AQ13" s="69" t="s">
        <v>48</v>
      </c>
      <c r="AR13" s="69" t="s">
        <v>48</v>
      </c>
      <c r="AS13" s="69" t="s">
        <v>48</v>
      </c>
      <c r="AT13" s="69" t="s">
        <v>48</v>
      </c>
    </row>
    <row r="14" spans="1:46" x14ac:dyDescent="0.3">
      <c r="A14" s="12">
        <v>7</v>
      </c>
      <c r="B14" s="33"/>
      <c r="C14" s="52"/>
      <c r="D14" s="63" t="s">
        <v>108</v>
      </c>
      <c r="E14" s="64" t="s">
        <v>85</v>
      </c>
      <c r="F14" s="64" t="s">
        <v>92</v>
      </c>
      <c r="G14" s="96">
        <v>31.448870049182155</v>
      </c>
      <c r="H14" s="68">
        <v>3.0458948334632918</v>
      </c>
      <c r="I14" s="69" t="s">
        <v>48</v>
      </c>
      <c r="J14" s="69" t="s">
        <v>48</v>
      </c>
      <c r="K14" s="69" t="s">
        <v>48</v>
      </c>
      <c r="L14" s="69" t="s">
        <v>48</v>
      </c>
      <c r="M14" s="69" t="s">
        <v>48</v>
      </c>
      <c r="N14" s="69" t="s">
        <v>48</v>
      </c>
      <c r="O14" s="69" t="s">
        <v>48</v>
      </c>
      <c r="P14" s="69" t="s">
        <v>48</v>
      </c>
      <c r="Q14" s="69" t="s">
        <v>48</v>
      </c>
      <c r="R14" s="69" t="s">
        <v>48</v>
      </c>
      <c r="S14" s="69" t="s">
        <v>48</v>
      </c>
      <c r="T14" s="69" t="s">
        <v>48</v>
      </c>
      <c r="U14" s="69" t="s">
        <v>48</v>
      </c>
      <c r="V14" s="69" t="s">
        <v>48</v>
      </c>
      <c r="W14" s="69" t="s">
        <v>48</v>
      </c>
      <c r="Y14" s="33"/>
      <c r="Z14" s="52"/>
      <c r="AA14" s="63" t="s">
        <v>108</v>
      </c>
      <c r="AB14" s="64" t="s">
        <v>85</v>
      </c>
      <c r="AC14" s="64" t="s">
        <v>92</v>
      </c>
      <c r="AD14" s="96">
        <v>31.448870049182155</v>
      </c>
      <c r="AE14" s="68">
        <v>-4.4809076372859247E-2</v>
      </c>
      <c r="AF14" s="69" t="s">
        <v>48</v>
      </c>
      <c r="AG14" s="69" t="s">
        <v>48</v>
      </c>
      <c r="AH14" s="69" t="s">
        <v>48</v>
      </c>
      <c r="AI14" s="69" t="s">
        <v>48</v>
      </c>
      <c r="AJ14" s="69" t="s">
        <v>48</v>
      </c>
      <c r="AK14" s="69" t="s">
        <v>48</v>
      </c>
      <c r="AL14" s="69" t="s">
        <v>48</v>
      </c>
      <c r="AM14" s="69" t="s">
        <v>48</v>
      </c>
      <c r="AN14" s="69" t="s">
        <v>48</v>
      </c>
      <c r="AO14" s="69" t="s">
        <v>48</v>
      </c>
      <c r="AP14" s="69" t="s">
        <v>48</v>
      </c>
      <c r="AQ14" s="69" t="s">
        <v>48</v>
      </c>
      <c r="AR14" s="69" t="s">
        <v>48</v>
      </c>
      <c r="AS14" s="69" t="s">
        <v>48</v>
      </c>
      <c r="AT14" s="69" t="s">
        <v>48</v>
      </c>
    </row>
    <row r="15" spans="1:46" x14ac:dyDescent="0.3">
      <c r="A15" s="12">
        <v>8</v>
      </c>
      <c r="B15" s="33"/>
      <c r="C15" s="52"/>
      <c r="D15" s="3" t="s">
        <v>109</v>
      </c>
      <c r="E15" s="97" t="s">
        <v>85</v>
      </c>
      <c r="F15" s="97" t="s">
        <v>93</v>
      </c>
      <c r="G15" s="98">
        <v>31.498387741830346</v>
      </c>
      <c r="H15" s="99">
        <v>3.0415334208203415</v>
      </c>
      <c r="I15" s="100" t="s">
        <v>48</v>
      </c>
      <c r="J15" s="100" t="s">
        <v>48</v>
      </c>
      <c r="K15" s="100" t="s">
        <v>48</v>
      </c>
      <c r="L15" s="100" t="s">
        <v>48</v>
      </c>
      <c r="M15" s="100" t="s">
        <v>48</v>
      </c>
      <c r="N15" s="100" t="s">
        <v>48</v>
      </c>
      <c r="O15" s="100" t="s">
        <v>48</v>
      </c>
      <c r="P15" s="100" t="s">
        <v>48</v>
      </c>
      <c r="Q15" s="100" t="s">
        <v>48</v>
      </c>
      <c r="R15" s="100" t="s">
        <v>48</v>
      </c>
      <c r="S15" s="100" t="s">
        <v>48</v>
      </c>
      <c r="T15" s="100" t="s">
        <v>48</v>
      </c>
      <c r="U15" s="100" t="s">
        <v>48</v>
      </c>
      <c r="V15" s="100" t="s">
        <v>48</v>
      </c>
      <c r="W15" s="100" t="s">
        <v>48</v>
      </c>
      <c r="Y15" s="33"/>
      <c r="Z15" s="52"/>
      <c r="AA15" s="3" t="s">
        <v>109</v>
      </c>
      <c r="AB15" s="97" t="s">
        <v>85</v>
      </c>
      <c r="AC15" s="97" t="s">
        <v>93</v>
      </c>
      <c r="AD15" s="98">
        <v>31.498387741830346</v>
      </c>
      <c r="AE15" s="99">
        <v>-5.4197324885624232E-2</v>
      </c>
      <c r="AF15" s="100" t="s">
        <v>48</v>
      </c>
      <c r="AG15" s="100" t="s">
        <v>48</v>
      </c>
      <c r="AH15" s="100" t="s">
        <v>48</v>
      </c>
      <c r="AI15" s="100" t="s">
        <v>48</v>
      </c>
      <c r="AJ15" s="100" t="s">
        <v>48</v>
      </c>
      <c r="AK15" s="100" t="s">
        <v>48</v>
      </c>
      <c r="AL15" s="100" t="s">
        <v>48</v>
      </c>
      <c r="AM15" s="100" t="s">
        <v>48</v>
      </c>
      <c r="AN15" s="100" t="s">
        <v>48</v>
      </c>
      <c r="AO15" s="100" t="s">
        <v>48</v>
      </c>
      <c r="AP15" s="100" t="s">
        <v>48</v>
      </c>
      <c r="AQ15" s="100" t="s">
        <v>48</v>
      </c>
      <c r="AR15" s="100" t="s">
        <v>48</v>
      </c>
      <c r="AS15" s="100" t="s">
        <v>48</v>
      </c>
      <c r="AT15" s="100" t="s">
        <v>48</v>
      </c>
    </row>
    <row r="16" spans="1:46" x14ac:dyDescent="0.3">
      <c r="A16" s="12">
        <v>9</v>
      </c>
      <c r="B16" s="33"/>
      <c r="C16" s="52"/>
      <c r="D16" s="3" t="s">
        <v>110</v>
      </c>
      <c r="E16" s="97" t="s">
        <v>85</v>
      </c>
      <c r="F16" s="97" t="s">
        <v>94</v>
      </c>
      <c r="G16" s="98">
        <v>-4.9517692648191905E-2</v>
      </c>
      <c r="H16" s="99">
        <v>1.7660503701533159E-2</v>
      </c>
      <c r="I16" s="100" t="s">
        <v>48</v>
      </c>
      <c r="J16" s="100" t="s">
        <v>48</v>
      </c>
      <c r="K16" s="100" t="s">
        <v>48</v>
      </c>
      <c r="L16" s="100" t="s">
        <v>48</v>
      </c>
      <c r="M16" s="100" t="s">
        <v>48</v>
      </c>
      <c r="N16" s="100" t="s">
        <v>48</v>
      </c>
      <c r="O16" s="100" t="s">
        <v>48</v>
      </c>
      <c r="P16" s="100" t="s">
        <v>48</v>
      </c>
      <c r="Q16" s="100" t="s">
        <v>48</v>
      </c>
      <c r="R16" s="100" t="s">
        <v>48</v>
      </c>
      <c r="S16" s="100" t="s">
        <v>48</v>
      </c>
      <c r="T16" s="100" t="s">
        <v>48</v>
      </c>
      <c r="U16" s="100" t="s">
        <v>48</v>
      </c>
      <c r="V16" s="100" t="s">
        <v>48</v>
      </c>
      <c r="W16" s="100" t="s">
        <v>48</v>
      </c>
      <c r="Y16" s="33"/>
      <c r="Z16" s="52"/>
      <c r="AA16" s="3" t="s">
        <v>110</v>
      </c>
      <c r="AB16" s="97" t="s">
        <v>85</v>
      </c>
      <c r="AC16" s="97" t="s">
        <v>94</v>
      </c>
      <c r="AD16" s="98">
        <v>-4.9517692648191905E-2</v>
      </c>
      <c r="AE16" s="99">
        <v>9.3882485127647144E-3</v>
      </c>
      <c r="AF16" s="100" t="s">
        <v>48</v>
      </c>
      <c r="AG16" s="100" t="s">
        <v>48</v>
      </c>
      <c r="AH16" s="100" t="s">
        <v>48</v>
      </c>
      <c r="AI16" s="100" t="s">
        <v>48</v>
      </c>
      <c r="AJ16" s="100" t="s">
        <v>48</v>
      </c>
      <c r="AK16" s="100" t="s">
        <v>48</v>
      </c>
      <c r="AL16" s="100" t="s">
        <v>48</v>
      </c>
      <c r="AM16" s="100" t="s">
        <v>48</v>
      </c>
      <c r="AN16" s="100" t="s">
        <v>48</v>
      </c>
      <c r="AO16" s="100" t="s">
        <v>48</v>
      </c>
      <c r="AP16" s="100" t="s">
        <v>48</v>
      </c>
      <c r="AQ16" s="100" t="s">
        <v>48</v>
      </c>
      <c r="AR16" s="100" t="s">
        <v>48</v>
      </c>
      <c r="AS16" s="100" t="s">
        <v>48</v>
      </c>
      <c r="AT16" s="100" t="s">
        <v>48</v>
      </c>
    </row>
    <row r="17" spans="1:46" x14ac:dyDescent="0.3">
      <c r="A17" s="12">
        <v>10</v>
      </c>
      <c r="B17" s="33"/>
      <c r="C17" s="52"/>
      <c r="D17" s="38" t="s">
        <v>111</v>
      </c>
      <c r="E17" s="4" t="s">
        <v>85</v>
      </c>
      <c r="F17" s="4" t="s">
        <v>95</v>
      </c>
      <c r="G17" s="44">
        <v>-5.6905573294321457</v>
      </c>
      <c r="H17" s="42">
        <v>3.2496799208130867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V17" s="40" t="s">
        <v>48</v>
      </c>
      <c r="W17" s="40" t="s">
        <v>48</v>
      </c>
      <c r="Y17" s="33"/>
      <c r="Z17" s="52"/>
      <c r="AA17" s="38" t="s">
        <v>111</v>
      </c>
      <c r="AB17" s="4" t="s">
        <v>85</v>
      </c>
      <c r="AC17" s="4" t="s">
        <v>95</v>
      </c>
      <c r="AD17" s="44">
        <v>-5.6905573294321457</v>
      </c>
      <c r="AE17" s="42">
        <v>-7.102407529070362E-2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  <c r="AQ17" s="40" t="s">
        <v>48</v>
      </c>
      <c r="AR17" s="40" t="s">
        <v>48</v>
      </c>
      <c r="AS17" s="40" t="s">
        <v>48</v>
      </c>
      <c r="AT17" s="40" t="s">
        <v>48</v>
      </c>
    </row>
    <row r="18" spans="1:46" x14ac:dyDescent="0.3">
      <c r="A18" s="12">
        <v>11</v>
      </c>
      <c r="B18" s="33"/>
      <c r="C18" s="52"/>
      <c r="D18" s="63" t="s">
        <v>112</v>
      </c>
      <c r="E18" s="64" t="s">
        <v>85</v>
      </c>
      <c r="F18" s="64" t="s">
        <v>96</v>
      </c>
      <c r="G18" s="65">
        <v>10.453857381584761</v>
      </c>
      <c r="H18" s="68">
        <v>2.9132012145918207</v>
      </c>
      <c r="I18" s="69" t="s">
        <v>48</v>
      </c>
      <c r="J18" s="69" t="s">
        <v>48</v>
      </c>
      <c r="K18" s="69" t="s">
        <v>48</v>
      </c>
      <c r="L18" s="69" t="s">
        <v>48</v>
      </c>
      <c r="M18" s="69" t="s">
        <v>48</v>
      </c>
      <c r="N18" s="69" t="s">
        <v>48</v>
      </c>
      <c r="O18" s="69" t="s">
        <v>48</v>
      </c>
      <c r="P18" s="69" t="s">
        <v>48</v>
      </c>
      <c r="Q18" s="69" t="s">
        <v>48</v>
      </c>
      <c r="R18" s="69" t="s">
        <v>48</v>
      </c>
      <c r="S18" s="69" t="s">
        <v>48</v>
      </c>
      <c r="T18" s="69" t="s">
        <v>48</v>
      </c>
      <c r="U18" s="69" t="s">
        <v>48</v>
      </c>
      <c r="V18" s="69" t="s">
        <v>48</v>
      </c>
      <c r="W18" s="69" t="s">
        <v>48</v>
      </c>
      <c r="Y18" s="33"/>
      <c r="Z18" s="52"/>
      <c r="AA18" s="63" t="s">
        <v>112</v>
      </c>
      <c r="AB18" s="64" t="s">
        <v>85</v>
      </c>
      <c r="AC18" s="64" t="s">
        <v>96</v>
      </c>
      <c r="AD18" s="65">
        <v>10.453857381584761</v>
      </c>
      <c r="AE18" s="68">
        <v>-0.1086289384283276</v>
      </c>
      <c r="AF18" s="69" t="s">
        <v>48</v>
      </c>
      <c r="AG18" s="69" t="s">
        <v>48</v>
      </c>
      <c r="AH18" s="69" t="s">
        <v>48</v>
      </c>
      <c r="AI18" s="69" t="s">
        <v>48</v>
      </c>
      <c r="AJ18" s="69" t="s">
        <v>48</v>
      </c>
      <c r="AK18" s="69" t="s">
        <v>48</v>
      </c>
      <c r="AL18" s="69" t="s">
        <v>48</v>
      </c>
      <c r="AM18" s="69" t="s">
        <v>48</v>
      </c>
      <c r="AN18" s="69" t="s">
        <v>48</v>
      </c>
      <c r="AO18" s="69" t="s">
        <v>48</v>
      </c>
      <c r="AP18" s="69" t="s">
        <v>48</v>
      </c>
      <c r="AQ18" s="69" t="s">
        <v>48</v>
      </c>
      <c r="AR18" s="69" t="s">
        <v>48</v>
      </c>
      <c r="AS18" s="69" t="s">
        <v>48</v>
      </c>
      <c r="AT18" s="69" t="s">
        <v>48</v>
      </c>
    </row>
    <row r="19" spans="1:46" x14ac:dyDescent="0.3">
      <c r="A19" s="12">
        <v>12</v>
      </c>
      <c r="B19" s="33"/>
      <c r="C19" s="53"/>
      <c r="D19" s="101" t="s">
        <v>113</v>
      </c>
      <c r="E19" s="102" t="s">
        <v>85</v>
      </c>
      <c r="F19" s="102" t="s">
        <v>97</v>
      </c>
      <c r="G19" s="103">
        <v>16.144414711016907</v>
      </c>
      <c r="H19" s="104">
        <v>3.0325562890989977</v>
      </c>
      <c r="I19" s="105" t="s">
        <v>48</v>
      </c>
      <c r="J19" s="105" t="s">
        <v>48</v>
      </c>
      <c r="K19" s="105" t="s">
        <v>48</v>
      </c>
      <c r="L19" s="105" t="s">
        <v>48</v>
      </c>
      <c r="M19" s="105" t="s">
        <v>48</v>
      </c>
      <c r="N19" s="105" t="s">
        <v>48</v>
      </c>
      <c r="O19" s="105" t="s">
        <v>48</v>
      </c>
      <c r="P19" s="105" t="s">
        <v>48</v>
      </c>
      <c r="Q19" s="105" t="s">
        <v>48</v>
      </c>
      <c r="R19" s="105" t="s">
        <v>48</v>
      </c>
      <c r="S19" s="105" t="s">
        <v>48</v>
      </c>
      <c r="T19" s="105" t="s">
        <v>48</v>
      </c>
      <c r="U19" s="105" t="s">
        <v>48</v>
      </c>
      <c r="V19" s="105" t="s">
        <v>48</v>
      </c>
      <c r="W19" s="105" t="s">
        <v>48</v>
      </c>
      <c r="Y19" s="33"/>
      <c r="Z19" s="53"/>
      <c r="AA19" s="101" t="s">
        <v>113</v>
      </c>
      <c r="AB19" s="102" t="s">
        <v>85</v>
      </c>
      <c r="AC19" s="102" t="s">
        <v>97</v>
      </c>
      <c r="AD19" s="103">
        <v>16.144414711016907</v>
      </c>
      <c r="AE19" s="104">
        <v>-3.7604863137624678E-2</v>
      </c>
      <c r="AF19" s="105" t="s">
        <v>48</v>
      </c>
      <c r="AG19" s="105" t="s">
        <v>48</v>
      </c>
      <c r="AH19" s="105" t="s">
        <v>48</v>
      </c>
      <c r="AI19" s="105" t="s">
        <v>48</v>
      </c>
      <c r="AJ19" s="105" t="s">
        <v>48</v>
      </c>
      <c r="AK19" s="105" t="s">
        <v>48</v>
      </c>
      <c r="AL19" s="105" t="s">
        <v>48</v>
      </c>
      <c r="AM19" s="105" t="s">
        <v>48</v>
      </c>
      <c r="AN19" s="105" t="s">
        <v>48</v>
      </c>
      <c r="AO19" s="105" t="s">
        <v>48</v>
      </c>
      <c r="AP19" s="105" t="s">
        <v>48</v>
      </c>
      <c r="AQ19" s="105" t="s">
        <v>48</v>
      </c>
      <c r="AR19" s="105" t="s">
        <v>48</v>
      </c>
      <c r="AS19" s="105" t="s">
        <v>48</v>
      </c>
      <c r="AT19" s="105" t="s">
        <v>48</v>
      </c>
    </row>
    <row r="20" spans="1:46" x14ac:dyDescent="0.3">
      <c r="A20" s="12">
        <v>13</v>
      </c>
      <c r="B20" s="33"/>
      <c r="C20" s="52" t="s">
        <v>101</v>
      </c>
      <c r="D20" s="38" t="s">
        <v>102</v>
      </c>
      <c r="E20" s="4" t="s">
        <v>98</v>
      </c>
      <c r="F20" s="4" t="s">
        <v>86</v>
      </c>
      <c r="G20" s="44">
        <v>96.68654671312828</v>
      </c>
      <c r="H20" s="42">
        <v>3.057120778902167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V20" s="40" t="s">
        <v>48</v>
      </c>
      <c r="W20" s="40" t="s">
        <v>48</v>
      </c>
      <c r="Y20" s="33"/>
      <c r="Z20" s="52" t="s">
        <v>101</v>
      </c>
      <c r="AA20" s="38" t="s">
        <v>102</v>
      </c>
      <c r="AB20" s="4" t="s">
        <v>98</v>
      </c>
      <c r="AC20" s="4" t="s">
        <v>86</v>
      </c>
      <c r="AD20" s="44">
        <v>96.68654671312828</v>
      </c>
      <c r="AE20" s="42">
        <v>1.0312574770798832E-3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  <c r="AQ20" s="40" t="s">
        <v>48</v>
      </c>
      <c r="AR20" s="40" t="s">
        <v>48</v>
      </c>
      <c r="AS20" s="40" t="s">
        <v>48</v>
      </c>
      <c r="AT20" s="40" t="s">
        <v>48</v>
      </c>
    </row>
    <row r="21" spans="1:46" x14ac:dyDescent="0.3">
      <c r="A21" s="12">
        <v>14</v>
      </c>
      <c r="B21" s="33"/>
      <c r="C21" s="38"/>
      <c r="D21" s="38" t="s">
        <v>103</v>
      </c>
      <c r="E21" s="4" t="s">
        <v>98</v>
      </c>
      <c r="F21" s="4" t="s">
        <v>87</v>
      </c>
      <c r="G21" s="44">
        <v>3.3134532868717184</v>
      </c>
      <c r="H21" s="42">
        <v>3.0523810286007924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V21" s="40" t="s">
        <v>48</v>
      </c>
      <c r="W21" s="40" t="s">
        <v>48</v>
      </c>
      <c r="Y21" s="33"/>
      <c r="Z21" s="38"/>
      <c r="AA21" s="38" t="s">
        <v>103</v>
      </c>
      <c r="AB21" s="4" t="s">
        <v>98</v>
      </c>
      <c r="AC21" s="4" t="s">
        <v>87</v>
      </c>
      <c r="AD21" s="44">
        <v>3.3134532868717184</v>
      </c>
      <c r="AE21" s="42">
        <v>-1.0312574770833527E-3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  <c r="AQ21" s="40" t="s">
        <v>48</v>
      </c>
      <c r="AR21" s="40" t="s">
        <v>48</v>
      </c>
      <c r="AS21" s="40" t="s">
        <v>48</v>
      </c>
      <c r="AT21" s="40" t="s">
        <v>48</v>
      </c>
    </row>
    <row r="22" spans="1:46" x14ac:dyDescent="0.3">
      <c r="A22" s="12">
        <v>15</v>
      </c>
      <c r="B22" s="33"/>
      <c r="C22" s="38"/>
      <c r="D22" s="38" t="s">
        <v>104</v>
      </c>
      <c r="E22" s="4" t="s">
        <v>98</v>
      </c>
      <c r="F22" s="4" t="s">
        <v>88</v>
      </c>
      <c r="G22" s="44">
        <v>100</v>
      </c>
      <c r="H22" s="42">
        <v>3.0569637504393787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V22" s="40" t="s">
        <v>48</v>
      </c>
      <c r="W22" s="40" t="s">
        <v>48</v>
      </c>
      <c r="Y22" s="33"/>
      <c r="Z22" s="38"/>
      <c r="AA22" s="38" t="s">
        <v>104</v>
      </c>
      <c r="AB22" s="4" t="s">
        <v>98</v>
      </c>
      <c r="AC22" s="4" t="s">
        <v>88</v>
      </c>
      <c r="AD22" s="44">
        <v>100</v>
      </c>
      <c r="AE22" s="42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  <c r="AQ22" s="40" t="s">
        <v>48</v>
      </c>
      <c r="AR22" s="40" t="s">
        <v>48</v>
      </c>
      <c r="AS22" s="40" t="s">
        <v>48</v>
      </c>
      <c r="AT22" s="40" t="s">
        <v>48</v>
      </c>
    </row>
    <row r="23" spans="1:46" x14ac:dyDescent="0.3">
      <c r="A23" s="12">
        <v>16</v>
      </c>
      <c r="B23" s="33"/>
      <c r="C23" s="38"/>
      <c r="D23" s="38" t="s">
        <v>105</v>
      </c>
      <c r="E23" s="4" t="s">
        <v>98</v>
      </c>
      <c r="F23" s="4" t="s">
        <v>89</v>
      </c>
      <c r="G23" s="44">
        <v>105.69055732943215</v>
      </c>
      <c r="H23" s="42">
        <v>3.068407929902861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V23" s="40" t="s">
        <v>48</v>
      </c>
      <c r="W23" s="40" t="s">
        <v>48</v>
      </c>
      <c r="Y23" s="33"/>
      <c r="Z23" s="38"/>
      <c r="AA23" s="38" t="s">
        <v>105</v>
      </c>
      <c r="AB23" s="4" t="s">
        <v>98</v>
      </c>
      <c r="AC23" s="4" t="s">
        <v>89</v>
      </c>
      <c r="AD23" s="44">
        <v>105.69055732943215</v>
      </c>
      <c r="AE23" s="42">
        <v>8.2183801970003856E-2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  <c r="AQ23" s="40" t="s">
        <v>48</v>
      </c>
      <c r="AR23" s="40" t="s">
        <v>48</v>
      </c>
      <c r="AS23" s="40" t="s">
        <v>48</v>
      </c>
      <c r="AT23" s="40" t="s">
        <v>48</v>
      </c>
    </row>
    <row r="24" spans="1:46" x14ac:dyDescent="0.3">
      <c r="A24" s="12">
        <v>17</v>
      </c>
      <c r="B24" s="33"/>
      <c r="C24" s="38"/>
      <c r="D24" s="63" t="s">
        <v>106</v>
      </c>
      <c r="E24" s="64" t="s">
        <v>98</v>
      </c>
      <c r="F24" s="64" t="s">
        <v>90</v>
      </c>
      <c r="G24" s="65">
        <v>67.951711467262825</v>
      </c>
      <c r="H24" s="68">
        <v>3.0405703619693636</v>
      </c>
      <c r="I24" s="69" t="s">
        <v>48</v>
      </c>
      <c r="J24" s="69" t="s">
        <v>48</v>
      </c>
      <c r="K24" s="69" t="s">
        <v>48</v>
      </c>
      <c r="L24" s="69" t="s">
        <v>48</v>
      </c>
      <c r="M24" s="69" t="s">
        <v>48</v>
      </c>
      <c r="N24" s="69" t="s">
        <v>48</v>
      </c>
      <c r="O24" s="69" t="s">
        <v>48</v>
      </c>
      <c r="P24" s="69" t="s">
        <v>48</v>
      </c>
      <c r="Q24" s="69" t="s">
        <v>48</v>
      </c>
      <c r="R24" s="69" t="s">
        <v>48</v>
      </c>
      <c r="S24" s="69" t="s">
        <v>48</v>
      </c>
      <c r="T24" s="69" t="s">
        <v>48</v>
      </c>
      <c r="U24" s="69" t="s">
        <v>48</v>
      </c>
      <c r="V24" s="69" t="s">
        <v>48</v>
      </c>
      <c r="W24" s="69" t="s">
        <v>48</v>
      </c>
      <c r="Y24" s="33"/>
      <c r="Z24" s="38"/>
      <c r="AA24" s="63" t="s">
        <v>106</v>
      </c>
      <c r="AB24" s="64" t="s">
        <v>98</v>
      </c>
      <c r="AC24" s="64" t="s">
        <v>90</v>
      </c>
      <c r="AD24" s="65">
        <v>67.951711467262825</v>
      </c>
      <c r="AE24" s="68">
        <v>-7.562799400622211E-2</v>
      </c>
      <c r="AF24" s="69" t="s">
        <v>48</v>
      </c>
      <c r="AG24" s="69" t="s">
        <v>48</v>
      </c>
      <c r="AH24" s="69" t="s">
        <v>48</v>
      </c>
      <c r="AI24" s="69" t="s">
        <v>48</v>
      </c>
      <c r="AJ24" s="69" t="s">
        <v>48</v>
      </c>
      <c r="AK24" s="69" t="s">
        <v>48</v>
      </c>
      <c r="AL24" s="69" t="s">
        <v>48</v>
      </c>
      <c r="AM24" s="69" t="s">
        <v>48</v>
      </c>
      <c r="AN24" s="69" t="s">
        <v>48</v>
      </c>
      <c r="AO24" s="69" t="s">
        <v>48</v>
      </c>
      <c r="AP24" s="69" t="s">
        <v>48</v>
      </c>
      <c r="AQ24" s="69" t="s">
        <v>48</v>
      </c>
      <c r="AR24" s="69" t="s">
        <v>48</v>
      </c>
      <c r="AS24" s="69" t="s">
        <v>48</v>
      </c>
      <c r="AT24" s="69" t="s">
        <v>48</v>
      </c>
    </row>
    <row r="25" spans="1:46" x14ac:dyDescent="0.3">
      <c r="A25" s="12">
        <v>18</v>
      </c>
      <c r="B25" s="33"/>
      <c r="C25" s="38"/>
      <c r="D25" s="63" t="s">
        <v>107</v>
      </c>
      <c r="E25" s="64" t="s">
        <v>98</v>
      </c>
      <c r="F25" s="64" t="s">
        <v>91</v>
      </c>
      <c r="G25" s="65">
        <v>6.2899758129871586</v>
      </c>
      <c r="H25" s="68">
        <v>3.499999999999992</v>
      </c>
      <c r="I25" s="69" t="s">
        <v>48</v>
      </c>
      <c r="J25" s="69" t="s">
        <v>48</v>
      </c>
      <c r="K25" s="69" t="s">
        <v>48</v>
      </c>
      <c r="L25" s="69" t="s">
        <v>48</v>
      </c>
      <c r="M25" s="69" t="s">
        <v>48</v>
      </c>
      <c r="N25" s="69" t="s">
        <v>48</v>
      </c>
      <c r="O25" s="69" t="s">
        <v>48</v>
      </c>
      <c r="P25" s="69" t="s">
        <v>48</v>
      </c>
      <c r="Q25" s="69" t="s">
        <v>48</v>
      </c>
      <c r="R25" s="69" t="s">
        <v>48</v>
      </c>
      <c r="S25" s="69" t="s">
        <v>48</v>
      </c>
      <c r="T25" s="69" t="s">
        <v>48</v>
      </c>
      <c r="U25" s="69" t="s">
        <v>48</v>
      </c>
      <c r="V25" s="69" t="s">
        <v>48</v>
      </c>
      <c r="W25" s="69" t="s">
        <v>48</v>
      </c>
      <c r="Y25" s="33"/>
      <c r="Z25" s="38"/>
      <c r="AA25" s="63" t="s">
        <v>107</v>
      </c>
      <c r="AB25" s="64" t="s">
        <v>98</v>
      </c>
      <c r="AC25" s="64" t="s">
        <v>91</v>
      </c>
      <c r="AD25" s="65">
        <v>6.2899758129871586</v>
      </c>
      <c r="AE25" s="68">
        <v>0.19174053619446518</v>
      </c>
      <c r="AF25" s="69" t="s">
        <v>48</v>
      </c>
      <c r="AG25" s="69" t="s">
        <v>48</v>
      </c>
      <c r="AH25" s="69" t="s">
        <v>48</v>
      </c>
      <c r="AI25" s="69" t="s">
        <v>48</v>
      </c>
      <c r="AJ25" s="69" t="s">
        <v>48</v>
      </c>
      <c r="AK25" s="69" t="s">
        <v>48</v>
      </c>
      <c r="AL25" s="69" t="s">
        <v>48</v>
      </c>
      <c r="AM25" s="69" t="s">
        <v>48</v>
      </c>
      <c r="AN25" s="69" t="s">
        <v>48</v>
      </c>
      <c r="AO25" s="69" t="s">
        <v>48</v>
      </c>
      <c r="AP25" s="69" t="s">
        <v>48</v>
      </c>
      <c r="AQ25" s="69" t="s">
        <v>48</v>
      </c>
      <c r="AR25" s="69" t="s">
        <v>48</v>
      </c>
      <c r="AS25" s="69" t="s">
        <v>48</v>
      </c>
      <c r="AT25" s="69" t="s">
        <v>48</v>
      </c>
    </row>
    <row r="26" spans="1:46" x14ac:dyDescent="0.3">
      <c r="A26" s="12">
        <v>19</v>
      </c>
      <c r="B26" s="33"/>
      <c r="C26" s="38"/>
      <c r="D26" s="63" t="s">
        <v>108</v>
      </c>
      <c r="E26" s="64" t="s">
        <v>98</v>
      </c>
      <c r="F26" s="64" t="s">
        <v>92</v>
      </c>
      <c r="G26" s="65">
        <v>31.448870049182155</v>
      </c>
      <c r="H26" s="68">
        <v>3.0410730557902665</v>
      </c>
      <c r="I26" s="69" t="s">
        <v>48</v>
      </c>
      <c r="J26" s="69" t="s">
        <v>48</v>
      </c>
      <c r="K26" s="69" t="s">
        <v>48</v>
      </c>
      <c r="L26" s="69" t="s">
        <v>48</v>
      </c>
      <c r="M26" s="69" t="s">
        <v>48</v>
      </c>
      <c r="N26" s="69" t="s">
        <v>48</v>
      </c>
      <c r="O26" s="69" t="s">
        <v>48</v>
      </c>
      <c r="P26" s="69" t="s">
        <v>48</v>
      </c>
      <c r="Q26" s="69" t="s">
        <v>48</v>
      </c>
      <c r="R26" s="69" t="s">
        <v>48</v>
      </c>
      <c r="S26" s="69" t="s">
        <v>48</v>
      </c>
      <c r="T26" s="69" t="s">
        <v>48</v>
      </c>
      <c r="U26" s="69" t="s">
        <v>48</v>
      </c>
      <c r="V26" s="69" t="s">
        <v>48</v>
      </c>
      <c r="W26" s="69" t="s">
        <v>48</v>
      </c>
      <c r="Y26" s="33"/>
      <c r="Z26" s="38"/>
      <c r="AA26" s="63" t="s">
        <v>108</v>
      </c>
      <c r="AB26" s="64" t="s">
        <v>98</v>
      </c>
      <c r="AC26" s="64" t="s">
        <v>92</v>
      </c>
      <c r="AD26" s="65">
        <v>31.448870049182155</v>
      </c>
      <c r="AE26" s="68">
        <v>-3.3928740218230891E-2</v>
      </c>
      <c r="AF26" s="69" t="s">
        <v>48</v>
      </c>
      <c r="AG26" s="69" t="s">
        <v>48</v>
      </c>
      <c r="AH26" s="69" t="s">
        <v>48</v>
      </c>
      <c r="AI26" s="69" t="s">
        <v>48</v>
      </c>
      <c r="AJ26" s="69" t="s">
        <v>48</v>
      </c>
      <c r="AK26" s="69" t="s">
        <v>48</v>
      </c>
      <c r="AL26" s="69" t="s">
        <v>48</v>
      </c>
      <c r="AM26" s="69" t="s">
        <v>48</v>
      </c>
      <c r="AN26" s="69" t="s">
        <v>48</v>
      </c>
      <c r="AO26" s="69" t="s">
        <v>48</v>
      </c>
      <c r="AP26" s="69" t="s">
        <v>48</v>
      </c>
      <c r="AQ26" s="69" t="s">
        <v>48</v>
      </c>
      <c r="AR26" s="69" t="s">
        <v>48</v>
      </c>
      <c r="AS26" s="69" t="s">
        <v>48</v>
      </c>
      <c r="AT26" s="69" t="s">
        <v>48</v>
      </c>
    </row>
    <row r="27" spans="1:46" x14ac:dyDescent="0.3">
      <c r="A27" s="12">
        <v>20</v>
      </c>
      <c r="B27" s="33"/>
      <c r="C27" s="38"/>
      <c r="D27" s="3" t="s">
        <v>109</v>
      </c>
      <c r="E27" s="97" t="s">
        <v>98</v>
      </c>
      <c r="F27" s="97" t="s">
        <v>93</v>
      </c>
      <c r="G27" s="106">
        <v>31.498387741830346</v>
      </c>
      <c r="H27" s="99">
        <v>3.0366947872544792</v>
      </c>
      <c r="I27" s="100" t="s">
        <v>48</v>
      </c>
      <c r="J27" s="100" t="s">
        <v>48</v>
      </c>
      <c r="K27" s="100" t="s">
        <v>48</v>
      </c>
      <c r="L27" s="100" t="s">
        <v>48</v>
      </c>
      <c r="M27" s="100" t="s">
        <v>48</v>
      </c>
      <c r="N27" s="100" t="s">
        <v>48</v>
      </c>
      <c r="O27" s="100" t="s">
        <v>48</v>
      </c>
      <c r="P27" s="100" t="s">
        <v>48</v>
      </c>
      <c r="Q27" s="100" t="s">
        <v>48</v>
      </c>
      <c r="R27" s="100" t="s">
        <v>48</v>
      </c>
      <c r="S27" s="100" t="s">
        <v>48</v>
      </c>
      <c r="T27" s="100" t="s">
        <v>48</v>
      </c>
      <c r="U27" s="100" t="s">
        <v>48</v>
      </c>
      <c r="V27" s="100" t="s">
        <v>48</v>
      </c>
      <c r="W27" s="100" t="s">
        <v>48</v>
      </c>
      <c r="Y27" s="33"/>
      <c r="Z27" s="38"/>
      <c r="AA27" s="3" t="s">
        <v>109</v>
      </c>
      <c r="AB27" s="97" t="s">
        <v>98</v>
      </c>
      <c r="AC27" s="97" t="s">
        <v>93</v>
      </c>
      <c r="AD27" s="106">
        <v>31.498387741830346</v>
      </c>
      <c r="AE27" s="99">
        <v>-4.3339541882747579E-2</v>
      </c>
      <c r="AF27" s="100" t="s">
        <v>48</v>
      </c>
      <c r="AG27" s="100" t="s">
        <v>48</v>
      </c>
      <c r="AH27" s="100" t="s">
        <v>48</v>
      </c>
      <c r="AI27" s="100" t="s">
        <v>48</v>
      </c>
      <c r="AJ27" s="100" t="s">
        <v>48</v>
      </c>
      <c r="AK27" s="100" t="s">
        <v>48</v>
      </c>
      <c r="AL27" s="100" t="s">
        <v>48</v>
      </c>
      <c r="AM27" s="100" t="s">
        <v>48</v>
      </c>
      <c r="AN27" s="100" t="s">
        <v>48</v>
      </c>
      <c r="AO27" s="100" t="s">
        <v>48</v>
      </c>
      <c r="AP27" s="100" t="s">
        <v>48</v>
      </c>
      <c r="AQ27" s="100" t="s">
        <v>48</v>
      </c>
      <c r="AR27" s="100" t="s">
        <v>48</v>
      </c>
      <c r="AS27" s="100" t="s">
        <v>48</v>
      </c>
      <c r="AT27" s="100" t="s">
        <v>48</v>
      </c>
    </row>
    <row r="28" spans="1:46" x14ac:dyDescent="0.3">
      <c r="A28" s="12">
        <v>21</v>
      </c>
      <c r="B28" s="33"/>
      <c r="C28" s="38"/>
      <c r="D28" s="3" t="s">
        <v>110</v>
      </c>
      <c r="E28" s="97" t="s">
        <v>98</v>
      </c>
      <c r="F28" s="97" t="s">
        <v>94</v>
      </c>
      <c r="G28" s="106">
        <v>-4.9517692648191905E-2</v>
      </c>
      <c r="H28" s="99" t="s">
        <v>48</v>
      </c>
      <c r="I28" s="100" t="s">
        <v>48</v>
      </c>
      <c r="J28" s="100" t="s">
        <v>48</v>
      </c>
      <c r="K28" s="100" t="s">
        <v>48</v>
      </c>
      <c r="L28" s="100" t="s">
        <v>48</v>
      </c>
      <c r="M28" s="100" t="s">
        <v>48</v>
      </c>
      <c r="N28" s="100" t="s">
        <v>48</v>
      </c>
      <c r="O28" s="100" t="s">
        <v>48</v>
      </c>
      <c r="P28" s="100" t="s">
        <v>48</v>
      </c>
      <c r="Q28" s="100" t="s">
        <v>48</v>
      </c>
      <c r="R28" s="100" t="s">
        <v>48</v>
      </c>
      <c r="S28" s="100" t="s">
        <v>48</v>
      </c>
      <c r="T28" s="100" t="s">
        <v>48</v>
      </c>
      <c r="U28" s="100" t="s">
        <v>48</v>
      </c>
      <c r="V28" s="100" t="s">
        <v>48</v>
      </c>
      <c r="W28" s="100" t="s">
        <v>48</v>
      </c>
      <c r="Y28" s="33"/>
      <c r="Z28" s="38"/>
      <c r="AA28" s="3" t="s">
        <v>110</v>
      </c>
      <c r="AB28" s="97" t="s">
        <v>98</v>
      </c>
      <c r="AC28" s="97" t="s">
        <v>94</v>
      </c>
      <c r="AD28" s="106">
        <v>-4.9517692648191905E-2</v>
      </c>
      <c r="AE28" s="99">
        <v>9.4108016645185477E-3</v>
      </c>
      <c r="AF28" s="100" t="s">
        <v>48</v>
      </c>
      <c r="AG28" s="100" t="s">
        <v>48</v>
      </c>
      <c r="AH28" s="100" t="s">
        <v>48</v>
      </c>
      <c r="AI28" s="100" t="s">
        <v>48</v>
      </c>
      <c r="AJ28" s="100" t="s">
        <v>48</v>
      </c>
      <c r="AK28" s="100" t="s">
        <v>48</v>
      </c>
      <c r="AL28" s="100" t="s">
        <v>48</v>
      </c>
      <c r="AM28" s="100" t="s">
        <v>48</v>
      </c>
      <c r="AN28" s="100" t="s">
        <v>48</v>
      </c>
      <c r="AO28" s="100" t="s">
        <v>48</v>
      </c>
      <c r="AP28" s="100" t="s">
        <v>48</v>
      </c>
      <c r="AQ28" s="100" t="s">
        <v>48</v>
      </c>
      <c r="AR28" s="100" t="s">
        <v>48</v>
      </c>
      <c r="AS28" s="100" t="s">
        <v>48</v>
      </c>
      <c r="AT28" s="100" t="s">
        <v>48</v>
      </c>
    </row>
    <row r="29" spans="1:46" x14ac:dyDescent="0.3">
      <c r="A29" s="12">
        <v>22</v>
      </c>
      <c r="B29" s="33"/>
      <c r="C29" s="38"/>
      <c r="D29" s="38" t="s">
        <v>111</v>
      </c>
      <c r="E29" s="4" t="s">
        <v>98</v>
      </c>
      <c r="F29" s="4" t="s">
        <v>95</v>
      </c>
      <c r="G29" s="44">
        <v>-5.6905573294321457</v>
      </c>
      <c r="H29" s="42">
        <v>3.2682826060278947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V29" s="40" t="s">
        <v>48</v>
      </c>
      <c r="W29" s="40" t="s">
        <v>48</v>
      </c>
      <c r="Y29" s="33"/>
      <c r="Z29" s="38"/>
      <c r="AA29" s="38" t="s">
        <v>111</v>
      </c>
      <c r="AB29" s="4" t="s">
        <v>98</v>
      </c>
      <c r="AC29" s="4" t="s">
        <v>95</v>
      </c>
      <c r="AD29" s="44">
        <v>-5.6905573294321457</v>
      </c>
      <c r="AE29" s="42">
        <v>-8.2183801970011489E-2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  <c r="AQ29" s="40" t="s">
        <v>48</v>
      </c>
      <c r="AR29" s="40" t="s">
        <v>48</v>
      </c>
      <c r="AS29" s="40" t="s">
        <v>48</v>
      </c>
      <c r="AT29" s="40" t="s">
        <v>48</v>
      </c>
    </row>
    <row r="30" spans="1:46" x14ac:dyDescent="0.3">
      <c r="A30" s="12">
        <v>23</v>
      </c>
      <c r="B30" s="33"/>
      <c r="C30" s="38"/>
      <c r="D30" s="63" t="s">
        <v>112</v>
      </c>
      <c r="E30" s="64" t="s">
        <v>98</v>
      </c>
      <c r="F30" s="64" t="s">
        <v>96</v>
      </c>
      <c r="G30" s="65">
        <v>10.453857381584761</v>
      </c>
      <c r="H30" s="68">
        <v>2.9317432758176887</v>
      </c>
      <c r="I30" s="69" t="s">
        <v>48</v>
      </c>
      <c r="J30" s="69" t="s">
        <v>48</v>
      </c>
      <c r="K30" s="69" t="s">
        <v>48</v>
      </c>
      <c r="L30" s="69" t="s">
        <v>48</v>
      </c>
      <c r="M30" s="69" t="s">
        <v>48</v>
      </c>
      <c r="N30" s="69" t="s">
        <v>48</v>
      </c>
      <c r="O30" s="69" t="s">
        <v>48</v>
      </c>
      <c r="P30" s="69" t="s">
        <v>48</v>
      </c>
      <c r="Q30" s="69" t="s">
        <v>48</v>
      </c>
      <c r="R30" s="69" t="s">
        <v>48</v>
      </c>
      <c r="S30" s="69" t="s">
        <v>48</v>
      </c>
      <c r="T30" s="69" t="s">
        <v>48</v>
      </c>
      <c r="U30" s="69" t="s">
        <v>48</v>
      </c>
      <c r="V30" s="69" t="s">
        <v>48</v>
      </c>
      <c r="W30" s="69" t="s">
        <v>48</v>
      </c>
      <c r="Y30" s="33"/>
      <c r="Z30" s="38"/>
      <c r="AA30" s="63" t="s">
        <v>112</v>
      </c>
      <c r="AB30" s="64" t="s">
        <v>98</v>
      </c>
      <c r="AC30" s="64" t="s">
        <v>96</v>
      </c>
      <c r="AD30" s="65">
        <v>10.453857381584761</v>
      </c>
      <c r="AE30" s="68">
        <v>-8.8591050607116084E-2</v>
      </c>
      <c r="AF30" s="69" t="s">
        <v>48</v>
      </c>
      <c r="AG30" s="69" t="s">
        <v>48</v>
      </c>
      <c r="AH30" s="69" t="s">
        <v>48</v>
      </c>
      <c r="AI30" s="69" t="s">
        <v>48</v>
      </c>
      <c r="AJ30" s="69" t="s">
        <v>48</v>
      </c>
      <c r="AK30" s="69" t="s">
        <v>48</v>
      </c>
      <c r="AL30" s="69" t="s">
        <v>48</v>
      </c>
      <c r="AM30" s="69" t="s">
        <v>48</v>
      </c>
      <c r="AN30" s="69" t="s">
        <v>48</v>
      </c>
      <c r="AO30" s="69" t="s">
        <v>48</v>
      </c>
      <c r="AP30" s="69" t="s">
        <v>48</v>
      </c>
      <c r="AQ30" s="69" t="s">
        <v>48</v>
      </c>
      <c r="AR30" s="69" t="s">
        <v>48</v>
      </c>
      <c r="AS30" s="69" t="s">
        <v>48</v>
      </c>
      <c r="AT30" s="69" t="s">
        <v>48</v>
      </c>
    </row>
    <row r="31" spans="1:46" x14ac:dyDescent="0.3">
      <c r="A31" s="12">
        <v>24</v>
      </c>
      <c r="B31" s="33"/>
      <c r="C31" s="38"/>
      <c r="D31" s="63" t="s">
        <v>113</v>
      </c>
      <c r="E31" s="64" t="s">
        <v>98</v>
      </c>
      <c r="F31" s="64" t="s">
        <v>97</v>
      </c>
      <c r="G31" s="65">
        <v>16.144414711016907</v>
      </c>
      <c r="H31" s="68">
        <v>3.0511198547487295</v>
      </c>
      <c r="I31" s="69" t="s">
        <v>48</v>
      </c>
      <c r="J31" s="69" t="s">
        <v>48</v>
      </c>
      <c r="K31" s="69" t="s">
        <v>48</v>
      </c>
      <c r="L31" s="69" t="s">
        <v>48</v>
      </c>
      <c r="M31" s="69" t="s">
        <v>48</v>
      </c>
      <c r="N31" s="69" t="s">
        <v>48</v>
      </c>
      <c r="O31" s="69" t="s">
        <v>48</v>
      </c>
      <c r="P31" s="69" t="s">
        <v>48</v>
      </c>
      <c r="Q31" s="69" t="s">
        <v>48</v>
      </c>
      <c r="R31" s="69" t="s">
        <v>48</v>
      </c>
      <c r="S31" s="69" t="s">
        <v>48</v>
      </c>
      <c r="T31" s="69" t="s">
        <v>48</v>
      </c>
      <c r="U31" s="69" t="s">
        <v>48</v>
      </c>
      <c r="V31" s="69" t="s">
        <v>48</v>
      </c>
      <c r="W31" s="69" t="s">
        <v>48</v>
      </c>
      <c r="Y31" s="33"/>
      <c r="Z31" s="38"/>
      <c r="AA31" s="63" t="s">
        <v>113</v>
      </c>
      <c r="AB31" s="64" t="s">
        <v>98</v>
      </c>
      <c r="AC31" s="64" t="s">
        <v>97</v>
      </c>
      <c r="AD31" s="65">
        <v>16.144414711016907</v>
      </c>
      <c r="AE31" s="68">
        <v>-6.4072486371052895E-3</v>
      </c>
      <c r="AF31" s="69" t="s">
        <v>48</v>
      </c>
      <c r="AG31" s="69" t="s">
        <v>48</v>
      </c>
      <c r="AH31" s="69" t="s">
        <v>48</v>
      </c>
      <c r="AI31" s="69" t="s">
        <v>48</v>
      </c>
      <c r="AJ31" s="69" t="s">
        <v>48</v>
      </c>
      <c r="AK31" s="69" t="s">
        <v>48</v>
      </c>
      <c r="AL31" s="69" t="s">
        <v>48</v>
      </c>
      <c r="AM31" s="69" t="s">
        <v>48</v>
      </c>
      <c r="AN31" s="69" t="s">
        <v>48</v>
      </c>
      <c r="AO31" s="69" t="s">
        <v>48</v>
      </c>
      <c r="AP31" s="69" t="s">
        <v>48</v>
      </c>
      <c r="AQ31" s="69" t="s">
        <v>48</v>
      </c>
      <c r="AR31" s="69" t="s">
        <v>48</v>
      </c>
      <c r="AS31" s="69" t="s">
        <v>48</v>
      </c>
      <c r="AT31" s="69" t="s">
        <v>48</v>
      </c>
    </row>
    <row r="32" spans="1:46" x14ac:dyDescent="0.3">
      <c r="A32" s="12">
        <v>150</v>
      </c>
      <c r="B32" s="33"/>
      <c r="C32" s="38"/>
      <c r="D32" s="38"/>
      <c r="E32" s="4"/>
      <c r="F32" s="4"/>
      <c r="G32" s="45"/>
      <c r="H32" s="42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Y32" s="33"/>
      <c r="Z32" s="38"/>
      <c r="AA32" s="38"/>
      <c r="AB32" s="4"/>
      <c r="AC32" s="4"/>
      <c r="AD32" s="44"/>
      <c r="AE32" s="42"/>
      <c r="AF32" s="42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2:46" x14ac:dyDescent="0.3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</sheetData>
  <sheetProtection sheet="1" objects="1" scenarios="1"/>
  <conditionalFormatting sqref="P8:W31 G8:W32">
    <cfRule type="cellIs" dxfId="20" priority="2" operator="equal">
      <formula>"Eps"</formula>
    </cfRule>
  </conditionalFormatting>
  <conditionalFormatting sqref="AD8:AT32">
    <cfRule type="cellIs" dxfId="19" priority="1" operator="equal">
      <formula>"Eps"</formula>
    </cfRule>
  </conditionalFormatting>
  <conditionalFormatting sqref="AT8:AT31">
    <cfRule type="cellIs" dxfId="18" priority="4" operator="equal">
      <formula>"Eps"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AF8E-2E10-4140-8B38-D7A466573163}">
  <sheetPr>
    <tabColor theme="8" tint="-0.499984740745262"/>
  </sheetPr>
  <dimension ref="A1:BJ158"/>
  <sheetViews>
    <sheetView zoomScale="85" zoomScaleNormal="85" workbookViewId="0">
      <pane ySplit="7" topLeftCell="A8" activePane="bottomLeft" state="frozen"/>
      <selection activeCell="E6" sqref="E6"/>
      <selection pane="bottomLeft" activeCell="B8" sqref="B8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/>
    <col min="5" max="21" width="9.109375" customWidth="1"/>
    <col min="22" max="23" width="2.44140625" customWidth="1"/>
    <col min="24" max="24" width="28.88671875" customWidth="1"/>
    <col min="25" max="25" width="9.109375" hidden="1"/>
    <col min="26" max="42" width="9.109375" customWidth="1"/>
    <col min="43" max="43" width="2.44140625" customWidth="1"/>
    <col min="44" max="45" width="9.109375" hidden="1" customWidth="1"/>
    <col min="46" max="62" width="0" hidden="1" customWidth="1"/>
    <col min="63" max="16384" width="9.109375" hidden="1"/>
  </cols>
  <sheetData>
    <row r="1" spans="1:45" ht="18" x14ac:dyDescent="0.35">
      <c r="A1" s="9" t="s">
        <v>80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65</v>
      </c>
      <c r="N1" s="8" t="str">
        <f>C5</f>
        <v>GDP at factor cost (PVA×QVA)</v>
      </c>
    </row>
    <row r="2" spans="1:45" x14ac:dyDescent="0.3">
      <c r="M2" s="8"/>
      <c r="N2" s="8" t="str">
        <f>X5</f>
        <v>Share of total GDP at factor cost (PVA×QVA)</v>
      </c>
    </row>
    <row r="3" spans="1:45" x14ac:dyDescent="0.3">
      <c r="M3" s="8"/>
      <c r="N3" s="8"/>
    </row>
    <row r="4" spans="1:45" x14ac:dyDescent="0.3"/>
    <row r="5" spans="1:45" ht="15.6" x14ac:dyDescent="0.3">
      <c r="B5" s="13"/>
      <c r="C5" s="11" t="s">
        <v>81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82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5" x14ac:dyDescent="0.3">
      <c r="B6" s="29"/>
      <c r="C6" s="35" t="s">
        <v>494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W6" s="29"/>
      <c r="X6" s="35" t="s">
        <v>495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5" x14ac:dyDescent="0.3">
      <c r="B7" s="29"/>
      <c r="C7" s="34"/>
      <c r="D7" s="34"/>
      <c r="E7" s="43" t="s">
        <v>260</v>
      </c>
      <c r="F7" s="41" t="s">
        <v>42</v>
      </c>
      <c r="G7" s="41" t="s">
        <v>704</v>
      </c>
      <c r="H7" s="39" t="s">
        <v>481</v>
      </c>
      <c r="I7" s="39" t="s">
        <v>482</v>
      </c>
      <c r="J7" s="39" t="s">
        <v>483</v>
      </c>
      <c r="K7" s="39" t="s">
        <v>484</v>
      </c>
      <c r="L7" s="39" t="s">
        <v>485</v>
      </c>
      <c r="M7" s="39" t="s">
        <v>486</v>
      </c>
      <c r="N7" s="39" t="s">
        <v>487</v>
      </c>
      <c r="O7" s="39" t="s">
        <v>488</v>
      </c>
      <c r="P7" s="39" t="s">
        <v>489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  <c r="W7" s="29"/>
      <c r="X7" s="34"/>
      <c r="Y7" s="34"/>
      <c r="Z7" s="43" t="s">
        <v>260</v>
      </c>
      <c r="AA7" s="41" t="s">
        <v>42</v>
      </c>
      <c r="AB7" s="41" t="s">
        <v>704</v>
      </c>
      <c r="AC7" s="39" t="s">
        <v>481</v>
      </c>
      <c r="AD7" s="39" t="s">
        <v>482</v>
      </c>
      <c r="AE7" s="39" t="s">
        <v>483</v>
      </c>
      <c r="AF7" s="39" t="s">
        <v>484</v>
      </c>
      <c r="AG7" s="39" t="s">
        <v>485</v>
      </c>
      <c r="AH7" s="39" t="s">
        <v>486</v>
      </c>
      <c r="AI7" s="39" t="s">
        <v>487</v>
      </c>
      <c r="AJ7" s="39" t="s">
        <v>488</v>
      </c>
      <c r="AK7" s="39" t="s">
        <v>489</v>
      </c>
      <c r="AL7" s="39" t="s">
        <v>43</v>
      </c>
      <c r="AM7" s="39" t="s">
        <v>44</v>
      </c>
      <c r="AN7" s="39" t="s">
        <v>45</v>
      </c>
      <c r="AO7" s="39" t="s">
        <v>46</v>
      </c>
      <c r="AP7" s="39" t="s">
        <v>47</v>
      </c>
    </row>
    <row r="8" spans="1:45" x14ac:dyDescent="0.3">
      <c r="A8" s="12">
        <v>1</v>
      </c>
      <c r="B8" s="33"/>
      <c r="C8" s="38" t="str">
        <f>Notes!T9</f>
        <v>All sectors</v>
      </c>
      <c r="D8" s="4" t="s">
        <v>296</v>
      </c>
      <c r="E8" s="44">
        <v>100</v>
      </c>
      <c r="F8" s="42">
        <v>3.057120778902167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W8" s="33"/>
      <c r="X8" s="38" t="str">
        <f>Notes!T9</f>
        <v>All sectors</v>
      </c>
      <c r="Y8" s="4" t="s">
        <v>296</v>
      </c>
      <c r="Z8" s="44">
        <v>100</v>
      </c>
      <c r="AA8" s="42" t="s">
        <v>48</v>
      </c>
      <c r="AB8" s="42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</row>
    <row r="9" spans="1:45" x14ac:dyDescent="0.3">
      <c r="A9" s="12">
        <v>2</v>
      </c>
      <c r="B9" s="33"/>
      <c r="C9" s="38" t="str">
        <f>Notes!T10</f>
        <v>Agriculture</v>
      </c>
      <c r="D9" s="4" t="s">
        <v>303</v>
      </c>
      <c r="E9" s="44">
        <v>11.553747201942668</v>
      </c>
      <c r="F9" s="42">
        <v>3.0398051988221653</v>
      </c>
      <c r="G9" s="47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V9" s="49"/>
      <c r="W9" s="33"/>
      <c r="X9" s="38" t="str">
        <f>Notes!T10</f>
        <v>Agriculture</v>
      </c>
      <c r="Y9" s="4" t="s">
        <v>303</v>
      </c>
      <c r="Z9" s="44">
        <v>11.553747201942668</v>
      </c>
      <c r="AA9" s="42">
        <v>-1.3581915925717225E-2</v>
      </c>
      <c r="AB9" s="42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Q9" s="49"/>
      <c r="AR9" s="49"/>
      <c r="AS9" s="49"/>
    </row>
    <row r="10" spans="1:45" x14ac:dyDescent="0.3">
      <c r="A10" s="12">
        <v>3</v>
      </c>
      <c r="B10" s="33"/>
      <c r="C10" s="38" t="str">
        <f>Notes!T11</f>
        <v xml:space="preserve">   Crops</v>
      </c>
      <c r="D10" s="4" t="s">
        <v>305</v>
      </c>
      <c r="E10" s="46">
        <v>5.8017781246831603</v>
      </c>
      <c r="F10" s="47">
        <v>3.0211435723944025</v>
      </c>
      <c r="G10" s="42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W10" s="33"/>
      <c r="X10" s="38" t="str">
        <f>Notes!T11</f>
        <v xml:space="preserve">   Crops</v>
      </c>
      <c r="Y10" s="4" t="s">
        <v>305</v>
      </c>
      <c r="Z10" s="44">
        <v>5.8017781246831603</v>
      </c>
      <c r="AA10" s="42">
        <v>-1.4162951913552352E-2</v>
      </c>
      <c r="AB10" s="47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</row>
    <row r="11" spans="1:45" x14ac:dyDescent="0.3">
      <c r="A11" s="12">
        <v>4</v>
      </c>
      <c r="B11" s="33"/>
      <c r="C11" s="38" t="str">
        <f>Notes!T12</f>
        <v xml:space="preserve">      Maize</v>
      </c>
      <c r="D11" s="4" t="s">
        <v>308</v>
      </c>
      <c r="E11" s="46">
        <v>5.71762836933115E-2</v>
      </c>
      <c r="F11" s="47">
        <v>2.990076480407855</v>
      </c>
      <c r="G11" s="42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W11" s="33"/>
      <c r="X11" s="38" t="str">
        <f>Notes!T12</f>
        <v xml:space="preserve">      Maize</v>
      </c>
      <c r="Y11" s="4" t="s">
        <v>308</v>
      </c>
      <c r="Z11" s="44">
        <v>5.71762836933115E-2</v>
      </c>
      <c r="AA11" s="42">
        <v>-2.5986650469273908E-4</v>
      </c>
      <c r="AB11" s="47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</row>
    <row r="12" spans="1:45" x14ac:dyDescent="0.3">
      <c r="A12" s="12">
        <v>5</v>
      </c>
      <c r="B12" s="33"/>
      <c r="C12" s="38" t="str">
        <f>Notes!T13</f>
        <v xml:space="preserve">      Sorghum and millet</v>
      </c>
      <c r="D12" s="4" t="s">
        <v>508</v>
      </c>
      <c r="E12" s="46" t="s">
        <v>48</v>
      </c>
      <c r="F12" s="47" t="s">
        <v>48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W12" s="33"/>
      <c r="X12" s="38" t="str">
        <f>Notes!T13</f>
        <v xml:space="preserve">      Sorghum and millet</v>
      </c>
      <c r="Y12" s="4" t="s">
        <v>508</v>
      </c>
      <c r="Z12" s="44" t="s">
        <v>48</v>
      </c>
      <c r="AA12" s="42" t="s">
        <v>48</v>
      </c>
      <c r="AB12" s="47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O12" s="40" t="s">
        <v>48</v>
      </c>
      <c r="AP12" s="40" t="s">
        <v>48</v>
      </c>
    </row>
    <row r="13" spans="1:45" x14ac:dyDescent="0.3">
      <c r="A13" s="12">
        <v>6</v>
      </c>
      <c r="B13" s="33"/>
      <c r="C13" s="38" t="str">
        <f>Notes!T14</f>
        <v xml:space="preserve">      Rice paddy (Aman)</v>
      </c>
      <c r="D13" s="4" t="s">
        <v>705</v>
      </c>
      <c r="E13" s="46">
        <v>1.7790835109202714</v>
      </c>
      <c r="F13" s="47">
        <v>3.0279635581902165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W13" s="33"/>
      <c r="X13" s="38" t="str">
        <f>Notes!T14</f>
        <v xml:space="preserve">      Rice paddy (Aman)</v>
      </c>
      <c r="Y13" s="4" t="s">
        <v>705</v>
      </c>
      <c r="Z13" s="44">
        <v>1.7790835109202714</v>
      </c>
      <c r="AA13" s="42">
        <v>-3.5204152673187078E-3</v>
      </c>
      <c r="AB13" s="47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O13" s="40" t="s">
        <v>48</v>
      </c>
      <c r="AP13" s="40" t="s">
        <v>48</v>
      </c>
    </row>
    <row r="14" spans="1:45" x14ac:dyDescent="0.3">
      <c r="A14" s="12">
        <v>7</v>
      </c>
      <c r="B14" s="33"/>
      <c r="C14" s="38" t="str">
        <f>Notes!T15</f>
        <v xml:space="preserve">      Rice paddy (Boro)</v>
      </c>
      <c r="D14" s="4" t="s">
        <v>707</v>
      </c>
      <c r="E14" s="46">
        <v>1.7183561856732057</v>
      </c>
      <c r="F14" s="47">
        <v>3.027981262735846</v>
      </c>
      <c r="G14" s="42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U14" s="40" t="s">
        <v>48</v>
      </c>
      <c r="W14" s="33"/>
      <c r="X14" s="38" t="str">
        <f>Notes!T15</f>
        <v xml:space="preserve">      Rice paddy (Boro)</v>
      </c>
      <c r="Y14" s="4" t="s">
        <v>707</v>
      </c>
      <c r="Z14" s="44">
        <v>1.7183561856732057</v>
      </c>
      <c r="AA14" s="42">
        <v>-3.3981863241570875E-3</v>
      </c>
      <c r="AB14" s="47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O14" s="40" t="s">
        <v>48</v>
      </c>
      <c r="AP14" s="40" t="s">
        <v>48</v>
      </c>
    </row>
    <row r="15" spans="1:45" x14ac:dyDescent="0.3">
      <c r="A15" s="12">
        <v>8</v>
      </c>
      <c r="B15" s="33"/>
      <c r="C15" s="38" t="str">
        <f>Notes!T16</f>
        <v xml:space="preserve">      Wheat and barley</v>
      </c>
      <c r="D15" s="4" t="s">
        <v>510</v>
      </c>
      <c r="E15" s="46">
        <v>1.9864455333227223E-2</v>
      </c>
      <c r="F15" s="47">
        <v>2.9442667738407868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W15" s="33"/>
      <c r="X15" s="38" t="str">
        <f>Notes!T16</f>
        <v xml:space="preserve">      Wheat and barley</v>
      </c>
      <c r="Y15" s="4" t="s">
        <v>510</v>
      </c>
      <c r="Z15" s="44">
        <v>1.9864455333227223E-2</v>
      </c>
      <c r="AA15" s="42">
        <v>-1.5177044059699473E-4</v>
      </c>
      <c r="AB15" s="47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O15" s="40" t="s">
        <v>48</v>
      </c>
      <c r="AP15" s="40" t="s">
        <v>48</v>
      </c>
    </row>
    <row r="16" spans="1:45" x14ac:dyDescent="0.3">
      <c r="A16" s="12">
        <v>9</v>
      </c>
      <c r="B16" s="33"/>
      <c r="C16" s="38" t="str">
        <f>Notes!T17</f>
        <v xml:space="preserve">      Other cereals</v>
      </c>
      <c r="D16" s="4" t="s">
        <v>314</v>
      </c>
      <c r="E16" s="46" t="s">
        <v>48</v>
      </c>
      <c r="F16" s="47" t="s">
        <v>48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W16" s="33"/>
      <c r="X16" s="38" t="str">
        <f>Notes!T17</f>
        <v xml:space="preserve">      Other cereals</v>
      </c>
      <c r="Y16" s="4" t="s">
        <v>314</v>
      </c>
      <c r="Z16" s="44" t="s">
        <v>48</v>
      </c>
      <c r="AA16" s="42" t="s">
        <v>48</v>
      </c>
      <c r="AB16" s="47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O16" s="40" t="s">
        <v>48</v>
      </c>
      <c r="AP16" s="40" t="s">
        <v>48</v>
      </c>
    </row>
    <row r="17" spans="1:42" x14ac:dyDescent="0.3">
      <c r="A17" s="12">
        <v>10</v>
      </c>
      <c r="B17" s="33"/>
      <c r="C17" s="38" t="str">
        <f>Notes!T18</f>
        <v xml:space="preserve">      Pulses</v>
      </c>
      <c r="D17" s="4" t="s">
        <v>317</v>
      </c>
      <c r="E17" s="44">
        <v>9.7083773451348152E-2</v>
      </c>
      <c r="F17" s="42">
        <v>2.9854808692441726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W17" s="33"/>
      <c r="X17" s="38" t="str">
        <f>Notes!T18</f>
        <v xml:space="preserve">      Pulses</v>
      </c>
      <c r="Y17" s="4" t="s">
        <v>317</v>
      </c>
      <c r="Z17" s="44">
        <v>9.7083773451348152E-2</v>
      </c>
      <c r="AA17" s="42">
        <v>-4.7142881203802653E-4</v>
      </c>
      <c r="AB17" s="42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</row>
    <row r="18" spans="1:42" x14ac:dyDescent="0.3">
      <c r="A18" s="12">
        <v>11</v>
      </c>
      <c r="B18" s="33"/>
      <c r="C18" s="38" t="str">
        <f>Notes!T19</f>
        <v xml:space="preserve">      Groundnuts</v>
      </c>
      <c r="D18" s="4" t="s">
        <v>512</v>
      </c>
      <c r="E18" s="44" t="s">
        <v>48</v>
      </c>
      <c r="F18" s="42" t="s">
        <v>48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W18" s="33"/>
      <c r="X18" s="38" t="str">
        <f>Notes!T19</f>
        <v xml:space="preserve">      Groundnuts</v>
      </c>
      <c r="Y18" s="4" t="s">
        <v>512</v>
      </c>
      <c r="Z18" s="44" t="s">
        <v>48</v>
      </c>
      <c r="AA18" s="42" t="s">
        <v>48</v>
      </c>
      <c r="AB18" s="42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O18" s="40" t="s">
        <v>48</v>
      </c>
      <c r="AP18" s="40" t="s">
        <v>48</v>
      </c>
    </row>
    <row r="19" spans="1:42" x14ac:dyDescent="0.3">
      <c r="A19" s="12">
        <v>12</v>
      </c>
      <c r="B19" s="33"/>
      <c r="C19" s="38" t="str">
        <f>Notes!T20</f>
        <v xml:space="preserve">      Other oilseeds</v>
      </c>
      <c r="D19" s="4" t="s">
        <v>321</v>
      </c>
      <c r="E19" s="44">
        <v>0.17907292210316508</v>
      </c>
      <c r="F19" s="42">
        <v>2.9642039612905124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W19" s="33"/>
      <c r="X19" s="38" t="str">
        <f>Notes!T20</f>
        <v xml:space="preserve">      Other oilseeds</v>
      </c>
      <c r="Y19" s="4" t="s">
        <v>321</v>
      </c>
      <c r="Z19" s="44">
        <v>0.17907292210316508</v>
      </c>
      <c r="AA19" s="42">
        <v>-1.1271190056562266E-3</v>
      </c>
      <c r="AB19" s="42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O19" s="40" t="s">
        <v>48</v>
      </c>
      <c r="AP19" s="40" t="s">
        <v>48</v>
      </c>
    </row>
    <row r="20" spans="1:42" x14ac:dyDescent="0.3">
      <c r="A20" s="12">
        <v>13</v>
      </c>
      <c r="B20" s="33"/>
      <c r="C20" s="38" t="str">
        <f>Notes!T21</f>
        <v xml:space="preserve">      Cassava</v>
      </c>
      <c r="D20" s="4" t="s">
        <v>515</v>
      </c>
      <c r="E20" s="44" t="s">
        <v>48</v>
      </c>
      <c r="F20" s="42" t="s">
        <v>48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W20" s="33"/>
      <c r="X20" s="38" t="str">
        <f>Notes!T21</f>
        <v xml:space="preserve">      Cassava</v>
      </c>
      <c r="Y20" s="4" t="s">
        <v>515</v>
      </c>
      <c r="Z20" s="44" t="s">
        <v>48</v>
      </c>
      <c r="AA20" s="42" t="s">
        <v>48</v>
      </c>
      <c r="AB20" s="42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</row>
    <row r="21" spans="1:42" x14ac:dyDescent="0.3">
      <c r="A21" s="12">
        <v>14</v>
      </c>
      <c r="B21" s="33"/>
      <c r="C21" s="38" t="str">
        <f>Notes!T22</f>
        <v xml:space="preserve">      Irish potatoes</v>
      </c>
      <c r="D21" s="4" t="s">
        <v>517</v>
      </c>
      <c r="E21" s="44">
        <v>0.15284803800196178</v>
      </c>
      <c r="F21" s="42">
        <v>3.0353308105113275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W21" s="33"/>
      <c r="X21" s="38" t="str">
        <f>Notes!T22</f>
        <v xml:space="preserve">      Irish potatoes</v>
      </c>
      <c r="Y21" s="4" t="s">
        <v>517</v>
      </c>
      <c r="Z21" s="44">
        <v>0.15284803800196178</v>
      </c>
      <c r="AA21" s="42">
        <v>-2.2607942355931145E-4</v>
      </c>
      <c r="AB21" s="42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</row>
    <row r="22" spans="1:42" x14ac:dyDescent="0.3">
      <c r="A22" s="12">
        <v>15</v>
      </c>
      <c r="B22" s="33"/>
      <c r="C22" s="38" t="str">
        <f>Notes!T23</f>
        <v xml:space="preserve">      Sweet potatoes</v>
      </c>
      <c r="D22" s="4" t="s">
        <v>519</v>
      </c>
      <c r="E22" s="44" t="s">
        <v>48</v>
      </c>
      <c r="F22" s="42" t="s">
        <v>48</v>
      </c>
      <c r="G22" s="42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W22" s="33"/>
      <c r="X22" s="38" t="str">
        <f>Notes!T23</f>
        <v xml:space="preserve">      Sweet potatoes</v>
      </c>
      <c r="Y22" s="4" t="s">
        <v>519</v>
      </c>
      <c r="Z22" s="44" t="s">
        <v>48</v>
      </c>
      <c r="AA22" s="42" t="s">
        <v>48</v>
      </c>
      <c r="AB22" s="42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</row>
    <row r="23" spans="1:42" x14ac:dyDescent="0.3">
      <c r="A23" s="12">
        <v>16</v>
      </c>
      <c r="B23" s="33"/>
      <c r="C23" s="38" t="str">
        <f>Notes!T24</f>
        <v xml:space="preserve">      Other roots</v>
      </c>
      <c r="D23" s="4" t="s">
        <v>327</v>
      </c>
      <c r="E23" s="44" t="s">
        <v>48</v>
      </c>
      <c r="F23" s="42" t="s">
        <v>48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W23" s="33"/>
      <c r="X23" s="38" t="str">
        <f>Notes!T24</f>
        <v xml:space="preserve">      Other roots</v>
      </c>
      <c r="Y23" s="4" t="s">
        <v>327</v>
      </c>
      <c r="Z23" s="44" t="s">
        <v>48</v>
      </c>
      <c r="AA23" s="42" t="s">
        <v>48</v>
      </c>
      <c r="AB23" s="42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</row>
    <row r="24" spans="1:42" x14ac:dyDescent="0.3">
      <c r="A24" s="12">
        <v>17</v>
      </c>
      <c r="B24" s="33"/>
      <c r="C24" s="38" t="str">
        <f>Notes!T25</f>
        <v xml:space="preserve">      Leafy vegetables</v>
      </c>
      <c r="D24" s="4" t="s">
        <v>709</v>
      </c>
      <c r="E24" s="44">
        <v>0.1396303644046267</v>
      </c>
      <c r="F24" s="42">
        <v>3.0180474634563081</v>
      </c>
      <c r="G24" s="42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U24" s="40" t="s">
        <v>48</v>
      </c>
      <c r="W24" s="33"/>
      <c r="X24" s="38" t="str">
        <f>Notes!T25</f>
        <v xml:space="preserve">      Leafy vegetables</v>
      </c>
      <c r="Y24" s="4" t="s">
        <v>709</v>
      </c>
      <c r="Z24" s="44">
        <v>0.1396303644046267</v>
      </c>
      <c r="AA24" s="42">
        <v>-3.7015721847364919E-4</v>
      </c>
      <c r="AB24" s="42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O24" s="40" t="s">
        <v>48</v>
      </c>
      <c r="AP24" s="40" t="s">
        <v>48</v>
      </c>
    </row>
    <row r="25" spans="1:42" x14ac:dyDescent="0.3">
      <c r="A25" s="12">
        <v>18</v>
      </c>
      <c r="B25" s="33"/>
      <c r="C25" s="38" t="str">
        <f>Notes!T26</f>
        <v xml:space="preserve">      Other vegetables</v>
      </c>
      <c r="D25" s="4" t="s">
        <v>330</v>
      </c>
      <c r="E25" s="44">
        <v>0.30741459528812909</v>
      </c>
      <c r="F25" s="42">
        <v>3.0127606226945991</v>
      </c>
      <c r="G25" s="42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U25" s="40" t="s">
        <v>48</v>
      </c>
      <c r="W25" s="33"/>
      <c r="X25" s="38" t="str">
        <f>Notes!T26</f>
        <v xml:space="preserve">      Other vegetables</v>
      </c>
      <c r="Y25" s="4" t="s">
        <v>330</v>
      </c>
      <c r="Z25" s="44">
        <v>0.30741459528812909</v>
      </c>
      <c r="AA25" s="42">
        <v>-9.2507471104522065E-4</v>
      </c>
      <c r="AB25" s="42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O25" s="40" t="s">
        <v>48</v>
      </c>
      <c r="AP25" s="40" t="s">
        <v>48</v>
      </c>
    </row>
    <row r="26" spans="1:42" x14ac:dyDescent="0.3">
      <c r="A26" s="12">
        <v>19</v>
      </c>
      <c r="B26" s="33"/>
      <c r="C26" s="38" t="str">
        <f>Notes!T27</f>
        <v xml:space="preserve">      Sugarcane</v>
      </c>
      <c r="D26" s="4" t="s">
        <v>333</v>
      </c>
      <c r="E26" s="44">
        <v>8.2417407106400595E-2</v>
      </c>
      <c r="F26" s="42">
        <v>2.9996094451932409</v>
      </c>
      <c r="G26" s="42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U26" s="40" t="s">
        <v>48</v>
      </c>
      <c r="W26" s="33"/>
      <c r="X26" s="38" t="str">
        <f>Notes!T27</f>
        <v xml:space="preserve">      Sugarcane</v>
      </c>
      <c r="Y26" s="4" t="s">
        <v>333</v>
      </c>
      <c r="Z26" s="44">
        <v>8.2417407106400595E-2</v>
      </c>
      <c r="AA26" s="42">
        <v>-3.2141446003541244E-4</v>
      </c>
      <c r="AB26" s="42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O26" s="40" t="s">
        <v>48</v>
      </c>
      <c r="AP26" s="40" t="s">
        <v>48</v>
      </c>
    </row>
    <row r="27" spans="1:42" x14ac:dyDescent="0.3">
      <c r="A27" s="12">
        <v>20</v>
      </c>
      <c r="B27" s="33"/>
      <c r="C27" s="38" t="str">
        <f>Notes!T28</f>
        <v xml:space="preserve">      Tobacco</v>
      </c>
      <c r="D27" s="4" t="s">
        <v>336</v>
      </c>
      <c r="E27" s="44">
        <v>0.21507084644727764</v>
      </c>
      <c r="F27" s="42">
        <v>3.0419459731290788</v>
      </c>
      <c r="G27" s="42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U27" s="40" t="s">
        <v>48</v>
      </c>
      <c r="W27" s="33"/>
      <c r="X27" s="38" t="str">
        <f>Notes!T28</f>
        <v xml:space="preserve">      Tobacco</v>
      </c>
      <c r="Y27" s="4" t="s">
        <v>336</v>
      </c>
      <c r="Z27" s="44">
        <v>0.21507084644727764</v>
      </c>
      <c r="AA27" s="42">
        <v>-2.2158118476969975E-4</v>
      </c>
      <c r="AB27" s="42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O27" s="40" t="s">
        <v>48</v>
      </c>
      <c r="AP27" s="40" t="s">
        <v>48</v>
      </c>
    </row>
    <row r="28" spans="1:42" x14ac:dyDescent="0.3">
      <c r="A28" s="12">
        <v>21</v>
      </c>
      <c r="B28" s="33"/>
      <c r="C28" s="38" t="str">
        <f>Notes!T29</f>
        <v xml:space="preserve">      Cotton and fibres</v>
      </c>
      <c r="D28" s="4" t="s">
        <v>339</v>
      </c>
      <c r="E28" s="44">
        <v>1.2261847613938602E-3</v>
      </c>
      <c r="F28" s="42">
        <v>3.0120055851224459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W28" s="33"/>
      <c r="X28" s="38" t="str">
        <f>Notes!T29</f>
        <v xml:space="preserve">      Cotton and fibres</v>
      </c>
      <c r="Y28" s="4" t="s">
        <v>339</v>
      </c>
      <c r="Z28" s="44">
        <v>1.2261847613938602E-3</v>
      </c>
      <c r="AA28" s="42">
        <v>-3.7525670136652893E-6</v>
      </c>
      <c r="AB28" s="42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O28" s="40" t="s">
        <v>48</v>
      </c>
      <c r="AP28" s="40" t="s">
        <v>48</v>
      </c>
    </row>
    <row r="29" spans="1:42" x14ac:dyDescent="0.3">
      <c r="A29" s="12">
        <v>22</v>
      </c>
      <c r="B29" s="33"/>
      <c r="C29" s="38" t="str">
        <f>Notes!T30</f>
        <v xml:space="preserve">      Jute</v>
      </c>
      <c r="D29" s="4" t="s">
        <v>712</v>
      </c>
      <c r="E29" s="44">
        <v>0.25549076952576133</v>
      </c>
      <c r="F29" s="42">
        <v>2.9894655864903585</v>
      </c>
      <c r="G29" s="42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W29" s="33"/>
      <c r="X29" s="38" t="str">
        <f>Notes!T30</f>
        <v xml:space="preserve">      Jute</v>
      </c>
      <c r="Y29" s="4" t="s">
        <v>712</v>
      </c>
      <c r="Z29" s="44">
        <v>0.25549076952576133</v>
      </c>
      <c r="AA29" s="42">
        <v>-1.1717667128698702E-3</v>
      </c>
      <c r="AB29" s="42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</row>
    <row r="30" spans="1:42" x14ac:dyDescent="0.3">
      <c r="A30" s="12">
        <v>23</v>
      </c>
      <c r="B30" s="33"/>
      <c r="C30" s="38" t="str">
        <f>Notes!T31</f>
        <v xml:space="preserve">      Nuts</v>
      </c>
      <c r="D30" s="4" t="s">
        <v>522</v>
      </c>
      <c r="E30" s="44">
        <v>0.10133306274229775</v>
      </c>
      <c r="F30" s="42">
        <v>3.0207416304451451</v>
      </c>
      <c r="G30" s="42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W30" s="33"/>
      <c r="X30" s="38" t="str">
        <f>Notes!T31</f>
        <v xml:space="preserve">      Nuts</v>
      </c>
      <c r="Y30" s="4" t="s">
        <v>522</v>
      </c>
      <c r="Z30" s="44">
        <v>0.10133306274229775</v>
      </c>
      <c r="AA30" s="42">
        <v>-2.5012888249689551E-4</v>
      </c>
      <c r="AB30" s="42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O30" s="40" t="s">
        <v>48</v>
      </c>
      <c r="AP30" s="40" t="s">
        <v>48</v>
      </c>
    </row>
    <row r="31" spans="1:42" x14ac:dyDescent="0.3">
      <c r="A31" s="12">
        <v>24</v>
      </c>
      <c r="B31" s="33"/>
      <c r="C31" s="38" t="str">
        <f>Notes!T32</f>
        <v xml:space="preserve">      Bananas and plantains</v>
      </c>
      <c r="D31" s="4" t="s">
        <v>523</v>
      </c>
      <c r="E31" s="44">
        <v>4.4765727850254552E-2</v>
      </c>
      <c r="F31" s="42">
        <v>3.0214266451345839</v>
      </c>
      <c r="G31" s="42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W31" s="33"/>
      <c r="X31" s="38" t="str">
        <f>Notes!T32</f>
        <v xml:space="preserve">      Bananas and plantains</v>
      </c>
      <c r="Y31" s="4" t="s">
        <v>523</v>
      </c>
      <c r="Z31" s="44">
        <v>4.4765727850254552E-2</v>
      </c>
      <c r="AA31" s="42">
        <v>-1.0842047376313541E-4</v>
      </c>
      <c r="AB31" s="42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O31" s="40" t="s">
        <v>48</v>
      </c>
      <c r="AP31" s="40" t="s">
        <v>48</v>
      </c>
    </row>
    <row r="32" spans="1:42" x14ac:dyDescent="0.3">
      <c r="A32" s="12">
        <v>25</v>
      </c>
      <c r="B32" s="33"/>
      <c r="C32" s="38" t="str">
        <f>Notes!T33</f>
        <v xml:space="preserve">      Other fruits</v>
      </c>
      <c r="D32" s="4" t="s">
        <v>342</v>
      </c>
      <c r="E32" s="44">
        <v>0.26395264955839598</v>
      </c>
      <c r="F32" s="42">
        <v>3.0209751804853413</v>
      </c>
      <c r="G32" s="42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W32" s="33"/>
      <c r="X32" s="38" t="str">
        <f>Notes!T33</f>
        <v xml:space="preserve">      Other fruits</v>
      </c>
      <c r="Y32" s="4" t="s">
        <v>342</v>
      </c>
      <c r="Z32" s="44">
        <v>0.26395264955839598</v>
      </c>
      <c r="AA32" s="42">
        <v>-6.4735803344800197E-4</v>
      </c>
      <c r="AB32" s="42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O32" s="40" t="s">
        <v>48</v>
      </c>
      <c r="AP32" s="40" t="s">
        <v>48</v>
      </c>
    </row>
    <row r="33" spans="1:42" x14ac:dyDescent="0.3">
      <c r="A33" s="12">
        <v>26</v>
      </c>
      <c r="B33" s="33"/>
      <c r="C33" s="38" t="str">
        <f>Notes!T34</f>
        <v xml:space="preserve">      Leaf tea</v>
      </c>
      <c r="D33" s="4" t="s">
        <v>525</v>
      </c>
      <c r="E33" s="44">
        <v>2.7250197765122584E-2</v>
      </c>
      <c r="F33" s="42">
        <v>3.0451907715727256</v>
      </c>
      <c r="G33" s="42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U33" s="40" t="s">
        <v>48</v>
      </c>
      <c r="W33" s="33"/>
      <c r="X33" s="38" t="str">
        <f>Notes!T34</f>
        <v xml:space="preserve">      Leaf tea</v>
      </c>
      <c r="Y33" s="4" t="s">
        <v>525</v>
      </c>
      <c r="Z33" s="44">
        <v>2.7250197765122584E-2</v>
      </c>
      <c r="AA33" s="42">
        <v>-2.207392607155175E-5</v>
      </c>
      <c r="AB33" s="42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O33" s="40" t="s">
        <v>48</v>
      </c>
      <c r="AP33" s="40" t="s">
        <v>48</v>
      </c>
    </row>
    <row r="34" spans="1:42" x14ac:dyDescent="0.3">
      <c r="A34" s="12">
        <v>27</v>
      </c>
      <c r="B34" s="33"/>
      <c r="C34" s="38" t="str">
        <f>Notes!T35</f>
        <v xml:space="preserve">      Coffee</v>
      </c>
      <c r="D34" s="4" t="s">
        <v>343</v>
      </c>
      <c r="E34" s="44" t="s">
        <v>48</v>
      </c>
      <c r="F34" s="42" t="s">
        <v>48</v>
      </c>
      <c r="G34" s="42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U34" s="40" t="s">
        <v>48</v>
      </c>
      <c r="W34" s="33"/>
      <c r="X34" s="38" t="str">
        <f>Notes!T35</f>
        <v xml:space="preserve">      Coffee</v>
      </c>
      <c r="Y34" s="4" t="s">
        <v>343</v>
      </c>
      <c r="Z34" s="44" t="s">
        <v>48</v>
      </c>
      <c r="AA34" s="42" t="s">
        <v>48</v>
      </c>
      <c r="AB34" s="42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O34" s="40" t="s">
        <v>48</v>
      </c>
      <c r="AP34" s="40" t="s">
        <v>48</v>
      </c>
    </row>
    <row r="35" spans="1:42" x14ac:dyDescent="0.3">
      <c r="A35" s="12">
        <v>28</v>
      </c>
      <c r="B35" s="33"/>
      <c r="C35" s="38" t="str">
        <f>Notes!T36</f>
        <v xml:space="preserve">      Cocoa</v>
      </c>
      <c r="D35" s="4" t="s">
        <v>528</v>
      </c>
      <c r="E35" s="44" t="s">
        <v>48</v>
      </c>
      <c r="F35" s="42" t="s">
        <v>48</v>
      </c>
      <c r="G35" s="42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W35" s="33"/>
      <c r="X35" s="38" t="str">
        <f>Notes!T36</f>
        <v xml:space="preserve">      Cocoa</v>
      </c>
      <c r="Y35" s="4" t="s">
        <v>528</v>
      </c>
      <c r="Z35" s="44" t="s">
        <v>48</v>
      </c>
      <c r="AA35" s="42" t="s">
        <v>48</v>
      </c>
      <c r="AB35" s="42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O35" s="40" t="s">
        <v>48</v>
      </c>
      <c r="AP35" s="40" t="s">
        <v>48</v>
      </c>
    </row>
    <row r="36" spans="1:42" x14ac:dyDescent="0.3">
      <c r="A36" s="12">
        <v>29</v>
      </c>
      <c r="B36" s="33"/>
      <c r="C36" s="38" t="str">
        <f>Notes!T37</f>
        <v xml:space="preserve">      Cut flowers</v>
      </c>
      <c r="D36" s="4" t="s">
        <v>530</v>
      </c>
      <c r="E36" s="44" t="s">
        <v>48</v>
      </c>
      <c r="F36" s="42" t="s">
        <v>48</v>
      </c>
      <c r="G36" s="42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U36" s="40" t="s">
        <v>48</v>
      </c>
      <c r="W36" s="33"/>
      <c r="X36" s="38" t="str">
        <f>Notes!T37</f>
        <v xml:space="preserve">      Cut flowers</v>
      </c>
      <c r="Y36" s="4" t="s">
        <v>530</v>
      </c>
      <c r="Z36" s="44" t="s">
        <v>48</v>
      </c>
      <c r="AA36" s="42" t="s">
        <v>48</v>
      </c>
      <c r="AB36" s="42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O36" s="40" t="s">
        <v>48</v>
      </c>
      <c r="AP36" s="40" t="s">
        <v>48</v>
      </c>
    </row>
    <row r="37" spans="1:42" x14ac:dyDescent="0.3">
      <c r="A37" s="12">
        <v>30</v>
      </c>
      <c r="B37" s="33"/>
      <c r="C37" s="38" t="str">
        <f>Notes!T38</f>
        <v xml:space="preserve">      Rubber</v>
      </c>
      <c r="D37" s="4" t="s">
        <v>532</v>
      </c>
      <c r="E37" s="44" t="s">
        <v>48</v>
      </c>
      <c r="F37" s="42" t="s">
        <v>48</v>
      </c>
      <c r="G37" s="42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W37" s="33"/>
      <c r="X37" s="38" t="str">
        <f>Notes!T38</f>
        <v xml:space="preserve">      Rubber</v>
      </c>
      <c r="Y37" s="4" t="s">
        <v>532</v>
      </c>
      <c r="Z37" s="44" t="s">
        <v>48</v>
      </c>
      <c r="AA37" s="42" t="s">
        <v>48</v>
      </c>
      <c r="AB37" s="42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O37" s="40" t="s">
        <v>48</v>
      </c>
      <c r="AP37" s="40" t="s">
        <v>48</v>
      </c>
    </row>
    <row r="38" spans="1:42" x14ac:dyDescent="0.3">
      <c r="A38" s="12">
        <v>31</v>
      </c>
      <c r="B38" s="33"/>
      <c r="C38" s="38" t="str">
        <f>Notes!T39</f>
        <v xml:space="preserve">      Other crops</v>
      </c>
      <c r="D38" s="4" t="s">
        <v>344</v>
      </c>
      <c r="E38" s="44">
        <v>0.35974115005701035</v>
      </c>
      <c r="F38" s="42">
        <v>3.0175268677004929</v>
      </c>
      <c r="G38" s="42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  <c r="W38" s="33"/>
      <c r="X38" s="38" t="str">
        <f>Notes!T39</f>
        <v xml:space="preserve">      Other crops</v>
      </c>
      <c r="Y38" s="4" t="s">
        <v>344</v>
      </c>
      <c r="Z38" s="44">
        <v>0.35974115005701035</v>
      </c>
      <c r="AA38" s="42">
        <v>-9.6635796554634182E-4</v>
      </c>
      <c r="AB38" s="42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O38" s="40" t="s">
        <v>48</v>
      </c>
      <c r="AP38" s="40" t="s">
        <v>48</v>
      </c>
    </row>
    <row r="39" spans="1:42" x14ac:dyDescent="0.3">
      <c r="A39" s="12">
        <v>32</v>
      </c>
      <c r="B39" s="33"/>
      <c r="C39" s="38" t="str">
        <f>Notes!T40</f>
        <v xml:space="preserve">   Livestock</v>
      </c>
      <c r="D39" s="4" t="s">
        <v>346</v>
      </c>
      <c r="E39" s="44">
        <v>1.7216311004157709</v>
      </c>
      <c r="F39" s="42">
        <v>3.0498576297338209</v>
      </c>
      <c r="G39" s="42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U39" s="40" t="s">
        <v>48</v>
      </c>
      <c r="W39" s="33"/>
      <c r="X39" s="38" t="str">
        <f>Notes!T40</f>
        <v xml:space="preserve">   Livestock</v>
      </c>
      <c r="Y39" s="4" t="s">
        <v>346</v>
      </c>
      <c r="Z39" s="44">
        <v>1.7216311004157709</v>
      </c>
      <c r="AA39" s="42">
        <v>-8.4916732758719138E-4</v>
      </c>
      <c r="AB39" s="42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O39" s="40" t="s">
        <v>48</v>
      </c>
      <c r="AP39" s="40" t="s">
        <v>48</v>
      </c>
    </row>
    <row r="40" spans="1:42" x14ac:dyDescent="0.3">
      <c r="A40" s="12">
        <v>33</v>
      </c>
      <c r="B40" s="33"/>
      <c r="C40" s="38" t="str">
        <f>Notes!T41</f>
        <v xml:space="preserve">      Cattle</v>
      </c>
      <c r="D40" s="4" t="s">
        <v>348</v>
      </c>
      <c r="E40" s="44">
        <v>0.41802316240825266</v>
      </c>
      <c r="F40" s="42">
        <v>3.0440343474267939</v>
      </c>
      <c r="G40" s="42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U40" s="40" t="s">
        <v>48</v>
      </c>
      <c r="W40" s="33"/>
      <c r="X40" s="38" t="str">
        <f>Notes!T41</f>
        <v xml:space="preserve">      Cattle</v>
      </c>
      <c r="Y40" s="4" t="s">
        <v>348</v>
      </c>
      <c r="Z40" s="44">
        <v>0.41802316240825266</v>
      </c>
      <c r="AA40" s="42">
        <v>-3.7142931491439962E-4</v>
      </c>
      <c r="AB40" s="42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O40" s="40" t="s">
        <v>48</v>
      </c>
      <c r="AP40" s="40" t="s">
        <v>48</v>
      </c>
    </row>
    <row r="41" spans="1:42" x14ac:dyDescent="0.3">
      <c r="A41" s="12">
        <v>34</v>
      </c>
      <c r="B41" s="33"/>
      <c r="C41" s="38" t="str">
        <f>Notes!T42</f>
        <v xml:space="preserve">      Raw milk</v>
      </c>
      <c r="D41" s="4" t="s">
        <v>535</v>
      </c>
      <c r="E41" s="44">
        <v>0.26075099712188166</v>
      </c>
      <c r="F41" s="42">
        <v>3.0486321035702924</v>
      </c>
      <c r="G41" s="42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U41" s="40" t="s">
        <v>48</v>
      </c>
      <c r="W41" s="33"/>
      <c r="X41" s="38" t="str">
        <f>Notes!T42</f>
        <v xml:space="preserve">      Raw milk</v>
      </c>
      <c r="Y41" s="4" t="s">
        <v>535</v>
      </c>
      <c r="Z41" s="44">
        <v>0.26075099712188166</v>
      </c>
      <c r="AA41" s="42">
        <v>-1.503067972882452E-4</v>
      </c>
      <c r="AB41" s="42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  <c r="AO41" s="40" t="s">
        <v>48</v>
      </c>
      <c r="AP41" s="40" t="s">
        <v>48</v>
      </c>
    </row>
    <row r="42" spans="1:42" x14ac:dyDescent="0.3">
      <c r="A42" s="12">
        <v>35</v>
      </c>
      <c r="B42" s="33"/>
      <c r="C42" s="38" t="str">
        <f>Notes!T43</f>
        <v xml:space="preserve">      Poultry</v>
      </c>
      <c r="D42" s="4" t="s">
        <v>349</v>
      </c>
      <c r="E42" s="44">
        <v>0.14655953336668501</v>
      </c>
      <c r="F42" s="42">
        <v>3.0565557872920701</v>
      </c>
      <c r="G42" s="42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W42" s="33"/>
      <c r="X42" s="38" t="str">
        <f>Notes!T43</f>
        <v xml:space="preserve">      Poultry</v>
      </c>
      <c r="Y42" s="4" t="s">
        <v>349</v>
      </c>
      <c r="Z42" s="44">
        <v>0.14655953336668501</v>
      </c>
      <c r="AA42" s="42">
        <v>-5.6243063032822976E-6</v>
      </c>
      <c r="AB42" s="42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  <c r="AO42" s="40" t="s">
        <v>48</v>
      </c>
      <c r="AP42" s="40" t="s">
        <v>48</v>
      </c>
    </row>
    <row r="43" spans="1:42" x14ac:dyDescent="0.3">
      <c r="A43" s="12">
        <v>36</v>
      </c>
      <c r="B43" s="33"/>
      <c r="C43" s="38" t="str">
        <f>Notes!T44</f>
        <v xml:space="preserve">      Eggs</v>
      </c>
      <c r="D43" s="4" t="s">
        <v>538</v>
      </c>
      <c r="E43" s="44">
        <v>0.1514936527637181</v>
      </c>
      <c r="F43" s="42">
        <v>3.061931671708451</v>
      </c>
      <c r="G43" s="42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U43" s="40" t="s">
        <v>48</v>
      </c>
      <c r="W43" s="33"/>
      <c r="X43" s="38" t="str">
        <f>Notes!T44</f>
        <v xml:space="preserve">      Eggs</v>
      </c>
      <c r="Y43" s="4" t="s">
        <v>538</v>
      </c>
      <c r="Z43" s="44">
        <v>0.1514936527637181</v>
      </c>
      <c r="AA43" s="42">
        <v>4.9510917460738463E-5</v>
      </c>
      <c r="AB43" s="42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  <c r="AO43" s="40" t="s">
        <v>48</v>
      </c>
      <c r="AP43" s="40" t="s">
        <v>48</v>
      </c>
    </row>
    <row r="44" spans="1:42" x14ac:dyDescent="0.3">
      <c r="A44" s="12">
        <v>37</v>
      </c>
      <c r="B44" s="33"/>
      <c r="C44" s="38" t="str">
        <f>Notes!T45</f>
        <v xml:space="preserve">      Small ruminants</v>
      </c>
      <c r="D44" s="4" t="s">
        <v>540</v>
      </c>
      <c r="E44" s="44">
        <v>0.52739007502436441</v>
      </c>
      <c r="F44" s="42">
        <v>3.054301653057423</v>
      </c>
      <c r="G44" s="42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W44" s="33"/>
      <c r="X44" s="38" t="str">
        <f>Notes!T45</f>
        <v xml:space="preserve">      Small ruminants</v>
      </c>
      <c r="Y44" s="4" t="s">
        <v>540</v>
      </c>
      <c r="Z44" s="44">
        <v>0.52739007502436441</v>
      </c>
      <c r="AA44" s="42">
        <v>-1.0097894069388547E-4</v>
      </c>
      <c r="AB44" s="42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  <c r="AO44" s="40" t="s">
        <v>48</v>
      </c>
      <c r="AP44" s="40" t="s">
        <v>48</v>
      </c>
    </row>
    <row r="45" spans="1:42" x14ac:dyDescent="0.3">
      <c r="A45" s="12">
        <v>38</v>
      </c>
      <c r="B45" s="33"/>
      <c r="C45" s="38" t="str">
        <f>Notes!T46</f>
        <v xml:space="preserve">      Other livestock</v>
      </c>
      <c r="D45" s="4" t="s">
        <v>350</v>
      </c>
      <c r="E45" s="44">
        <v>0.21741367973086892</v>
      </c>
      <c r="F45" s="42">
        <v>3.0388046720008832</v>
      </c>
      <c r="G45" s="42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U45" s="40" t="s">
        <v>48</v>
      </c>
      <c r="W45" s="33"/>
      <c r="X45" s="38" t="str">
        <f>Notes!T46</f>
        <v xml:space="preserve">      Other livestock</v>
      </c>
      <c r="Y45" s="4" t="s">
        <v>350</v>
      </c>
      <c r="Z45" s="44">
        <v>0.21741367973086892</v>
      </c>
      <c r="AA45" s="42">
        <v>-2.7033888584777031E-4</v>
      </c>
      <c r="AB45" s="42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  <c r="AO45" s="40" t="s">
        <v>48</v>
      </c>
      <c r="AP45" s="40" t="s">
        <v>48</v>
      </c>
    </row>
    <row r="46" spans="1:42" x14ac:dyDescent="0.3">
      <c r="A46" s="12">
        <v>39</v>
      </c>
      <c r="B46" s="33"/>
      <c r="C46" s="38" t="str">
        <f>Notes!T47</f>
        <v xml:space="preserve">   Other agriculture</v>
      </c>
      <c r="D46" s="4" t="s">
        <v>352</v>
      </c>
      <c r="E46" s="44">
        <v>4.0303379768437386</v>
      </c>
      <c r="F46" s="42">
        <v>3.0623443828257324</v>
      </c>
      <c r="G46" s="42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U46" s="40" t="s">
        <v>48</v>
      </c>
      <c r="W46" s="33"/>
      <c r="X46" s="38" t="str">
        <f>Notes!T47</f>
        <v xml:space="preserve">   Other agriculture</v>
      </c>
      <c r="Y46" s="4" t="s">
        <v>352</v>
      </c>
      <c r="Z46" s="44">
        <v>4.0303379768437386</v>
      </c>
      <c r="AA46" s="42">
        <v>1.430203315423012E-3</v>
      </c>
      <c r="AB46" s="42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  <c r="AO46" s="40" t="s">
        <v>48</v>
      </c>
      <c r="AP46" s="40" t="s">
        <v>48</v>
      </c>
    </row>
    <row r="47" spans="1:42" x14ac:dyDescent="0.3">
      <c r="A47" s="12">
        <v>40</v>
      </c>
      <c r="B47" s="33"/>
      <c r="C47" s="38" t="str">
        <f>Notes!T48</f>
        <v xml:space="preserve">      Forestry</v>
      </c>
      <c r="D47" s="4" t="s">
        <v>354</v>
      </c>
      <c r="E47" s="44">
        <v>1.4548768769006111</v>
      </c>
      <c r="F47" s="42">
        <v>3.0565300879143109</v>
      </c>
      <c r="G47" s="42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U47" s="40" t="s">
        <v>48</v>
      </c>
      <c r="W47" s="33"/>
      <c r="X47" s="38" t="str">
        <f>Notes!T48</f>
        <v xml:space="preserve">      Forestry</v>
      </c>
      <c r="Y47" s="4" t="s">
        <v>354</v>
      </c>
      <c r="Z47" s="44">
        <v>1.4548768769006111</v>
      </c>
      <c r="AA47" s="42">
        <v>-5.837127151474969E-5</v>
      </c>
      <c r="AB47" s="42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  <c r="AO47" s="40" t="s">
        <v>48</v>
      </c>
      <c r="AP47" s="40" t="s">
        <v>48</v>
      </c>
    </row>
    <row r="48" spans="1:42" x14ac:dyDescent="0.3">
      <c r="A48" s="12">
        <v>41</v>
      </c>
      <c r="B48" s="33"/>
      <c r="C48" s="38" t="str">
        <f>Notes!T49</f>
        <v xml:space="preserve">      Aquaculture</v>
      </c>
      <c r="D48" s="4" t="s">
        <v>542</v>
      </c>
      <c r="E48" s="44">
        <v>1.4625278270047946</v>
      </c>
      <c r="F48" s="42">
        <v>3.0628099872177295</v>
      </c>
      <c r="G48" s="42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W48" s="33"/>
      <c r="X48" s="38" t="str">
        <f>Notes!T49</f>
        <v xml:space="preserve">      Aquaculture</v>
      </c>
      <c r="Y48" s="4" t="s">
        <v>542</v>
      </c>
      <c r="Z48" s="44">
        <v>1.4625278270047946</v>
      </c>
      <c r="AA48" s="42">
        <v>5.6525958433747275E-4</v>
      </c>
      <c r="AB48" s="42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  <c r="AO48" s="40" t="s">
        <v>48</v>
      </c>
      <c r="AP48" s="40" t="s">
        <v>48</v>
      </c>
    </row>
    <row r="49" spans="1:42" x14ac:dyDescent="0.3">
      <c r="A49" s="12">
        <v>42</v>
      </c>
      <c r="B49" s="33"/>
      <c r="C49" s="38" t="str">
        <f>Notes!T50</f>
        <v xml:space="preserve">      Capture fisheries</v>
      </c>
      <c r="D49" s="4" t="s">
        <v>356</v>
      </c>
      <c r="E49" s="44">
        <v>1.1129332729383328</v>
      </c>
      <c r="F49" s="42">
        <v>3.0693305175515606</v>
      </c>
      <c r="G49" s="42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48</v>
      </c>
      <c r="W49" s="33"/>
      <c r="X49" s="38" t="str">
        <f>Notes!T50</f>
        <v xml:space="preserve">      Capture fisheries</v>
      </c>
      <c r="Y49" s="4" t="s">
        <v>356</v>
      </c>
      <c r="Z49" s="44">
        <v>1.1129332729383328</v>
      </c>
      <c r="AA49" s="42">
        <v>9.2331500259976856E-4</v>
      </c>
      <c r="AB49" s="42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  <c r="AO49" s="40" t="s">
        <v>48</v>
      </c>
      <c r="AP49" s="40" t="s">
        <v>48</v>
      </c>
    </row>
    <row r="50" spans="1:42" x14ac:dyDescent="0.3">
      <c r="A50" s="12">
        <v>43</v>
      </c>
      <c r="B50" s="33"/>
      <c r="C50" s="38" t="str">
        <f>Notes!T51</f>
        <v>Industry</v>
      </c>
      <c r="D50" s="4" t="s">
        <v>357</v>
      </c>
      <c r="E50" s="44">
        <v>35.260303605321546</v>
      </c>
      <c r="F50" s="42">
        <v>3.024065588454361</v>
      </c>
      <c r="G50" s="42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U50" s="40" t="s">
        <v>48</v>
      </c>
      <c r="W50" s="33"/>
      <c r="X50" s="38" t="str">
        <f>Notes!T51</f>
        <v>Industry</v>
      </c>
      <c r="Y50" s="4" t="s">
        <v>357</v>
      </c>
      <c r="Z50" s="44">
        <v>35.260303605321546</v>
      </c>
      <c r="AA50" s="42">
        <v>-7.9091146941961954E-2</v>
      </c>
      <c r="AB50" s="42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  <c r="AO50" s="40" t="s">
        <v>48</v>
      </c>
      <c r="AP50" s="40" t="s">
        <v>48</v>
      </c>
    </row>
    <row r="51" spans="1:42" x14ac:dyDescent="0.3">
      <c r="A51" s="12">
        <v>44</v>
      </c>
      <c r="B51" s="33"/>
      <c r="C51" s="38" t="str">
        <f>Notes!T52</f>
        <v xml:space="preserve">   Mining</v>
      </c>
      <c r="D51" s="4" t="s">
        <v>545</v>
      </c>
      <c r="E51" s="44">
        <v>1.526092406662966</v>
      </c>
      <c r="F51" s="42">
        <v>3.0483848034979388</v>
      </c>
      <c r="G51" s="42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U51" s="40" t="s">
        <v>48</v>
      </c>
      <c r="W51" s="33"/>
      <c r="X51" s="38" t="str">
        <f>Notes!T52</f>
        <v xml:space="preserve">   Mining</v>
      </c>
      <c r="Y51" s="4" t="s">
        <v>545</v>
      </c>
      <c r="Z51" s="44">
        <v>1.526092406662966</v>
      </c>
      <c r="AA51" s="42">
        <v>-9.0531940125423288E-4</v>
      </c>
      <c r="AB51" s="42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  <c r="AO51" s="40" t="s">
        <v>48</v>
      </c>
      <c r="AP51" s="40" t="s">
        <v>48</v>
      </c>
    </row>
    <row r="52" spans="1:42" x14ac:dyDescent="0.3">
      <c r="A52" s="12">
        <v>45</v>
      </c>
      <c r="B52" s="33"/>
      <c r="C52" s="38" t="str">
        <f>Notes!T53</f>
        <v xml:space="preserve">      Coal and lignite</v>
      </c>
      <c r="D52" s="4" t="s">
        <v>546</v>
      </c>
      <c r="E52" s="44">
        <v>0.25682763702617678</v>
      </c>
      <c r="F52" s="42">
        <v>3.0530381879332102</v>
      </c>
      <c r="G52" s="42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U52" s="40" t="s">
        <v>48</v>
      </c>
      <c r="W52" s="33"/>
      <c r="X52" s="38" t="str">
        <f>Notes!T53</f>
        <v xml:space="preserve">      Coal and lignite</v>
      </c>
      <c r="Y52" s="4" t="s">
        <v>546</v>
      </c>
      <c r="Z52" s="44">
        <v>0.25682763702617678</v>
      </c>
      <c r="AA52" s="42">
        <v>-7.1210830119563737E-5</v>
      </c>
      <c r="AB52" s="42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  <c r="AO52" s="40" t="s">
        <v>48</v>
      </c>
      <c r="AP52" s="40" t="s">
        <v>48</v>
      </c>
    </row>
    <row r="53" spans="1:42" x14ac:dyDescent="0.3">
      <c r="A53" s="12">
        <v>46</v>
      </c>
      <c r="B53" s="33"/>
      <c r="C53" s="38" t="str">
        <f>Notes!T54</f>
        <v xml:space="preserve">      Crude oil</v>
      </c>
      <c r="D53" s="4" t="s">
        <v>548</v>
      </c>
      <c r="E53" s="44" t="s">
        <v>48</v>
      </c>
      <c r="F53" s="42" t="s">
        <v>48</v>
      </c>
      <c r="G53" s="42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U53" s="40" t="s">
        <v>48</v>
      </c>
      <c r="W53" s="33"/>
      <c r="X53" s="38" t="str">
        <f>Notes!T54</f>
        <v xml:space="preserve">      Crude oil</v>
      </c>
      <c r="Y53" s="4" t="s">
        <v>548</v>
      </c>
      <c r="Z53" s="44" t="s">
        <v>48</v>
      </c>
      <c r="AA53" s="42" t="s">
        <v>48</v>
      </c>
      <c r="AB53" s="42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  <c r="AO53" s="40" t="s">
        <v>48</v>
      </c>
      <c r="AP53" s="40" t="s">
        <v>48</v>
      </c>
    </row>
    <row r="54" spans="1:42" x14ac:dyDescent="0.3">
      <c r="A54" s="12">
        <v>47</v>
      </c>
      <c r="B54" s="33"/>
      <c r="C54" s="38" t="str">
        <f>Notes!T55</f>
        <v xml:space="preserve">      Natural gas</v>
      </c>
      <c r="D54" s="4" t="s">
        <v>550</v>
      </c>
      <c r="E54" s="44">
        <v>0.2768926598081965</v>
      </c>
      <c r="F54" s="42">
        <v>3.0457786172918944</v>
      </c>
      <c r="G54" s="42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U54" s="40" t="s">
        <v>48</v>
      </c>
      <c r="W54" s="33"/>
      <c r="X54" s="38" t="str">
        <f>Notes!T55</f>
        <v xml:space="preserve">      Natural gas</v>
      </c>
      <c r="Y54" s="4" t="s">
        <v>550</v>
      </c>
      <c r="Z54" s="44">
        <v>0.2768926598081965</v>
      </c>
      <c r="AA54" s="42">
        <v>-2.1324748625249114E-4</v>
      </c>
      <c r="AB54" s="42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  <c r="AO54" s="40" t="s">
        <v>48</v>
      </c>
      <c r="AP54" s="40" t="s">
        <v>48</v>
      </c>
    </row>
    <row r="55" spans="1:42" x14ac:dyDescent="0.3">
      <c r="A55" s="12">
        <v>48</v>
      </c>
      <c r="B55" s="33"/>
      <c r="C55" s="38" t="str">
        <f>Notes!T56</f>
        <v xml:space="preserve">      Other mining</v>
      </c>
      <c r="D55" s="4" t="s">
        <v>552</v>
      </c>
      <c r="E55" s="44">
        <v>0.99237210982859281</v>
      </c>
      <c r="F55" s="42">
        <v>3.0479074551893914</v>
      </c>
      <c r="G55" s="42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U55" s="40" t="s">
        <v>48</v>
      </c>
      <c r="W55" s="33"/>
      <c r="X55" s="38" t="str">
        <f>Notes!T56</f>
        <v xml:space="preserve">      Other mining</v>
      </c>
      <c r="Y55" s="4" t="s">
        <v>552</v>
      </c>
      <c r="Z55" s="44">
        <v>0.99237210982859281</v>
      </c>
      <c r="AA55" s="42">
        <v>-6.2086108488235148E-4</v>
      </c>
      <c r="AB55" s="42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  <c r="AO55" s="40" t="s">
        <v>48</v>
      </c>
      <c r="AP55" s="40" t="s">
        <v>48</v>
      </c>
    </row>
    <row r="56" spans="1:42" x14ac:dyDescent="0.3">
      <c r="A56" s="12">
        <v>49</v>
      </c>
      <c r="B56" s="33"/>
      <c r="C56" s="38" t="str">
        <f>Notes!T57</f>
        <v xml:space="preserve">   Manufacturing</v>
      </c>
      <c r="D56" s="4" t="s">
        <v>360</v>
      </c>
      <c r="E56" s="44">
        <v>22.639906134399531</v>
      </c>
      <c r="F56" s="42">
        <v>3.0156674568613484</v>
      </c>
      <c r="G56" s="42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U56" s="40" t="s">
        <v>48</v>
      </c>
      <c r="W56" s="33"/>
      <c r="X56" s="38" t="str">
        <f>Notes!T57</f>
        <v xml:space="preserve">   Manufacturing</v>
      </c>
      <c r="Y56" s="4" t="s">
        <v>360</v>
      </c>
      <c r="Z56" s="44">
        <v>22.639906134399531</v>
      </c>
      <c r="AA56" s="42">
        <v>-6.3669283915665509E-2</v>
      </c>
      <c r="AB56" s="42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  <c r="AO56" s="40" t="s">
        <v>48</v>
      </c>
      <c r="AP56" s="40" t="s">
        <v>48</v>
      </c>
    </row>
    <row r="57" spans="1:42" x14ac:dyDescent="0.3">
      <c r="A57" s="12">
        <v>50</v>
      </c>
      <c r="B57" s="33"/>
      <c r="C57" s="38" t="str">
        <f>Notes!T58</f>
        <v xml:space="preserve">      Food processing</v>
      </c>
      <c r="D57" s="4" t="s">
        <v>554</v>
      </c>
      <c r="E57" s="44">
        <v>3.0534492956759061</v>
      </c>
      <c r="F57" s="42">
        <v>3.0280002121001681</v>
      </c>
      <c r="G57" s="42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U57" s="40" t="s">
        <v>48</v>
      </c>
      <c r="W57" s="33"/>
      <c r="X57" s="38" t="str">
        <f>Notes!T58</f>
        <v xml:space="preserve">      Food processing</v>
      </c>
      <c r="Y57" s="4" t="s">
        <v>554</v>
      </c>
      <c r="Z57" s="44">
        <v>3.0534492956759061</v>
      </c>
      <c r="AA57" s="42">
        <v>-6.0345159113607549E-3</v>
      </c>
      <c r="AB57" s="42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  <c r="AO57" s="40" t="s">
        <v>48</v>
      </c>
      <c r="AP57" s="40" t="s">
        <v>48</v>
      </c>
    </row>
    <row r="58" spans="1:42" x14ac:dyDescent="0.3">
      <c r="A58" s="12">
        <v>51</v>
      </c>
      <c r="B58" s="33"/>
      <c r="C58" s="38" t="str">
        <f>Notes!T59</f>
        <v xml:space="preserve">         Meat processing</v>
      </c>
      <c r="D58" s="4" t="s">
        <v>556</v>
      </c>
      <c r="E58" s="44">
        <v>0.62866702340800185</v>
      </c>
      <c r="F58" s="42">
        <v>3.028856118674339</v>
      </c>
      <c r="G58" s="42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U58" s="40" t="s">
        <v>48</v>
      </c>
      <c r="W58" s="33"/>
      <c r="X58" s="38" t="str">
        <f>Notes!T59</f>
        <v xml:space="preserve">         Meat processing</v>
      </c>
      <c r="Y58" s="4" t="s">
        <v>556</v>
      </c>
      <c r="Z58" s="44">
        <v>0.62866702340800185</v>
      </c>
      <c r="AA58" s="42">
        <v>-1.205944077950754E-3</v>
      </c>
      <c r="AB58" s="42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  <c r="AO58" s="40" t="s">
        <v>48</v>
      </c>
      <c r="AP58" s="40" t="s">
        <v>48</v>
      </c>
    </row>
    <row r="59" spans="1:42" x14ac:dyDescent="0.3">
      <c r="A59" s="12">
        <v>52</v>
      </c>
      <c r="B59" s="33"/>
      <c r="C59" s="38" t="str">
        <f>Notes!T60</f>
        <v xml:space="preserve">         Fish and seafood processing</v>
      </c>
      <c r="D59" s="4" t="s">
        <v>557</v>
      </c>
      <c r="E59" s="44">
        <v>0.26916541968581481</v>
      </c>
      <c r="F59" s="42">
        <v>3.0220490208695994</v>
      </c>
      <c r="G59" s="42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U59" s="40" t="s">
        <v>48</v>
      </c>
      <c r="W59" s="33"/>
      <c r="X59" s="38" t="str">
        <f>Notes!T60</f>
        <v xml:space="preserve">         Fish and seafood processing</v>
      </c>
      <c r="Y59" s="4" t="s">
        <v>557</v>
      </c>
      <c r="Z59" s="44">
        <v>0.26916541968581481</v>
      </c>
      <c r="AA59" s="42">
        <v>-6.4055064311098475E-4</v>
      </c>
      <c r="AB59" s="42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  <c r="AO59" s="40" t="s">
        <v>48</v>
      </c>
      <c r="AP59" s="40" t="s">
        <v>48</v>
      </c>
    </row>
    <row r="60" spans="1:42" x14ac:dyDescent="0.3">
      <c r="A60" s="12">
        <v>53</v>
      </c>
      <c r="B60" s="33"/>
      <c r="C60" s="38" t="str">
        <f>Notes!T61</f>
        <v xml:space="preserve">         Dairy</v>
      </c>
      <c r="D60" s="4" t="s">
        <v>559</v>
      </c>
      <c r="E60" s="44">
        <v>9.3111443655862575E-2</v>
      </c>
      <c r="F60" s="42">
        <v>3.0377729652943497</v>
      </c>
      <c r="G60" s="42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U60" s="40" t="s">
        <v>48</v>
      </c>
      <c r="W60" s="33"/>
      <c r="X60" s="38" t="str">
        <f>Notes!T61</f>
        <v xml:space="preserve">         Dairy</v>
      </c>
      <c r="Y60" s="4" t="s">
        <v>559</v>
      </c>
      <c r="Z60" s="44">
        <v>9.3111443655862575E-2</v>
      </c>
      <c r="AA60" s="42">
        <v>-1.2229547724287035E-4</v>
      </c>
      <c r="AB60" s="42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  <c r="AO60" s="40" t="s">
        <v>48</v>
      </c>
      <c r="AP60" s="40" t="s">
        <v>48</v>
      </c>
    </row>
    <row r="61" spans="1:42" x14ac:dyDescent="0.3">
      <c r="A61" s="12">
        <v>54</v>
      </c>
      <c r="B61" s="33"/>
      <c r="C61" s="38" t="str">
        <f>Notes!T62</f>
        <v xml:space="preserve">         Fruit and vegetable processing</v>
      </c>
      <c r="D61" s="4" t="s">
        <v>561</v>
      </c>
      <c r="E61" s="44">
        <v>6.2082849708840045E-2</v>
      </c>
      <c r="F61" s="42">
        <v>2.9986176108795837</v>
      </c>
      <c r="G61" s="42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W61" s="33"/>
      <c r="X61" s="38" t="str">
        <f>Notes!T62</f>
        <v xml:space="preserve">         Fruit and vegetable processing</v>
      </c>
      <c r="Y61" s="4" t="s">
        <v>561</v>
      </c>
      <c r="Z61" s="44">
        <v>6.2082849708840045E-2</v>
      </c>
      <c r="AA61" s="42">
        <v>-2.4628134456113841E-4</v>
      </c>
      <c r="AB61" s="42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  <c r="AO61" s="40" t="s">
        <v>48</v>
      </c>
      <c r="AP61" s="40" t="s">
        <v>48</v>
      </c>
    </row>
    <row r="62" spans="1:42" x14ac:dyDescent="0.3">
      <c r="A62" s="12">
        <v>55</v>
      </c>
      <c r="B62" s="33"/>
      <c r="C62" s="38" t="str">
        <f>Notes!T63</f>
        <v xml:space="preserve">         Fats and oils</v>
      </c>
      <c r="D62" s="4" t="s">
        <v>563</v>
      </c>
      <c r="E62" s="44">
        <v>4.878157282793593E-2</v>
      </c>
      <c r="F62" s="42">
        <v>3.0070270750134132</v>
      </c>
      <c r="G62" s="42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W62" s="33"/>
      <c r="X62" s="38" t="str">
        <f>Notes!T63</f>
        <v xml:space="preserve">         Fats and oils</v>
      </c>
      <c r="Y62" s="4" t="s">
        <v>563</v>
      </c>
      <c r="Z62" s="44">
        <v>4.878157282793593E-2</v>
      </c>
      <c r="AA62" s="42">
        <v>-1.6573938682125822E-4</v>
      </c>
      <c r="AB62" s="42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  <c r="AO62" s="40" t="s">
        <v>48</v>
      </c>
      <c r="AP62" s="40" t="s">
        <v>48</v>
      </c>
    </row>
    <row r="63" spans="1:42" x14ac:dyDescent="0.3">
      <c r="A63" s="12">
        <v>56</v>
      </c>
      <c r="B63" s="33"/>
      <c r="C63" s="38" t="str">
        <f>Notes!T64</f>
        <v xml:space="preserve">         Maize milling</v>
      </c>
      <c r="D63" s="4" t="s">
        <v>362</v>
      </c>
      <c r="E63" s="44">
        <v>2.4231569781987896E-2</v>
      </c>
      <c r="F63" s="42">
        <v>3.0371079528280998</v>
      </c>
      <c r="G63" s="42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U63" s="40" t="s">
        <v>48</v>
      </c>
      <c r="W63" s="33"/>
      <c r="X63" s="38" t="str">
        <f>Notes!T64</f>
        <v xml:space="preserve">         Maize milling</v>
      </c>
      <c r="Y63" s="4" t="s">
        <v>362</v>
      </c>
      <c r="Z63" s="44">
        <v>2.4231569781987896E-2</v>
      </c>
      <c r="AA63" s="42">
        <v>-3.2919786129679434E-5</v>
      </c>
      <c r="AB63" s="42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  <c r="AO63" s="40" t="s">
        <v>48</v>
      </c>
      <c r="AP63" s="40" t="s">
        <v>48</v>
      </c>
    </row>
    <row r="64" spans="1:42" x14ac:dyDescent="0.3">
      <c r="A64" s="12">
        <v>57</v>
      </c>
      <c r="B64" s="33"/>
      <c r="C64" s="38" t="str">
        <f>Notes!T65</f>
        <v xml:space="preserve">         Sorghum and millet milling</v>
      </c>
      <c r="D64" s="4" t="s">
        <v>363</v>
      </c>
      <c r="E64" s="44" t="s">
        <v>48</v>
      </c>
      <c r="F64" s="42" t="s">
        <v>48</v>
      </c>
      <c r="G64" s="42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U64" s="40" t="s">
        <v>48</v>
      </c>
      <c r="W64" s="33"/>
      <c r="X64" s="38" t="str">
        <f>Notes!T65</f>
        <v xml:space="preserve">         Sorghum and millet milling</v>
      </c>
      <c r="Y64" s="4" t="s">
        <v>363</v>
      </c>
      <c r="Z64" s="44" t="s">
        <v>48</v>
      </c>
      <c r="AA64" s="42" t="s">
        <v>48</v>
      </c>
      <c r="AB64" s="42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  <c r="AO64" s="40" t="s">
        <v>48</v>
      </c>
      <c r="AP64" s="40" t="s">
        <v>48</v>
      </c>
    </row>
    <row r="65" spans="1:42" x14ac:dyDescent="0.3">
      <c r="A65" s="12">
        <v>58</v>
      </c>
      <c r="B65" s="33"/>
      <c r="C65" s="38" t="str">
        <f>Notes!T66</f>
        <v xml:space="preserve">         Rice milling</v>
      </c>
      <c r="D65" s="4" t="s">
        <v>364</v>
      </c>
      <c r="E65" s="44" t="s">
        <v>48</v>
      </c>
      <c r="F65" s="42" t="s">
        <v>48</v>
      </c>
      <c r="G65" s="42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U65" s="40" t="s">
        <v>48</v>
      </c>
      <c r="W65" s="33"/>
      <c r="X65" s="38" t="str">
        <f>Notes!T66</f>
        <v xml:space="preserve">         Rice milling</v>
      </c>
      <c r="Y65" s="4" t="s">
        <v>364</v>
      </c>
      <c r="Z65" s="44" t="s">
        <v>48</v>
      </c>
      <c r="AA65" s="42" t="s">
        <v>48</v>
      </c>
      <c r="AB65" s="42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  <c r="AO65" s="40" t="s">
        <v>48</v>
      </c>
      <c r="AP65" s="40" t="s">
        <v>48</v>
      </c>
    </row>
    <row r="66" spans="1:42" x14ac:dyDescent="0.3">
      <c r="A66" s="12">
        <v>59</v>
      </c>
      <c r="B66" s="33"/>
      <c r="C66" s="38" t="str">
        <f>Notes!T67</f>
        <v xml:space="preserve">         Rice milling - coarse</v>
      </c>
      <c r="D66" s="4" t="s">
        <v>720</v>
      </c>
      <c r="E66" s="44">
        <v>0.21543311728234776</v>
      </c>
      <c r="F66" s="42">
        <v>3.0290844275439266</v>
      </c>
      <c r="G66" s="42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U66" s="40" t="s">
        <v>48</v>
      </c>
      <c r="W66" s="33"/>
      <c r="X66" s="38" t="str">
        <f>Notes!T67</f>
        <v xml:space="preserve">         Rice milling - coarse</v>
      </c>
      <c r="Y66" s="4" t="s">
        <v>720</v>
      </c>
      <c r="Z66" s="44">
        <v>0.21543311728234776</v>
      </c>
      <c r="AA66" s="42">
        <v>-4.099204319448109E-4</v>
      </c>
      <c r="AB66" s="42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  <c r="AO66" s="40" t="s">
        <v>48</v>
      </c>
      <c r="AP66" s="40" t="s">
        <v>48</v>
      </c>
    </row>
    <row r="67" spans="1:42" x14ac:dyDescent="0.3">
      <c r="A67" s="12">
        <v>60</v>
      </c>
      <c r="B67" s="33"/>
      <c r="C67" s="38" t="str">
        <f>Notes!T68</f>
        <v xml:space="preserve">         Rice milling - other</v>
      </c>
      <c r="D67" s="4" t="s">
        <v>722</v>
      </c>
      <c r="E67" s="44">
        <v>0.44943005448759954</v>
      </c>
      <c r="F67" s="42">
        <v>3.0242183184623794</v>
      </c>
      <c r="G67" s="42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U67" s="40" t="s">
        <v>48</v>
      </c>
      <c r="W67" s="33"/>
      <c r="X67" s="38" t="str">
        <f>Notes!T68</f>
        <v xml:space="preserve">         Rice milling - other</v>
      </c>
      <c r="Y67" s="4" t="s">
        <v>722</v>
      </c>
      <c r="Z67" s="44">
        <v>0.44943005448759954</v>
      </c>
      <c r="AA67" s="42">
        <v>-1.003447326184282E-3</v>
      </c>
      <c r="AB67" s="42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  <c r="AO67" s="40" t="s">
        <v>48</v>
      </c>
      <c r="AP67" s="40" t="s">
        <v>48</v>
      </c>
    </row>
    <row r="68" spans="1:42" x14ac:dyDescent="0.3">
      <c r="A68" s="12">
        <v>61</v>
      </c>
      <c r="B68" s="33"/>
      <c r="C68" s="38" t="str">
        <f>Notes!T69</f>
        <v xml:space="preserve">         Wheat and barley milling</v>
      </c>
      <c r="D68" s="4" t="s">
        <v>365</v>
      </c>
      <c r="E68" s="44">
        <v>3.5891905285135202E-2</v>
      </c>
      <c r="F68" s="42">
        <v>3.052525914876747</v>
      </c>
      <c r="G68" s="42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U68" s="40" t="s">
        <v>48</v>
      </c>
      <c r="W68" s="33"/>
      <c r="X68" s="38" t="str">
        <f>Notes!T69</f>
        <v xml:space="preserve">         Wheat and barley milling</v>
      </c>
      <c r="Y68" s="4" t="s">
        <v>365</v>
      </c>
      <c r="Z68" s="44">
        <v>3.5891905285135202E-2</v>
      </c>
      <c r="AA68" s="42">
        <v>-1.1200337839850118E-5</v>
      </c>
      <c r="AB68" s="42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  <c r="AO68" s="40" t="s">
        <v>48</v>
      </c>
      <c r="AP68" s="40" t="s">
        <v>48</v>
      </c>
    </row>
    <row r="69" spans="1:42" x14ac:dyDescent="0.3">
      <c r="A69" s="12">
        <v>62</v>
      </c>
      <c r="B69" s="33"/>
      <c r="C69" s="38" t="str">
        <f>Notes!T70</f>
        <v xml:space="preserve">         Other grain milling</v>
      </c>
      <c r="D69" s="4" t="s">
        <v>366</v>
      </c>
      <c r="E69" s="44">
        <v>1.6337218821433099E-2</v>
      </c>
      <c r="F69" s="42">
        <v>3.0391386742049331</v>
      </c>
      <c r="G69" s="42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U69" s="40" t="s">
        <v>48</v>
      </c>
      <c r="W69" s="33"/>
      <c r="X69" s="38" t="str">
        <f>Notes!T70</f>
        <v xml:space="preserve">         Other grain milling</v>
      </c>
      <c r="Y69" s="4" t="s">
        <v>366</v>
      </c>
      <c r="Z69" s="44">
        <v>1.6337218821433099E-2</v>
      </c>
      <c r="AA69" s="42">
        <v>-1.994395812989489E-5</v>
      </c>
      <c r="AB69" s="42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  <c r="AO69" s="40" t="s">
        <v>48</v>
      </c>
      <c r="AP69" s="40" t="s">
        <v>48</v>
      </c>
    </row>
    <row r="70" spans="1:42" x14ac:dyDescent="0.3">
      <c r="A70" s="12">
        <v>63</v>
      </c>
      <c r="B70" s="33"/>
      <c r="C70" s="38" t="str">
        <f>Notes!T71</f>
        <v xml:space="preserve">         Sugar refining</v>
      </c>
      <c r="D70" s="4" t="s">
        <v>367</v>
      </c>
      <c r="E70" s="44">
        <v>0.10713987847154359</v>
      </c>
      <c r="F70" s="42">
        <v>2.9969939005201285</v>
      </c>
      <c r="G70" s="42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U70" s="40" t="s">
        <v>48</v>
      </c>
      <c r="W70" s="33"/>
      <c r="X70" s="38" t="str">
        <f>Notes!T71</f>
        <v xml:space="preserve">         Sugar refining</v>
      </c>
      <c r="Y70" s="4" t="s">
        <v>367</v>
      </c>
      <c r="Z70" s="44">
        <v>0.10713987847154359</v>
      </c>
      <c r="AA70" s="42">
        <v>-4.3679712480656097E-4</v>
      </c>
      <c r="AB70" s="42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  <c r="AO70" s="40" t="s">
        <v>48</v>
      </c>
      <c r="AP70" s="40" t="s">
        <v>48</v>
      </c>
    </row>
    <row r="71" spans="1:42" x14ac:dyDescent="0.3">
      <c r="A71" s="12">
        <v>64</v>
      </c>
      <c r="B71" s="33"/>
      <c r="C71" s="38" t="str">
        <f>Notes!T72</f>
        <v xml:space="preserve">         Coffee processing</v>
      </c>
      <c r="D71" s="4" t="s">
        <v>368</v>
      </c>
      <c r="E71" s="44" t="s">
        <v>48</v>
      </c>
      <c r="F71" s="42" t="s">
        <v>48</v>
      </c>
      <c r="G71" s="42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U71" s="40" t="s">
        <v>48</v>
      </c>
      <c r="W71" s="33"/>
      <c r="X71" s="38" t="str">
        <f>Notes!T72</f>
        <v xml:space="preserve">         Coffee processing</v>
      </c>
      <c r="Y71" s="4" t="s">
        <v>368</v>
      </c>
      <c r="Z71" s="44" t="s">
        <v>48</v>
      </c>
      <c r="AA71" s="42" t="s">
        <v>48</v>
      </c>
      <c r="AB71" s="42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  <c r="AO71" s="40" t="s">
        <v>48</v>
      </c>
      <c r="AP71" s="40" t="s">
        <v>48</v>
      </c>
    </row>
    <row r="72" spans="1:42" x14ac:dyDescent="0.3">
      <c r="A72" s="12">
        <v>65</v>
      </c>
      <c r="B72" s="33"/>
      <c r="C72" s="38" t="str">
        <f>Notes!T73</f>
        <v xml:space="preserve">         Tea processing</v>
      </c>
      <c r="D72" s="4" t="s">
        <v>369</v>
      </c>
      <c r="E72" s="44" t="s">
        <v>48</v>
      </c>
      <c r="F72" s="42" t="s">
        <v>48</v>
      </c>
      <c r="G72" s="42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U72" s="40" t="s">
        <v>48</v>
      </c>
      <c r="W72" s="33"/>
      <c r="X72" s="38" t="str">
        <f>Notes!T73</f>
        <v xml:space="preserve">         Tea processing</v>
      </c>
      <c r="Y72" s="4" t="s">
        <v>369</v>
      </c>
      <c r="Z72" s="44" t="s">
        <v>48</v>
      </c>
      <c r="AA72" s="42" t="s">
        <v>48</v>
      </c>
      <c r="AB72" s="42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  <c r="AO72" s="40" t="s">
        <v>48</v>
      </c>
      <c r="AP72" s="40" t="s">
        <v>48</v>
      </c>
    </row>
    <row r="73" spans="1:42" x14ac:dyDescent="0.3">
      <c r="A73" s="12">
        <v>66</v>
      </c>
      <c r="B73" s="33"/>
      <c r="C73" s="38" t="str">
        <f>Notes!T74</f>
        <v xml:space="preserve">         Other foods</v>
      </c>
      <c r="D73" s="4" t="s">
        <v>370</v>
      </c>
      <c r="E73" s="44">
        <v>0.73680164432661566</v>
      </c>
      <c r="F73" s="42">
        <v>3.0340947822468767</v>
      </c>
      <c r="G73" s="42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U73" s="40" t="s">
        <v>48</v>
      </c>
      <c r="W73" s="33"/>
      <c r="X73" s="38" t="str">
        <f>Notes!T74</f>
        <v xml:space="preserve">         Other foods</v>
      </c>
      <c r="Y73" s="4" t="s">
        <v>370</v>
      </c>
      <c r="Z73" s="44">
        <v>0.73680164432661566</v>
      </c>
      <c r="AA73" s="42">
        <v>-1.151590217636847E-3</v>
      </c>
      <c r="AB73" s="42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  <c r="AO73" s="40" t="s">
        <v>48</v>
      </c>
      <c r="AP73" s="40" t="s">
        <v>48</v>
      </c>
    </row>
    <row r="74" spans="1:42" x14ac:dyDescent="0.3">
      <c r="A74" s="12">
        <v>67</v>
      </c>
      <c r="B74" s="33"/>
      <c r="C74" s="38" t="str">
        <f>Notes!T75</f>
        <v xml:space="preserve">         Animal feed</v>
      </c>
      <c r="D74" s="4" t="s">
        <v>371</v>
      </c>
      <c r="E74" s="44">
        <v>0.3663755979327879</v>
      </c>
      <c r="F74" s="42">
        <v>3.0334809000712504</v>
      </c>
      <c r="G74" s="42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U74" s="40" t="s">
        <v>48</v>
      </c>
      <c r="W74" s="33"/>
      <c r="X74" s="38" t="str">
        <f>Notes!T75</f>
        <v xml:space="preserve">         Animal feed</v>
      </c>
      <c r="Y74" s="4" t="s">
        <v>371</v>
      </c>
      <c r="Z74" s="44">
        <v>0.3663755979327879</v>
      </c>
      <c r="AA74" s="42">
        <v>-5.8788579900162334E-4</v>
      </c>
      <c r="AB74" s="42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  <c r="AO74" s="40" t="s">
        <v>48</v>
      </c>
      <c r="AP74" s="40" t="s">
        <v>48</v>
      </c>
    </row>
    <row r="75" spans="1:42" x14ac:dyDescent="0.3">
      <c r="A75" s="12">
        <v>68</v>
      </c>
      <c r="B75" s="33"/>
      <c r="C75" s="38" t="str">
        <f>Notes!T76</f>
        <v xml:space="preserve">      Beverages and tobacco</v>
      </c>
      <c r="D75" s="4" t="s">
        <v>570</v>
      </c>
      <c r="E75" s="44">
        <v>0.46022998731144582</v>
      </c>
      <c r="F75" s="42">
        <v>3.0457161794559706</v>
      </c>
      <c r="G75" s="42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U75" s="40" t="s">
        <v>48</v>
      </c>
      <c r="W75" s="33"/>
      <c r="X75" s="38" t="str">
        <f>Notes!T76</f>
        <v xml:space="preserve">      Beverages and tobacco</v>
      </c>
      <c r="Y75" s="4" t="s">
        <v>570</v>
      </c>
      <c r="Z75" s="44">
        <v>0.46022998731144582</v>
      </c>
      <c r="AA75" s="42">
        <v>-3.5639434643412043E-4</v>
      </c>
      <c r="AB75" s="42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  <c r="AO75" s="40" t="s">
        <v>48</v>
      </c>
      <c r="AP75" s="40" t="s">
        <v>48</v>
      </c>
    </row>
    <row r="76" spans="1:42" x14ac:dyDescent="0.3">
      <c r="A76" s="12">
        <v>69</v>
      </c>
      <c r="B76" s="33"/>
      <c r="C76" s="38" t="str">
        <f>Notes!T77</f>
        <v xml:space="preserve">         Beverages</v>
      </c>
      <c r="D76" s="4" t="s">
        <v>372</v>
      </c>
      <c r="E76" s="44">
        <v>0.34709196546739057</v>
      </c>
      <c r="F76" s="42">
        <v>3.0469130135668765</v>
      </c>
      <c r="G76" s="42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U76" s="40" t="s">
        <v>48</v>
      </c>
      <c r="W76" s="33"/>
      <c r="X76" s="38" t="str">
        <f>Notes!T77</f>
        <v xml:space="preserve">         Beverages</v>
      </c>
      <c r="Y76" s="4" t="s">
        <v>372</v>
      </c>
      <c r="Z76" s="44">
        <v>0.34709196546739057</v>
      </c>
      <c r="AA76" s="42">
        <v>-2.4058371421672477E-4</v>
      </c>
      <c r="AB76" s="42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  <c r="AO76" s="40" t="s">
        <v>48</v>
      </c>
      <c r="AP76" s="40" t="s">
        <v>48</v>
      </c>
    </row>
    <row r="77" spans="1:42" x14ac:dyDescent="0.3">
      <c r="A77" s="12">
        <v>70</v>
      </c>
      <c r="B77" s="33"/>
      <c r="C77" s="38" t="str">
        <f>Notes!T78</f>
        <v xml:space="preserve">         Tobacco processing</v>
      </c>
      <c r="D77" s="4" t="s">
        <v>373</v>
      </c>
      <c r="E77" s="44">
        <v>0.11313802184405525</v>
      </c>
      <c r="F77" s="42">
        <v>3.0420439356985352</v>
      </c>
      <c r="G77" s="42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U77" s="40" t="s">
        <v>48</v>
      </c>
      <c r="W77" s="33"/>
      <c r="X77" s="38" t="str">
        <f>Notes!T78</f>
        <v xml:space="preserve">         Tobacco processing</v>
      </c>
      <c r="Y77" s="4" t="s">
        <v>373</v>
      </c>
      <c r="Z77" s="44">
        <v>0.11313802184405525</v>
      </c>
      <c r="AA77" s="42">
        <v>-1.1581063221741735E-4</v>
      </c>
      <c r="AB77" s="42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  <c r="AO77" s="40" t="s">
        <v>48</v>
      </c>
      <c r="AP77" s="40" t="s">
        <v>48</v>
      </c>
    </row>
    <row r="78" spans="1:42" x14ac:dyDescent="0.3">
      <c r="A78" s="12">
        <v>71</v>
      </c>
      <c r="B78" s="33"/>
      <c r="C78" s="38" t="str">
        <f>Notes!T79</f>
        <v xml:space="preserve">      Textiles, clothing and leather</v>
      </c>
      <c r="D78" s="4" t="s">
        <v>374</v>
      </c>
      <c r="E78" s="44">
        <v>8.317503488580428</v>
      </c>
      <c r="F78" s="42">
        <v>2.9661726684579559</v>
      </c>
      <c r="G78" s="42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U78" s="40" t="s">
        <v>48</v>
      </c>
      <c r="W78" s="33"/>
      <c r="X78" s="38" t="str">
        <f>Notes!T79</f>
        <v xml:space="preserve">      Textiles, clothing and leather</v>
      </c>
      <c r="Y78" s="4" t="s">
        <v>374</v>
      </c>
      <c r="Z78" s="44">
        <v>8.317503488580428</v>
      </c>
      <c r="AA78" s="42">
        <v>-5.1245658663509608E-2</v>
      </c>
      <c r="AB78" s="42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  <c r="AO78" s="40" t="s">
        <v>48</v>
      </c>
      <c r="AP78" s="40" t="s">
        <v>48</v>
      </c>
    </row>
    <row r="79" spans="1:42" x14ac:dyDescent="0.3">
      <c r="A79" s="12">
        <v>72</v>
      </c>
      <c r="B79" s="33"/>
      <c r="C79" s="38" t="str">
        <f>Notes!T80</f>
        <v xml:space="preserve">         Jute baling</v>
      </c>
      <c r="D79" s="4" t="s">
        <v>726</v>
      </c>
      <c r="E79" s="44">
        <v>7.4761094487573357E-2</v>
      </c>
      <c r="F79" s="42">
        <v>2.9364396446845298</v>
      </c>
      <c r="G79" s="42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U79" s="40" t="s">
        <v>48</v>
      </c>
      <c r="W79" s="33"/>
      <c r="X79" s="38" t="str">
        <f>Notes!T80</f>
        <v xml:space="preserve">         Jute baling</v>
      </c>
      <c r="Y79" s="4" t="s">
        <v>726</v>
      </c>
      <c r="Z79" s="44">
        <v>7.4761094487573357E-2</v>
      </c>
      <c r="AA79" s="42">
        <v>-6.1067434498233769E-4</v>
      </c>
      <c r="AB79" s="42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  <c r="AO79" s="40" t="s">
        <v>48</v>
      </c>
      <c r="AP79" s="40" t="s">
        <v>48</v>
      </c>
    </row>
    <row r="80" spans="1:42" x14ac:dyDescent="0.3">
      <c r="A80" s="12">
        <v>73</v>
      </c>
      <c r="B80" s="33"/>
      <c r="C80" s="38" t="str">
        <f>Notes!T81</f>
        <v xml:space="preserve">         Jute fabrication</v>
      </c>
      <c r="D80" s="4" t="s">
        <v>728</v>
      </c>
      <c r="E80" s="44">
        <v>4.9706312191795006E-2</v>
      </c>
      <c r="F80" s="42">
        <v>3.0340087198426291</v>
      </c>
      <c r="G80" s="42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U80" s="40" t="s">
        <v>48</v>
      </c>
      <c r="W80" s="33"/>
      <c r="X80" s="38" t="str">
        <f>Notes!T81</f>
        <v xml:space="preserve">         Jute fabrication</v>
      </c>
      <c r="Y80" s="4" t="s">
        <v>728</v>
      </c>
      <c r="Z80" s="44">
        <v>4.9706312191795006E-2</v>
      </c>
      <c r="AA80" s="42">
        <v>-7.7979067462517933E-5</v>
      </c>
      <c r="AB80" s="42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  <c r="AO80" s="40" t="s">
        <v>48</v>
      </c>
      <c r="AP80" s="40" t="s">
        <v>48</v>
      </c>
    </row>
    <row r="81" spans="1:42" x14ac:dyDescent="0.3">
      <c r="A81" s="12">
        <v>74</v>
      </c>
      <c r="B81" s="33"/>
      <c r="C81" s="38" t="str">
        <f>Notes!T82</f>
        <v xml:space="preserve">         Cotton yarn</v>
      </c>
      <c r="D81" s="4" t="s">
        <v>730</v>
      </c>
      <c r="E81" s="44">
        <v>0.12218707783537204</v>
      </c>
      <c r="F81" s="42">
        <v>2.9471933176448362</v>
      </c>
      <c r="G81" s="42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U81" s="40" t="s">
        <v>48</v>
      </c>
      <c r="W81" s="33"/>
      <c r="X81" s="38" t="str">
        <f>Notes!T82</f>
        <v xml:space="preserve">         Cotton yarn</v>
      </c>
      <c r="Y81" s="4" t="s">
        <v>730</v>
      </c>
      <c r="Z81" s="44">
        <v>0.12218707783537204</v>
      </c>
      <c r="AA81" s="42">
        <v>-9.0941480220556228E-4</v>
      </c>
      <c r="AB81" s="42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  <c r="AO81" s="40" t="s">
        <v>48</v>
      </c>
      <c r="AP81" s="40" t="s">
        <v>48</v>
      </c>
    </row>
    <row r="82" spans="1:42" x14ac:dyDescent="0.3">
      <c r="A82" s="12">
        <v>75</v>
      </c>
      <c r="B82" s="33"/>
      <c r="C82" s="38" t="str">
        <f>Notes!T83</f>
        <v xml:space="preserve">         Textiles</v>
      </c>
      <c r="D82" s="4" t="s">
        <v>375</v>
      </c>
      <c r="E82" s="44">
        <v>1.0233706989923297</v>
      </c>
      <c r="F82" s="42">
        <v>2.9741302499667777</v>
      </c>
      <c r="G82" s="42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U82" s="40" t="s">
        <v>48</v>
      </c>
      <c r="W82" s="33"/>
      <c r="X82" s="38" t="str">
        <f>Notes!T83</f>
        <v xml:space="preserve">         Textiles</v>
      </c>
      <c r="Y82" s="4" t="s">
        <v>375</v>
      </c>
      <c r="Z82" s="44">
        <v>1.0233706989923297</v>
      </c>
      <c r="AA82" s="42">
        <v>-5.7548299098658315E-3</v>
      </c>
      <c r="AB82" s="42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  <c r="AO82" s="40" t="s">
        <v>48</v>
      </c>
      <c r="AP82" s="40" t="s">
        <v>48</v>
      </c>
    </row>
    <row r="83" spans="1:42" x14ac:dyDescent="0.3">
      <c r="A83" s="12">
        <v>76</v>
      </c>
      <c r="B83" s="33"/>
      <c r="C83" s="38" t="str">
        <f>Notes!T84</f>
        <v xml:space="preserve">         Clothing</v>
      </c>
      <c r="D83" s="4" t="s">
        <v>376</v>
      </c>
      <c r="E83" s="44">
        <v>6.1543026698061105</v>
      </c>
      <c r="F83" s="42">
        <v>2.95562919868253</v>
      </c>
      <c r="G83" s="42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U83" s="40" t="s">
        <v>48</v>
      </c>
      <c r="W83" s="33"/>
      <c r="X83" s="38" t="str">
        <f>Notes!T84</f>
        <v xml:space="preserve">         Clothing</v>
      </c>
      <c r="Y83" s="4" t="s">
        <v>376</v>
      </c>
      <c r="Z83" s="44">
        <v>6.1543026698061105</v>
      </c>
      <c r="AA83" s="42">
        <v>-4.2300550603281001E-2</v>
      </c>
      <c r="AB83" s="42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  <c r="AO83" s="40" t="s">
        <v>48</v>
      </c>
      <c r="AP83" s="40" t="s">
        <v>48</v>
      </c>
    </row>
    <row r="84" spans="1:42" x14ac:dyDescent="0.3">
      <c r="A84" s="12">
        <v>77</v>
      </c>
      <c r="B84" s="33"/>
      <c r="C84" s="38" t="str">
        <f>Notes!T85</f>
        <v xml:space="preserve">         Leather and footwear</v>
      </c>
      <c r="D84" s="4" t="s">
        <v>377</v>
      </c>
      <c r="E84" s="44">
        <v>0.89317563526724841</v>
      </c>
      <c r="F84" s="42">
        <v>3.0308558963824783</v>
      </c>
      <c r="G84" s="42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U84" s="40" t="s">
        <v>48</v>
      </c>
      <c r="W84" s="33"/>
      <c r="X84" s="38" t="str">
        <f>Notes!T85</f>
        <v xml:space="preserve">         Leather and footwear</v>
      </c>
      <c r="Y84" s="4" t="s">
        <v>377</v>
      </c>
      <c r="Z84" s="44">
        <v>0.89317563526724841</v>
      </c>
      <c r="AA84" s="42">
        <v>-1.5922099357142117E-3</v>
      </c>
      <c r="AB84" s="42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  <c r="AO84" s="40" t="s">
        <v>48</v>
      </c>
      <c r="AP84" s="40" t="s">
        <v>48</v>
      </c>
    </row>
    <row r="85" spans="1:42" x14ac:dyDescent="0.3">
      <c r="A85" s="12">
        <v>78</v>
      </c>
      <c r="B85" s="33"/>
      <c r="C85" s="38" t="str">
        <f>Notes!T86</f>
        <v xml:space="preserve">      Wood and paper products</v>
      </c>
      <c r="D85" s="4" t="s">
        <v>378</v>
      </c>
      <c r="E85" s="44">
        <v>0.64116577474350667</v>
      </c>
      <c r="F85" s="42">
        <v>3.047907803256189</v>
      </c>
      <c r="G85" s="42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U85" s="40" t="s">
        <v>48</v>
      </c>
      <c r="W85" s="33"/>
      <c r="X85" s="38" t="str">
        <f>Notes!T86</f>
        <v xml:space="preserve">      Wood and paper products</v>
      </c>
      <c r="Y85" s="4" t="s">
        <v>378</v>
      </c>
      <c r="Z85" s="44">
        <v>0.64116577474350667</v>
      </c>
      <c r="AA85" s="42">
        <v>-4.0111953959736518E-4</v>
      </c>
      <c r="AB85" s="42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  <c r="AO85" s="40" t="s">
        <v>48</v>
      </c>
      <c r="AP85" s="40" t="s">
        <v>48</v>
      </c>
    </row>
    <row r="86" spans="1:42" x14ac:dyDescent="0.3">
      <c r="A86" s="12">
        <v>79</v>
      </c>
      <c r="B86" s="33"/>
      <c r="C86" s="38" t="str">
        <f>Notes!T87</f>
        <v xml:space="preserve">         Wood products</v>
      </c>
      <c r="D86" s="4" t="s">
        <v>380</v>
      </c>
      <c r="E86" s="44">
        <v>0.42748718642660505</v>
      </c>
      <c r="F86" s="42">
        <v>3.0597610280682197</v>
      </c>
      <c r="G86" s="42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U86" s="40" t="s">
        <v>48</v>
      </c>
      <c r="W86" s="33"/>
      <c r="X86" s="38" t="str">
        <f>Notes!T87</f>
        <v xml:space="preserve">         Wood products</v>
      </c>
      <c r="Y86" s="4" t="s">
        <v>380</v>
      </c>
      <c r="Z86" s="44">
        <v>0.42748718642660505</v>
      </c>
      <c r="AA86" s="42">
        <v>7.6669287961926569E-5</v>
      </c>
      <c r="AB86" s="42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  <c r="AO86" s="40" t="s">
        <v>48</v>
      </c>
      <c r="AP86" s="40" t="s">
        <v>48</v>
      </c>
    </row>
    <row r="87" spans="1:42" x14ac:dyDescent="0.3">
      <c r="A87" s="12">
        <v>80</v>
      </c>
      <c r="B87" s="33"/>
      <c r="C87" s="38" t="str">
        <f>Notes!T88</f>
        <v xml:space="preserve">         Paper products and publishing</v>
      </c>
      <c r="D87" s="4" t="s">
        <v>381</v>
      </c>
      <c r="E87" s="44">
        <v>0.21367858831690154</v>
      </c>
      <c r="F87" s="42">
        <v>3.0241695582255312</v>
      </c>
      <c r="G87" s="42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U87" s="40" t="s">
        <v>48</v>
      </c>
      <c r="W87" s="33"/>
      <c r="X87" s="38" t="str">
        <f>Notes!T88</f>
        <v xml:space="preserve">         Paper products and publishing</v>
      </c>
      <c r="Y87" s="4" t="s">
        <v>381</v>
      </c>
      <c r="Z87" s="44">
        <v>0.21367858831690154</v>
      </c>
      <c r="AA87" s="42">
        <v>-4.7778882755924838E-4</v>
      </c>
      <c r="AB87" s="42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  <c r="AO87" s="40" t="s">
        <v>48</v>
      </c>
      <c r="AP87" s="40" t="s">
        <v>48</v>
      </c>
    </row>
    <row r="88" spans="1:42" x14ac:dyDescent="0.3">
      <c r="A88" s="12">
        <v>81</v>
      </c>
      <c r="B88" s="33"/>
      <c r="C88" s="38" t="str">
        <f>Notes!T89</f>
        <v xml:space="preserve">      Chemical products</v>
      </c>
      <c r="D88" s="4" t="s">
        <v>382</v>
      </c>
      <c r="E88" s="44">
        <v>0.71318134230789221</v>
      </c>
      <c r="F88" s="42">
        <v>3.0615136110124563</v>
      </c>
      <c r="G88" s="42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U88" s="40" t="s">
        <v>48</v>
      </c>
      <c r="W88" s="33"/>
      <c r="X88" s="38" t="str">
        <f>Notes!T89</f>
        <v xml:space="preserve">      Chemical products</v>
      </c>
      <c r="Y88" s="4" t="s">
        <v>382</v>
      </c>
      <c r="Z88" s="44">
        <v>0.71318134230789221</v>
      </c>
      <c r="AA88" s="42">
        <v>2.1282377849077619E-4</v>
      </c>
      <c r="AB88" s="42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  <c r="AO88" s="40" t="s">
        <v>48</v>
      </c>
      <c r="AP88" s="40" t="s">
        <v>48</v>
      </c>
    </row>
    <row r="89" spans="1:42" x14ac:dyDescent="0.3">
      <c r="A89" s="12">
        <v>82</v>
      </c>
      <c r="B89" s="33"/>
      <c r="C89" s="38" t="str">
        <f>Notes!T90</f>
        <v xml:space="preserve">         Petroleum products</v>
      </c>
      <c r="D89" s="4" t="s">
        <v>383</v>
      </c>
      <c r="E89" s="44">
        <v>7.971032990445677E-2</v>
      </c>
      <c r="F89" s="42">
        <v>3.0618929852913146</v>
      </c>
      <c r="G89" s="42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U89" s="40" t="s">
        <v>48</v>
      </c>
      <c r="W89" s="33"/>
      <c r="X89" s="38" t="str">
        <f>Notes!T90</f>
        <v xml:space="preserve">         Petroleum products</v>
      </c>
      <c r="Y89" s="4" t="s">
        <v>383</v>
      </c>
      <c r="Z89" s="44">
        <v>7.971032990445677E-2</v>
      </c>
      <c r="AA89" s="42">
        <v>2.584129011651325E-5</v>
      </c>
      <c r="AB89" s="42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  <c r="AO89" s="40" t="s">
        <v>48</v>
      </c>
      <c r="AP89" s="40" t="s">
        <v>48</v>
      </c>
    </row>
    <row r="90" spans="1:42" x14ac:dyDescent="0.3">
      <c r="A90" s="12">
        <v>83</v>
      </c>
      <c r="B90" s="33"/>
      <c r="C90" s="38" t="str">
        <f>Notes!T91</f>
        <v xml:space="preserve">         Fertilizers and herbicides</v>
      </c>
      <c r="D90" s="4" t="s">
        <v>384</v>
      </c>
      <c r="E90" s="44">
        <v>0.13922577888102694</v>
      </c>
      <c r="F90" s="42">
        <v>3.0391407016275407</v>
      </c>
      <c r="G90" s="42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U90" s="40" t="s">
        <v>48</v>
      </c>
      <c r="W90" s="33"/>
      <c r="X90" s="38" t="str">
        <f>Notes!T91</f>
        <v xml:space="preserve">         Fertilizers and herbicides</v>
      </c>
      <c r="Y90" s="4" t="s">
        <v>384</v>
      </c>
      <c r="Z90" s="44">
        <v>0.13922577888102694</v>
      </c>
      <c r="AA90" s="42">
        <v>-1.6994325861797391E-4</v>
      </c>
      <c r="AB90" s="42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  <c r="AO90" s="40" t="s">
        <v>48</v>
      </c>
      <c r="AP90" s="40" t="s">
        <v>48</v>
      </c>
    </row>
    <row r="91" spans="1:42" x14ac:dyDescent="0.3">
      <c r="A91" s="12">
        <v>84</v>
      </c>
      <c r="B91" s="33"/>
      <c r="C91" s="38" t="str">
        <f>Notes!T92</f>
        <v xml:space="preserve">         Other chemicals</v>
      </c>
      <c r="D91" s="4" t="s">
        <v>385</v>
      </c>
      <c r="E91" s="44">
        <v>0.49424523352240857</v>
      </c>
      <c r="F91" s="42">
        <v>3.0677494991914855</v>
      </c>
      <c r="G91" s="42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U91" s="40" t="s">
        <v>48</v>
      </c>
      <c r="W91" s="33"/>
      <c r="X91" s="38" t="str">
        <f>Notes!T92</f>
        <v xml:space="preserve">         Other chemicals</v>
      </c>
      <c r="Y91" s="4" t="s">
        <v>385</v>
      </c>
      <c r="Z91" s="44">
        <v>0.49424523352240857</v>
      </c>
      <c r="AA91" s="42">
        <v>3.5692574699222601E-4</v>
      </c>
      <c r="AB91" s="42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  <c r="AO91" s="40" t="s">
        <v>48</v>
      </c>
      <c r="AP91" s="40" t="s">
        <v>48</v>
      </c>
    </row>
    <row r="92" spans="1:42" x14ac:dyDescent="0.3">
      <c r="A92" s="12">
        <v>85</v>
      </c>
      <c r="B92" s="33"/>
      <c r="C92" s="38" t="str">
        <f>Notes!T93</f>
        <v xml:space="preserve">      Non-metal minerals</v>
      </c>
      <c r="D92" s="4" t="s">
        <v>386</v>
      </c>
      <c r="E92" s="44">
        <v>2.9460631287813572</v>
      </c>
      <c r="F92" s="42">
        <v>3.0508970154391024</v>
      </c>
      <c r="G92" s="42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U92" s="40" t="s">
        <v>48</v>
      </c>
      <c r="W92" s="33"/>
      <c r="X92" s="38" t="str">
        <f>Notes!T93</f>
        <v xml:space="preserve">      Non-metal minerals</v>
      </c>
      <c r="Y92" s="4" t="s">
        <v>386</v>
      </c>
      <c r="Z92" s="44">
        <v>2.9460631287813572</v>
      </c>
      <c r="AA92" s="42">
        <v>-1.2451924547629556E-3</v>
      </c>
      <c r="AB92" s="42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  <c r="AO92" s="40" t="s">
        <v>48</v>
      </c>
      <c r="AP92" s="40" t="s">
        <v>48</v>
      </c>
    </row>
    <row r="93" spans="1:42" x14ac:dyDescent="0.3">
      <c r="A93" s="12">
        <v>86</v>
      </c>
      <c r="B93" s="33"/>
      <c r="C93" s="38" t="str">
        <f>Notes!T94</f>
        <v xml:space="preserve">      Metals and metal products</v>
      </c>
      <c r="D93" s="4" t="s">
        <v>388</v>
      </c>
      <c r="E93" s="44">
        <v>1.6338633390947326</v>
      </c>
      <c r="F93" s="42">
        <v>3.0373066472869192</v>
      </c>
      <c r="G93" s="42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U93" s="40" t="s">
        <v>48</v>
      </c>
      <c r="W93" s="33"/>
      <c r="X93" s="38" t="str">
        <f>Notes!T94</f>
        <v xml:space="preserve">      Metals and metal products</v>
      </c>
      <c r="Y93" s="4" t="s">
        <v>388</v>
      </c>
      <c r="Z93" s="44">
        <v>1.6338633390947326</v>
      </c>
      <c r="AA93" s="42">
        <v>-2.1976590591152312E-3</v>
      </c>
      <c r="AB93" s="42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  <c r="AO93" s="40" t="s">
        <v>48</v>
      </c>
      <c r="AP93" s="40" t="s">
        <v>48</v>
      </c>
    </row>
    <row r="94" spans="1:42" x14ac:dyDescent="0.3">
      <c r="A94" s="12">
        <v>87</v>
      </c>
      <c r="B94" s="33"/>
      <c r="C94" s="38" t="str">
        <f>Notes!T95</f>
        <v xml:space="preserve">      Machinery and equipment</v>
      </c>
      <c r="D94" s="4" t="s">
        <v>389</v>
      </c>
      <c r="E94" s="44">
        <v>2.2978280877973387</v>
      </c>
      <c r="F94" s="42">
        <v>3.0430523456759229</v>
      </c>
      <c r="G94" s="42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U94" s="40" t="s">
        <v>48</v>
      </c>
      <c r="W94" s="33"/>
      <c r="X94" s="38" t="str">
        <f>Notes!T95</f>
        <v xml:space="preserve">      Machinery and equipment</v>
      </c>
      <c r="Y94" s="4" t="s">
        <v>389</v>
      </c>
      <c r="Z94" s="44">
        <v>2.2978280877973387</v>
      </c>
      <c r="AA94" s="42">
        <v>-2.1948530497226809E-3</v>
      </c>
      <c r="AB94" s="42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  <c r="AO94" s="40" t="s">
        <v>48</v>
      </c>
      <c r="AP94" s="40" t="s">
        <v>48</v>
      </c>
    </row>
    <row r="95" spans="1:42" x14ac:dyDescent="0.3">
      <c r="A95" s="12">
        <v>88</v>
      </c>
      <c r="B95" s="33"/>
      <c r="C95" s="38" t="str">
        <f>Notes!T96</f>
        <v xml:space="preserve">         Machinery and other equipment</v>
      </c>
      <c r="D95" s="4" t="s">
        <v>390</v>
      </c>
      <c r="E95" s="44">
        <v>5.2246767814505747E-2</v>
      </c>
      <c r="F95" s="42">
        <v>3.0450123300702847</v>
      </c>
      <c r="G95" s="42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U95" s="40" t="s">
        <v>48</v>
      </c>
      <c r="W95" s="33"/>
      <c r="X95" s="38" t="str">
        <f>Notes!T96</f>
        <v xml:space="preserve">         Machinery and other equipment</v>
      </c>
      <c r="Y95" s="4" t="s">
        <v>390</v>
      </c>
      <c r="Z95" s="44">
        <v>5.2246767814505747E-2</v>
      </c>
      <c r="AA95" s="42">
        <v>-4.2955116207445479E-5</v>
      </c>
      <c r="AB95" s="42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  <c r="AO95" s="40" t="s">
        <v>48</v>
      </c>
      <c r="AP95" s="40" t="s">
        <v>48</v>
      </c>
    </row>
    <row r="96" spans="1:42" x14ac:dyDescent="0.3">
      <c r="A96" s="12">
        <v>89</v>
      </c>
      <c r="B96" s="33"/>
      <c r="C96" s="38" t="str">
        <f>Notes!T97</f>
        <v xml:space="preserve">         Electrical equipment</v>
      </c>
      <c r="D96" s="4" t="s">
        <v>391</v>
      </c>
      <c r="E96" s="44">
        <v>0.11009566666719413</v>
      </c>
      <c r="F96" s="42">
        <v>3.0596052937332585</v>
      </c>
      <c r="G96" s="42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U96" s="40" t="s">
        <v>48</v>
      </c>
      <c r="W96" s="33"/>
      <c r="X96" s="38" t="str">
        <f>Notes!T97</f>
        <v xml:space="preserve">         Electrical equipment</v>
      </c>
      <c r="Y96" s="4" t="s">
        <v>391</v>
      </c>
      <c r="Z96" s="44">
        <v>0.11009566666719413</v>
      </c>
      <c r="AA96" s="42">
        <v>1.8580751046061092E-5</v>
      </c>
      <c r="AB96" s="42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  <c r="AO96" s="40" t="s">
        <v>48</v>
      </c>
      <c r="AP96" s="40" t="s">
        <v>48</v>
      </c>
    </row>
    <row r="97" spans="1:42" x14ac:dyDescent="0.3">
      <c r="A97" s="12">
        <v>90</v>
      </c>
      <c r="B97" s="33"/>
      <c r="C97" s="38" t="str">
        <f>Notes!T98</f>
        <v xml:space="preserve">         Vehicles and transport equipment</v>
      </c>
      <c r="D97" s="4" t="s">
        <v>392</v>
      </c>
      <c r="E97" s="44">
        <v>2.135485653315639</v>
      </c>
      <c r="F97" s="42">
        <v>3.0421505622354017</v>
      </c>
      <c r="G97" s="42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U97" s="40" t="s">
        <v>48</v>
      </c>
      <c r="W97" s="33"/>
      <c r="X97" s="38" t="str">
        <f>Notes!T98</f>
        <v xml:space="preserve">         Vehicles and transport equipment</v>
      </c>
      <c r="Y97" s="4" t="s">
        <v>392</v>
      </c>
      <c r="Z97" s="44">
        <v>2.135485653315639</v>
      </c>
      <c r="AA97" s="42">
        <v>-2.1704786845617302E-3</v>
      </c>
      <c r="AB97" s="42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  <c r="AO97" s="40" t="s">
        <v>48</v>
      </c>
      <c r="AP97" s="40" t="s">
        <v>48</v>
      </c>
    </row>
    <row r="98" spans="1:42" x14ac:dyDescent="0.3">
      <c r="A98" s="12">
        <v>91</v>
      </c>
      <c r="B98" s="33"/>
      <c r="C98" s="38" t="str">
        <f>Notes!T99</f>
        <v xml:space="preserve">      Other manufacturing</v>
      </c>
      <c r="D98" s="4" t="s">
        <v>393</v>
      </c>
      <c r="E98" s="44">
        <v>2.5766216901069221</v>
      </c>
      <c r="F98" s="42">
        <v>3.055939600391766</v>
      </c>
      <c r="G98" s="42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U98" s="40" t="s">
        <v>48</v>
      </c>
      <c r="W98" s="33"/>
      <c r="X98" s="38" t="str">
        <f>Notes!T99</f>
        <v xml:space="preserve">      Other manufacturing</v>
      </c>
      <c r="Y98" s="4" t="s">
        <v>393</v>
      </c>
      <c r="Z98" s="44">
        <v>2.5766216901069221</v>
      </c>
      <c r="AA98" s="42">
        <v>-2.0671466964862495E-4</v>
      </c>
      <c r="AB98" s="42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  <c r="AO98" s="40" t="s">
        <v>48</v>
      </c>
      <c r="AP98" s="40" t="s">
        <v>48</v>
      </c>
    </row>
    <row r="99" spans="1:42" x14ac:dyDescent="0.3">
      <c r="A99" s="12">
        <v>92</v>
      </c>
      <c r="B99" s="33"/>
      <c r="C99" s="38" t="str">
        <f>Notes!T100</f>
        <v xml:space="preserve">   Utilities</v>
      </c>
      <c r="D99" s="4" t="s">
        <v>395</v>
      </c>
      <c r="E99" s="44">
        <v>1.3307617917290735</v>
      </c>
      <c r="F99" s="42">
        <v>3.0458924801122667</v>
      </c>
      <c r="G99" s="42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U99" s="40" t="s">
        <v>48</v>
      </c>
      <c r="W99" s="33"/>
      <c r="X99" s="38" t="str">
        <f>Notes!T100</f>
        <v xml:space="preserve">   Utilities</v>
      </c>
      <c r="Y99" s="4" t="s">
        <v>395</v>
      </c>
      <c r="Z99" s="44">
        <v>1.3307617917290735</v>
      </c>
      <c r="AA99" s="42">
        <v>-1.014594186745689E-3</v>
      </c>
      <c r="AB99" s="42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  <c r="AO99" s="40" t="s">
        <v>48</v>
      </c>
      <c r="AP99" s="40" t="s">
        <v>48</v>
      </c>
    </row>
    <row r="100" spans="1:42" x14ac:dyDescent="0.3">
      <c r="A100" s="12">
        <v>93</v>
      </c>
      <c r="B100" s="33"/>
      <c r="C100" s="38" t="str">
        <f>Notes!T101</f>
        <v xml:space="preserve">      Electricity, gas and steam</v>
      </c>
      <c r="D100" s="4" t="s">
        <v>397</v>
      </c>
      <c r="E100" s="44">
        <v>1.2408248005673266</v>
      </c>
      <c r="F100" s="42">
        <v>3.0452660321180103</v>
      </c>
      <c r="G100" s="42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U100" s="40" t="s">
        <v>48</v>
      </c>
      <c r="W100" s="33"/>
      <c r="X100" s="38" t="str">
        <f>Notes!T101</f>
        <v xml:space="preserve">      Electricity, gas and steam</v>
      </c>
      <c r="Y100" s="4" t="s">
        <v>397</v>
      </c>
      <c r="Z100" s="44">
        <v>1.2408248005673266</v>
      </c>
      <c r="AA100" s="42">
        <v>-9.9878707429269104E-4</v>
      </c>
      <c r="AB100" s="42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  <c r="AO100" s="40" t="s">
        <v>48</v>
      </c>
      <c r="AP100" s="40" t="s">
        <v>48</v>
      </c>
    </row>
    <row r="101" spans="1:42" x14ac:dyDescent="0.3">
      <c r="A101" s="12">
        <v>94</v>
      </c>
      <c r="B101" s="33"/>
      <c r="C101" s="38" t="str">
        <f>Notes!T102</f>
        <v xml:space="preserve">      Water supply and sewage</v>
      </c>
      <c r="D101" s="4" t="s">
        <v>399</v>
      </c>
      <c r="E101" s="44">
        <v>8.9936991161746929E-2</v>
      </c>
      <c r="F101" s="42">
        <v>3.0545330017799577</v>
      </c>
      <c r="G101" s="42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U101" s="40" t="s">
        <v>48</v>
      </c>
      <c r="W101" s="33"/>
      <c r="X101" s="38" t="str">
        <f>Notes!T102</f>
        <v xml:space="preserve">      Water supply and sewage</v>
      </c>
      <c r="Y101" s="4" t="s">
        <v>399</v>
      </c>
      <c r="Z101" s="44">
        <v>8.9936991161746929E-2</v>
      </c>
      <c r="AA101" s="42">
        <v>-1.5807112452965403E-5</v>
      </c>
      <c r="AB101" s="42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  <c r="AO101" s="40" t="s">
        <v>48</v>
      </c>
      <c r="AP101" s="40" t="s">
        <v>48</v>
      </c>
    </row>
    <row r="102" spans="1:42" x14ac:dyDescent="0.3">
      <c r="A102" s="12">
        <v>95</v>
      </c>
      <c r="B102" s="33"/>
      <c r="C102" s="38" t="str">
        <f>Notes!T103</f>
        <v xml:space="preserve">   Construction</v>
      </c>
      <c r="D102" s="4" t="s">
        <v>401</v>
      </c>
      <c r="E102" s="44">
        <v>9.7635432725299705</v>
      </c>
      <c r="F102" s="42">
        <v>3.0367491139934311</v>
      </c>
      <c r="G102" s="42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U102" s="40" t="s">
        <v>48</v>
      </c>
      <c r="W102" s="33"/>
      <c r="X102" s="38" t="str">
        <f>Notes!T103</f>
        <v xml:space="preserve">   Construction</v>
      </c>
      <c r="Y102" s="4" t="s">
        <v>401</v>
      </c>
      <c r="Z102" s="44">
        <v>9.7635432725299705</v>
      </c>
      <c r="AA102" s="42">
        <v>-1.3501949438293748E-2</v>
      </c>
      <c r="AB102" s="42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  <c r="AO102" s="40" t="s">
        <v>48</v>
      </c>
      <c r="AP102" s="40" t="s">
        <v>48</v>
      </c>
    </row>
    <row r="103" spans="1:42" x14ac:dyDescent="0.3">
      <c r="A103" s="12">
        <v>96</v>
      </c>
      <c r="B103" s="33"/>
      <c r="C103" s="38" t="str">
        <f>Notes!T104</f>
        <v>Services</v>
      </c>
      <c r="D103" s="4" t="s">
        <v>403</v>
      </c>
      <c r="E103" s="44">
        <v>53.185949192735791</v>
      </c>
      <c r="F103" s="42">
        <v>3.0827545488869568</v>
      </c>
      <c r="G103" s="42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U103" s="40" t="s">
        <v>48</v>
      </c>
      <c r="W103" s="33"/>
      <c r="X103" s="38" t="str">
        <f>Notes!T104</f>
        <v>Services</v>
      </c>
      <c r="Y103" s="4" t="s">
        <v>403</v>
      </c>
      <c r="Z103" s="44">
        <v>53.185949192735791</v>
      </c>
      <c r="AA103" s="42">
        <v>9.2673062867687506E-2</v>
      </c>
      <c r="AB103" s="42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  <c r="AO103" s="40" t="s">
        <v>48</v>
      </c>
      <c r="AP103" s="40" t="s">
        <v>48</v>
      </c>
    </row>
    <row r="104" spans="1:42" x14ac:dyDescent="0.3">
      <c r="A104" s="12">
        <v>97</v>
      </c>
      <c r="B104" s="33"/>
      <c r="C104" s="38" t="str">
        <f>Notes!T105</f>
        <v xml:space="preserve">   Trade and food services</v>
      </c>
      <c r="D104" s="4" t="s">
        <v>405</v>
      </c>
      <c r="E104" s="44">
        <v>16.338958081771604</v>
      </c>
      <c r="F104" s="42">
        <v>3.0454738505461876</v>
      </c>
      <c r="G104" s="42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U104" s="40" t="s">
        <v>48</v>
      </c>
      <c r="W104" s="33"/>
      <c r="X104" s="38" t="str">
        <f>Notes!T105</f>
        <v xml:space="preserve">   Trade and food services</v>
      </c>
      <c r="Y104" s="4" t="s">
        <v>405</v>
      </c>
      <c r="Z104" s="44">
        <v>16.338958081771604</v>
      </c>
      <c r="AA104" s="42">
        <v>-1.2921369803681193E-2</v>
      </c>
      <c r="AB104" s="42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  <c r="AO104" s="40" t="s">
        <v>48</v>
      </c>
      <c r="AP104" s="40" t="s">
        <v>48</v>
      </c>
    </row>
    <row r="105" spans="1:42" x14ac:dyDescent="0.3">
      <c r="A105" s="12">
        <v>98</v>
      </c>
      <c r="B105" s="33"/>
      <c r="C105" s="38" t="str">
        <f>Notes!T106</f>
        <v xml:space="preserve">      Wholesale and retail trade</v>
      </c>
      <c r="D105" s="4" t="s">
        <v>407</v>
      </c>
      <c r="E105" s="44">
        <v>15.103994505166376</v>
      </c>
      <c r="F105" s="42">
        <v>3.0461861938369861</v>
      </c>
      <c r="G105" s="42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U105" s="40" t="s">
        <v>48</v>
      </c>
      <c r="W105" s="33"/>
      <c r="X105" s="38" t="str">
        <f>Notes!T106</f>
        <v xml:space="preserve">      Wholesale and retail trade</v>
      </c>
      <c r="Y105" s="4" t="s">
        <v>407</v>
      </c>
      <c r="Z105" s="44">
        <v>15.103994505166376</v>
      </c>
      <c r="AA105" s="42">
        <v>-1.1214396968134421E-2</v>
      </c>
      <c r="AB105" s="42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  <c r="AO105" s="40" t="s">
        <v>48</v>
      </c>
      <c r="AP105" s="40" t="s">
        <v>48</v>
      </c>
    </row>
    <row r="106" spans="1:42" x14ac:dyDescent="0.3">
      <c r="A106" s="12">
        <v>99</v>
      </c>
      <c r="B106" s="33"/>
      <c r="C106" s="38" t="str">
        <f>Notes!T107</f>
        <v xml:space="preserve">      Accommodation</v>
      </c>
      <c r="D106" s="4" t="s">
        <v>413</v>
      </c>
      <c r="E106" s="44">
        <v>0.19580321659394134</v>
      </c>
      <c r="F106" s="42">
        <v>2.9858469286772049</v>
      </c>
      <c r="G106" s="42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U106" s="40" t="s">
        <v>48</v>
      </c>
      <c r="W106" s="33"/>
      <c r="X106" s="38" t="str">
        <f>Notes!T107</f>
        <v xml:space="preserve">      Accommodation</v>
      </c>
      <c r="Y106" s="4" t="s">
        <v>413</v>
      </c>
      <c r="Z106" s="44">
        <v>0.19580321659394134</v>
      </c>
      <c r="AA106" s="42">
        <v>-9.459520282223844E-4</v>
      </c>
      <c r="AB106" s="42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  <c r="AO106" s="40" t="s">
        <v>48</v>
      </c>
      <c r="AP106" s="40" t="s">
        <v>48</v>
      </c>
    </row>
    <row r="107" spans="1:42" x14ac:dyDescent="0.3">
      <c r="A107" s="12">
        <v>100</v>
      </c>
      <c r="B107" s="33"/>
      <c r="C107" s="38" t="str">
        <f>Notes!T108</f>
        <v xml:space="preserve">      Restaurants and food services</v>
      </c>
      <c r="D107" s="4" t="s">
        <v>414</v>
      </c>
      <c r="E107" s="44">
        <v>1.039160360011288</v>
      </c>
      <c r="F107" s="42">
        <v>3.0463355275021309</v>
      </c>
      <c r="G107" s="42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U107" s="40" t="s">
        <v>48</v>
      </c>
      <c r="W107" s="33"/>
      <c r="X107" s="38" t="str">
        <f>Notes!T108</f>
        <v xml:space="preserve">      Restaurants and food services</v>
      </c>
      <c r="Y107" s="4" t="s">
        <v>414</v>
      </c>
      <c r="Z107" s="44">
        <v>1.039160360011288</v>
      </c>
      <c r="AA107" s="42">
        <v>-7.61020807322349E-4</v>
      </c>
      <c r="AB107" s="42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  <c r="AO107" s="40" t="s">
        <v>48</v>
      </c>
      <c r="AP107" s="40" t="s">
        <v>48</v>
      </c>
    </row>
    <row r="108" spans="1:42" x14ac:dyDescent="0.3">
      <c r="A108" s="12">
        <v>101</v>
      </c>
      <c r="B108" s="33"/>
      <c r="C108" s="38" t="str">
        <f>Notes!T109</f>
        <v xml:space="preserve">   Transport and communication</v>
      </c>
      <c r="D108" s="4" t="s">
        <v>409</v>
      </c>
      <c r="E108" s="44">
        <v>8.4735748932345238</v>
      </c>
      <c r="F108" s="42">
        <v>3.0506966157485271</v>
      </c>
      <c r="G108" s="42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U108" s="40" t="s">
        <v>48</v>
      </c>
      <c r="W108" s="33"/>
      <c r="X108" s="38" t="str">
        <f>Notes!T109</f>
        <v xml:space="preserve">   Transport and communication</v>
      </c>
      <c r="Y108" s="4" t="s">
        <v>409</v>
      </c>
      <c r="Z108" s="44">
        <v>8.4735748932345238</v>
      </c>
      <c r="AA108" s="42">
        <v>-3.696766788756356E-3</v>
      </c>
      <c r="AB108" s="42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  <c r="AO108" s="40" t="s">
        <v>48</v>
      </c>
      <c r="AP108" s="40" t="s">
        <v>48</v>
      </c>
    </row>
    <row r="109" spans="1:42" x14ac:dyDescent="0.3">
      <c r="A109" s="12">
        <v>102</v>
      </c>
      <c r="B109" s="33"/>
      <c r="C109" s="38" t="str">
        <f>Notes!T110</f>
        <v xml:space="preserve">      Transportation and storage</v>
      </c>
      <c r="D109" s="4" t="s">
        <v>411</v>
      </c>
      <c r="E109" s="44">
        <v>7.4356718433976425</v>
      </c>
      <c r="F109" s="42">
        <v>3.0501602676425321</v>
      </c>
      <c r="G109" s="42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U109" s="40" t="s">
        <v>48</v>
      </c>
      <c r="W109" s="33"/>
      <c r="X109" s="38" t="str">
        <f>Notes!T110</f>
        <v xml:space="preserve">      Transportation and storage</v>
      </c>
      <c r="Y109" s="4" t="s">
        <v>411</v>
      </c>
      <c r="Z109" s="44">
        <v>7.4356718433976425</v>
      </c>
      <c r="AA109" s="42">
        <v>-3.5147415392747239E-3</v>
      </c>
      <c r="AB109" s="42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  <c r="AO109" s="40" t="s">
        <v>48</v>
      </c>
      <c r="AP109" s="40" t="s">
        <v>48</v>
      </c>
    </row>
    <row r="110" spans="1:42" x14ac:dyDescent="0.3">
      <c r="A110" s="12">
        <v>103</v>
      </c>
      <c r="B110" s="33"/>
      <c r="C110" s="38" t="str">
        <f>Notes!T111</f>
        <v xml:space="preserve">      Information and communication</v>
      </c>
      <c r="D110" s="4" t="s">
        <v>415</v>
      </c>
      <c r="E110" s="44">
        <v>1.0379030498368818</v>
      </c>
      <c r="F110" s="42">
        <v>3.0545385932924995</v>
      </c>
      <c r="G110" s="42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U110" s="40" t="s">
        <v>48</v>
      </c>
      <c r="W110" s="33"/>
      <c r="X110" s="38" t="str">
        <f>Notes!T111</f>
        <v xml:space="preserve">      Information and communication</v>
      </c>
      <c r="Y110" s="4" t="s">
        <v>415</v>
      </c>
      <c r="Z110" s="44">
        <v>1.0379030498368818</v>
      </c>
      <c r="AA110" s="42">
        <v>-1.8202524948215254E-4</v>
      </c>
      <c r="AB110" s="42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  <c r="AO110" s="40" t="s">
        <v>48</v>
      </c>
      <c r="AP110" s="40" t="s">
        <v>48</v>
      </c>
    </row>
    <row r="111" spans="1:42" x14ac:dyDescent="0.3">
      <c r="A111" s="12">
        <v>104</v>
      </c>
      <c r="B111" s="33"/>
      <c r="C111" s="38" t="str">
        <f>Notes!T112</f>
        <v xml:space="preserve">   Finance and business services</v>
      </c>
      <c r="D111" s="4" t="s">
        <v>417</v>
      </c>
      <c r="E111" s="44">
        <v>12.910982180319417</v>
      </c>
      <c r="F111" s="42">
        <v>3.0594086226689132</v>
      </c>
      <c r="G111" s="42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U111" s="40" t="s">
        <v>48</v>
      </c>
      <c r="W111" s="33"/>
      <c r="X111" s="38" t="str">
        <f>Notes!T112</f>
        <v xml:space="preserve">   Finance and business services</v>
      </c>
      <c r="Y111" s="4" t="s">
        <v>417</v>
      </c>
      <c r="Z111" s="44">
        <v>12.910982180319417</v>
      </c>
      <c r="AA111" s="42">
        <v>2.0064789340773492E-3</v>
      </c>
      <c r="AB111" s="42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  <c r="AO111" s="40" t="s">
        <v>48</v>
      </c>
      <c r="AP111" s="40" t="s">
        <v>48</v>
      </c>
    </row>
    <row r="112" spans="1:42" x14ac:dyDescent="0.3">
      <c r="A112" s="12">
        <v>105</v>
      </c>
      <c r="B112" s="33"/>
      <c r="C112" s="38" t="str">
        <f>Notes!T113</f>
        <v xml:space="preserve">      Finance and insurance</v>
      </c>
      <c r="D112" s="4" t="s">
        <v>419</v>
      </c>
      <c r="E112" s="44">
        <v>2.8100730814256423</v>
      </c>
      <c r="F112" s="42">
        <v>3.0401531761304668</v>
      </c>
      <c r="G112" s="42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U112" s="40" t="s">
        <v>48</v>
      </c>
      <c r="W112" s="33"/>
      <c r="X112" s="38" t="str">
        <f>Notes!T113</f>
        <v xml:space="preserve">      Finance and insurance</v>
      </c>
      <c r="Y112" s="4" t="s">
        <v>419</v>
      </c>
      <c r="Z112" s="44">
        <v>2.8100730814256423</v>
      </c>
      <c r="AA112" s="42">
        <v>-3.2370069646327215E-3</v>
      </c>
      <c r="AB112" s="42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  <c r="AO112" s="40" t="s">
        <v>48</v>
      </c>
      <c r="AP112" s="40" t="s">
        <v>48</v>
      </c>
    </row>
    <row r="113" spans="1:42" x14ac:dyDescent="0.3">
      <c r="A113" s="12">
        <v>106</v>
      </c>
      <c r="B113" s="33"/>
      <c r="C113" s="38" t="str">
        <f>Notes!T114</f>
        <v xml:space="preserve">      Real estate activities</v>
      </c>
      <c r="D113" s="4" t="s">
        <v>421</v>
      </c>
      <c r="E113" s="44">
        <v>8.549184660361087</v>
      </c>
      <c r="F113" s="42">
        <v>3.0646431735194213</v>
      </c>
      <c r="G113" s="42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U113" s="40" t="s">
        <v>48</v>
      </c>
      <c r="W113" s="33"/>
      <c r="X113" s="38" t="str">
        <f>Notes!T114</f>
        <v xml:space="preserve">      Real estate activities</v>
      </c>
      <c r="Y113" s="4" t="s">
        <v>421</v>
      </c>
      <c r="Z113" s="44">
        <v>8.549184660361087</v>
      </c>
      <c r="AA113" s="42">
        <v>4.3691398603024068E-3</v>
      </c>
      <c r="AB113" s="42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  <c r="AO113" s="40" t="s">
        <v>48</v>
      </c>
      <c r="AP113" s="40" t="s">
        <v>48</v>
      </c>
    </row>
    <row r="114" spans="1:42" x14ac:dyDescent="0.3">
      <c r="A114" s="12">
        <v>107</v>
      </c>
      <c r="B114" s="33"/>
      <c r="C114" s="38" t="str">
        <f>Notes!T115</f>
        <v xml:space="preserve">      Business services</v>
      </c>
      <c r="D114" s="4" t="s">
        <v>423</v>
      </c>
      <c r="E114" s="44">
        <v>1.5517244385326887</v>
      </c>
      <c r="F114" s="42">
        <v>3.0654143936806877</v>
      </c>
      <c r="G114" s="42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U114" s="40" t="s">
        <v>48</v>
      </c>
      <c r="W114" s="33"/>
      <c r="X114" s="38" t="str">
        <f>Notes!T115</f>
        <v xml:space="preserve">      Business services</v>
      </c>
      <c r="Y114" s="4" t="s">
        <v>423</v>
      </c>
      <c r="Z114" s="44">
        <v>1.5517244385326887</v>
      </c>
      <c r="AA114" s="42">
        <v>8.7434603840766401E-4</v>
      </c>
      <c r="AB114" s="42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  <c r="AO114" s="40" t="s">
        <v>48</v>
      </c>
      <c r="AP114" s="40" t="s">
        <v>48</v>
      </c>
    </row>
    <row r="115" spans="1:42" x14ac:dyDescent="0.3">
      <c r="A115" s="12">
        <v>108</v>
      </c>
      <c r="B115" s="33"/>
      <c r="C115" s="38" t="str">
        <f>Notes!T116</f>
        <v xml:space="preserve">   Public and social services</v>
      </c>
      <c r="D115" s="4" t="s">
        <v>425</v>
      </c>
      <c r="E115" s="44">
        <v>10.22303409605313</v>
      </c>
      <c r="F115" s="42">
        <v>3.2125215043689481</v>
      </c>
      <c r="G115" s="42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U115" s="40" t="s">
        <v>48</v>
      </c>
      <c r="W115" s="33"/>
      <c r="X115" s="38" t="str">
        <f>Notes!T116</f>
        <v xml:space="preserve">   Public and social services</v>
      </c>
      <c r="Y115" s="4" t="s">
        <v>425</v>
      </c>
      <c r="Z115" s="44">
        <v>10.22303409605313</v>
      </c>
      <c r="AA115" s="42">
        <v>0.10839718593320252</v>
      </c>
      <c r="AB115" s="42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  <c r="AO115" s="40" t="s">
        <v>48</v>
      </c>
      <c r="AP115" s="40" t="s">
        <v>48</v>
      </c>
    </row>
    <row r="116" spans="1:42" x14ac:dyDescent="0.3">
      <c r="A116" s="12">
        <v>109</v>
      </c>
      <c r="B116" s="33"/>
      <c r="C116" s="38" t="str">
        <f>Notes!T117</f>
        <v xml:space="preserve">      Public administration</v>
      </c>
      <c r="D116" s="4" t="s">
        <v>427</v>
      </c>
      <c r="E116" s="44">
        <v>2.7549075754581609</v>
      </c>
      <c r="F116" s="42">
        <v>3.3434723704219849</v>
      </c>
      <c r="G116" s="42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U116" s="40" t="s">
        <v>48</v>
      </c>
      <c r="W116" s="33"/>
      <c r="X116" s="38" t="str">
        <f>Notes!T117</f>
        <v xml:space="preserve">      Public administration</v>
      </c>
      <c r="Y116" s="4" t="s">
        <v>427</v>
      </c>
      <c r="Z116" s="44">
        <v>2.7549075754581609</v>
      </c>
      <c r="AA116" s="42">
        <v>5.4031682551574853E-2</v>
      </c>
      <c r="AB116" s="42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  <c r="AO116" s="40" t="s">
        <v>48</v>
      </c>
      <c r="AP116" s="40" t="s">
        <v>48</v>
      </c>
    </row>
    <row r="117" spans="1:42" x14ac:dyDescent="0.3">
      <c r="A117" s="12">
        <v>110</v>
      </c>
      <c r="B117" s="33"/>
      <c r="C117" s="38" t="str">
        <f>Notes!T118</f>
        <v xml:space="preserve">      Education</v>
      </c>
      <c r="D117" s="4" t="s">
        <v>429</v>
      </c>
      <c r="E117" s="44">
        <v>2.7193009176240555</v>
      </c>
      <c r="F117" s="42">
        <v>3.2404254824129008</v>
      </c>
      <c r="G117" s="42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U117" s="40" t="s">
        <v>48</v>
      </c>
      <c r="W117" s="33"/>
      <c r="X117" s="38" t="str">
        <f>Notes!T118</f>
        <v xml:space="preserve">      Education</v>
      </c>
      <c r="Y117" s="4" t="s">
        <v>429</v>
      </c>
      <c r="Z117" s="44">
        <v>2.7193009176240555</v>
      </c>
      <c r="AA117" s="42">
        <v>3.4038389112805642E-2</v>
      </c>
      <c r="AB117" s="42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  <c r="AO117" s="40" t="s">
        <v>48</v>
      </c>
      <c r="AP117" s="40" t="s">
        <v>48</v>
      </c>
    </row>
    <row r="118" spans="1:42" x14ac:dyDescent="0.3">
      <c r="A118" s="12">
        <v>111</v>
      </c>
      <c r="B118" s="33"/>
      <c r="C118" s="38" t="str">
        <f>Notes!T119</f>
        <v xml:space="preserve">      Health and social work</v>
      </c>
      <c r="D118" s="4" t="s">
        <v>431</v>
      </c>
      <c r="E118" s="44">
        <v>4.7488256029709142</v>
      </c>
      <c r="F118" s="42">
        <v>3.1200241825747099</v>
      </c>
      <c r="G118" s="42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U118" s="40" t="s">
        <v>48</v>
      </c>
      <c r="W118" s="33"/>
      <c r="X118" s="38" t="str">
        <f>Notes!T119</f>
        <v xml:space="preserve">      Health and social work</v>
      </c>
      <c r="Y118" s="4" t="s">
        <v>431</v>
      </c>
      <c r="Z118" s="44">
        <v>4.7488256029709142</v>
      </c>
      <c r="AA118" s="42">
        <v>2.0327114268822721E-2</v>
      </c>
      <c r="AB118" s="42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  <c r="AO118" s="40" t="s">
        <v>48</v>
      </c>
      <c r="AP118" s="40" t="s">
        <v>48</v>
      </c>
    </row>
    <row r="119" spans="1:42" x14ac:dyDescent="0.3">
      <c r="A119" s="12">
        <v>112</v>
      </c>
      <c r="B119" s="33"/>
      <c r="C119" s="38" t="str">
        <f>Notes!T120</f>
        <v xml:space="preserve">   Other services</v>
      </c>
      <c r="D119" s="4" t="s">
        <v>433</v>
      </c>
      <c r="E119" s="44">
        <v>5.2393999413571164</v>
      </c>
      <c r="F119" s="42">
        <v>3.0539945235216193</v>
      </c>
      <c r="G119" s="42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U119" s="40" t="s">
        <v>48</v>
      </c>
      <c r="W119" s="33"/>
      <c r="X119" s="38" t="str">
        <f>Notes!T120</f>
        <v xml:space="preserve">   Other services</v>
      </c>
      <c r="Y119" s="4" t="s">
        <v>433</v>
      </c>
      <c r="Z119" s="44">
        <v>5.2393999413571164</v>
      </c>
      <c r="AA119" s="42">
        <v>-1.112465407159674E-3</v>
      </c>
      <c r="AB119" s="42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  <c r="AO119" s="40" t="s">
        <v>48</v>
      </c>
      <c r="AP119" s="40" t="s">
        <v>48</v>
      </c>
    </row>
    <row r="120" spans="1:42" x14ac:dyDescent="0.3">
      <c r="A120" s="12">
        <v>113</v>
      </c>
      <c r="B120" s="33"/>
      <c r="C120" s="38" t="str">
        <f>Notes!T121</f>
        <v xml:space="preserve">               </v>
      </c>
      <c r="D120" s="4" t="s">
        <v>427</v>
      </c>
      <c r="E120" s="44"/>
      <c r="F120" s="42"/>
      <c r="G120" s="4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W120" s="33"/>
      <c r="X120" s="38" t="str">
        <f>Notes!T121</f>
        <v xml:space="preserve">               </v>
      </c>
      <c r="Y120" s="4" t="s">
        <v>427</v>
      </c>
      <c r="Z120" s="44"/>
      <c r="AA120" s="42"/>
      <c r="AB120" s="42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</row>
    <row r="121" spans="1:42" x14ac:dyDescent="0.3">
      <c r="A121" s="12">
        <v>114</v>
      </c>
      <c r="B121" s="33"/>
      <c r="C121" s="38" t="str">
        <f>Notes!T122</f>
        <v xml:space="preserve">               </v>
      </c>
      <c r="D121" s="4" t="s">
        <v>429</v>
      </c>
      <c r="E121" s="44"/>
      <c r="F121" s="42"/>
      <c r="G121" s="4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W121" s="33"/>
      <c r="X121" s="38" t="str">
        <f>Notes!T122</f>
        <v xml:space="preserve">               </v>
      </c>
      <c r="Y121" s="4" t="s">
        <v>429</v>
      </c>
      <c r="Z121" s="44"/>
      <c r="AA121" s="42"/>
      <c r="AB121" s="42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 spans="1:42" x14ac:dyDescent="0.3">
      <c r="A122" s="12">
        <v>115</v>
      </c>
      <c r="B122" s="33"/>
      <c r="C122" s="38" t="str">
        <f>Notes!T123</f>
        <v xml:space="preserve">               </v>
      </c>
      <c r="D122" s="4" t="s">
        <v>431</v>
      </c>
      <c r="E122" s="44"/>
      <c r="F122" s="42"/>
      <c r="G122" s="4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W122" s="33"/>
      <c r="X122" s="38" t="str">
        <f>Notes!T123</f>
        <v xml:space="preserve">               </v>
      </c>
      <c r="Y122" s="4" t="s">
        <v>431</v>
      </c>
      <c r="Z122" s="44"/>
      <c r="AA122" s="42"/>
      <c r="AB122" s="42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 spans="1:42" x14ac:dyDescent="0.3">
      <c r="A123" s="12">
        <v>116</v>
      </c>
      <c r="B123" s="33"/>
      <c r="C123" s="38" t="str">
        <f>Notes!T124</f>
        <v xml:space="preserve">               </v>
      </c>
      <c r="D123" s="4" t="s">
        <v>433</v>
      </c>
      <c r="E123" s="44"/>
      <c r="F123" s="42"/>
      <c r="G123" s="4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W123" s="33"/>
      <c r="X123" s="38" t="str">
        <f>Notes!T124</f>
        <v xml:space="preserve">               </v>
      </c>
      <c r="Y123" s="4" t="s">
        <v>433</v>
      </c>
      <c r="Z123" s="44"/>
      <c r="AA123" s="42"/>
      <c r="AB123" s="42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</row>
    <row r="124" spans="1:42" x14ac:dyDescent="0.3">
      <c r="A124" s="12">
        <v>117</v>
      </c>
      <c r="B124" s="33"/>
      <c r="C124" s="38" t="str">
        <f>Notes!T125</f>
        <v xml:space="preserve">               </v>
      </c>
      <c r="D124" s="4"/>
      <c r="E124" s="44"/>
      <c r="F124" s="42"/>
      <c r="G124" s="4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W124" s="33"/>
      <c r="X124" s="38" t="str">
        <f>Notes!T125</f>
        <v xml:space="preserve">               </v>
      </c>
      <c r="Y124" s="4"/>
      <c r="Z124" s="44"/>
      <c r="AA124" s="42"/>
      <c r="AB124" s="42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 spans="1:42" x14ac:dyDescent="0.3">
      <c r="A125" s="12">
        <v>118</v>
      </c>
      <c r="B125" s="33"/>
      <c r="C125" s="38" t="str">
        <f>Notes!T126</f>
        <v xml:space="preserve">               </v>
      </c>
      <c r="D125" s="4"/>
      <c r="E125" s="44"/>
      <c r="F125" s="42"/>
      <c r="G125" s="4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W125" s="33"/>
      <c r="X125" s="38" t="str">
        <f>Notes!T126</f>
        <v xml:space="preserve">               </v>
      </c>
      <c r="Y125" s="4"/>
      <c r="Z125" s="44"/>
      <c r="AA125" s="42"/>
      <c r="AB125" s="42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</row>
    <row r="126" spans="1:42" x14ac:dyDescent="0.3">
      <c r="A126" s="12">
        <v>119</v>
      </c>
      <c r="B126" s="33"/>
      <c r="C126" s="38" t="str">
        <f>Notes!T127</f>
        <v xml:space="preserve">               </v>
      </c>
      <c r="D126" s="4"/>
      <c r="E126" s="44"/>
      <c r="F126" s="42"/>
      <c r="G126" s="4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W126" s="33"/>
      <c r="X126" s="38" t="str">
        <f>Notes!T127</f>
        <v xml:space="preserve">               </v>
      </c>
      <c r="Y126" s="4"/>
      <c r="Z126" s="44"/>
      <c r="AA126" s="42"/>
      <c r="AB126" s="42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 spans="1:42" x14ac:dyDescent="0.3">
      <c r="A127" s="12">
        <v>120</v>
      </c>
      <c r="B127" s="33"/>
      <c r="C127" s="38" t="str">
        <f>Notes!T128</f>
        <v xml:space="preserve">               </v>
      </c>
      <c r="D127" s="4"/>
      <c r="E127" s="44"/>
      <c r="F127" s="42"/>
      <c r="G127" s="4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W127" s="33"/>
      <c r="X127" s="38" t="str">
        <f>Notes!T128</f>
        <v xml:space="preserve">               </v>
      </c>
      <c r="Y127" s="4"/>
      <c r="Z127" s="44"/>
      <c r="AA127" s="42"/>
      <c r="AB127" s="42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 spans="1:42" x14ac:dyDescent="0.3">
      <c r="A128" s="12">
        <v>121</v>
      </c>
      <c r="B128" s="33"/>
      <c r="C128" s="38" t="str">
        <f>Notes!T129</f>
        <v xml:space="preserve">               </v>
      </c>
      <c r="D128" s="4"/>
      <c r="E128" s="44"/>
      <c r="F128" s="42"/>
      <c r="G128" s="4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W128" s="33"/>
      <c r="X128" s="38" t="str">
        <f>Notes!T129</f>
        <v xml:space="preserve">               </v>
      </c>
      <c r="Y128" s="4"/>
      <c r="Z128" s="44"/>
      <c r="AA128" s="42"/>
      <c r="AB128" s="42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</row>
    <row r="129" spans="1:42" x14ac:dyDescent="0.3">
      <c r="A129" s="12">
        <v>122</v>
      </c>
      <c r="B129" s="33"/>
      <c r="C129" s="38" t="str">
        <f>Notes!T130</f>
        <v xml:space="preserve">               </v>
      </c>
      <c r="D129" s="4"/>
      <c r="E129" s="44"/>
      <c r="F129" s="42"/>
      <c r="G129" s="4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W129" s="33"/>
      <c r="X129" s="38" t="str">
        <f>Notes!T130</f>
        <v xml:space="preserve">               </v>
      </c>
      <c r="Y129" s="4"/>
      <c r="Z129" s="44"/>
      <c r="AA129" s="42"/>
      <c r="AB129" s="42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</row>
    <row r="130" spans="1:42" x14ac:dyDescent="0.3">
      <c r="A130" s="12">
        <v>123</v>
      </c>
      <c r="B130" s="33"/>
      <c r="C130" s="38" t="str">
        <f>Notes!T131</f>
        <v xml:space="preserve">               </v>
      </c>
      <c r="D130" s="4"/>
      <c r="E130" s="44"/>
      <c r="F130" s="42"/>
      <c r="G130" s="4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W130" s="33"/>
      <c r="X130" s="38" t="str">
        <f>Notes!T131</f>
        <v xml:space="preserve">               </v>
      </c>
      <c r="Y130" s="4"/>
      <c r="Z130" s="44"/>
      <c r="AA130" s="42"/>
      <c r="AB130" s="42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</row>
    <row r="131" spans="1:42" x14ac:dyDescent="0.3">
      <c r="A131" s="12">
        <v>124</v>
      </c>
      <c r="B131" s="33"/>
      <c r="C131" s="38" t="str">
        <f>Notes!T132</f>
        <v xml:space="preserve">               </v>
      </c>
      <c r="D131" s="4"/>
      <c r="E131" s="44"/>
      <c r="F131" s="42"/>
      <c r="G131" s="4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W131" s="33"/>
      <c r="X131" s="38" t="str">
        <f>Notes!T132</f>
        <v xml:space="preserve">               </v>
      </c>
      <c r="Y131" s="4"/>
      <c r="Z131" s="44"/>
      <c r="AA131" s="42"/>
      <c r="AB131" s="42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</row>
    <row r="132" spans="1:42" x14ac:dyDescent="0.3">
      <c r="A132" s="12">
        <v>125</v>
      </c>
      <c r="B132" s="33"/>
      <c r="C132" s="38" t="str">
        <f>Notes!T133</f>
        <v xml:space="preserve">               </v>
      </c>
      <c r="D132" s="4"/>
      <c r="E132" s="44"/>
      <c r="F132" s="42"/>
      <c r="G132" s="4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W132" s="33"/>
      <c r="X132" s="38" t="str">
        <f>Notes!T133</f>
        <v xml:space="preserve">               </v>
      </c>
      <c r="Y132" s="4"/>
      <c r="Z132" s="44"/>
      <c r="AA132" s="42"/>
      <c r="AB132" s="42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 spans="1:42" x14ac:dyDescent="0.3">
      <c r="A133" s="12">
        <v>126</v>
      </c>
      <c r="B133" s="33"/>
      <c r="C133" s="38" t="str">
        <f>Notes!T134</f>
        <v xml:space="preserve">               </v>
      </c>
      <c r="D133" s="4"/>
      <c r="E133" s="44"/>
      <c r="F133" s="42"/>
      <c r="G133" s="4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W133" s="33"/>
      <c r="X133" s="38" t="str">
        <f>Notes!T134</f>
        <v xml:space="preserve">               </v>
      </c>
      <c r="Y133" s="4"/>
      <c r="Z133" s="44"/>
      <c r="AA133" s="42"/>
      <c r="AB133" s="42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 spans="1:42" x14ac:dyDescent="0.3">
      <c r="A134" s="12">
        <v>127</v>
      </c>
      <c r="B134" s="33"/>
      <c r="C134" s="38" t="str">
        <f>Notes!T135</f>
        <v xml:space="preserve">               </v>
      </c>
      <c r="D134" s="4"/>
      <c r="E134" s="44"/>
      <c r="F134" s="42"/>
      <c r="G134" s="4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W134" s="33"/>
      <c r="X134" s="38" t="str">
        <f>Notes!T135</f>
        <v xml:space="preserve">               </v>
      </c>
      <c r="Y134" s="4"/>
      <c r="Z134" s="44"/>
      <c r="AA134" s="42"/>
      <c r="AB134" s="42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 spans="1:42" x14ac:dyDescent="0.3">
      <c r="A135" s="12">
        <v>128</v>
      </c>
      <c r="B135" s="33"/>
      <c r="C135" s="38" t="str">
        <f>Notes!T136</f>
        <v xml:space="preserve">               </v>
      </c>
      <c r="D135" s="4"/>
      <c r="E135" s="44"/>
      <c r="F135" s="42"/>
      <c r="G135" s="4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W135" s="33"/>
      <c r="X135" s="38" t="str">
        <f>Notes!T136</f>
        <v xml:space="preserve">               </v>
      </c>
      <c r="Y135" s="4"/>
      <c r="Z135" s="44"/>
      <c r="AA135" s="42"/>
      <c r="AB135" s="42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</row>
    <row r="136" spans="1:42" x14ac:dyDescent="0.3">
      <c r="A136" s="12">
        <v>129</v>
      </c>
      <c r="B136" s="33"/>
      <c r="C136" s="38" t="str">
        <f>Notes!T137</f>
        <v xml:space="preserve">               </v>
      </c>
      <c r="D136" s="4"/>
      <c r="E136" s="44"/>
      <c r="F136" s="42"/>
      <c r="G136" s="4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W136" s="33"/>
      <c r="X136" s="38" t="str">
        <f>Notes!T137</f>
        <v xml:space="preserve">               </v>
      </c>
      <c r="Y136" s="4"/>
      <c r="Z136" s="44"/>
      <c r="AA136" s="42"/>
      <c r="AB136" s="42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</row>
    <row r="137" spans="1:42" x14ac:dyDescent="0.3">
      <c r="A137" s="12">
        <v>130</v>
      </c>
      <c r="B137" s="33"/>
      <c r="C137" s="38" t="str">
        <f>Notes!T138</f>
        <v xml:space="preserve">               </v>
      </c>
      <c r="D137" s="4"/>
      <c r="E137" s="44"/>
      <c r="F137" s="42"/>
      <c r="G137" s="4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W137" s="33"/>
      <c r="X137" s="38" t="str">
        <f>Notes!T138</f>
        <v xml:space="preserve">               </v>
      </c>
      <c r="Y137" s="4"/>
      <c r="Z137" s="44"/>
      <c r="AA137" s="42"/>
      <c r="AB137" s="42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 spans="1:42" x14ac:dyDescent="0.3">
      <c r="A138" s="12">
        <v>131</v>
      </c>
      <c r="B138" s="33"/>
      <c r="C138" s="38" t="str">
        <f>Notes!T139</f>
        <v xml:space="preserve">               </v>
      </c>
      <c r="D138" s="4"/>
      <c r="E138" s="44"/>
      <c r="F138" s="42"/>
      <c r="G138" s="4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W138" s="33"/>
      <c r="X138" s="38" t="str">
        <f>Notes!T139</f>
        <v xml:space="preserve">               </v>
      </c>
      <c r="Y138" s="4"/>
      <c r="Z138" s="44"/>
      <c r="AA138" s="42"/>
      <c r="AB138" s="42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 spans="1:42" x14ac:dyDescent="0.3">
      <c r="A139" s="12">
        <v>132</v>
      </c>
      <c r="B139" s="33"/>
      <c r="C139" s="38" t="str">
        <f>Notes!T140</f>
        <v xml:space="preserve">               </v>
      </c>
      <c r="D139" s="4"/>
      <c r="E139" s="44"/>
      <c r="F139" s="42"/>
      <c r="G139" s="4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W139" s="33"/>
      <c r="X139" s="38" t="str">
        <f>Notes!T140</f>
        <v xml:space="preserve">               </v>
      </c>
      <c r="Y139" s="4"/>
      <c r="Z139" s="44"/>
      <c r="AA139" s="42"/>
      <c r="AB139" s="42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spans="1:42" x14ac:dyDescent="0.3">
      <c r="A140" s="12">
        <v>133</v>
      </c>
      <c r="B140" s="33"/>
      <c r="C140" s="38" t="str">
        <f>Notes!T141</f>
        <v xml:space="preserve">               </v>
      </c>
      <c r="D140" s="4"/>
      <c r="E140" s="44"/>
      <c r="F140" s="42"/>
      <c r="G140" s="4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W140" s="33"/>
      <c r="X140" s="38" t="str">
        <f>Notes!T141</f>
        <v xml:space="preserve">               </v>
      </c>
      <c r="Y140" s="4"/>
      <c r="Z140" s="44"/>
      <c r="AA140" s="42"/>
      <c r="AB140" s="42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 spans="1:42" x14ac:dyDescent="0.3">
      <c r="A141" s="12">
        <v>134</v>
      </c>
      <c r="B141" s="33"/>
      <c r="C141" s="38" t="str">
        <f>Notes!T142</f>
        <v xml:space="preserve">               </v>
      </c>
      <c r="D141" s="4"/>
      <c r="E141" s="44"/>
      <c r="F141" s="42"/>
      <c r="G141" s="4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W141" s="33"/>
      <c r="X141" s="38" t="str">
        <f>Notes!T142</f>
        <v xml:space="preserve">               </v>
      </c>
      <c r="Y141" s="4"/>
      <c r="Z141" s="44"/>
      <c r="AA141" s="42"/>
      <c r="AB141" s="42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 spans="1:42" x14ac:dyDescent="0.3">
      <c r="A142" s="12">
        <v>135</v>
      </c>
      <c r="B142" s="33"/>
      <c r="C142" s="38" t="str">
        <f>Notes!T143</f>
        <v xml:space="preserve">               </v>
      </c>
      <c r="D142" s="4"/>
      <c r="E142" s="44"/>
      <c r="F142" s="42"/>
      <c r="G142" s="4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W142" s="33"/>
      <c r="X142" s="38" t="str">
        <f>Notes!T143</f>
        <v xml:space="preserve">               </v>
      </c>
      <c r="Y142" s="4"/>
      <c r="Z142" s="44"/>
      <c r="AA142" s="42"/>
      <c r="AB142" s="42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</row>
    <row r="143" spans="1:42" x14ac:dyDescent="0.3">
      <c r="A143" s="12">
        <v>136</v>
      </c>
      <c r="B143" s="33"/>
      <c r="C143" s="38" t="str">
        <f>Notes!T144</f>
        <v xml:space="preserve">               </v>
      </c>
      <c r="D143" s="4"/>
      <c r="E143" s="44"/>
      <c r="F143" s="42"/>
      <c r="G143" s="4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W143" s="33"/>
      <c r="X143" s="38" t="str">
        <f>Notes!T144</f>
        <v xml:space="preserve">               </v>
      </c>
      <c r="Y143" s="4"/>
      <c r="Z143" s="44"/>
      <c r="AA143" s="42"/>
      <c r="AB143" s="42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</row>
    <row r="144" spans="1:42" x14ac:dyDescent="0.3">
      <c r="A144" s="12">
        <v>137</v>
      </c>
      <c r="B144" s="33"/>
      <c r="C144" s="38" t="str">
        <f>Notes!T145</f>
        <v xml:space="preserve">               </v>
      </c>
      <c r="D144" s="4"/>
      <c r="E144" s="44"/>
      <c r="F144" s="42"/>
      <c r="G144" s="4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W144" s="33"/>
      <c r="X144" s="38" t="str">
        <f>Notes!T145</f>
        <v xml:space="preserve">               </v>
      </c>
      <c r="Y144" s="4"/>
      <c r="Z144" s="44"/>
      <c r="AA144" s="42"/>
      <c r="AB144" s="42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</row>
    <row r="145" spans="1:42" x14ac:dyDescent="0.3">
      <c r="A145" s="12">
        <v>138</v>
      </c>
      <c r="B145" s="33"/>
      <c r="C145" s="38" t="str">
        <f>Notes!T146</f>
        <v xml:space="preserve">               </v>
      </c>
      <c r="D145" s="4"/>
      <c r="E145" s="44"/>
      <c r="F145" s="42"/>
      <c r="G145" s="4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W145" s="33"/>
      <c r="X145" s="38" t="str">
        <f>Notes!T146</f>
        <v xml:space="preserve">               </v>
      </c>
      <c r="Y145" s="4"/>
      <c r="Z145" s="44"/>
      <c r="AA145" s="42"/>
      <c r="AB145" s="42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 spans="1:42" x14ac:dyDescent="0.3">
      <c r="A146" s="12">
        <v>139</v>
      </c>
      <c r="B146" s="33"/>
      <c r="C146" s="38" t="str">
        <f>Notes!T147</f>
        <v xml:space="preserve">               </v>
      </c>
      <c r="D146" s="4"/>
      <c r="E146" s="44"/>
      <c r="F146" s="42"/>
      <c r="G146" s="4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W146" s="33"/>
      <c r="X146" s="38" t="str">
        <f>Notes!T147</f>
        <v xml:space="preserve">               </v>
      </c>
      <c r="Y146" s="4"/>
      <c r="Z146" s="44"/>
      <c r="AA146" s="42"/>
      <c r="AB146" s="42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 spans="1:42" x14ac:dyDescent="0.3">
      <c r="A147" s="12">
        <v>140</v>
      </c>
      <c r="B147" s="33"/>
      <c r="C147" s="38" t="str">
        <f>Notes!T148</f>
        <v xml:space="preserve">               </v>
      </c>
      <c r="D147" s="4"/>
      <c r="E147" s="44"/>
      <c r="F147" s="42"/>
      <c r="G147" s="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W147" s="33"/>
      <c r="X147" s="38" t="str">
        <f>Notes!T148</f>
        <v xml:space="preserve">               </v>
      </c>
      <c r="Y147" s="4"/>
      <c r="Z147" s="44"/>
      <c r="AA147" s="42"/>
      <c r="AB147" s="42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 spans="1:42" x14ac:dyDescent="0.3">
      <c r="A148" s="12">
        <v>141</v>
      </c>
      <c r="B148" s="33"/>
      <c r="C148" s="38" t="str">
        <f>Notes!T149</f>
        <v xml:space="preserve">               </v>
      </c>
      <c r="D148" s="4"/>
      <c r="E148" s="44"/>
      <c r="F148" s="42"/>
      <c r="G148" s="4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W148" s="33"/>
      <c r="X148" s="38" t="str">
        <f>Notes!T149</f>
        <v xml:space="preserve">               </v>
      </c>
      <c r="Y148" s="4"/>
      <c r="Z148" s="44"/>
      <c r="AA148" s="42"/>
      <c r="AB148" s="42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</row>
    <row r="149" spans="1:42" x14ac:dyDescent="0.3">
      <c r="A149" s="12">
        <v>142</v>
      </c>
      <c r="B149" s="33"/>
      <c r="C149" s="38" t="str">
        <f>Notes!T150</f>
        <v xml:space="preserve">               </v>
      </c>
      <c r="D149" s="4"/>
      <c r="E149" s="44"/>
      <c r="F149" s="42"/>
      <c r="G149" s="4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W149" s="33"/>
      <c r="X149" s="38" t="str">
        <f>Notes!T150</f>
        <v xml:space="preserve">               </v>
      </c>
      <c r="Y149" s="4"/>
      <c r="Z149" s="44"/>
      <c r="AA149" s="42"/>
      <c r="AB149" s="42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</row>
    <row r="150" spans="1:42" x14ac:dyDescent="0.3">
      <c r="A150" s="12">
        <v>143</v>
      </c>
      <c r="B150" s="33"/>
      <c r="C150" s="38" t="str">
        <f>Notes!T151</f>
        <v xml:space="preserve">               </v>
      </c>
      <c r="D150" s="4"/>
      <c r="E150" s="44"/>
      <c r="F150" s="42"/>
      <c r="G150" s="4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W150" s="33"/>
      <c r="X150" s="38" t="str">
        <f>Notes!T151</f>
        <v xml:space="preserve">               </v>
      </c>
      <c r="Y150" s="4"/>
      <c r="Z150" s="44"/>
      <c r="AA150" s="42"/>
      <c r="AB150" s="42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</row>
    <row r="151" spans="1:42" x14ac:dyDescent="0.3">
      <c r="A151" s="12">
        <v>144</v>
      </c>
      <c r="B151" s="33"/>
      <c r="C151" s="38" t="str">
        <f>Notes!T152</f>
        <v xml:space="preserve">               </v>
      </c>
      <c r="D151" s="4"/>
      <c r="E151" s="44"/>
      <c r="F151" s="42"/>
      <c r="G151" s="4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W151" s="33"/>
      <c r="X151" s="38" t="str">
        <f>Notes!T152</f>
        <v xml:space="preserve">               </v>
      </c>
      <c r="Y151" s="4"/>
      <c r="Z151" s="44"/>
      <c r="AA151" s="42"/>
      <c r="AB151" s="42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</row>
    <row r="152" spans="1:42" x14ac:dyDescent="0.3">
      <c r="A152" s="12">
        <v>145</v>
      </c>
      <c r="B152" s="33"/>
      <c r="C152" s="38" t="str">
        <f>Notes!T153</f>
        <v xml:space="preserve">               </v>
      </c>
      <c r="D152" s="4"/>
      <c r="E152" s="44"/>
      <c r="F152" s="42"/>
      <c r="G152" s="4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W152" s="33"/>
      <c r="X152" s="38" t="str">
        <f>Notes!T153</f>
        <v xml:space="preserve">               </v>
      </c>
      <c r="Y152" s="4"/>
      <c r="Z152" s="44"/>
      <c r="AA152" s="42"/>
      <c r="AB152" s="42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</row>
    <row r="153" spans="1:42" x14ac:dyDescent="0.3">
      <c r="A153" s="12">
        <v>146</v>
      </c>
      <c r="B153" s="33"/>
      <c r="C153" s="38" t="str">
        <f>Notes!T154</f>
        <v xml:space="preserve">               </v>
      </c>
      <c r="D153" s="4"/>
      <c r="E153" s="44"/>
      <c r="F153" s="42"/>
      <c r="G153" s="4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W153" s="33"/>
      <c r="X153" s="38" t="str">
        <f>Notes!T154</f>
        <v xml:space="preserve">               </v>
      </c>
      <c r="Y153" s="4"/>
      <c r="Z153" s="44"/>
      <c r="AA153" s="42"/>
      <c r="AB153" s="42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</row>
    <row r="154" spans="1:42" x14ac:dyDescent="0.3">
      <c r="A154" s="12">
        <v>147</v>
      </c>
      <c r="B154" s="33"/>
      <c r="C154" s="38" t="str">
        <f>Notes!T155</f>
        <v xml:space="preserve">               </v>
      </c>
      <c r="D154" s="4"/>
      <c r="E154" s="44"/>
      <c r="F154" s="42"/>
      <c r="G154" s="4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W154" s="33"/>
      <c r="X154" s="38" t="str">
        <f>Notes!T155</f>
        <v xml:space="preserve">               </v>
      </c>
      <c r="Y154" s="4"/>
      <c r="Z154" s="44"/>
      <c r="AA154" s="42"/>
      <c r="AB154" s="4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</row>
    <row r="155" spans="1:42" x14ac:dyDescent="0.3">
      <c r="A155" s="12">
        <v>148</v>
      </c>
      <c r="B155" s="33"/>
      <c r="C155" s="38" t="str">
        <f>Notes!T156</f>
        <v xml:space="preserve">               </v>
      </c>
      <c r="D155" s="4"/>
      <c r="E155" s="44"/>
      <c r="F155" s="42"/>
      <c r="G155" s="4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W155" s="33"/>
      <c r="X155" s="38" t="str">
        <f>Notes!T156</f>
        <v xml:space="preserve">               </v>
      </c>
      <c r="Y155" s="4"/>
      <c r="Z155" s="44"/>
      <c r="AA155" s="42"/>
      <c r="AB155" s="42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</row>
    <row r="156" spans="1:42" x14ac:dyDescent="0.3">
      <c r="A156" s="12">
        <v>149</v>
      </c>
      <c r="B156" s="33"/>
      <c r="C156" s="38" t="str">
        <f>Notes!T157</f>
        <v xml:space="preserve">               </v>
      </c>
      <c r="D156" s="4"/>
      <c r="E156" s="44"/>
      <c r="F156" s="42"/>
      <c r="G156" s="4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W156" s="33"/>
      <c r="X156" s="38" t="str">
        <f>Notes!T157</f>
        <v xml:space="preserve">               </v>
      </c>
      <c r="Y156" s="4"/>
      <c r="Z156" s="44"/>
      <c r="AA156" s="42"/>
      <c r="AB156" s="42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</row>
    <row r="157" spans="1:42" x14ac:dyDescent="0.3">
      <c r="A157" s="12">
        <v>150</v>
      </c>
      <c r="B157" s="33"/>
      <c r="C157" s="38" t="str">
        <f>Notes!T158</f>
        <v xml:space="preserve">               </v>
      </c>
      <c r="D157" s="4"/>
      <c r="E157" s="45"/>
      <c r="F157" s="42"/>
      <c r="G157" s="4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W157" s="33"/>
      <c r="X157" s="38" t="str">
        <f>Notes!T158</f>
        <v xml:space="preserve">               </v>
      </c>
      <c r="Y157" s="4"/>
      <c r="Z157" s="44"/>
      <c r="AA157" s="42"/>
      <c r="AB157" s="42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 spans="1:42" x14ac:dyDescent="0.3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</sheetData>
  <sheetProtection sheet="1" objects="1" scenarios="1"/>
  <conditionalFormatting sqref="E8:U157">
    <cfRule type="cellIs" dxfId="17" priority="2" operator="equal">
      <formula>"Eps"</formula>
    </cfRule>
  </conditionalFormatting>
  <conditionalFormatting sqref="Z8:AP157">
    <cfRule type="cellIs" dxfId="16" priority="1" operator="equal">
      <formula>"Eps"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B16D-93BA-4663-8568-A203A1BEF345}">
  <sheetPr>
    <tabColor theme="8" tint="-0.499984740745262"/>
  </sheetPr>
  <dimension ref="A1:BJ158"/>
  <sheetViews>
    <sheetView topLeftCell="Q1" zoomScale="85" zoomScaleNormal="85" workbookViewId="0">
      <pane ySplit="7" topLeftCell="A101" activePane="bottomLeft" state="frozen"/>
      <selection activeCell="E6" sqref="E6"/>
      <selection pane="bottomLeft" activeCell="Z120" sqref="Z120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 customWidth="1"/>
    <col min="5" max="21" width="9.109375" customWidth="1"/>
    <col min="22" max="23" width="2.44140625" customWidth="1"/>
    <col min="24" max="24" width="28.88671875" customWidth="1"/>
    <col min="25" max="25" width="9.109375" hidden="1" customWidth="1"/>
    <col min="26" max="42" width="9.109375" customWidth="1"/>
    <col min="43" max="43" width="2.44140625" customWidth="1"/>
    <col min="44" max="45" width="9.109375" hidden="1" customWidth="1"/>
    <col min="46" max="62" width="0" hidden="1" customWidth="1"/>
    <col min="63" max="16384" width="9.109375" hidden="1"/>
  </cols>
  <sheetData>
    <row r="1" spans="1:45" ht="18" x14ac:dyDescent="0.35">
      <c r="A1" s="9" t="s">
        <v>78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65</v>
      </c>
      <c r="N1" s="8" t="str">
        <f>C5</f>
        <v>Export value (PE×QE)</v>
      </c>
    </row>
    <row r="2" spans="1:45" x14ac:dyDescent="0.3">
      <c r="M2" s="8"/>
      <c r="N2" s="8" t="str">
        <f>X5</f>
        <v>Import value (PM×QM)</v>
      </c>
    </row>
    <row r="3" spans="1:45" x14ac:dyDescent="0.3">
      <c r="M3" s="8"/>
      <c r="N3" s="8"/>
    </row>
    <row r="4" spans="1:45" x14ac:dyDescent="0.3"/>
    <row r="5" spans="1:45" ht="15.6" x14ac:dyDescent="0.3">
      <c r="B5" s="13"/>
      <c r="C5" s="11" t="s">
        <v>76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77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5" x14ac:dyDescent="0.3">
      <c r="B6" s="29"/>
      <c r="C6" s="35" t="s">
        <v>496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W6" s="29"/>
      <c r="X6" s="35" t="s">
        <v>497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5" x14ac:dyDescent="0.3">
      <c r="B7" s="29"/>
      <c r="C7" s="34"/>
      <c r="D7" s="34"/>
      <c r="E7" s="43" t="s">
        <v>260</v>
      </c>
      <c r="F7" s="41" t="s">
        <v>42</v>
      </c>
      <c r="G7" s="41" t="s">
        <v>704</v>
      </c>
      <c r="H7" s="39" t="s">
        <v>481</v>
      </c>
      <c r="I7" s="39" t="s">
        <v>482</v>
      </c>
      <c r="J7" s="39" t="s">
        <v>483</v>
      </c>
      <c r="K7" s="39" t="s">
        <v>484</v>
      </c>
      <c r="L7" s="39" t="s">
        <v>485</v>
      </c>
      <c r="M7" s="39" t="s">
        <v>486</v>
      </c>
      <c r="N7" s="39" t="s">
        <v>487</v>
      </c>
      <c r="O7" s="39" t="s">
        <v>488</v>
      </c>
      <c r="P7" s="39" t="s">
        <v>489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  <c r="W7" s="29"/>
      <c r="X7" s="34"/>
      <c r="Y7" s="34"/>
      <c r="Z7" s="43" t="s">
        <v>260</v>
      </c>
      <c r="AA7" s="41" t="s">
        <v>42</v>
      </c>
      <c r="AB7" s="41" t="s">
        <v>704</v>
      </c>
      <c r="AC7" s="39" t="s">
        <v>481</v>
      </c>
      <c r="AD7" s="39" t="s">
        <v>482</v>
      </c>
      <c r="AE7" s="39" t="s">
        <v>483</v>
      </c>
      <c r="AF7" s="39" t="s">
        <v>484</v>
      </c>
      <c r="AG7" s="39" t="s">
        <v>485</v>
      </c>
      <c r="AH7" s="39" t="s">
        <v>486</v>
      </c>
      <c r="AI7" s="39" t="s">
        <v>487</v>
      </c>
      <c r="AJ7" s="39" t="s">
        <v>488</v>
      </c>
      <c r="AK7" s="39" t="s">
        <v>489</v>
      </c>
      <c r="AL7" s="39" t="s">
        <v>43</v>
      </c>
      <c r="AM7" s="39" t="s">
        <v>44</v>
      </c>
      <c r="AN7" s="39" t="s">
        <v>45</v>
      </c>
      <c r="AO7" s="39" t="s">
        <v>46</v>
      </c>
      <c r="AP7" s="39" t="s">
        <v>47</v>
      </c>
    </row>
    <row r="8" spans="1:45" x14ac:dyDescent="0.3">
      <c r="A8" s="12">
        <v>1</v>
      </c>
      <c r="B8" s="33"/>
      <c r="C8" s="38" t="str">
        <f>Notes!U9</f>
        <v>All products</v>
      </c>
      <c r="D8" s="4" t="s">
        <v>296</v>
      </c>
      <c r="E8" s="44">
        <v>100</v>
      </c>
      <c r="F8" s="42">
        <v>2.9317432758176887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W8" s="33"/>
      <c r="X8" s="38" t="str">
        <f>Notes!U9</f>
        <v>All products</v>
      </c>
      <c r="Y8" s="4" t="s">
        <v>296</v>
      </c>
      <c r="Z8" s="44">
        <v>100</v>
      </c>
      <c r="AA8" s="42">
        <v>3.0511198547487295</v>
      </c>
      <c r="AB8" s="42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</row>
    <row r="9" spans="1:45" x14ac:dyDescent="0.3">
      <c r="A9" s="12">
        <v>2</v>
      </c>
      <c r="B9" s="33"/>
      <c r="C9" s="38" t="str">
        <f>Notes!U10</f>
        <v>Agriculture</v>
      </c>
      <c r="D9" s="4" t="s">
        <v>303</v>
      </c>
      <c r="E9" s="44">
        <v>1.2441388999934622</v>
      </c>
      <c r="F9" s="42">
        <v>3.0120561927374556</v>
      </c>
      <c r="G9" s="47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V9" s="49"/>
      <c r="W9" s="33"/>
      <c r="X9" s="38" t="str">
        <f>Notes!U10</f>
        <v>Agriculture</v>
      </c>
      <c r="Y9" s="4" t="s">
        <v>303</v>
      </c>
      <c r="Z9" s="44">
        <v>12.301297282574652</v>
      </c>
      <c r="AA9" s="42">
        <v>3.061416247301163</v>
      </c>
      <c r="AB9" s="42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Q9" s="49"/>
      <c r="AR9" s="49"/>
      <c r="AS9" s="49"/>
    </row>
    <row r="10" spans="1:45" x14ac:dyDescent="0.3">
      <c r="A10" s="12">
        <v>3</v>
      </c>
      <c r="B10" s="33"/>
      <c r="C10" s="38" t="str">
        <f>Notes!U11</f>
        <v xml:space="preserve">   Crops</v>
      </c>
      <c r="D10" s="4" t="s">
        <v>305</v>
      </c>
      <c r="E10" s="46">
        <v>0.77696186162478142</v>
      </c>
      <c r="F10" s="47">
        <v>2.9896992644614429</v>
      </c>
      <c r="G10" s="42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W10" s="33"/>
      <c r="X10" s="38" t="str">
        <f>Notes!U11</f>
        <v xml:space="preserve">   Crops</v>
      </c>
      <c r="Y10" s="4" t="s">
        <v>305</v>
      </c>
      <c r="Z10" s="44">
        <v>12.276392011735949</v>
      </c>
      <c r="AA10" s="42">
        <v>3.0614587181902131</v>
      </c>
      <c r="AB10" s="47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</row>
    <row r="11" spans="1:45" x14ac:dyDescent="0.3">
      <c r="A11" s="12">
        <v>4</v>
      </c>
      <c r="B11" s="33"/>
      <c r="C11" s="38" t="str">
        <f>Notes!U12</f>
        <v xml:space="preserve">      Maize</v>
      </c>
      <c r="D11" s="4" t="s">
        <v>308</v>
      </c>
      <c r="E11" s="46" t="s">
        <v>48</v>
      </c>
      <c r="F11" s="47" t="s">
        <v>48</v>
      </c>
      <c r="G11" s="42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W11" s="33"/>
      <c r="X11" s="38" t="str">
        <f>Notes!U12</f>
        <v xml:space="preserve">      Maize</v>
      </c>
      <c r="Y11" s="4" t="s">
        <v>308</v>
      </c>
      <c r="Z11" s="44">
        <v>0.91911364268762763</v>
      </c>
      <c r="AA11" s="42">
        <v>3.0593879168081761</v>
      </c>
      <c r="AB11" s="47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</row>
    <row r="12" spans="1:45" x14ac:dyDescent="0.3">
      <c r="A12" s="12">
        <v>5</v>
      </c>
      <c r="B12" s="33"/>
      <c r="C12" s="38" t="str">
        <f>Notes!U13</f>
        <v xml:space="preserve">      Sorghum and millet</v>
      </c>
      <c r="D12" s="4" t="s">
        <v>508</v>
      </c>
      <c r="E12" s="46" t="s">
        <v>48</v>
      </c>
      <c r="F12" s="47" t="s">
        <v>48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W12" s="33"/>
      <c r="X12" s="38" t="str">
        <f>Notes!U13</f>
        <v xml:space="preserve">      Sorghum and millet</v>
      </c>
      <c r="Y12" s="4" t="s">
        <v>508</v>
      </c>
      <c r="Z12" s="44" t="s">
        <v>48</v>
      </c>
      <c r="AA12" s="42" t="s">
        <v>48</v>
      </c>
      <c r="AB12" s="47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O12" s="40" t="s">
        <v>48</v>
      </c>
      <c r="AP12" s="40" t="s">
        <v>48</v>
      </c>
    </row>
    <row r="13" spans="1:45" x14ac:dyDescent="0.3">
      <c r="A13" s="12">
        <v>6</v>
      </c>
      <c r="B13" s="33"/>
      <c r="C13" s="38" t="str">
        <f>Notes!U14</f>
        <v xml:space="preserve">      Rice paddy (Aman)</v>
      </c>
      <c r="D13" s="4" t="s">
        <v>705</v>
      </c>
      <c r="E13" s="46" t="s">
        <v>48</v>
      </c>
      <c r="F13" s="47" t="s">
        <v>48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W13" s="33"/>
      <c r="X13" s="38" t="str">
        <f>Notes!U14</f>
        <v xml:space="preserve">      Rice paddy (Aman)</v>
      </c>
      <c r="Y13" s="4" t="s">
        <v>705</v>
      </c>
      <c r="Z13" s="44" t="s">
        <v>48</v>
      </c>
      <c r="AA13" s="42" t="s">
        <v>48</v>
      </c>
      <c r="AB13" s="47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O13" s="40" t="s">
        <v>48</v>
      </c>
      <c r="AP13" s="40" t="s">
        <v>48</v>
      </c>
    </row>
    <row r="14" spans="1:45" x14ac:dyDescent="0.3">
      <c r="A14" s="12">
        <v>7</v>
      </c>
      <c r="B14" s="33"/>
      <c r="C14" s="38" t="str">
        <f>Notes!U15</f>
        <v xml:space="preserve">      Rice paddy (Boro)</v>
      </c>
      <c r="D14" s="4" t="s">
        <v>707</v>
      </c>
      <c r="E14" s="46" t="s">
        <v>48</v>
      </c>
      <c r="F14" s="47" t="s">
        <v>48</v>
      </c>
      <c r="G14" s="42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U14" s="40" t="s">
        <v>48</v>
      </c>
      <c r="W14" s="33"/>
      <c r="X14" s="38" t="str">
        <f>Notes!U15</f>
        <v xml:space="preserve">      Rice paddy (Boro)</v>
      </c>
      <c r="Y14" s="4" t="s">
        <v>707</v>
      </c>
      <c r="Z14" s="44" t="s">
        <v>48</v>
      </c>
      <c r="AA14" s="42" t="s">
        <v>48</v>
      </c>
      <c r="AB14" s="47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O14" s="40" t="s">
        <v>48</v>
      </c>
      <c r="AP14" s="40" t="s">
        <v>48</v>
      </c>
    </row>
    <row r="15" spans="1:45" x14ac:dyDescent="0.3">
      <c r="A15" s="12">
        <v>8</v>
      </c>
      <c r="B15" s="33"/>
      <c r="C15" s="38" t="str">
        <f>Notes!U16</f>
        <v xml:space="preserve">      Wheat and barley</v>
      </c>
      <c r="D15" s="4" t="s">
        <v>510</v>
      </c>
      <c r="E15" s="46" t="s">
        <v>48</v>
      </c>
      <c r="F15" s="47" t="s">
        <v>48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W15" s="33"/>
      <c r="X15" s="38" t="str">
        <f>Notes!U16</f>
        <v xml:space="preserve">      Wheat and barley</v>
      </c>
      <c r="Y15" s="4" t="s">
        <v>510</v>
      </c>
      <c r="Z15" s="44">
        <v>4.0780349760585191</v>
      </c>
      <c r="AA15" s="42">
        <v>3.0469567483524695</v>
      </c>
      <c r="AB15" s="47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O15" s="40" t="s">
        <v>48</v>
      </c>
      <c r="AP15" s="40" t="s">
        <v>48</v>
      </c>
    </row>
    <row r="16" spans="1:45" x14ac:dyDescent="0.3">
      <c r="A16" s="12">
        <v>9</v>
      </c>
      <c r="B16" s="33"/>
      <c r="C16" s="38" t="str">
        <f>Notes!U17</f>
        <v xml:space="preserve">      Other cereals</v>
      </c>
      <c r="D16" s="4" t="s">
        <v>314</v>
      </c>
      <c r="E16" s="46" t="s">
        <v>48</v>
      </c>
      <c r="F16" s="47" t="s">
        <v>48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W16" s="33"/>
      <c r="X16" s="38" t="str">
        <f>Notes!U17</f>
        <v xml:space="preserve">      Other cereals</v>
      </c>
      <c r="Y16" s="4" t="s">
        <v>314</v>
      </c>
      <c r="Z16" s="44" t="s">
        <v>48</v>
      </c>
      <c r="AA16" s="42" t="s">
        <v>48</v>
      </c>
      <c r="AB16" s="47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O16" s="40" t="s">
        <v>48</v>
      </c>
      <c r="AP16" s="40" t="s">
        <v>48</v>
      </c>
    </row>
    <row r="17" spans="1:42" x14ac:dyDescent="0.3">
      <c r="A17" s="12">
        <v>10</v>
      </c>
      <c r="B17" s="33"/>
      <c r="C17" s="38" t="str">
        <f>Notes!U18</f>
        <v xml:space="preserve">      Pulses</v>
      </c>
      <c r="D17" s="4" t="s">
        <v>317</v>
      </c>
      <c r="E17" s="44" t="s">
        <v>48</v>
      </c>
      <c r="F17" s="42" t="s">
        <v>48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W17" s="33"/>
      <c r="X17" s="38" t="str">
        <f>Notes!U18</f>
        <v xml:space="preserve">      Pulses</v>
      </c>
      <c r="Y17" s="4" t="s">
        <v>317</v>
      </c>
      <c r="Z17" s="44">
        <v>1.4135577530267789</v>
      </c>
      <c r="AA17" s="42">
        <v>3.0719166533949682</v>
      </c>
      <c r="AB17" s="42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</row>
    <row r="18" spans="1:42" x14ac:dyDescent="0.3">
      <c r="A18" s="12">
        <v>11</v>
      </c>
      <c r="B18" s="33"/>
      <c r="C18" s="38" t="str">
        <f>Notes!U19</f>
        <v xml:space="preserve">      Groundnuts</v>
      </c>
      <c r="D18" s="4" t="s">
        <v>512</v>
      </c>
      <c r="E18" s="44" t="s">
        <v>48</v>
      </c>
      <c r="F18" s="42" t="s">
        <v>48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W18" s="33"/>
      <c r="X18" s="38" t="str">
        <f>Notes!U19</f>
        <v xml:space="preserve">      Groundnuts</v>
      </c>
      <c r="Y18" s="4" t="s">
        <v>512</v>
      </c>
      <c r="Z18" s="44" t="s">
        <v>48</v>
      </c>
      <c r="AA18" s="42" t="s">
        <v>48</v>
      </c>
      <c r="AB18" s="42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O18" s="40" t="s">
        <v>48</v>
      </c>
      <c r="AP18" s="40" t="s">
        <v>48</v>
      </c>
    </row>
    <row r="19" spans="1:42" x14ac:dyDescent="0.3">
      <c r="A19" s="12">
        <v>12</v>
      </c>
      <c r="B19" s="33"/>
      <c r="C19" s="38" t="str">
        <f>Notes!U20</f>
        <v xml:space="preserve">      Other oilseeds</v>
      </c>
      <c r="D19" s="4" t="s">
        <v>321</v>
      </c>
      <c r="E19" s="44" t="s">
        <v>48</v>
      </c>
      <c r="F19" s="42" t="s">
        <v>48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W19" s="33"/>
      <c r="X19" s="38" t="str">
        <f>Notes!U20</f>
        <v xml:space="preserve">      Other oilseeds</v>
      </c>
      <c r="Y19" s="4" t="s">
        <v>321</v>
      </c>
      <c r="Z19" s="44">
        <v>1.6621683837311596</v>
      </c>
      <c r="AA19" s="42">
        <v>3.0938396233759935</v>
      </c>
      <c r="AB19" s="42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O19" s="40" t="s">
        <v>48</v>
      </c>
      <c r="AP19" s="40" t="s">
        <v>48</v>
      </c>
    </row>
    <row r="20" spans="1:42" x14ac:dyDescent="0.3">
      <c r="A20" s="12">
        <v>13</v>
      </c>
      <c r="B20" s="33"/>
      <c r="C20" s="38" t="str">
        <f>Notes!U21</f>
        <v xml:space="preserve">      Cassava</v>
      </c>
      <c r="D20" s="4" t="s">
        <v>515</v>
      </c>
      <c r="E20" s="44" t="s">
        <v>48</v>
      </c>
      <c r="F20" s="42" t="s">
        <v>48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W20" s="33"/>
      <c r="X20" s="38" t="str">
        <f>Notes!U21</f>
        <v xml:space="preserve">      Cassava</v>
      </c>
      <c r="Y20" s="4" t="s">
        <v>515</v>
      </c>
      <c r="Z20" s="44" t="s">
        <v>48</v>
      </c>
      <c r="AA20" s="42" t="s">
        <v>48</v>
      </c>
      <c r="AB20" s="42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</row>
    <row r="21" spans="1:42" x14ac:dyDescent="0.3">
      <c r="A21" s="12">
        <v>14</v>
      </c>
      <c r="B21" s="33"/>
      <c r="C21" s="38" t="str">
        <f>Notes!U22</f>
        <v xml:space="preserve">      Irish potatoes</v>
      </c>
      <c r="D21" s="4" t="s">
        <v>517</v>
      </c>
      <c r="E21" s="44" t="s">
        <v>48</v>
      </c>
      <c r="F21" s="42" t="s">
        <v>48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W21" s="33"/>
      <c r="X21" s="38" t="str">
        <f>Notes!U22</f>
        <v xml:space="preserve">      Irish potatoes</v>
      </c>
      <c r="Y21" s="4" t="s">
        <v>517</v>
      </c>
      <c r="Z21" s="44" t="s">
        <v>48</v>
      </c>
      <c r="AA21" s="42" t="s">
        <v>48</v>
      </c>
      <c r="AB21" s="42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</row>
    <row r="22" spans="1:42" x14ac:dyDescent="0.3">
      <c r="A22" s="12">
        <v>15</v>
      </c>
      <c r="B22" s="33"/>
      <c r="C22" s="38" t="str">
        <f>Notes!U23</f>
        <v xml:space="preserve">      Sweet potatoes</v>
      </c>
      <c r="D22" s="4" t="s">
        <v>519</v>
      </c>
      <c r="E22" s="44" t="s">
        <v>48</v>
      </c>
      <c r="F22" s="42" t="s">
        <v>48</v>
      </c>
      <c r="G22" s="42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W22" s="33"/>
      <c r="X22" s="38" t="str">
        <f>Notes!U23</f>
        <v xml:space="preserve">      Sweet potatoes</v>
      </c>
      <c r="Y22" s="4" t="s">
        <v>519</v>
      </c>
      <c r="Z22" s="44" t="s">
        <v>48</v>
      </c>
      <c r="AA22" s="42" t="s">
        <v>48</v>
      </c>
      <c r="AB22" s="42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</row>
    <row r="23" spans="1:42" x14ac:dyDescent="0.3">
      <c r="A23" s="12">
        <v>16</v>
      </c>
      <c r="B23" s="33"/>
      <c r="C23" s="38" t="str">
        <f>Notes!U24</f>
        <v xml:space="preserve">      Other roots</v>
      </c>
      <c r="D23" s="4" t="s">
        <v>327</v>
      </c>
      <c r="E23" s="44" t="s">
        <v>48</v>
      </c>
      <c r="F23" s="42" t="s">
        <v>48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W23" s="33"/>
      <c r="X23" s="38" t="str">
        <f>Notes!U24</f>
        <v xml:space="preserve">      Other roots</v>
      </c>
      <c r="Y23" s="4" t="s">
        <v>327</v>
      </c>
      <c r="Z23" s="44" t="s">
        <v>48</v>
      </c>
      <c r="AA23" s="42" t="s">
        <v>48</v>
      </c>
      <c r="AB23" s="42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</row>
    <row r="24" spans="1:42" x14ac:dyDescent="0.3">
      <c r="A24" s="12">
        <v>17</v>
      </c>
      <c r="B24" s="33"/>
      <c r="C24" s="38" t="str">
        <f>Notes!U25</f>
        <v xml:space="preserve">      Leafy vegetables</v>
      </c>
      <c r="D24" s="4" t="s">
        <v>709</v>
      </c>
      <c r="E24" s="44" t="s">
        <v>48</v>
      </c>
      <c r="F24" s="42" t="s">
        <v>48</v>
      </c>
      <c r="G24" s="42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U24" s="40" t="s">
        <v>48</v>
      </c>
      <c r="W24" s="33"/>
      <c r="X24" s="38" t="str">
        <f>Notes!U25</f>
        <v xml:space="preserve">      Leafy vegetables</v>
      </c>
      <c r="Y24" s="4" t="s">
        <v>709</v>
      </c>
      <c r="Z24" s="44" t="s">
        <v>48</v>
      </c>
      <c r="AA24" s="42" t="s">
        <v>48</v>
      </c>
      <c r="AB24" s="42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O24" s="40" t="s">
        <v>48</v>
      </c>
      <c r="AP24" s="40" t="s">
        <v>48</v>
      </c>
    </row>
    <row r="25" spans="1:42" x14ac:dyDescent="0.3">
      <c r="A25" s="12">
        <v>18</v>
      </c>
      <c r="B25" s="33"/>
      <c r="C25" s="38" t="str">
        <f>Notes!U26</f>
        <v xml:space="preserve">      Other vegetables</v>
      </c>
      <c r="D25" s="4" t="s">
        <v>330</v>
      </c>
      <c r="E25" s="44" t="s">
        <v>48</v>
      </c>
      <c r="F25" s="42" t="s">
        <v>48</v>
      </c>
      <c r="G25" s="42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U25" s="40" t="s">
        <v>48</v>
      </c>
      <c r="W25" s="33"/>
      <c r="X25" s="38" t="str">
        <f>Notes!U26</f>
        <v xml:space="preserve">      Other vegetables</v>
      </c>
      <c r="Y25" s="4" t="s">
        <v>330</v>
      </c>
      <c r="Z25" s="44">
        <v>0.54619669583157349</v>
      </c>
      <c r="AA25" s="42">
        <v>3.089273623106692</v>
      </c>
      <c r="AB25" s="42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O25" s="40" t="s">
        <v>48</v>
      </c>
      <c r="AP25" s="40" t="s">
        <v>48</v>
      </c>
    </row>
    <row r="26" spans="1:42" x14ac:dyDescent="0.3">
      <c r="A26" s="12">
        <v>19</v>
      </c>
      <c r="B26" s="33"/>
      <c r="C26" s="38" t="str">
        <f>Notes!U27</f>
        <v xml:space="preserve">      Sugarcane</v>
      </c>
      <c r="D26" s="4" t="s">
        <v>333</v>
      </c>
      <c r="E26" s="44" t="s">
        <v>48</v>
      </c>
      <c r="F26" s="42" t="s">
        <v>48</v>
      </c>
      <c r="G26" s="42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U26" s="40" t="s">
        <v>48</v>
      </c>
      <c r="W26" s="33"/>
      <c r="X26" s="38" t="str">
        <f>Notes!U27</f>
        <v xml:space="preserve">      Sugarcane</v>
      </c>
      <c r="Y26" s="4" t="s">
        <v>333</v>
      </c>
      <c r="Z26" s="44" t="s">
        <v>48</v>
      </c>
      <c r="AA26" s="42" t="s">
        <v>48</v>
      </c>
      <c r="AB26" s="42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O26" s="40" t="s">
        <v>48</v>
      </c>
      <c r="AP26" s="40" t="s">
        <v>48</v>
      </c>
    </row>
    <row r="27" spans="1:42" x14ac:dyDescent="0.3">
      <c r="A27" s="12">
        <v>20</v>
      </c>
      <c r="B27" s="33"/>
      <c r="C27" s="38" t="str">
        <f>Notes!U28</f>
        <v xml:space="preserve">      Tobacco</v>
      </c>
      <c r="D27" s="4" t="s">
        <v>336</v>
      </c>
      <c r="E27" s="44" t="s">
        <v>48</v>
      </c>
      <c r="F27" s="42" t="s">
        <v>48</v>
      </c>
      <c r="G27" s="42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U27" s="40" t="s">
        <v>48</v>
      </c>
      <c r="W27" s="33"/>
      <c r="X27" s="38" t="str">
        <f>Notes!U28</f>
        <v xml:space="preserve">      Tobacco</v>
      </c>
      <c r="Y27" s="4" t="s">
        <v>336</v>
      </c>
      <c r="Z27" s="44" t="s">
        <v>48</v>
      </c>
      <c r="AA27" s="42" t="s">
        <v>48</v>
      </c>
      <c r="AB27" s="42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O27" s="40" t="s">
        <v>48</v>
      </c>
      <c r="AP27" s="40" t="s">
        <v>48</v>
      </c>
    </row>
    <row r="28" spans="1:42" x14ac:dyDescent="0.3">
      <c r="A28" s="12">
        <v>21</v>
      </c>
      <c r="B28" s="33"/>
      <c r="C28" s="38" t="str">
        <f>Notes!U29</f>
        <v xml:space="preserve">      Cotton and fibres</v>
      </c>
      <c r="D28" s="4" t="s">
        <v>339</v>
      </c>
      <c r="E28" s="44" t="s">
        <v>48</v>
      </c>
      <c r="F28" s="42" t="s">
        <v>48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W28" s="33"/>
      <c r="X28" s="38" t="str">
        <f>Notes!U29</f>
        <v xml:space="preserve">      Cotton and fibres</v>
      </c>
      <c r="Y28" s="4" t="s">
        <v>339</v>
      </c>
      <c r="Z28" s="44">
        <v>1.5760217411482302</v>
      </c>
      <c r="AA28" s="42">
        <v>3.00636067859823</v>
      </c>
      <c r="AB28" s="42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O28" s="40" t="s">
        <v>48</v>
      </c>
      <c r="AP28" s="40" t="s">
        <v>48</v>
      </c>
    </row>
    <row r="29" spans="1:42" x14ac:dyDescent="0.3">
      <c r="A29" s="12">
        <v>22</v>
      </c>
      <c r="B29" s="33"/>
      <c r="C29" s="38" t="str">
        <f>Notes!U30</f>
        <v xml:space="preserve">      Jute</v>
      </c>
      <c r="D29" s="4" t="s">
        <v>712</v>
      </c>
      <c r="E29" s="44">
        <v>0.77696186162478142</v>
      </c>
      <c r="F29" s="42">
        <v>2.9896992644614429</v>
      </c>
      <c r="G29" s="42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W29" s="33"/>
      <c r="X29" s="38" t="str">
        <f>Notes!U30</f>
        <v xml:space="preserve">      Jute</v>
      </c>
      <c r="Y29" s="4" t="s">
        <v>712</v>
      </c>
      <c r="Z29" s="44">
        <v>3.6726119633319121E-2</v>
      </c>
      <c r="AA29" s="42">
        <v>2.9880557444108113</v>
      </c>
      <c r="AB29" s="42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</row>
    <row r="30" spans="1:42" x14ac:dyDescent="0.3">
      <c r="A30" s="12">
        <v>23</v>
      </c>
      <c r="B30" s="33"/>
      <c r="C30" s="38" t="str">
        <f>Notes!U31</f>
        <v xml:space="preserve">      Nuts</v>
      </c>
      <c r="D30" s="4" t="s">
        <v>522</v>
      </c>
      <c r="E30" s="44" t="s">
        <v>48</v>
      </c>
      <c r="F30" s="42" t="s">
        <v>48</v>
      </c>
      <c r="G30" s="42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W30" s="33"/>
      <c r="X30" s="38" t="str">
        <f>Notes!U31</f>
        <v xml:space="preserve">      Nuts</v>
      </c>
      <c r="Y30" s="4" t="s">
        <v>522</v>
      </c>
      <c r="Z30" s="44" t="s">
        <v>48</v>
      </c>
      <c r="AA30" s="42" t="s">
        <v>48</v>
      </c>
      <c r="AB30" s="42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O30" s="40" t="s">
        <v>48</v>
      </c>
      <c r="AP30" s="40" t="s">
        <v>48</v>
      </c>
    </row>
    <row r="31" spans="1:42" x14ac:dyDescent="0.3">
      <c r="A31" s="12">
        <v>24</v>
      </c>
      <c r="B31" s="33"/>
      <c r="C31" s="38" t="str">
        <f>Notes!U32</f>
        <v xml:space="preserve">      Bananas and plantains</v>
      </c>
      <c r="D31" s="4" t="s">
        <v>523</v>
      </c>
      <c r="E31" s="44" t="s">
        <v>48</v>
      </c>
      <c r="F31" s="42" t="s">
        <v>48</v>
      </c>
      <c r="G31" s="42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W31" s="33"/>
      <c r="X31" s="38" t="str">
        <f>Notes!U32</f>
        <v xml:space="preserve">      Bananas and plantains</v>
      </c>
      <c r="Y31" s="4" t="s">
        <v>523</v>
      </c>
      <c r="Z31" s="44" t="s">
        <v>48</v>
      </c>
      <c r="AA31" s="42" t="s">
        <v>48</v>
      </c>
      <c r="AB31" s="42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O31" s="40" t="s">
        <v>48</v>
      </c>
      <c r="AP31" s="40" t="s">
        <v>48</v>
      </c>
    </row>
    <row r="32" spans="1:42" x14ac:dyDescent="0.3">
      <c r="A32" s="12">
        <v>25</v>
      </c>
      <c r="B32" s="33"/>
      <c r="C32" s="38" t="str">
        <f>Notes!U33</f>
        <v xml:space="preserve">      Other fruits</v>
      </c>
      <c r="D32" s="4" t="s">
        <v>342</v>
      </c>
      <c r="E32" s="44" t="s">
        <v>48</v>
      </c>
      <c r="F32" s="42" t="s">
        <v>48</v>
      </c>
      <c r="G32" s="42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W32" s="33"/>
      <c r="X32" s="38" t="str">
        <f>Notes!U33</f>
        <v xml:space="preserve">      Other fruits</v>
      </c>
      <c r="Y32" s="4" t="s">
        <v>342</v>
      </c>
      <c r="Z32" s="44">
        <v>1.415258263296062</v>
      </c>
      <c r="AA32" s="42">
        <v>3.0643325471261473</v>
      </c>
      <c r="AB32" s="42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O32" s="40" t="s">
        <v>48</v>
      </c>
      <c r="AP32" s="40" t="s">
        <v>48</v>
      </c>
    </row>
    <row r="33" spans="1:42" x14ac:dyDescent="0.3">
      <c r="A33" s="12">
        <v>26</v>
      </c>
      <c r="B33" s="33"/>
      <c r="C33" s="38" t="str">
        <f>Notes!U34</f>
        <v xml:space="preserve">      Leaf tea</v>
      </c>
      <c r="D33" s="4" t="s">
        <v>525</v>
      </c>
      <c r="E33" s="44" t="s">
        <v>48</v>
      </c>
      <c r="F33" s="42" t="s">
        <v>48</v>
      </c>
      <c r="G33" s="42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U33" s="40" t="s">
        <v>48</v>
      </c>
      <c r="W33" s="33"/>
      <c r="X33" s="38" t="str">
        <f>Notes!U34</f>
        <v xml:space="preserve">      Leaf tea</v>
      </c>
      <c r="Y33" s="4" t="s">
        <v>525</v>
      </c>
      <c r="Z33" s="44" t="s">
        <v>48</v>
      </c>
      <c r="AA33" s="42" t="s">
        <v>48</v>
      </c>
      <c r="AB33" s="42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O33" s="40" t="s">
        <v>48</v>
      </c>
      <c r="AP33" s="40" t="s">
        <v>48</v>
      </c>
    </row>
    <row r="34" spans="1:42" x14ac:dyDescent="0.3">
      <c r="A34" s="12">
        <v>27</v>
      </c>
      <c r="B34" s="33"/>
      <c r="C34" s="38" t="str">
        <f>Notes!U35</f>
        <v xml:space="preserve">      Coffee</v>
      </c>
      <c r="D34" s="4" t="s">
        <v>343</v>
      </c>
      <c r="E34" s="44" t="s">
        <v>48</v>
      </c>
      <c r="F34" s="42" t="s">
        <v>48</v>
      </c>
      <c r="G34" s="42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U34" s="40" t="s">
        <v>48</v>
      </c>
      <c r="W34" s="33"/>
      <c r="X34" s="38" t="str">
        <f>Notes!U35</f>
        <v xml:space="preserve">      Coffee</v>
      </c>
      <c r="Y34" s="4" t="s">
        <v>343</v>
      </c>
      <c r="Z34" s="44" t="s">
        <v>48</v>
      </c>
      <c r="AA34" s="42" t="s">
        <v>48</v>
      </c>
      <c r="AB34" s="42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O34" s="40" t="s">
        <v>48</v>
      </c>
      <c r="AP34" s="40" t="s">
        <v>48</v>
      </c>
    </row>
    <row r="35" spans="1:42" x14ac:dyDescent="0.3">
      <c r="A35" s="12">
        <v>28</v>
      </c>
      <c r="B35" s="33"/>
      <c r="C35" s="38" t="str">
        <f>Notes!U36</f>
        <v xml:space="preserve">      Cocoa</v>
      </c>
      <c r="D35" s="4" t="s">
        <v>528</v>
      </c>
      <c r="E35" s="44" t="s">
        <v>48</v>
      </c>
      <c r="F35" s="42" t="s">
        <v>48</v>
      </c>
      <c r="G35" s="42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W35" s="33"/>
      <c r="X35" s="38" t="str">
        <f>Notes!U36</f>
        <v xml:space="preserve">      Cocoa</v>
      </c>
      <c r="Y35" s="4" t="s">
        <v>528</v>
      </c>
      <c r="Z35" s="44" t="s">
        <v>48</v>
      </c>
      <c r="AA35" s="42" t="s">
        <v>48</v>
      </c>
      <c r="AB35" s="42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O35" s="40" t="s">
        <v>48</v>
      </c>
      <c r="AP35" s="40" t="s">
        <v>48</v>
      </c>
    </row>
    <row r="36" spans="1:42" x14ac:dyDescent="0.3">
      <c r="A36" s="12">
        <v>29</v>
      </c>
      <c r="B36" s="33"/>
      <c r="C36" s="38" t="str">
        <f>Notes!U37</f>
        <v xml:space="preserve">      Cut flowers</v>
      </c>
      <c r="D36" s="4" t="s">
        <v>530</v>
      </c>
      <c r="E36" s="44" t="s">
        <v>48</v>
      </c>
      <c r="F36" s="42" t="s">
        <v>48</v>
      </c>
      <c r="G36" s="42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U36" s="40" t="s">
        <v>48</v>
      </c>
      <c r="W36" s="33"/>
      <c r="X36" s="38" t="str">
        <f>Notes!U37</f>
        <v xml:space="preserve">      Cut flowers</v>
      </c>
      <c r="Y36" s="4" t="s">
        <v>530</v>
      </c>
      <c r="Z36" s="44" t="s">
        <v>48</v>
      </c>
      <c r="AA36" s="42" t="s">
        <v>48</v>
      </c>
      <c r="AB36" s="42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O36" s="40" t="s">
        <v>48</v>
      </c>
      <c r="AP36" s="40" t="s">
        <v>48</v>
      </c>
    </row>
    <row r="37" spans="1:42" x14ac:dyDescent="0.3">
      <c r="A37" s="12">
        <v>30</v>
      </c>
      <c r="B37" s="33"/>
      <c r="C37" s="38" t="str">
        <f>Notes!U38</f>
        <v xml:space="preserve">      Rubber</v>
      </c>
      <c r="D37" s="4" t="s">
        <v>532</v>
      </c>
      <c r="E37" s="44" t="s">
        <v>48</v>
      </c>
      <c r="F37" s="42" t="s">
        <v>48</v>
      </c>
      <c r="G37" s="42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W37" s="33"/>
      <c r="X37" s="38" t="str">
        <f>Notes!U38</f>
        <v xml:space="preserve">      Rubber</v>
      </c>
      <c r="Y37" s="4" t="s">
        <v>532</v>
      </c>
      <c r="Z37" s="44" t="s">
        <v>48</v>
      </c>
      <c r="AA37" s="42" t="s">
        <v>48</v>
      </c>
      <c r="AB37" s="42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O37" s="40" t="s">
        <v>48</v>
      </c>
      <c r="AP37" s="40" t="s">
        <v>48</v>
      </c>
    </row>
    <row r="38" spans="1:42" x14ac:dyDescent="0.3">
      <c r="A38" s="12">
        <v>31</v>
      </c>
      <c r="B38" s="33"/>
      <c r="C38" s="38" t="str">
        <f>Notes!U39</f>
        <v xml:space="preserve">      Other crops</v>
      </c>
      <c r="D38" s="4" t="s">
        <v>344</v>
      </c>
      <c r="E38" s="44" t="s">
        <v>48</v>
      </c>
      <c r="F38" s="42" t="s">
        <v>48</v>
      </c>
      <c r="G38" s="42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  <c r="W38" s="33"/>
      <c r="X38" s="38" t="str">
        <f>Notes!U39</f>
        <v xml:space="preserve">      Other crops</v>
      </c>
      <c r="Y38" s="4" t="s">
        <v>344</v>
      </c>
      <c r="Z38" s="44">
        <v>0.62931443632267992</v>
      </c>
      <c r="AA38" s="42">
        <v>3.1604421108668568</v>
      </c>
      <c r="AB38" s="42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O38" s="40" t="s">
        <v>48</v>
      </c>
      <c r="AP38" s="40" t="s">
        <v>48</v>
      </c>
    </row>
    <row r="39" spans="1:42" x14ac:dyDescent="0.3">
      <c r="A39" s="12">
        <v>32</v>
      </c>
      <c r="B39" s="33"/>
      <c r="C39" s="38" t="str">
        <f>Notes!U40</f>
        <v xml:space="preserve">   Livestock</v>
      </c>
      <c r="D39" s="4" t="s">
        <v>346</v>
      </c>
      <c r="E39" s="44" t="s">
        <v>48</v>
      </c>
      <c r="F39" s="42" t="s">
        <v>48</v>
      </c>
      <c r="G39" s="42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U39" s="40" t="s">
        <v>48</v>
      </c>
      <c r="W39" s="33"/>
      <c r="X39" s="38" t="str">
        <f>Notes!U40</f>
        <v xml:space="preserve">   Livestock</v>
      </c>
      <c r="Y39" s="4" t="s">
        <v>346</v>
      </c>
      <c r="Z39" s="44">
        <v>2.4905270838702628E-2</v>
      </c>
      <c r="AA39" s="42">
        <v>3.0404685554742406</v>
      </c>
      <c r="AB39" s="42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O39" s="40" t="s">
        <v>48</v>
      </c>
      <c r="AP39" s="40" t="s">
        <v>48</v>
      </c>
    </row>
    <row r="40" spans="1:42" x14ac:dyDescent="0.3">
      <c r="A40" s="12">
        <v>33</v>
      </c>
      <c r="B40" s="33"/>
      <c r="C40" s="38" t="str">
        <f>Notes!U41</f>
        <v xml:space="preserve">      Cattle</v>
      </c>
      <c r="D40" s="4" t="s">
        <v>348</v>
      </c>
      <c r="E40" s="44" t="s">
        <v>48</v>
      </c>
      <c r="F40" s="42" t="s">
        <v>48</v>
      </c>
      <c r="G40" s="42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U40" s="40" t="s">
        <v>48</v>
      </c>
      <c r="W40" s="33"/>
      <c r="X40" s="38" t="str">
        <f>Notes!U41</f>
        <v xml:space="preserve">      Cattle</v>
      </c>
      <c r="Y40" s="4" t="s">
        <v>348</v>
      </c>
      <c r="Z40" s="44" t="s">
        <v>48</v>
      </c>
      <c r="AA40" s="42" t="s">
        <v>48</v>
      </c>
      <c r="AB40" s="42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O40" s="40" t="s">
        <v>48</v>
      </c>
      <c r="AP40" s="40" t="s">
        <v>48</v>
      </c>
    </row>
    <row r="41" spans="1:42" x14ac:dyDescent="0.3">
      <c r="A41" s="12">
        <v>34</v>
      </c>
      <c r="B41" s="33"/>
      <c r="C41" s="38" t="str">
        <f>Notes!U42</f>
        <v xml:space="preserve">      Raw milk</v>
      </c>
      <c r="D41" s="4" t="s">
        <v>535</v>
      </c>
      <c r="E41" s="44" t="s">
        <v>48</v>
      </c>
      <c r="F41" s="42" t="s">
        <v>48</v>
      </c>
      <c r="G41" s="42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U41" s="40" t="s">
        <v>48</v>
      </c>
      <c r="W41" s="33"/>
      <c r="X41" s="38" t="str">
        <f>Notes!U42</f>
        <v xml:space="preserve">      Raw milk</v>
      </c>
      <c r="Y41" s="4" t="s">
        <v>535</v>
      </c>
      <c r="Z41" s="44" t="s">
        <v>48</v>
      </c>
      <c r="AA41" s="42" t="s">
        <v>48</v>
      </c>
      <c r="AB41" s="42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  <c r="AO41" s="40" t="s">
        <v>48</v>
      </c>
      <c r="AP41" s="40" t="s">
        <v>48</v>
      </c>
    </row>
    <row r="42" spans="1:42" x14ac:dyDescent="0.3">
      <c r="A42" s="12">
        <v>35</v>
      </c>
      <c r="B42" s="33"/>
      <c r="C42" s="38" t="str">
        <f>Notes!U43</f>
        <v xml:space="preserve">      Poultry</v>
      </c>
      <c r="D42" s="4" t="s">
        <v>349</v>
      </c>
      <c r="E42" s="44" t="s">
        <v>48</v>
      </c>
      <c r="F42" s="42" t="s">
        <v>48</v>
      </c>
      <c r="G42" s="42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W42" s="33"/>
      <c r="X42" s="38" t="str">
        <f>Notes!U43</f>
        <v xml:space="preserve">      Poultry</v>
      </c>
      <c r="Y42" s="4" t="s">
        <v>349</v>
      </c>
      <c r="Z42" s="44">
        <v>2.4905270838702628E-2</v>
      </c>
      <c r="AA42" s="42">
        <v>3.0404685554742406</v>
      </c>
      <c r="AB42" s="42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  <c r="AO42" s="40" t="s">
        <v>48</v>
      </c>
      <c r="AP42" s="40" t="s">
        <v>48</v>
      </c>
    </row>
    <row r="43" spans="1:42" x14ac:dyDescent="0.3">
      <c r="A43" s="12">
        <v>36</v>
      </c>
      <c r="B43" s="33"/>
      <c r="C43" s="38" t="str">
        <f>Notes!U44</f>
        <v xml:space="preserve">      Eggs</v>
      </c>
      <c r="D43" s="4" t="s">
        <v>538</v>
      </c>
      <c r="E43" s="44" t="s">
        <v>48</v>
      </c>
      <c r="F43" s="42" t="s">
        <v>48</v>
      </c>
      <c r="G43" s="42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U43" s="40" t="s">
        <v>48</v>
      </c>
      <c r="W43" s="33"/>
      <c r="X43" s="38" t="str">
        <f>Notes!U44</f>
        <v xml:space="preserve">      Eggs</v>
      </c>
      <c r="Y43" s="4" t="s">
        <v>538</v>
      </c>
      <c r="Z43" s="44" t="s">
        <v>48</v>
      </c>
      <c r="AA43" s="42" t="s">
        <v>48</v>
      </c>
      <c r="AB43" s="42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  <c r="AO43" s="40" t="s">
        <v>48</v>
      </c>
      <c r="AP43" s="40" t="s">
        <v>48</v>
      </c>
    </row>
    <row r="44" spans="1:42" x14ac:dyDescent="0.3">
      <c r="A44" s="12">
        <v>37</v>
      </c>
      <c r="B44" s="33"/>
      <c r="C44" s="38" t="str">
        <f>Notes!U45</f>
        <v xml:space="preserve">      Small ruminants</v>
      </c>
      <c r="D44" s="4" t="s">
        <v>540</v>
      </c>
      <c r="E44" s="44" t="s">
        <v>48</v>
      </c>
      <c r="F44" s="42" t="s">
        <v>48</v>
      </c>
      <c r="G44" s="42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W44" s="33"/>
      <c r="X44" s="38" t="str">
        <f>Notes!U45</f>
        <v xml:space="preserve">      Small ruminants</v>
      </c>
      <c r="Y44" s="4" t="s">
        <v>540</v>
      </c>
      <c r="Z44" s="44" t="s">
        <v>48</v>
      </c>
      <c r="AA44" s="42" t="s">
        <v>48</v>
      </c>
      <c r="AB44" s="42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  <c r="AO44" s="40" t="s">
        <v>48</v>
      </c>
      <c r="AP44" s="40" t="s">
        <v>48</v>
      </c>
    </row>
    <row r="45" spans="1:42" x14ac:dyDescent="0.3">
      <c r="A45" s="12">
        <v>38</v>
      </c>
      <c r="B45" s="33"/>
      <c r="C45" s="38" t="str">
        <f>Notes!U46</f>
        <v xml:space="preserve">      Other livestock</v>
      </c>
      <c r="D45" s="4" t="s">
        <v>350</v>
      </c>
      <c r="E45" s="44" t="s">
        <v>48</v>
      </c>
      <c r="F45" s="42" t="s">
        <v>48</v>
      </c>
      <c r="G45" s="42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U45" s="40" t="s">
        <v>48</v>
      </c>
      <c r="W45" s="33"/>
      <c r="X45" s="38" t="str">
        <f>Notes!U46</f>
        <v xml:space="preserve">      Other livestock</v>
      </c>
      <c r="Y45" s="4" t="s">
        <v>350</v>
      </c>
      <c r="Z45" s="44" t="s">
        <v>48</v>
      </c>
      <c r="AA45" s="42" t="s">
        <v>48</v>
      </c>
      <c r="AB45" s="42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  <c r="AO45" s="40" t="s">
        <v>48</v>
      </c>
      <c r="AP45" s="40" t="s">
        <v>48</v>
      </c>
    </row>
    <row r="46" spans="1:42" x14ac:dyDescent="0.3">
      <c r="A46" s="12">
        <v>39</v>
      </c>
      <c r="B46" s="33"/>
      <c r="C46" s="38" t="str">
        <f>Notes!U47</f>
        <v xml:space="preserve">   Other agriculture</v>
      </c>
      <c r="D46" s="4" t="s">
        <v>352</v>
      </c>
      <c r="E46" s="44">
        <v>0.46717703836868085</v>
      </c>
      <c r="F46" s="42">
        <v>3.0491736402753711</v>
      </c>
      <c r="G46" s="42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U46" s="40" t="s">
        <v>48</v>
      </c>
      <c r="W46" s="33"/>
      <c r="X46" s="38" t="str">
        <f>Notes!U47</f>
        <v xml:space="preserve">   Other agriculture</v>
      </c>
      <c r="Y46" s="4" t="s">
        <v>352</v>
      </c>
      <c r="Z46" s="44" t="s">
        <v>48</v>
      </c>
      <c r="AA46" s="42" t="s">
        <v>48</v>
      </c>
      <c r="AB46" s="42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  <c r="AO46" s="40" t="s">
        <v>48</v>
      </c>
      <c r="AP46" s="40" t="s">
        <v>48</v>
      </c>
    </row>
    <row r="47" spans="1:42" x14ac:dyDescent="0.3">
      <c r="A47" s="12">
        <v>40</v>
      </c>
      <c r="B47" s="33"/>
      <c r="C47" s="38" t="str">
        <f>Notes!U48</f>
        <v xml:space="preserve">      Forestry</v>
      </c>
      <c r="D47" s="4" t="s">
        <v>354</v>
      </c>
      <c r="E47" s="44" t="s">
        <v>48</v>
      </c>
      <c r="F47" s="42" t="s">
        <v>48</v>
      </c>
      <c r="G47" s="42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U47" s="40" t="s">
        <v>48</v>
      </c>
      <c r="W47" s="33"/>
      <c r="X47" s="38" t="str">
        <f>Notes!U48</f>
        <v xml:space="preserve">      Forestry</v>
      </c>
      <c r="Y47" s="4" t="s">
        <v>354</v>
      </c>
      <c r="Z47" s="44" t="s">
        <v>48</v>
      </c>
      <c r="AA47" s="42" t="s">
        <v>48</v>
      </c>
      <c r="AB47" s="42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  <c r="AO47" s="40" t="s">
        <v>48</v>
      </c>
      <c r="AP47" s="40" t="s">
        <v>48</v>
      </c>
    </row>
    <row r="48" spans="1:42" x14ac:dyDescent="0.3">
      <c r="A48" s="12">
        <v>41</v>
      </c>
      <c r="B48" s="33"/>
      <c r="C48" s="38" t="str">
        <f>Notes!U49</f>
        <v xml:space="preserve">      Aquaculture</v>
      </c>
      <c r="D48" s="4" t="s">
        <v>542</v>
      </c>
      <c r="E48" s="44" t="s">
        <v>48</v>
      </c>
      <c r="F48" s="42" t="s">
        <v>48</v>
      </c>
      <c r="G48" s="42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W48" s="33"/>
      <c r="X48" s="38" t="str">
        <f>Notes!U49</f>
        <v xml:space="preserve">      Aquaculture</v>
      </c>
      <c r="Y48" s="4" t="s">
        <v>542</v>
      </c>
      <c r="Z48" s="44" t="s">
        <v>48</v>
      </c>
      <c r="AA48" s="42" t="s">
        <v>48</v>
      </c>
      <c r="AB48" s="42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  <c r="AO48" s="40" t="s">
        <v>48</v>
      </c>
      <c r="AP48" s="40" t="s">
        <v>48</v>
      </c>
    </row>
    <row r="49" spans="1:42" x14ac:dyDescent="0.3">
      <c r="A49" s="12">
        <v>42</v>
      </c>
      <c r="B49" s="33"/>
      <c r="C49" s="38" t="str">
        <f>Notes!U50</f>
        <v xml:space="preserve">      Capture fisheries</v>
      </c>
      <c r="D49" s="4" t="s">
        <v>356</v>
      </c>
      <c r="E49" s="44">
        <v>0.46717703836868085</v>
      </c>
      <c r="F49" s="42">
        <v>3.0491736402753711</v>
      </c>
      <c r="G49" s="42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48</v>
      </c>
      <c r="W49" s="33"/>
      <c r="X49" s="38" t="str">
        <f>Notes!U50</f>
        <v xml:space="preserve">      Capture fisheries</v>
      </c>
      <c r="Y49" s="4" t="s">
        <v>356</v>
      </c>
      <c r="Z49" s="44" t="s">
        <v>48</v>
      </c>
      <c r="AA49" s="42" t="s">
        <v>48</v>
      </c>
      <c r="AB49" s="42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  <c r="AO49" s="40" t="s">
        <v>48</v>
      </c>
      <c r="AP49" s="40" t="s">
        <v>48</v>
      </c>
    </row>
    <row r="50" spans="1:42" x14ac:dyDescent="0.3">
      <c r="A50" s="12">
        <v>43</v>
      </c>
      <c r="B50" s="33"/>
      <c r="C50" s="38" t="str">
        <f>Notes!U51</f>
        <v>Industry</v>
      </c>
      <c r="D50" s="4" t="s">
        <v>357</v>
      </c>
      <c r="E50" s="44">
        <v>88.433346336756031</v>
      </c>
      <c r="F50" s="42">
        <v>2.9188536870208504</v>
      </c>
      <c r="G50" s="42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U50" s="40" t="s">
        <v>48</v>
      </c>
      <c r="W50" s="33"/>
      <c r="X50" s="38" t="str">
        <f>Notes!U51</f>
        <v>Industry</v>
      </c>
      <c r="Y50" s="4" t="s">
        <v>357</v>
      </c>
      <c r="Z50" s="44">
        <v>69.802389904423322</v>
      </c>
      <c r="AA50" s="42">
        <v>3.052053698316981</v>
      </c>
      <c r="AB50" s="42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  <c r="AO50" s="40" t="s">
        <v>48</v>
      </c>
      <c r="AP50" s="40" t="s">
        <v>48</v>
      </c>
    </row>
    <row r="51" spans="1:42" x14ac:dyDescent="0.3">
      <c r="A51" s="12">
        <v>44</v>
      </c>
      <c r="B51" s="33"/>
      <c r="C51" s="38" t="str">
        <f>Notes!U52</f>
        <v xml:space="preserve">   Mining</v>
      </c>
      <c r="D51" s="4" t="s">
        <v>545</v>
      </c>
      <c r="E51" s="44" t="s">
        <v>48</v>
      </c>
      <c r="F51" s="42" t="s">
        <v>48</v>
      </c>
      <c r="G51" s="42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U51" s="40" t="s">
        <v>48</v>
      </c>
      <c r="W51" s="33"/>
      <c r="X51" s="38" t="str">
        <f>Notes!U52</f>
        <v xml:space="preserve">   Mining</v>
      </c>
      <c r="Y51" s="4" t="s">
        <v>545</v>
      </c>
      <c r="Z51" s="44">
        <v>6.4842517833868243</v>
      </c>
      <c r="AA51" s="42">
        <v>3.040288387848844</v>
      </c>
      <c r="AB51" s="42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  <c r="AO51" s="40" t="s">
        <v>48</v>
      </c>
      <c r="AP51" s="40" t="s">
        <v>48</v>
      </c>
    </row>
    <row r="52" spans="1:42" x14ac:dyDescent="0.3">
      <c r="A52" s="12">
        <v>45</v>
      </c>
      <c r="B52" s="33"/>
      <c r="C52" s="38" t="str">
        <f>Notes!U53</f>
        <v xml:space="preserve">      Coal and lignite</v>
      </c>
      <c r="D52" s="4" t="s">
        <v>546</v>
      </c>
      <c r="E52" s="44" t="s">
        <v>48</v>
      </c>
      <c r="F52" s="42" t="s">
        <v>48</v>
      </c>
      <c r="G52" s="42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U52" s="40" t="s">
        <v>48</v>
      </c>
      <c r="W52" s="33"/>
      <c r="X52" s="38" t="str">
        <f>Notes!U53</f>
        <v xml:space="preserve">      Coal and lignite</v>
      </c>
      <c r="Y52" s="4" t="s">
        <v>546</v>
      </c>
      <c r="Z52" s="44">
        <v>2.3561123614806756</v>
      </c>
      <c r="AA52" s="42">
        <v>3.0388090714114302</v>
      </c>
      <c r="AB52" s="42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  <c r="AO52" s="40" t="s">
        <v>48</v>
      </c>
      <c r="AP52" s="40" t="s">
        <v>48</v>
      </c>
    </row>
    <row r="53" spans="1:42" x14ac:dyDescent="0.3">
      <c r="A53" s="12">
        <v>46</v>
      </c>
      <c r="B53" s="33"/>
      <c r="C53" s="38" t="str">
        <f>Notes!U54</f>
        <v xml:space="preserve">      Crude oil</v>
      </c>
      <c r="D53" s="4" t="s">
        <v>548</v>
      </c>
      <c r="E53" s="44" t="s">
        <v>48</v>
      </c>
      <c r="F53" s="42" t="s">
        <v>48</v>
      </c>
      <c r="G53" s="42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U53" s="40" t="s">
        <v>48</v>
      </c>
      <c r="W53" s="33"/>
      <c r="X53" s="38" t="str">
        <f>Notes!U54</f>
        <v xml:space="preserve">      Crude oil</v>
      </c>
      <c r="Y53" s="4" t="s">
        <v>548</v>
      </c>
      <c r="Z53" s="44">
        <v>1.8786272200052154</v>
      </c>
      <c r="AA53" s="42">
        <v>3.0564791909668321</v>
      </c>
      <c r="AB53" s="42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  <c r="AO53" s="40" t="s">
        <v>48</v>
      </c>
      <c r="AP53" s="40" t="s">
        <v>48</v>
      </c>
    </row>
    <row r="54" spans="1:42" x14ac:dyDescent="0.3">
      <c r="A54" s="12">
        <v>47</v>
      </c>
      <c r="B54" s="33"/>
      <c r="C54" s="38" t="str">
        <f>Notes!U55</f>
        <v xml:space="preserve">      Natural gas</v>
      </c>
      <c r="D54" s="4" t="s">
        <v>550</v>
      </c>
      <c r="E54" s="44" t="s">
        <v>48</v>
      </c>
      <c r="F54" s="42" t="s">
        <v>48</v>
      </c>
      <c r="G54" s="42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U54" s="40" t="s">
        <v>48</v>
      </c>
      <c r="W54" s="33"/>
      <c r="X54" s="38" t="str">
        <f>Notes!U55</f>
        <v xml:space="preserve">      Natural gas</v>
      </c>
      <c r="Y54" s="4" t="s">
        <v>550</v>
      </c>
      <c r="Z54" s="44" t="s">
        <v>48</v>
      </c>
      <c r="AA54" s="42" t="s">
        <v>48</v>
      </c>
      <c r="AB54" s="42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  <c r="AO54" s="40" t="s">
        <v>48</v>
      </c>
      <c r="AP54" s="40" t="s">
        <v>48</v>
      </c>
    </row>
    <row r="55" spans="1:42" x14ac:dyDescent="0.3">
      <c r="A55" s="12">
        <v>48</v>
      </c>
      <c r="B55" s="33"/>
      <c r="C55" s="38" t="str">
        <f>Notes!U56</f>
        <v xml:space="preserve">      Other mining</v>
      </c>
      <c r="D55" s="4" t="s">
        <v>552</v>
      </c>
      <c r="E55" s="44" t="s">
        <v>48</v>
      </c>
      <c r="F55" s="42" t="s">
        <v>48</v>
      </c>
      <c r="G55" s="42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U55" s="40" t="s">
        <v>48</v>
      </c>
      <c r="W55" s="33"/>
      <c r="X55" s="38" t="str">
        <f>Notes!U56</f>
        <v xml:space="preserve">      Other mining</v>
      </c>
      <c r="Y55" s="4" t="s">
        <v>552</v>
      </c>
      <c r="Z55" s="44">
        <v>2.2495122019009344</v>
      </c>
      <c r="AA55" s="42">
        <v>3.0283058159765952</v>
      </c>
      <c r="AB55" s="42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  <c r="AO55" s="40" t="s">
        <v>48</v>
      </c>
      <c r="AP55" s="40" t="s">
        <v>48</v>
      </c>
    </row>
    <row r="56" spans="1:42" x14ac:dyDescent="0.3">
      <c r="A56" s="12">
        <v>49</v>
      </c>
      <c r="B56" s="33"/>
      <c r="C56" s="38" t="str">
        <f>Notes!U57</f>
        <v xml:space="preserve">   Manufacturing</v>
      </c>
      <c r="D56" s="4" t="s">
        <v>360</v>
      </c>
      <c r="E56" s="44">
        <v>88.433346336756031</v>
      </c>
      <c r="F56" s="42">
        <v>2.9188536870208504</v>
      </c>
      <c r="G56" s="42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U56" s="40" t="s">
        <v>48</v>
      </c>
      <c r="W56" s="33"/>
      <c r="X56" s="38" t="str">
        <f>Notes!U57</f>
        <v xml:space="preserve">   Manufacturing</v>
      </c>
      <c r="Y56" s="4" t="s">
        <v>360</v>
      </c>
      <c r="Z56" s="44">
        <v>61.491338073446421</v>
      </c>
      <c r="AA56" s="42">
        <v>3.055444946765995</v>
      </c>
      <c r="AB56" s="42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  <c r="AO56" s="40" t="s">
        <v>48</v>
      </c>
      <c r="AP56" s="40" t="s">
        <v>48</v>
      </c>
    </row>
    <row r="57" spans="1:42" x14ac:dyDescent="0.3">
      <c r="A57" s="12">
        <v>50</v>
      </c>
      <c r="B57" s="33"/>
      <c r="C57" s="38" t="str">
        <f>Notes!U58</f>
        <v xml:space="preserve">      Food processing</v>
      </c>
      <c r="D57" s="4" t="s">
        <v>554</v>
      </c>
      <c r="E57" s="44">
        <v>0.29433303964441859</v>
      </c>
      <c r="F57" s="42">
        <v>2.9496354426965077</v>
      </c>
      <c r="G57" s="42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U57" s="40" t="s">
        <v>48</v>
      </c>
      <c r="W57" s="33"/>
      <c r="X57" s="38" t="str">
        <f>Notes!U58</f>
        <v xml:space="preserve">      Food processing</v>
      </c>
      <c r="Y57" s="4" t="s">
        <v>554</v>
      </c>
      <c r="Z57" s="44">
        <v>7.8145728547701134</v>
      </c>
      <c r="AA57" s="42">
        <v>3.087278243069691</v>
      </c>
      <c r="AB57" s="42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  <c r="AO57" s="40" t="s">
        <v>48</v>
      </c>
      <c r="AP57" s="40" t="s">
        <v>48</v>
      </c>
    </row>
    <row r="58" spans="1:42" x14ac:dyDescent="0.3">
      <c r="A58" s="12">
        <v>51</v>
      </c>
      <c r="B58" s="33"/>
      <c r="C58" s="38" t="str">
        <f>Notes!U59</f>
        <v xml:space="preserve">         Meat processing</v>
      </c>
      <c r="D58" s="4" t="s">
        <v>556</v>
      </c>
      <c r="E58" s="44" t="s">
        <v>48</v>
      </c>
      <c r="F58" s="42" t="s">
        <v>48</v>
      </c>
      <c r="G58" s="42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U58" s="40" t="s">
        <v>48</v>
      </c>
      <c r="W58" s="33"/>
      <c r="X58" s="38" t="str">
        <f>Notes!U59</f>
        <v xml:space="preserve">         Meat processing</v>
      </c>
      <c r="Y58" s="4" t="s">
        <v>556</v>
      </c>
      <c r="Z58" s="44">
        <v>9.956689215557743E-2</v>
      </c>
      <c r="AA58" s="42">
        <v>3.1783459090855892</v>
      </c>
      <c r="AB58" s="42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  <c r="AO58" s="40" t="s">
        <v>48</v>
      </c>
      <c r="AP58" s="40" t="s">
        <v>48</v>
      </c>
    </row>
    <row r="59" spans="1:42" x14ac:dyDescent="0.3">
      <c r="A59" s="12">
        <v>52</v>
      </c>
      <c r="B59" s="33"/>
      <c r="C59" s="38" t="str">
        <f>Notes!U60</f>
        <v xml:space="preserve">         Fish and seafood processing</v>
      </c>
      <c r="D59" s="4" t="s">
        <v>557</v>
      </c>
      <c r="E59" s="44">
        <v>9.6800017274927194E-2</v>
      </c>
      <c r="F59" s="42">
        <v>2.8939931741419622</v>
      </c>
      <c r="G59" s="42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U59" s="40" t="s">
        <v>48</v>
      </c>
      <c r="W59" s="33"/>
      <c r="X59" s="38" t="str">
        <f>Notes!U60</f>
        <v xml:space="preserve">         Fish and seafood processing</v>
      </c>
      <c r="Y59" s="4" t="s">
        <v>557</v>
      </c>
      <c r="Z59" s="44">
        <v>7.3775733081072173E-2</v>
      </c>
      <c r="AA59" s="42">
        <v>3.1468555829578859</v>
      </c>
      <c r="AB59" s="42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  <c r="AO59" s="40" t="s">
        <v>48</v>
      </c>
      <c r="AP59" s="40" t="s">
        <v>48</v>
      </c>
    </row>
    <row r="60" spans="1:42" x14ac:dyDescent="0.3">
      <c r="A60" s="12">
        <v>53</v>
      </c>
      <c r="B60" s="33"/>
      <c r="C60" s="38" t="str">
        <f>Notes!U61</f>
        <v xml:space="preserve">         Dairy</v>
      </c>
      <c r="D60" s="4" t="s">
        <v>559</v>
      </c>
      <c r="E60" s="44" t="s">
        <v>48</v>
      </c>
      <c r="F60" s="42" t="s">
        <v>48</v>
      </c>
      <c r="G60" s="42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U60" s="40" t="s">
        <v>48</v>
      </c>
      <c r="W60" s="33"/>
      <c r="X60" s="38" t="str">
        <f>Notes!U61</f>
        <v xml:space="preserve">         Dairy</v>
      </c>
      <c r="Y60" s="4" t="s">
        <v>559</v>
      </c>
      <c r="Z60" s="44">
        <v>0.49489296737953514</v>
      </c>
      <c r="AA60" s="42">
        <v>3.0783219936088901</v>
      </c>
      <c r="AB60" s="42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  <c r="AO60" s="40" t="s">
        <v>48</v>
      </c>
      <c r="AP60" s="40" t="s">
        <v>48</v>
      </c>
    </row>
    <row r="61" spans="1:42" x14ac:dyDescent="0.3">
      <c r="A61" s="12">
        <v>54</v>
      </c>
      <c r="B61" s="33"/>
      <c r="C61" s="38" t="str">
        <f>Notes!U62</f>
        <v xml:space="preserve">         Fruit and vegetable processing</v>
      </c>
      <c r="D61" s="4" t="s">
        <v>561</v>
      </c>
      <c r="E61" s="44" t="s">
        <v>48</v>
      </c>
      <c r="F61" s="42" t="s">
        <v>48</v>
      </c>
      <c r="G61" s="42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W61" s="33"/>
      <c r="X61" s="38" t="str">
        <f>Notes!U62</f>
        <v xml:space="preserve">         Fruit and vegetable processing</v>
      </c>
      <c r="Y61" s="4" t="s">
        <v>561</v>
      </c>
      <c r="Z61" s="44">
        <v>0.28742831939614227</v>
      </c>
      <c r="AA61" s="42">
        <v>3.1418979214078657</v>
      </c>
      <c r="AB61" s="42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  <c r="AO61" s="40" t="s">
        <v>48</v>
      </c>
      <c r="AP61" s="40" t="s">
        <v>48</v>
      </c>
    </row>
    <row r="62" spans="1:42" x14ac:dyDescent="0.3">
      <c r="A62" s="12">
        <v>55</v>
      </c>
      <c r="B62" s="33"/>
      <c r="C62" s="38" t="str">
        <f>Notes!U63</f>
        <v xml:space="preserve">         Fats and oils</v>
      </c>
      <c r="D62" s="4" t="s">
        <v>563</v>
      </c>
      <c r="E62" s="44" t="s">
        <v>48</v>
      </c>
      <c r="F62" s="42" t="s">
        <v>48</v>
      </c>
      <c r="G62" s="42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W62" s="33"/>
      <c r="X62" s="38" t="str">
        <f>Notes!U63</f>
        <v xml:space="preserve">         Fats and oils</v>
      </c>
      <c r="Y62" s="4" t="s">
        <v>563</v>
      </c>
      <c r="Z62" s="44">
        <v>1.5910610860874581</v>
      </c>
      <c r="AA62" s="42">
        <v>3.0697362311471021</v>
      </c>
      <c r="AB62" s="42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  <c r="AO62" s="40" t="s">
        <v>48</v>
      </c>
      <c r="AP62" s="40" t="s">
        <v>48</v>
      </c>
    </row>
    <row r="63" spans="1:42" x14ac:dyDescent="0.3">
      <c r="A63" s="12">
        <v>56</v>
      </c>
      <c r="B63" s="33"/>
      <c r="C63" s="38" t="str">
        <f>Notes!U64</f>
        <v xml:space="preserve">         Maize milling</v>
      </c>
      <c r="D63" s="4" t="s">
        <v>362</v>
      </c>
      <c r="E63" s="44" t="s">
        <v>48</v>
      </c>
      <c r="F63" s="42" t="s">
        <v>48</v>
      </c>
      <c r="G63" s="42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U63" s="40" t="s">
        <v>48</v>
      </c>
      <c r="W63" s="33"/>
      <c r="X63" s="38" t="str">
        <f>Notes!U64</f>
        <v xml:space="preserve">         Maize milling</v>
      </c>
      <c r="Y63" s="4" t="s">
        <v>362</v>
      </c>
      <c r="Z63" s="44">
        <v>8.2596363816595242E-3</v>
      </c>
      <c r="AA63" s="42">
        <v>3.1131012230761534</v>
      </c>
      <c r="AB63" s="42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  <c r="AO63" s="40" t="s">
        <v>48</v>
      </c>
      <c r="AP63" s="40" t="s">
        <v>48</v>
      </c>
    </row>
    <row r="64" spans="1:42" x14ac:dyDescent="0.3">
      <c r="A64" s="12">
        <v>57</v>
      </c>
      <c r="B64" s="33"/>
      <c r="C64" s="38" t="str">
        <f>Notes!U65</f>
        <v xml:space="preserve">         Sorghum and millet milling</v>
      </c>
      <c r="D64" s="4" t="s">
        <v>363</v>
      </c>
      <c r="E64" s="44" t="s">
        <v>48</v>
      </c>
      <c r="F64" s="42" t="s">
        <v>48</v>
      </c>
      <c r="G64" s="42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U64" s="40" t="s">
        <v>48</v>
      </c>
      <c r="W64" s="33"/>
      <c r="X64" s="38" t="str">
        <f>Notes!U65</f>
        <v xml:space="preserve">         Sorghum and millet milling</v>
      </c>
      <c r="Y64" s="4" t="s">
        <v>363</v>
      </c>
      <c r="Z64" s="44" t="s">
        <v>48</v>
      </c>
      <c r="AA64" s="42" t="s">
        <v>48</v>
      </c>
      <c r="AB64" s="42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  <c r="AO64" s="40" t="s">
        <v>48</v>
      </c>
      <c r="AP64" s="40" t="s">
        <v>48</v>
      </c>
    </row>
    <row r="65" spans="1:42" x14ac:dyDescent="0.3">
      <c r="A65" s="12">
        <v>58</v>
      </c>
      <c r="B65" s="33"/>
      <c r="C65" s="38" t="str">
        <f>Notes!U66</f>
        <v xml:space="preserve">         Rice milling</v>
      </c>
      <c r="D65" s="4" t="s">
        <v>364</v>
      </c>
      <c r="E65" s="44" t="s">
        <v>48</v>
      </c>
      <c r="F65" s="42" t="s">
        <v>48</v>
      </c>
      <c r="G65" s="42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U65" s="40" t="s">
        <v>48</v>
      </c>
      <c r="W65" s="33"/>
      <c r="X65" s="38" t="str">
        <f>Notes!U66</f>
        <v xml:space="preserve">         Rice milling</v>
      </c>
      <c r="Y65" s="4" t="s">
        <v>364</v>
      </c>
      <c r="Z65" s="44" t="s">
        <v>48</v>
      </c>
      <c r="AA65" s="42" t="s">
        <v>48</v>
      </c>
      <c r="AB65" s="42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  <c r="AO65" s="40" t="s">
        <v>48</v>
      </c>
      <c r="AP65" s="40" t="s">
        <v>48</v>
      </c>
    </row>
    <row r="66" spans="1:42" x14ac:dyDescent="0.3">
      <c r="A66" s="12">
        <v>59</v>
      </c>
      <c r="B66" s="33"/>
      <c r="C66" s="38" t="str">
        <f>Notes!U67</f>
        <v xml:space="preserve">         Rice milling - coarse</v>
      </c>
      <c r="D66" s="4" t="s">
        <v>720</v>
      </c>
      <c r="E66" s="44" t="s">
        <v>48</v>
      </c>
      <c r="F66" s="42" t="s">
        <v>48</v>
      </c>
      <c r="G66" s="42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U66" s="40" t="s">
        <v>48</v>
      </c>
      <c r="W66" s="33"/>
      <c r="X66" s="38" t="str">
        <f>Notes!U67</f>
        <v xml:space="preserve">         Rice milling - coarse</v>
      </c>
      <c r="Y66" s="4" t="s">
        <v>720</v>
      </c>
      <c r="Z66" s="44" t="s">
        <v>48</v>
      </c>
      <c r="AA66" s="42" t="s">
        <v>48</v>
      </c>
      <c r="AB66" s="42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  <c r="AO66" s="40" t="s">
        <v>48</v>
      </c>
      <c r="AP66" s="40" t="s">
        <v>48</v>
      </c>
    </row>
    <row r="67" spans="1:42" x14ac:dyDescent="0.3">
      <c r="A67" s="12">
        <v>60</v>
      </c>
      <c r="B67" s="33"/>
      <c r="C67" s="38" t="str">
        <f>Notes!U68</f>
        <v xml:space="preserve">         Rice milling - other</v>
      </c>
      <c r="D67" s="4" t="s">
        <v>722</v>
      </c>
      <c r="E67" s="44" t="s">
        <v>48</v>
      </c>
      <c r="F67" s="42" t="s">
        <v>48</v>
      </c>
      <c r="G67" s="42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U67" s="40" t="s">
        <v>48</v>
      </c>
      <c r="W67" s="33"/>
      <c r="X67" s="38" t="str">
        <f>Notes!U68</f>
        <v xml:space="preserve">         Rice milling - other</v>
      </c>
      <c r="Y67" s="4" t="s">
        <v>722</v>
      </c>
      <c r="Z67" s="44" t="s">
        <v>48</v>
      </c>
      <c r="AA67" s="42" t="s">
        <v>48</v>
      </c>
      <c r="AB67" s="42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  <c r="AO67" s="40" t="s">
        <v>48</v>
      </c>
      <c r="AP67" s="40" t="s">
        <v>48</v>
      </c>
    </row>
    <row r="68" spans="1:42" x14ac:dyDescent="0.3">
      <c r="A68" s="12">
        <v>61</v>
      </c>
      <c r="B68" s="33"/>
      <c r="C68" s="38" t="str">
        <f>Notes!U69</f>
        <v xml:space="preserve">         Wheat and barley milling</v>
      </c>
      <c r="D68" s="4" t="s">
        <v>365</v>
      </c>
      <c r="E68" s="44" t="s">
        <v>48</v>
      </c>
      <c r="F68" s="42" t="s">
        <v>48</v>
      </c>
      <c r="G68" s="42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U68" s="40" t="s">
        <v>48</v>
      </c>
      <c r="W68" s="33"/>
      <c r="X68" s="38" t="str">
        <f>Notes!U69</f>
        <v xml:space="preserve">         Wheat and barley milling</v>
      </c>
      <c r="Y68" s="4" t="s">
        <v>365</v>
      </c>
      <c r="Z68" s="44" t="s">
        <v>48</v>
      </c>
      <c r="AA68" s="42" t="s">
        <v>48</v>
      </c>
      <c r="AB68" s="42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  <c r="AO68" s="40" t="s">
        <v>48</v>
      </c>
      <c r="AP68" s="40" t="s">
        <v>48</v>
      </c>
    </row>
    <row r="69" spans="1:42" x14ac:dyDescent="0.3">
      <c r="A69" s="12">
        <v>62</v>
      </c>
      <c r="B69" s="33"/>
      <c r="C69" s="38" t="str">
        <f>Notes!U70</f>
        <v xml:space="preserve">         Other grain milling</v>
      </c>
      <c r="D69" s="4" t="s">
        <v>366</v>
      </c>
      <c r="E69" s="44" t="s">
        <v>48</v>
      </c>
      <c r="F69" s="42" t="s">
        <v>48</v>
      </c>
      <c r="G69" s="42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U69" s="40" t="s">
        <v>48</v>
      </c>
      <c r="W69" s="33"/>
      <c r="X69" s="38" t="str">
        <f>Notes!U70</f>
        <v xml:space="preserve">         Other grain milling</v>
      </c>
      <c r="Y69" s="4" t="s">
        <v>366</v>
      </c>
      <c r="Z69" s="44" t="s">
        <v>48</v>
      </c>
      <c r="AA69" s="42" t="s">
        <v>48</v>
      </c>
      <c r="AB69" s="42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  <c r="AO69" s="40" t="s">
        <v>48</v>
      </c>
      <c r="AP69" s="40" t="s">
        <v>48</v>
      </c>
    </row>
    <row r="70" spans="1:42" x14ac:dyDescent="0.3">
      <c r="A70" s="12">
        <v>63</v>
      </c>
      <c r="B70" s="33"/>
      <c r="C70" s="38" t="str">
        <f>Notes!U71</f>
        <v xml:space="preserve">         Sugar refining</v>
      </c>
      <c r="D70" s="4" t="s">
        <v>367</v>
      </c>
      <c r="E70" s="44" t="s">
        <v>48</v>
      </c>
      <c r="F70" s="42" t="s">
        <v>48</v>
      </c>
      <c r="G70" s="42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U70" s="40" t="s">
        <v>48</v>
      </c>
      <c r="W70" s="33"/>
      <c r="X70" s="38" t="str">
        <f>Notes!U71</f>
        <v xml:space="preserve">         Sugar refining</v>
      </c>
      <c r="Y70" s="4" t="s">
        <v>367</v>
      </c>
      <c r="Z70" s="44">
        <v>3.8387755680927951</v>
      </c>
      <c r="AA70" s="42">
        <v>3.0752503478094662</v>
      </c>
      <c r="AB70" s="42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  <c r="AO70" s="40" t="s">
        <v>48</v>
      </c>
      <c r="AP70" s="40" t="s">
        <v>48</v>
      </c>
    </row>
    <row r="71" spans="1:42" x14ac:dyDescent="0.3">
      <c r="A71" s="12">
        <v>64</v>
      </c>
      <c r="B71" s="33"/>
      <c r="C71" s="38" t="str">
        <f>Notes!U72</f>
        <v xml:space="preserve">         Coffee processing</v>
      </c>
      <c r="D71" s="4" t="s">
        <v>368</v>
      </c>
      <c r="E71" s="44" t="s">
        <v>48</v>
      </c>
      <c r="F71" s="42" t="s">
        <v>48</v>
      </c>
      <c r="G71" s="42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U71" s="40" t="s">
        <v>48</v>
      </c>
      <c r="W71" s="33"/>
      <c r="X71" s="38" t="str">
        <f>Notes!U72</f>
        <v xml:space="preserve">         Coffee processing</v>
      </c>
      <c r="Y71" s="4" t="s">
        <v>368</v>
      </c>
      <c r="Z71" s="44" t="s">
        <v>48</v>
      </c>
      <c r="AA71" s="42" t="s">
        <v>48</v>
      </c>
      <c r="AB71" s="42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  <c r="AO71" s="40" t="s">
        <v>48</v>
      </c>
      <c r="AP71" s="40" t="s">
        <v>48</v>
      </c>
    </row>
    <row r="72" spans="1:42" x14ac:dyDescent="0.3">
      <c r="A72" s="12">
        <v>65</v>
      </c>
      <c r="B72" s="33"/>
      <c r="C72" s="38" t="str">
        <f>Notes!U73</f>
        <v xml:space="preserve">         Tea processing</v>
      </c>
      <c r="D72" s="4" t="s">
        <v>369</v>
      </c>
      <c r="E72" s="44" t="s">
        <v>48</v>
      </c>
      <c r="F72" s="42" t="s">
        <v>48</v>
      </c>
      <c r="G72" s="42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U72" s="40" t="s">
        <v>48</v>
      </c>
      <c r="W72" s="33"/>
      <c r="X72" s="38" t="str">
        <f>Notes!U73</f>
        <v xml:space="preserve">         Tea processing</v>
      </c>
      <c r="Y72" s="4" t="s">
        <v>369</v>
      </c>
      <c r="Z72" s="44" t="s">
        <v>48</v>
      </c>
      <c r="AA72" s="42" t="s">
        <v>48</v>
      </c>
      <c r="AB72" s="42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  <c r="AO72" s="40" t="s">
        <v>48</v>
      </c>
      <c r="AP72" s="40" t="s">
        <v>48</v>
      </c>
    </row>
    <row r="73" spans="1:42" x14ac:dyDescent="0.3">
      <c r="A73" s="12">
        <v>66</v>
      </c>
      <c r="B73" s="33"/>
      <c r="C73" s="38" t="str">
        <f>Notes!U74</f>
        <v xml:space="preserve">         Other foods</v>
      </c>
      <c r="D73" s="4" t="s">
        <v>370</v>
      </c>
      <c r="E73" s="44">
        <v>0.19753302236949141</v>
      </c>
      <c r="F73" s="42">
        <v>2.9768368999014694</v>
      </c>
      <c r="G73" s="42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U73" s="40" t="s">
        <v>48</v>
      </c>
      <c r="W73" s="33"/>
      <c r="X73" s="38" t="str">
        <f>Notes!U74</f>
        <v xml:space="preserve">         Other foods</v>
      </c>
      <c r="Y73" s="4" t="s">
        <v>370</v>
      </c>
      <c r="Z73" s="44">
        <v>0.44041271054177589</v>
      </c>
      <c r="AA73" s="42">
        <v>3.0876754936119966</v>
      </c>
      <c r="AB73" s="42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  <c r="AO73" s="40" t="s">
        <v>48</v>
      </c>
      <c r="AP73" s="40" t="s">
        <v>48</v>
      </c>
    </row>
    <row r="74" spans="1:42" x14ac:dyDescent="0.3">
      <c r="A74" s="12">
        <v>67</v>
      </c>
      <c r="B74" s="33"/>
      <c r="C74" s="38" t="str">
        <f>Notes!U75</f>
        <v xml:space="preserve">         Animal feed</v>
      </c>
      <c r="D74" s="4" t="s">
        <v>371</v>
      </c>
      <c r="E74" s="44" t="s">
        <v>48</v>
      </c>
      <c r="F74" s="42" t="s">
        <v>48</v>
      </c>
      <c r="G74" s="42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U74" s="40" t="s">
        <v>48</v>
      </c>
      <c r="W74" s="33"/>
      <c r="X74" s="38" t="str">
        <f>Notes!U75</f>
        <v xml:space="preserve">         Animal feed</v>
      </c>
      <c r="Y74" s="4" t="s">
        <v>371</v>
      </c>
      <c r="Z74" s="44">
        <v>0.98039994165409738</v>
      </c>
      <c r="AA74" s="42">
        <v>3.1370598282302486</v>
      </c>
      <c r="AB74" s="42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  <c r="AO74" s="40" t="s">
        <v>48</v>
      </c>
      <c r="AP74" s="40" t="s">
        <v>48</v>
      </c>
    </row>
    <row r="75" spans="1:42" x14ac:dyDescent="0.3">
      <c r="A75" s="12">
        <v>68</v>
      </c>
      <c r="B75" s="33"/>
      <c r="C75" s="38" t="str">
        <f>Notes!U76</f>
        <v xml:space="preserve">      Beverages and tobacco</v>
      </c>
      <c r="D75" s="4" t="s">
        <v>570</v>
      </c>
      <c r="E75" s="44">
        <v>0.29742041517978318</v>
      </c>
      <c r="F75" s="42">
        <v>3.0330047499524282</v>
      </c>
      <c r="G75" s="42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U75" s="40" t="s">
        <v>48</v>
      </c>
      <c r="W75" s="33"/>
      <c r="X75" s="38" t="str">
        <f>Notes!U76</f>
        <v xml:space="preserve">      Beverages and tobacco</v>
      </c>
      <c r="Y75" s="4" t="s">
        <v>570</v>
      </c>
      <c r="Z75" s="44">
        <v>0.10189902922472013</v>
      </c>
      <c r="AA75" s="42">
        <v>3.0603724868650151</v>
      </c>
      <c r="AB75" s="42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  <c r="AO75" s="40" t="s">
        <v>48</v>
      </c>
      <c r="AP75" s="40" t="s">
        <v>48</v>
      </c>
    </row>
    <row r="76" spans="1:42" x14ac:dyDescent="0.3">
      <c r="A76" s="12">
        <v>69</v>
      </c>
      <c r="B76" s="33"/>
      <c r="C76" s="38" t="str">
        <f>Notes!U77</f>
        <v xml:space="preserve">         Beverages</v>
      </c>
      <c r="D76" s="4" t="s">
        <v>372</v>
      </c>
      <c r="E76" s="44">
        <v>0.29742041517978318</v>
      </c>
      <c r="F76" s="42">
        <v>3.0330047499524282</v>
      </c>
      <c r="G76" s="42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U76" s="40" t="s">
        <v>48</v>
      </c>
      <c r="W76" s="33"/>
      <c r="X76" s="38" t="str">
        <f>Notes!U77</f>
        <v xml:space="preserve">         Beverages</v>
      </c>
      <c r="Y76" s="4" t="s">
        <v>372</v>
      </c>
      <c r="Z76" s="44">
        <v>0.10189902922472013</v>
      </c>
      <c r="AA76" s="42">
        <v>3.0603724868650151</v>
      </c>
      <c r="AB76" s="42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  <c r="AO76" s="40" t="s">
        <v>48</v>
      </c>
      <c r="AP76" s="40" t="s">
        <v>48</v>
      </c>
    </row>
    <row r="77" spans="1:42" x14ac:dyDescent="0.3">
      <c r="A77" s="12">
        <v>70</v>
      </c>
      <c r="B77" s="33"/>
      <c r="C77" s="38" t="str">
        <f>Notes!U78</f>
        <v xml:space="preserve">         Tobacco processing</v>
      </c>
      <c r="D77" s="4" t="s">
        <v>373</v>
      </c>
      <c r="E77" s="44" t="s">
        <v>48</v>
      </c>
      <c r="F77" s="42" t="s">
        <v>48</v>
      </c>
      <c r="G77" s="42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U77" s="40" t="s">
        <v>48</v>
      </c>
      <c r="W77" s="33"/>
      <c r="X77" s="38" t="str">
        <f>Notes!U78</f>
        <v xml:space="preserve">         Tobacco processing</v>
      </c>
      <c r="Y77" s="4" t="s">
        <v>373</v>
      </c>
      <c r="Z77" s="44" t="s">
        <v>48</v>
      </c>
      <c r="AA77" s="42" t="s">
        <v>48</v>
      </c>
      <c r="AB77" s="42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  <c r="AO77" s="40" t="s">
        <v>48</v>
      </c>
      <c r="AP77" s="40" t="s">
        <v>48</v>
      </c>
    </row>
    <row r="78" spans="1:42" x14ac:dyDescent="0.3">
      <c r="A78" s="12">
        <v>71</v>
      </c>
      <c r="B78" s="33"/>
      <c r="C78" s="38" t="str">
        <f>Notes!U79</f>
        <v xml:space="preserve">      Textiles, clothing and leather</v>
      </c>
      <c r="D78" s="4" t="s">
        <v>374</v>
      </c>
      <c r="E78" s="44">
        <v>71.024906579312486</v>
      </c>
      <c r="F78" s="42">
        <v>2.891676489407935</v>
      </c>
      <c r="G78" s="42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U78" s="40" t="s">
        <v>48</v>
      </c>
      <c r="W78" s="33"/>
      <c r="X78" s="38" t="str">
        <f>Notes!U79</f>
        <v xml:space="preserve">      Textiles, clothing and leather</v>
      </c>
      <c r="Y78" s="4" t="s">
        <v>374</v>
      </c>
      <c r="Z78" s="44">
        <v>16.49126800517611</v>
      </c>
      <c r="AA78" s="42">
        <v>3.0346113103090433</v>
      </c>
      <c r="AB78" s="42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  <c r="AO78" s="40" t="s">
        <v>48</v>
      </c>
      <c r="AP78" s="40" t="s">
        <v>48</v>
      </c>
    </row>
    <row r="79" spans="1:42" x14ac:dyDescent="0.3">
      <c r="A79" s="12">
        <v>72</v>
      </c>
      <c r="B79" s="33"/>
      <c r="C79" s="38" t="str">
        <f>Notes!U80</f>
        <v xml:space="preserve">         Jute baling</v>
      </c>
      <c r="D79" s="4" t="s">
        <v>726</v>
      </c>
      <c r="E79" s="44">
        <v>1.5593012280218344</v>
      </c>
      <c r="F79" s="42">
        <v>2.9353761288462454</v>
      </c>
      <c r="G79" s="42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U79" s="40" t="s">
        <v>48</v>
      </c>
      <c r="W79" s="33"/>
      <c r="X79" s="38" t="str">
        <f>Notes!U80</f>
        <v xml:space="preserve">         Jute baling</v>
      </c>
      <c r="Y79" s="4" t="s">
        <v>726</v>
      </c>
      <c r="Z79" s="44" t="s">
        <v>48</v>
      </c>
      <c r="AA79" s="42" t="s">
        <v>48</v>
      </c>
      <c r="AB79" s="42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  <c r="AO79" s="40" t="s">
        <v>48</v>
      </c>
      <c r="AP79" s="40" t="s">
        <v>48</v>
      </c>
    </row>
    <row r="80" spans="1:42" x14ac:dyDescent="0.3">
      <c r="A80" s="12">
        <v>73</v>
      </c>
      <c r="B80" s="33"/>
      <c r="C80" s="38" t="str">
        <f>Notes!U81</f>
        <v xml:space="preserve">         Jute fabrication</v>
      </c>
      <c r="D80" s="4" t="s">
        <v>728</v>
      </c>
      <c r="E80" s="44" t="s">
        <v>48</v>
      </c>
      <c r="F80" s="42" t="s">
        <v>48</v>
      </c>
      <c r="G80" s="42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U80" s="40" t="s">
        <v>48</v>
      </c>
      <c r="W80" s="33"/>
      <c r="X80" s="38" t="str">
        <f>Notes!U81</f>
        <v xml:space="preserve">         Jute fabrication</v>
      </c>
      <c r="Y80" s="4" t="s">
        <v>728</v>
      </c>
      <c r="Z80" s="44" t="s">
        <v>48</v>
      </c>
      <c r="AA80" s="42" t="s">
        <v>48</v>
      </c>
      <c r="AB80" s="42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  <c r="AO80" s="40" t="s">
        <v>48</v>
      </c>
      <c r="AP80" s="40" t="s">
        <v>48</v>
      </c>
    </row>
    <row r="81" spans="1:42" x14ac:dyDescent="0.3">
      <c r="A81" s="12">
        <v>74</v>
      </c>
      <c r="B81" s="33"/>
      <c r="C81" s="38" t="str">
        <f>Notes!U82</f>
        <v xml:space="preserve">         Cotton yarn</v>
      </c>
      <c r="D81" s="4" t="s">
        <v>730</v>
      </c>
      <c r="E81" s="44" t="s">
        <v>48</v>
      </c>
      <c r="F81" s="42" t="s">
        <v>48</v>
      </c>
      <c r="G81" s="42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U81" s="40" t="s">
        <v>48</v>
      </c>
      <c r="W81" s="33"/>
      <c r="X81" s="38" t="str">
        <f>Notes!U82</f>
        <v xml:space="preserve">         Cotton yarn</v>
      </c>
      <c r="Y81" s="4" t="s">
        <v>730</v>
      </c>
      <c r="Z81" s="44">
        <v>5.1185766186040258</v>
      </c>
      <c r="AA81" s="42">
        <v>3.0158107962089842</v>
      </c>
      <c r="AB81" s="42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  <c r="AO81" s="40" t="s">
        <v>48</v>
      </c>
      <c r="AP81" s="40" t="s">
        <v>48</v>
      </c>
    </row>
    <row r="82" spans="1:42" x14ac:dyDescent="0.3">
      <c r="A82" s="12">
        <v>75</v>
      </c>
      <c r="B82" s="33"/>
      <c r="C82" s="38" t="str">
        <f>Notes!U83</f>
        <v xml:space="preserve">         Textiles</v>
      </c>
      <c r="D82" s="4" t="s">
        <v>375</v>
      </c>
      <c r="E82" s="44">
        <v>1.7301490191600792</v>
      </c>
      <c r="F82" s="42">
        <v>2.9069055351248041</v>
      </c>
      <c r="G82" s="42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U82" s="40" t="s">
        <v>48</v>
      </c>
      <c r="W82" s="33"/>
      <c r="X82" s="38" t="str">
        <f>Notes!U83</f>
        <v xml:space="preserve">         Textiles</v>
      </c>
      <c r="Y82" s="4" t="s">
        <v>375</v>
      </c>
      <c r="Z82" s="44">
        <v>11.372691386572084</v>
      </c>
      <c r="AA82" s="42">
        <v>3.0430662601825365</v>
      </c>
      <c r="AB82" s="42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  <c r="AO82" s="40" t="s">
        <v>48</v>
      </c>
      <c r="AP82" s="40" t="s">
        <v>48</v>
      </c>
    </row>
    <row r="83" spans="1:42" x14ac:dyDescent="0.3">
      <c r="A83" s="12">
        <v>76</v>
      </c>
      <c r="B83" s="33"/>
      <c r="C83" s="38" t="str">
        <f>Notes!U84</f>
        <v xml:space="preserve">         Clothing</v>
      </c>
      <c r="D83" s="4" t="s">
        <v>376</v>
      </c>
      <c r="E83" s="44">
        <v>64.888063279781576</v>
      </c>
      <c r="F83" s="42">
        <v>2.8892045840879899</v>
      </c>
      <c r="G83" s="42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U83" s="40" t="s">
        <v>48</v>
      </c>
      <c r="W83" s="33"/>
      <c r="X83" s="38" t="str">
        <f>Notes!U84</f>
        <v xml:space="preserve">         Clothing</v>
      </c>
      <c r="Y83" s="4" t="s">
        <v>376</v>
      </c>
      <c r="Z83" s="44" t="s">
        <v>48</v>
      </c>
      <c r="AA83" s="42" t="s">
        <v>48</v>
      </c>
      <c r="AB83" s="42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  <c r="AO83" s="40" t="s">
        <v>48</v>
      </c>
      <c r="AP83" s="40" t="s">
        <v>48</v>
      </c>
    </row>
    <row r="84" spans="1:42" x14ac:dyDescent="0.3">
      <c r="A84" s="12">
        <v>77</v>
      </c>
      <c r="B84" s="33"/>
      <c r="C84" s="38" t="str">
        <f>Notes!U85</f>
        <v xml:space="preserve">         Leather and footwear</v>
      </c>
      <c r="D84" s="4" t="s">
        <v>377</v>
      </c>
      <c r="E84" s="44">
        <v>2.8473930523489943</v>
      </c>
      <c r="F84" s="42">
        <v>2.9147689441457514</v>
      </c>
      <c r="G84" s="42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U84" s="40" t="s">
        <v>48</v>
      </c>
      <c r="W84" s="33"/>
      <c r="X84" s="38" t="str">
        <f>Notes!U85</f>
        <v xml:space="preserve">         Leather and footwear</v>
      </c>
      <c r="Y84" s="4" t="s">
        <v>377</v>
      </c>
      <c r="Z84" s="44" t="s">
        <v>48</v>
      </c>
      <c r="AA84" s="42" t="s">
        <v>48</v>
      </c>
      <c r="AB84" s="42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  <c r="AO84" s="40" t="s">
        <v>48</v>
      </c>
      <c r="AP84" s="40" t="s">
        <v>48</v>
      </c>
    </row>
    <row r="85" spans="1:42" x14ac:dyDescent="0.3">
      <c r="A85" s="12">
        <v>78</v>
      </c>
      <c r="B85" s="33"/>
      <c r="C85" s="38" t="str">
        <f>Notes!U86</f>
        <v xml:space="preserve">      Wood and paper products</v>
      </c>
      <c r="D85" s="4" t="s">
        <v>378</v>
      </c>
      <c r="E85" s="44" t="s">
        <v>48</v>
      </c>
      <c r="F85" s="42" t="s">
        <v>48</v>
      </c>
      <c r="G85" s="42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U85" s="40" t="s">
        <v>48</v>
      </c>
      <c r="W85" s="33"/>
      <c r="X85" s="38" t="str">
        <f>Notes!U86</f>
        <v xml:space="preserve">      Wood and paper products</v>
      </c>
      <c r="Y85" s="4" t="s">
        <v>378</v>
      </c>
      <c r="Z85" s="44">
        <v>1.2619011056731981</v>
      </c>
      <c r="AA85" s="42">
        <v>3.0727100412235142</v>
      </c>
      <c r="AB85" s="42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  <c r="AO85" s="40" t="s">
        <v>48</v>
      </c>
      <c r="AP85" s="40" t="s">
        <v>48</v>
      </c>
    </row>
    <row r="86" spans="1:42" x14ac:dyDescent="0.3">
      <c r="A86" s="12">
        <v>79</v>
      </c>
      <c r="B86" s="33"/>
      <c r="C86" s="38" t="str">
        <f>Notes!U87</f>
        <v xml:space="preserve">         Wood products</v>
      </c>
      <c r="D86" s="4" t="s">
        <v>380</v>
      </c>
      <c r="E86" s="44" t="s">
        <v>48</v>
      </c>
      <c r="F86" s="42" t="s">
        <v>48</v>
      </c>
      <c r="G86" s="42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U86" s="40" t="s">
        <v>48</v>
      </c>
      <c r="W86" s="33"/>
      <c r="X86" s="38" t="str">
        <f>Notes!U87</f>
        <v xml:space="preserve">         Wood products</v>
      </c>
      <c r="Y86" s="4" t="s">
        <v>380</v>
      </c>
      <c r="Z86" s="44" t="s">
        <v>48</v>
      </c>
      <c r="AA86" s="42" t="s">
        <v>48</v>
      </c>
      <c r="AB86" s="42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  <c r="AO86" s="40" t="s">
        <v>48</v>
      </c>
      <c r="AP86" s="40" t="s">
        <v>48</v>
      </c>
    </row>
    <row r="87" spans="1:42" x14ac:dyDescent="0.3">
      <c r="A87" s="12">
        <v>80</v>
      </c>
      <c r="B87" s="33"/>
      <c r="C87" s="38" t="str">
        <f>Notes!U88</f>
        <v xml:space="preserve">         Paper products and publishing</v>
      </c>
      <c r="D87" s="4" t="s">
        <v>381</v>
      </c>
      <c r="E87" s="44" t="s">
        <v>48</v>
      </c>
      <c r="F87" s="42" t="s">
        <v>48</v>
      </c>
      <c r="G87" s="42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U87" s="40" t="s">
        <v>48</v>
      </c>
      <c r="W87" s="33"/>
      <c r="X87" s="38" t="str">
        <f>Notes!U88</f>
        <v xml:space="preserve">         Paper products and publishing</v>
      </c>
      <c r="Y87" s="4" t="s">
        <v>381</v>
      </c>
      <c r="Z87" s="44">
        <v>1.2619011056731981</v>
      </c>
      <c r="AA87" s="42">
        <v>3.0727100412235142</v>
      </c>
      <c r="AB87" s="42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  <c r="AO87" s="40" t="s">
        <v>48</v>
      </c>
      <c r="AP87" s="40" t="s">
        <v>48</v>
      </c>
    </row>
    <row r="88" spans="1:42" x14ac:dyDescent="0.3">
      <c r="A88" s="12">
        <v>81</v>
      </c>
      <c r="B88" s="33"/>
      <c r="C88" s="38" t="str">
        <f>Notes!U89</f>
        <v xml:space="preserve">      Chemical products</v>
      </c>
      <c r="D88" s="4" t="s">
        <v>382</v>
      </c>
      <c r="E88" s="44" t="s">
        <v>48</v>
      </c>
      <c r="F88" s="42" t="s">
        <v>48</v>
      </c>
      <c r="G88" s="42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U88" s="40" t="s">
        <v>48</v>
      </c>
      <c r="W88" s="33"/>
      <c r="X88" s="38" t="str">
        <f>Notes!U89</f>
        <v xml:space="preserve">      Chemical products</v>
      </c>
      <c r="Y88" s="4" t="s">
        <v>382</v>
      </c>
      <c r="Z88" s="44">
        <v>16.932777283002267</v>
      </c>
      <c r="AA88" s="42">
        <v>3.0684264430556496</v>
      </c>
      <c r="AB88" s="42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  <c r="AO88" s="40" t="s">
        <v>48</v>
      </c>
      <c r="AP88" s="40" t="s">
        <v>48</v>
      </c>
    </row>
    <row r="89" spans="1:42" x14ac:dyDescent="0.3">
      <c r="A89" s="12">
        <v>82</v>
      </c>
      <c r="B89" s="33"/>
      <c r="C89" s="38" t="str">
        <f>Notes!U90</f>
        <v xml:space="preserve">         Petroleum products</v>
      </c>
      <c r="D89" s="4" t="s">
        <v>383</v>
      </c>
      <c r="E89" s="44" t="s">
        <v>48</v>
      </c>
      <c r="F89" s="42" t="s">
        <v>48</v>
      </c>
      <c r="G89" s="42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U89" s="40" t="s">
        <v>48</v>
      </c>
      <c r="W89" s="33"/>
      <c r="X89" s="38" t="str">
        <f>Notes!U90</f>
        <v xml:space="preserve">         Petroleum products</v>
      </c>
      <c r="Y89" s="4" t="s">
        <v>383</v>
      </c>
      <c r="Z89" s="44">
        <v>7.5921580660447923</v>
      </c>
      <c r="AA89" s="42">
        <v>3.0521572298026989</v>
      </c>
      <c r="AB89" s="42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  <c r="AO89" s="40" t="s">
        <v>48</v>
      </c>
      <c r="AP89" s="40" t="s">
        <v>48</v>
      </c>
    </row>
    <row r="90" spans="1:42" x14ac:dyDescent="0.3">
      <c r="A90" s="12">
        <v>83</v>
      </c>
      <c r="B90" s="33"/>
      <c r="C90" s="38" t="str">
        <f>Notes!U91</f>
        <v xml:space="preserve">         Fertilizers and herbicides</v>
      </c>
      <c r="D90" s="4" t="s">
        <v>384</v>
      </c>
      <c r="E90" s="44" t="s">
        <v>48</v>
      </c>
      <c r="F90" s="42" t="s">
        <v>48</v>
      </c>
      <c r="G90" s="42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U90" s="40" t="s">
        <v>48</v>
      </c>
      <c r="W90" s="33"/>
      <c r="X90" s="38" t="str">
        <f>Notes!U91</f>
        <v xml:space="preserve">         Fertilizers and herbicides</v>
      </c>
      <c r="Y90" s="4" t="s">
        <v>384</v>
      </c>
      <c r="Z90" s="44">
        <v>2.0617859542664032</v>
      </c>
      <c r="AA90" s="42">
        <v>3.0205932026506011</v>
      </c>
      <c r="AB90" s="42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  <c r="AO90" s="40" t="s">
        <v>48</v>
      </c>
      <c r="AP90" s="40" t="s">
        <v>48</v>
      </c>
    </row>
    <row r="91" spans="1:42" x14ac:dyDescent="0.3">
      <c r="A91" s="12">
        <v>84</v>
      </c>
      <c r="B91" s="33"/>
      <c r="C91" s="38" t="str">
        <f>Notes!U92</f>
        <v xml:space="preserve">         Other chemicals</v>
      </c>
      <c r="D91" s="4" t="s">
        <v>385</v>
      </c>
      <c r="E91" s="44" t="s">
        <v>48</v>
      </c>
      <c r="F91" s="42" t="s">
        <v>48</v>
      </c>
      <c r="G91" s="42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U91" s="40" t="s">
        <v>48</v>
      </c>
      <c r="W91" s="33"/>
      <c r="X91" s="38" t="str">
        <f>Notes!U92</f>
        <v xml:space="preserve">         Other chemicals</v>
      </c>
      <c r="Y91" s="4" t="s">
        <v>385</v>
      </c>
      <c r="Z91" s="44">
        <v>7.278833262691073</v>
      </c>
      <c r="AA91" s="42">
        <v>3.0988912066286067</v>
      </c>
      <c r="AB91" s="42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  <c r="AO91" s="40" t="s">
        <v>48</v>
      </c>
      <c r="AP91" s="40" t="s">
        <v>48</v>
      </c>
    </row>
    <row r="92" spans="1:42" x14ac:dyDescent="0.3">
      <c r="A92" s="12">
        <v>85</v>
      </c>
      <c r="B92" s="33"/>
      <c r="C92" s="38" t="str">
        <f>Notes!U93</f>
        <v xml:space="preserve">      Non-metal minerals</v>
      </c>
      <c r="D92" s="4" t="s">
        <v>386</v>
      </c>
      <c r="E92" s="44">
        <v>12.370367113964253</v>
      </c>
      <c r="F92" s="42">
        <v>3.0411250201602735</v>
      </c>
      <c r="G92" s="42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U92" s="40" t="s">
        <v>48</v>
      </c>
      <c r="W92" s="33"/>
      <c r="X92" s="38" t="str">
        <f>Notes!U93</f>
        <v xml:space="preserve">      Non-metal minerals</v>
      </c>
      <c r="Y92" s="4" t="s">
        <v>386</v>
      </c>
      <c r="Z92" s="44" t="s">
        <v>48</v>
      </c>
      <c r="AA92" s="42" t="s">
        <v>48</v>
      </c>
      <c r="AB92" s="42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  <c r="AO92" s="40" t="s">
        <v>48</v>
      </c>
      <c r="AP92" s="40" t="s">
        <v>48</v>
      </c>
    </row>
    <row r="93" spans="1:42" x14ac:dyDescent="0.3">
      <c r="A93" s="12">
        <v>86</v>
      </c>
      <c r="B93" s="33"/>
      <c r="C93" s="38" t="str">
        <f>Notes!U94</f>
        <v xml:space="preserve">      Metals and metal products</v>
      </c>
      <c r="D93" s="4" t="s">
        <v>388</v>
      </c>
      <c r="E93" s="44">
        <v>3.6918046267998648</v>
      </c>
      <c r="F93" s="42">
        <v>2.994297123323264</v>
      </c>
      <c r="G93" s="42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U93" s="40" t="s">
        <v>48</v>
      </c>
      <c r="W93" s="33"/>
      <c r="X93" s="38" t="str">
        <f>Notes!U94</f>
        <v xml:space="preserve">      Metals and metal products</v>
      </c>
      <c r="Y93" s="4" t="s">
        <v>388</v>
      </c>
      <c r="Z93" s="44" t="s">
        <v>48</v>
      </c>
      <c r="AA93" s="42" t="s">
        <v>48</v>
      </c>
      <c r="AB93" s="42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  <c r="AO93" s="40" t="s">
        <v>48</v>
      </c>
      <c r="AP93" s="40" t="s">
        <v>48</v>
      </c>
    </row>
    <row r="94" spans="1:42" x14ac:dyDescent="0.3">
      <c r="A94" s="12">
        <v>87</v>
      </c>
      <c r="B94" s="33"/>
      <c r="C94" s="38" t="str">
        <f>Notes!U95</f>
        <v xml:space="preserve">      Machinery and equipment</v>
      </c>
      <c r="D94" s="4" t="s">
        <v>389</v>
      </c>
      <c r="E94" s="44" t="s">
        <v>48</v>
      </c>
      <c r="F94" s="42" t="s">
        <v>48</v>
      </c>
      <c r="G94" s="42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U94" s="40" t="s">
        <v>48</v>
      </c>
      <c r="W94" s="33"/>
      <c r="X94" s="38" t="str">
        <f>Notes!U95</f>
        <v xml:space="preserve">      Machinery and equipment</v>
      </c>
      <c r="Y94" s="4" t="s">
        <v>389</v>
      </c>
      <c r="Z94" s="44">
        <v>17.409898852382724</v>
      </c>
      <c r="AA94" s="42">
        <v>3.0455042484864414</v>
      </c>
      <c r="AB94" s="42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  <c r="AO94" s="40" t="s">
        <v>48</v>
      </c>
      <c r="AP94" s="40" t="s">
        <v>48</v>
      </c>
    </row>
    <row r="95" spans="1:42" x14ac:dyDescent="0.3">
      <c r="A95" s="12">
        <v>88</v>
      </c>
      <c r="B95" s="33"/>
      <c r="C95" s="38" t="str">
        <f>Notes!U96</f>
        <v xml:space="preserve">         Machinery and other equipment</v>
      </c>
      <c r="D95" s="4" t="s">
        <v>390</v>
      </c>
      <c r="E95" s="44" t="s">
        <v>48</v>
      </c>
      <c r="F95" s="42" t="s">
        <v>48</v>
      </c>
      <c r="G95" s="42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U95" s="40" t="s">
        <v>48</v>
      </c>
      <c r="W95" s="33"/>
      <c r="X95" s="38" t="str">
        <f>Notes!U96</f>
        <v xml:space="preserve">         Machinery and other equipment</v>
      </c>
      <c r="Y95" s="4" t="s">
        <v>390</v>
      </c>
      <c r="Z95" s="44">
        <v>9.2688172959440891</v>
      </c>
      <c r="AA95" s="42">
        <v>3.0402116285530578</v>
      </c>
      <c r="AB95" s="42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  <c r="AO95" s="40" t="s">
        <v>48</v>
      </c>
      <c r="AP95" s="40" t="s">
        <v>48</v>
      </c>
    </row>
    <row r="96" spans="1:42" x14ac:dyDescent="0.3">
      <c r="A96" s="12">
        <v>89</v>
      </c>
      <c r="B96" s="33"/>
      <c r="C96" s="38" t="str">
        <f>Notes!U97</f>
        <v xml:space="preserve">         Electrical equipment</v>
      </c>
      <c r="D96" s="4" t="s">
        <v>391</v>
      </c>
      <c r="E96" s="44" t="s">
        <v>48</v>
      </c>
      <c r="F96" s="42" t="s">
        <v>48</v>
      </c>
      <c r="G96" s="42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U96" s="40" t="s">
        <v>48</v>
      </c>
      <c r="W96" s="33"/>
      <c r="X96" s="38" t="str">
        <f>Notes!U97</f>
        <v xml:space="preserve">         Electrical equipment</v>
      </c>
      <c r="Y96" s="4" t="s">
        <v>391</v>
      </c>
      <c r="Z96" s="44">
        <v>5.4677448359637184</v>
      </c>
      <c r="AA96" s="42">
        <v>3.0614443459146878</v>
      </c>
      <c r="AB96" s="42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  <c r="AO96" s="40" t="s">
        <v>48</v>
      </c>
      <c r="AP96" s="40" t="s">
        <v>48</v>
      </c>
    </row>
    <row r="97" spans="1:42" x14ac:dyDescent="0.3">
      <c r="A97" s="12">
        <v>90</v>
      </c>
      <c r="B97" s="33"/>
      <c r="C97" s="38" t="str">
        <f>Notes!U98</f>
        <v xml:space="preserve">         Vehicles and transport equipment</v>
      </c>
      <c r="D97" s="4" t="s">
        <v>392</v>
      </c>
      <c r="E97" s="44" t="s">
        <v>48</v>
      </c>
      <c r="F97" s="42" t="s">
        <v>48</v>
      </c>
      <c r="G97" s="42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U97" s="40" t="s">
        <v>48</v>
      </c>
      <c r="W97" s="33"/>
      <c r="X97" s="38" t="str">
        <f>Notes!U98</f>
        <v xml:space="preserve">         Vehicles and transport equipment</v>
      </c>
      <c r="Y97" s="4" t="s">
        <v>392</v>
      </c>
      <c r="Z97" s="44">
        <v>2.6733367204749174</v>
      </c>
      <c r="AA97" s="42">
        <v>3.0312284817683999</v>
      </c>
      <c r="AB97" s="42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  <c r="AO97" s="40" t="s">
        <v>48</v>
      </c>
      <c r="AP97" s="40" t="s">
        <v>48</v>
      </c>
    </row>
    <row r="98" spans="1:42" x14ac:dyDescent="0.3">
      <c r="A98" s="12">
        <v>91</v>
      </c>
      <c r="B98" s="33"/>
      <c r="C98" s="38" t="str">
        <f>Notes!U99</f>
        <v xml:space="preserve">      Other manufacturing</v>
      </c>
      <c r="D98" s="4" t="s">
        <v>393</v>
      </c>
      <c r="E98" s="44">
        <v>0.75451456185522081</v>
      </c>
      <c r="F98" s="42">
        <v>3.0357731960909851</v>
      </c>
      <c r="G98" s="42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U98" s="40" t="s">
        <v>48</v>
      </c>
      <c r="W98" s="33"/>
      <c r="X98" s="38" t="str">
        <f>Notes!U99</f>
        <v xml:space="preserve">      Other manufacturing</v>
      </c>
      <c r="Y98" s="4" t="s">
        <v>393</v>
      </c>
      <c r="Z98" s="44">
        <v>1.4790209432172932</v>
      </c>
      <c r="AA98" s="42">
        <v>3.0724688258912725</v>
      </c>
      <c r="AB98" s="42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  <c r="AO98" s="40" t="s">
        <v>48</v>
      </c>
      <c r="AP98" s="40" t="s">
        <v>48</v>
      </c>
    </row>
    <row r="99" spans="1:42" x14ac:dyDescent="0.3">
      <c r="A99" s="12">
        <v>92</v>
      </c>
      <c r="B99" s="33"/>
      <c r="C99" s="38" t="str">
        <f>Notes!U100</f>
        <v xml:space="preserve">   Utilities</v>
      </c>
      <c r="D99" s="4" t="s">
        <v>395</v>
      </c>
      <c r="E99" s="44" t="s">
        <v>48</v>
      </c>
      <c r="F99" s="42" t="s">
        <v>48</v>
      </c>
      <c r="G99" s="42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U99" s="40" t="s">
        <v>48</v>
      </c>
      <c r="W99" s="33"/>
      <c r="X99" s="38" t="str">
        <f>Notes!U100</f>
        <v xml:space="preserve">   Utilities</v>
      </c>
      <c r="Y99" s="4" t="s">
        <v>395</v>
      </c>
      <c r="Z99" s="44">
        <v>1.8268000475900603</v>
      </c>
      <c r="AA99" s="42">
        <v>2.9794843873696131</v>
      </c>
      <c r="AB99" s="42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  <c r="AO99" s="40" t="s">
        <v>48</v>
      </c>
      <c r="AP99" s="40" t="s">
        <v>48</v>
      </c>
    </row>
    <row r="100" spans="1:42" x14ac:dyDescent="0.3">
      <c r="A100" s="12">
        <v>93</v>
      </c>
      <c r="B100" s="33"/>
      <c r="C100" s="38" t="str">
        <f>Notes!U101</f>
        <v xml:space="preserve">      Electricity, gas and steam</v>
      </c>
      <c r="D100" s="4" t="s">
        <v>397</v>
      </c>
      <c r="E100" s="44" t="s">
        <v>48</v>
      </c>
      <c r="F100" s="42" t="s">
        <v>48</v>
      </c>
      <c r="G100" s="42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U100" s="40" t="s">
        <v>48</v>
      </c>
      <c r="W100" s="33"/>
      <c r="X100" s="38" t="str">
        <f>Notes!U101</f>
        <v xml:space="preserve">      Electricity, gas and steam</v>
      </c>
      <c r="Y100" s="4" t="s">
        <v>397</v>
      </c>
      <c r="Z100" s="44">
        <v>1.8268000475900603</v>
      </c>
      <c r="AA100" s="42">
        <v>2.9794843873696131</v>
      </c>
      <c r="AB100" s="42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  <c r="AO100" s="40" t="s">
        <v>48</v>
      </c>
      <c r="AP100" s="40" t="s">
        <v>48</v>
      </c>
    </row>
    <row r="101" spans="1:42" x14ac:dyDescent="0.3">
      <c r="A101" s="12">
        <v>94</v>
      </c>
      <c r="B101" s="33"/>
      <c r="C101" s="38" t="str">
        <f>Notes!U102</f>
        <v xml:space="preserve">      Water supply and sewage</v>
      </c>
      <c r="D101" s="4" t="s">
        <v>399</v>
      </c>
      <c r="E101" s="44" t="s">
        <v>48</v>
      </c>
      <c r="F101" s="42" t="s">
        <v>48</v>
      </c>
      <c r="G101" s="42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U101" s="40" t="s">
        <v>48</v>
      </c>
      <c r="W101" s="33"/>
      <c r="X101" s="38" t="str">
        <f>Notes!U102</f>
        <v xml:space="preserve">      Water supply and sewage</v>
      </c>
      <c r="Y101" s="4" t="s">
        <v>399</v>
      </c>
      <c r="Z101" s="44" t="s">
        <v>48</v>
      </c>
      <c r="AA101" s="42" t="s">
        <v>48</v>
      </c>
      <c r="AB101" s="42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  <c r="AO101" s="40" t="s">
        <v>48</v>
      </c>
      <c r="AP101" s="40" t="s">
        <v>48</v>
      </c>
    </row>
    <row r="102" spans="1:42" x14ac:dyDescent="0.3">
      <c r="A102" s="12">
        <v>95</v>
      </c>
      <c r="B102" s="33"/>
      <c r="C102" s="38" t="str">
        <f>Notes!U103</f>
        <v xml:space="preserve">   Construction</v>
      </c>
      <c r="D102" s="4" t="s">
        <v>401</v>
      </c>
      <c r="E102" s="44" t="s">
        <v>48</v>
      </c>
      <c r="F102" s="42" t="s">
        <v>48</v>
      </c>
      <c r="G102" s="42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U102" s="40" t="s">
        <v>48</v>
      </c>
      <c r="W102" s="33"/>
      <c r="X102" s="38" t="str">
        <f>Notes!U103</f>
        <v xml:space="preserve">   Construction</v>
      </c>
      <c r="Y102" s="4" t="s">
        <v>401</v>
      </c>
      <c r="Z102" s="44" t="s">
        <v>48</v>
      </c>
      <c r="AA102" s="42" t="s">
        <v>48</v>
      </c>
      <c r="AB102" s="42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  <c r="AO102" s="40" t="s">
        <v>48</v>
      </c>
      <c r="AP102" s="40" t="s">
        <v>48</v>
      </c>
    </row>
    <row r="103" spans="1:42" x14ac:dyDescent="0.3">
      <c r="A103" s="12">
        <v>96</v>
      </c>
      <c r="B103" s="33"/>
      <c r="C103" s="38" t="str">
        <f>Notes!U104</f>
        <v>Services</v>
      </c>
      <c r="D103" s="4" t="s">
        <v>403</v>
      </c>
      <c r="E103" s="44">
        <v>10.322514763250501</v>
      </c>
      <c r="F103" s="42">
        <v>3.0321306241438029</v>
      </c>
      <c r="G103" s="42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U103" s="40" t="s">
        <v>48</v>
      </c>
      <c r="W103" s="33"/>
      <c r="X103" s="38" t="str">
        <f>Notes!U104</f>
        <v>Services</v>
      </c>
      <c r="Y103" s="4" t="s">
        <v>403</v>
      </c>
      <c r="Z103" s="44">
        <v>17.896312813002044</v>
      </c>
      <c r="AA103" s="42">
        <v>3.0403945637340168</v>
      </c>
      <c r="AB103" s="42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  <c r="AO103" s="40" t="s">
        <v>48</v>
      </c>
      <c r="AP103" s="40" t="s">
        <v>48</v>
      </c>
    </row>
    <row r="104" spans="1:42" x14ac:dyDescent="0.3">
      <c r="A104" s="12">
        <v>97</v>
      </c>
      <c r="B104" s="33"/>
      <c r="C104" s="38" t="str">
        <f>Notes!U105</f>
        <v xml:space="preserve">   Trade and food services</v>
      </c>
      <c r="D104" s="4" t="s">
        <v>405</v>
      </c>
      <c r="E104" s="44">
        <v>1.4185950935233229</v>
      </c>
      <c r="F104" s="42">
        <v>2.9404756440771562</v>
      </c>
      <c r="G104" s="42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U104" s="40" t="s">
        <v>48</v>
      </c>
      <c r="W104" s="33"/>
      <c r="X104" s="38" t="str">
        <f>Notes!U105</f>
        <v xml:space="preserve">   Trade and food services</v>
      </c>
      <c r="Y104" s="4" t="s">
        <v>405</v>
      </c>
      <c r="Z104" s="44">
        <v>1.9615435981577709</v>
      </c>
      <c r="AA104" s="42">
        <v>3.0844497913315561</v>
      </c>
      <c r="AB104" s="42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  <c r="AO104" s="40" t="s">
        <v>48</v>
      </c>
      <c r="AP104" s="40" t="s">
        <v>48</v>
      </c>
    </row>
    <row r="105" spans="1:42" x14ac:dyDescent="0.3">
      <c r="A105" s="12">
        <v>98</v>
      </c>
      <c r="B105" s="33"/>
      <c r="C105" s="38" t="str">
        <f>Notes!U106</f>
        <v xml:space="preserve">      Wholesale and retail trade</v>
      </c>
      <c r="D105" s="4" t="s">
        <v>407</v>
      </c>
      <c r="E105" s="44" t="s">
        <v>48</v>
      </c>
      <c r="F105" s="42" t="s">
        <v>48</v>
      </c>
      <c r="G105" s="42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U105" s="40" t="s">
        <v>48</v>
      </c>
      <c r="W105" s="33"/>
      <c r="X105" s="38" t="str">
        <f>Notes!U106</f>
        <v xml:space="preserve">      Wholesale and retail trade</v>
      </c>
      <c r="Y105" s="4" t="s">
        <v>407</v>
      </c>
      <c r="Z105" s="44" t="s">
        <v>48</v>
      </c>
      <c r="AA105" s="42" t="s">
        <v>48</v>
      </c>
      <c r="AB105" s="42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  <c r="AO105" s="40" t="s">
        <v>48</v>
      </c>
      <c r="AP105" s="40" t="s">
        <v>48</v>
      </c>
    </row>
    <row r="106" spans="1:42" x14ac:dyDescent="0.3">
      <c r="A106" s="12">
        <v>99</v>
      </c>
      <c r="B106" s="33"/>
      <c r="C106" s="38" t="str">
        <f>Notes!U107</f>
        <v xml:space="preserve">      Accommodation</v>
      </c>
      <c r="D106" s="4" t="s">
        <v>413</v>
      </c>
      <c r="E106" s="44">
        <v>1.4185950935233229</v>
      </c>
      <c r="F106" s="42">
        <v>2.9404756440771562</v>
      </c>
      <c r="G106" s="42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U106" s="40" t="s">
        <v>48</v>
      </c>
      <c r="W106" s="33"/>
      <c r="X106" s="38" t="str">
        <f>Notes!U107</f>
        <v xml:space="preserve">      Accommodation</v>
      </c>
      <c r="Y106" s="4" t="s">
        <v>413</v>
      </c>
      <c r="Z106" s="44">
        <v>1.9615435981577709</v>
      </c>
      <c r="AA106" s="42">
        <v>3.0844497913315561</v>
      </c>
      <c r="AB106" s="42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  <c r="AO106" s="40" t="s">
        <v>48</v>
      </c>
      <c r="AP106" s="40" t="s">
        <v>48</v>
      </c>
    </row>
    <row r="107" spans="1:42" x14ac:dyDescent="0.3">
      <c r="A107" s="12">
        <v>100</v>
      </c>
      <c r="B107" s="33"/>
      <c r="C107" s="38" t="str">
        <f>Notes!U108</f>
        <v xml:space="preserve">      Restaurants and food services</v>
      </c>
      <c r="D107" s="4" t="s">
        <v>414</v>
      </c>
      <c r="E107" s="44" t="s">
        <v>48</v>
      </c>
      <c r="F107" s="42" t="s">
        <v>48</v>
      </c>
      <c r="G107" s="42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U107" s="40" t="s">
        <v>48</v>
      </c>
      <c r="W107" s="33"/>
      <c r="X107" s="38" t="str">
        <f>Notes!U108</f>
        <v xml:space="preserve">      Restaurants and food services</v>
      </c>
      <c r="Y107" s="4" t="s">
        <v>414</v>
      </c>
      <c r="Z107" s="44" t="s">
        <v>48</v>
      </c>
      <c r="AA107" s="42" t="s">
        <v>48</v>
      </c>
      <c r="AB107" s="42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  <c r="AO107" s="40" t="s">
        <v>48</v>
      </c>
      <c r="AP107" s="40" t="s">
        <v>48</v>
      </c>
    </row>
    <row r="108" spans="1:42" x14ac:dyDescent="0.3">
      <c r="A108" s="12">
        <v>101</v>
      </c>
      <c r="B108" s="33"/>
      <c r="C108" s="38" t="str">
        <f>Notes!U109</f>
        <v xml:space="preserve">   Transport and communication</v>
      </c>
      <c r="D108" s="4" t="s">
        <v>409</v>
      </c>
      <c r="E108" s="44">
        <v>5.8736187641885564</v>
      </c>
      <c r="F108" s="42">
        <v>3.0615814055004353</v>
      </c>
      <c r="G108" s="42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U108" s="40" t="s">
        <v>48</v>
      </c>
      <c r="W108" s="33"/>
      <c r="X108" s="38" t="str">
        <f>Notes!U109</f>
        <v xml:space="preserve">   Transport and communication</v>
      </c>
      <c r="Y108" s="4" t="s">
        <v>409</v>
      </c>
      <c r="Z108" s="44">
        <v>14.032387348529859</v>
      </c>
      <c r="AA108" s="42">
        <v>3.0374029428807958</v>
      </c>
      <c r="AB108" s="42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  <c r="AO108" s="40" t="s">
        <v>48</v>
      </c>
      <c r="AP108" s="40" t="s">
        <v>48</v>
      </c>
    </row>
    <row r="109" spans="1:42" x14ac:dyDescent="0.3">
      <c r="A109" s="12">
        <v>102</v>
      </c>
      <c r="B109" s="33"/>
      <c r="C109" s="38" t="str">
        <f>Notes!U110</f>
        <v xml:space="preserve">      Transportation and storage</v>
      </c>
      <c r="D109" s="4" t="s">
        <v>411</v>
      </c>
      <c r="E109" s="44">
        <v>5.8736187641885564</v>
      </c>
      <c r="F109" s="42">
        <v>3.0615814055004353</v>
      </c>
      <c r="G109" s="42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U109" s="40" t="s">
        <v>48</v>
      </c>
      <c r="W109" s="33"/>
      <c r="X109" s="38" t="str">
        <f>Notes!U110</f>
        <v xml:space="preserve">      Transportation and storage</v>
      </c>
      <c r="Y109" s="4" t="s">
        <v>411</v>
      </c>
      <c r="Z109" s="44">
        <v>14.032387348529859</v>
      </c>
      <c r="AA109" s="42">
        <v>3.0374029428807958</v>
      </c>
      <c r="AB109" s="42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  <c r="AO109" s="40" t="s">
        <v>48</v>
      </c>
      <c r="AP109" s="40" t="s">
        <v>48</v>
      </c>
    </row>
    <row r="110" spans="1:42" x14ac:dyDescent="0.3">
      <c r="A110" s="12">
        <v>103</v>
      </c>
      <c r="B110" s="33"/>
      <c r="C110" s="38" t="str">
        <f>Notes!U111</f>
        <v xml:space="preserve">      Information and communication</v>
      </c>
      <c r="D110" s="4" t="s">
        <v>415</v>
      </c>
      <c r="E110" s="44" t="s">
        <v>48</v>
      </c>
      <c r="F110" s="42" t="s">
        <v>48</v>
      </c>
      <c r="G110" s="42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U110" s="40" t="s">
        <v>48</v>
      </c>
      <c r="W110" s="33"/>
      <c r="X110" s="38" t="str">
        <f>Notes!U111</f>
        <v xml:space="preserve">      Information and communication</v>
      </c>
      <c r="Y110" s="4" t="s">
        <v>415</v>
      </c>
      <c r="Z110" s="44" t="s">
        <v>48</v>
      </c>
      <c r="AA110" s="42" t="s">
        <v>48</v>
      </c>
      <c r="AB110" s="42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  <c r="AO110" s="40" t="s">
        <v>48</v>
      </c>
      <c r="AP110" s="40" t="s">
        <v>48</v>
      </c>
    </row>
    <row r="111" spans="1:42" x14ac:dyDescent="0.3">
      <c r="A111" s="12">
        <v>104</v>
      </c>
      <c r="B111" s="33"/>
      <c r="C111" s="38" t="str">
        <f>Notes!U112</f>
        <v xml:space="preserve">   Finance and business services</v>
      </c>
      <c r="D111" s="4" t="s">
        <v>417</v>
      </c>
      <c r="E111" s="44">
        <v>3.0303009055386223</v>
      </c>
      <c r="F111" s="42">
        <v>3.0177840626517849</v>
      </c>
      <c r="G111" s="42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U111" s="40" t="s">
        <v>48</v>
      </c>
      <c r="W111" s="33"/>
      <c r="X111" s="38" t="str">
        <f>Notes!U112</f>
        <v xml:space="preserve">   Finance and business services</v>
      </c>
      <c r="Y111" s="4" t="s">
        <v>417</v>
      </c>
      <c r="Z111" s="44">
        <v>1.9023818663144139</v>
      </c>
      <c r="AA111" s="42">
        <v>3.0169599147796378</v>
      </c>
      <c r="AB111" s="42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  <c r="AO111" s="40" t="s">
        <v>48</v>
      </c>
      <c r="AP111" s="40" t="s">
        <v>48</v>
      </c>
    </row>
    <row r="112" spans="1:42" x14ac:dyDescent="0.3">
      <c r="A112" s="12">
        <v>105</v>
      </c>
      <c r="B112" s="33"/>
      <c r="C112" s="38" t="str">
        <f>Notes!U113</f>
        <v xml:space="preserve">      Finance and insurance</v>
      </c>
      <c r="D112" s="4" t="s">
        <v>419</v>
      </c>
      <c r="E112" s="44">
        <v>1.7266550870708184</v>
      </c>
      <c r="F112" s="42">
        <v>2.9500731160015725</v>
      </c>
      <c r="G112" s="42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U112" s="40" t="s">
        <v>48</v>
      </c>
      <c r="W112" s="33"/>
      <c r="X112" s="38" t="str">
        <f>Notes!U113</f>
        <v xml:space="preserve">      Finance and insurance</v>
      </c>
      <c r="Y112" s="4" t="s">
        <v>419</v>
      </c>
      <c r="Z112" s="44" t="s">
        <v>48</v>
      </c>
      <c r="AA112" s="42" t="s">
        <v>48</v>
      </c>
      <c r="AB112" s="42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  <c r="AO112" s="40" t="s">
        <v>48</v>
      </c>
      <c r="AP112" s="40" t="s">
        <v>48</v>
      </c>
    </row>
    <row r="113" spans="1:42" x14ac:dyDescent="0.3">
      <c r="A113" s="12">
        <v>106</v>
      </c>
      <c r="B113" s="33"/>
      <c r="C113" s="38" t="str">
        <f>Notes!U114</f>
        <v xml:space="preserve">      Real estate activities</v>
      </c>
      <c r="D113" s="4" t="s">
        <v>421</v>
      </c>
      <c r="E113" s="44" t="s">
        <v>48</v>
      </c>
      <c r="F113" s="42" t="s">
        <v>48</v>
      </c>
      <c r="G113" s="42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U113" s="40" t="s">
        <v>48</v>
      </c>
      <c r="W113" s="33"/>
      <c r="X113" s="38" t="str">
        <f>Notes!U114</f>
        <v xml:space="preserve">      Real estate activities</v>
      </c>
      <c r="Y113" s="4" t="s">
        <v>421</v>
      </c>
      <c r="Z113" s="44" t="s">
        <v>48</v>
      </c>
      <c r="AA113" s="42" t="s">
        <v>48</v>
      </c>
      <c r="AB113" s="42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  <c r="AO113" s="40" t="s">
        <v>48</v>
      </c>
      <c r="AP113" s="40" t="s">
        <v>48</v>
      </c>
    </row>
    <row r="114" spans="1:42" x14ac:dyDescent="0.3">
      <c r="A114" s="12">
        <v>107</v>
      </c>
      <c r="B114" s="33"/>
      <c r="C114" s="38" t="str">
        <f>Notes!U115</f>
        <v xml:space="preserve">      Business services</v>
      </c>
      <c r="D114" s="4" t="s">
        <v>423</v>
      </c>
      <c r="E114" s="44">
        <v>1.3036458184678039</v>
      </c>
      <c r="F114" s="42">
        <v>3.1070569111819601</v>
      </c>
      <c r="G114" s="42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U114" s="40" t="s">
        <v>48</v>
      </c>
      <c r="W114" s="33"/>
      <c r="X114" s="38" t="str">
        <f>Notes!U115</f>
        <v xml:space="preserve">      Business services</v>
      </c>
      <c r="Y114" s="4" t="s">
        <v>423</v>
      </c>
      <c r="Z114" s="44">
        <v>1.9023818663144139</v>
      </c>
      <c r="AA114" s="42">
        <v>3.0169599147796378</v>
      </c>
      <c r="AB114" s="42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  <c r="AO114" s="40" t="s">
        <v>48</v>
      </c>
      <c r="AP114" s="40" t="s">
        <v>48</v>
      </c>
    </row>
    <row r="115" spans="1:42" x14ac:dyDescent="0.3">
      <c r="A115" s="12">
        <v>108</v>
      </c>
      <c r="B115" s="33"/>
      <c r="C115" s="38" t="str">
        <f>Notes!U116</f>
        <v xml:space="preserve">   Public and social services</v>
      </c>
      <c r="D115" s="4" t="s">
        <v>425</v>
      </c>
      <c r="E115" s="44" t="s">
        <v>48</v>
      </c>
      <c r="F115" s="42" t="s">
        <v>48</v>
      </c>
      <c r="G115" s="42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U115" s="40" t="s">
        <v>48</v>
      </c>
      <c r="W115" s="33"/>
      <c r="X115" s="38" t="str">
        <f>Notes!U116</f>
        <v xml:space="preserve">   Public and social services</v>
      </c>
      <c r="Y115" s="4" t="s">
        <v>425</v>
      </c>
      <c r="Z115" s="44" t="s">
        <v>48</v>
      </c>
      <c r="AA115" s="42" t="s">
        <v>48</v>
      </c>
      <c r="AB115" s="42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  <c r="AO115" s="40" t="s">
        <v>48</v>
      </c>
      <c r="AP115" s="40" t="s">
        <v>48</v>
      </c>
    </row>
    <row r="116" spans="1:42" x14ac:dyDescent="0.3">
      <c r="A116" s="12">
        <v>109</v>
      </c>
      <c r="B116" s="33"/>
      <c r="C116" s="38" t="str">
        <f>Notes!U117</f>
        <v xml:space="preserve">      Public administration</v>
      </c>
      <c r="D116" s="4" t="s">
        <v>427</v>
      </c>
      <c r="E116" s="44" t="s">
        <v>48</v>
      </c>
      <c r="F116" s="42" t="s">
        <v>48</v>
      </c>
      <c r="G116" s="42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U116" s="40" t="s">
        <v>48</v>
      </c>
      <c r="W116" s="33"/>
      <c r="X116" s="38" t="str">
        <f>Notes!U117</f>
        <v xml:space="preserve">      Public administration</v>
      </c>
      <c r="Y116" s="4" t="s">
        <v>427</v>
      </c>
      <c r="Z116" s="44" t="s">
        <v>48</v>
      </c>
      <c r="AA116" s="42" t="s">
        <v>48</v>
      </c>
      <c r="AB116" s="42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  <c r="AO116" s="40" t="s">
        <v>48</v>
      </c>
      <c r="AP116" s="40" t="s">
        <v>48</v>
      </c>
    </row>
    <row r="117" spans="1:42" x14ac:dyDescent="0.3">
      <c r="A117" s="12">
        <v>110</v>
      </c>
      <c r="B117" s="33"/>
      <c r="C117" s="38" t="str">
        <f>Notes!U118</f>
        <v xml:space="preserve">      Education</v>
      </c>
      <c r="D117" s="4" t="s">
        <v>429</v>
      </c>
      <c r="E117" s="44" t="s">
        <v>48</v>
      </c>
      <c r="F117" s="42" t="s">
        <v>48</v>
      </c>
      <c r="G117" s="42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U117" s="40" t="s">
        <v>48</v>
      </c>
      <c r="W117" s="33"/>
      <c r="X117" s="38" t="str">
        <f>Notes!U118</f>
        <v xml:space="preserve">      Education</v>
      </c>
      <c r="Y117" s="4" t="s">
        <v>429</v>
      </c>
      <c r="Z117" s="44" t="s">
        <v>48</v>
      </c>
      <c r="AA117" s="42" t="s">
        <v>48</v>
      </c>
      <c r="AB117" s="42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  <c r="AO117" s="40" t="s">
        <v>48</v>
      </c>
      <c r="AP117" s="40" t="s">
        <v>48</v>
      </c>
    </row>
    <row r="118" spans="1:42" x14ac:dyDescent="0.3">
      <c r="A118" s="12">
        <v>111</v>
      </c>
      <c r="B118" s="33"/>
      <c r="C118" s="38" t="str">
        <f>Notes!U119</f>
        <v xml:space="preserve">      Health and social work</v>
      </c>
      <c r="D118" s="4" t="s">
        <v>431</v>
      </c>
      <c r="E118" s="44" t="s">
        <v>48</v>
      </c>
      <c r="F118" s="42" t="s">
        <v>48</v>
      </c>
      <c r="G118" s="42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U118" s="40" t="s">
        <v>48</v>
      </c>
      <c r="W118" s="33"/>
      <c r="X118" s="38" t="str">
        <f>Notes!U119</f>
        <v xml:space="preserve">      Health and social work</v>
      </c>
      <c r="Y118" s="4" t="s">
        <v>431</v>
      </c>
      <c r="Z118" s="44" t="s">
        <v>48</v>
      </c>
      <c r="AA118" s="42" t="s">
        <v>48</v>
      </c>
      <c r="AB118" s="42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  <c r="AO118" s="40" t="s">
        <v>48</v>
      </c>
      <c r="AP118" s="40" t="s">
        <v>48</v>
      </c>
    </row>
    <row r="119" spans="1:42" x14ac:dyDescent="0.3">
      <c r="A119" s="12">
        <v>112</v>
      </c>
      <c r="B119" s="33"/>
      <c r="C119" s="38" t="str">
        <f>Notes!U120</f>
        <v xml:space="preserve">   Other services</v>
      </c>
      <c r="D119" s="4" t="s">
        <v>433</v>
      </c>
      <c r="E119" s="44" t="s">
        <v>48</v>
      </c>
      <c r="F119" s="42" t="s">
        <v>48</v>
      </c>
      <c r="G119" s="42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U119" s="40" t="s">
        <v>48</v>
      </c>
      <c r="W119" s="33"/>
      <c r="X119" s="38" t="str">
        <f>Notes!U120</f>
        <v xml:space="preserve">   Other services</v>
      </c>
      <c r="Y119" s="4" t="s">
        <v>433</v>
      </c>
      <c r="Z119" s="44" t="s">
        <v>48</v>
      </c>
      <c r="AA119" s="42" t="s">
        <v>48</v>
      </c>
      <c r="AB119" s="42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  <c r="AO119" s="40" t="s">
        <v>48</v>
      </c>
      <c r="AP119" s="40" t="s">
        <v>48</v>
      </c>
    </row>
    <row r="120" spans="1:42" x14ac:dyDescent="0.3">
      <c r="A120" s="12">
        <v>113</v>
      </c>
      <c r="B120" s="33"/>
      <c r="C120" s="38" t="str">
        <f>Notes!U121</f>
        <v xml:space="preserve">               </v>
      </c>
      <c r="D120" s="4" t="s">
        <v>427</v>
      </c>
      <c r="E120" s="44"/>
      <c r="F120" s="42"/>
      <c r="G120" s="4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W120" s="33"/>
      <c r="X120" s="38" t="str">
        <f>Notes!U121</f>
        <v xml:space="preserve">               </v>
      </c>
      <c r="Y120" s="4" t="s">
        <v>427</v>
      </c>
      <c r="Z120" s="44"/>
      <c r="AA120" s="42"/>
      <c r="AB120" s="42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</row>
    <row r="121" spans="1:42" x14ac:dyDescent="0.3">
      <c r="A121" s="12">
        <v>114</v>
      </c>
      <c r="B121" s="33"/>
      <c r="C121" s="38" t="str">
        <f>Notes!U122</f>
        <v xml:space="preserve">               </v>
      </c>
      <c r="D121" s="4" t="s">
        <v>429</v>
      </c>
      <c r="E121" s="44"/>
      <c r="F121" s="42"/>
      <c r="G121" s="4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W121" s="33"/>
      <c r="X121" s="38" t="str">
        <f>Notes!U122</f>
        <v xml:space="preserve">               </v>
      </c>
      <c r="Y121" s="4" t="s">
        <v>429</v>
      </c>
      <c r="Z121" s="44"/>
      <c r="AA121" s="42"/>
      <c r="AB121" s="42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 spans="1:42" x14ac:dyDescent="0.3">
      <c r="A122" s="12">
        <v>115</v>
      </c>
      <c r="B122" s="33"/>
      <c r="C122" s="38" t="str">
        <f>Notes!U123</f>
        <v xml:space="preserve">               </v>
      </c>
      <c r="D122" s="4" t="s">
        <v>431</v>
      </c>
      <c r="E122" s="44"/>
      <c r="F122" s="42"/>
      <c r="G122" s="4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W122" s="33"/>
      <c r="X122" s="38" t="str">
        <f>Notes!U123</f>
        <v xml:space="preserve">               </v>
      </c>
      <c r="Y122" s="4" t="s">
        <v>431</v>
      </c>
      <c r="Z122" s="44"/>
      <c r="AA122" s="42"/>
      <c r="AB122" s="42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 spans="1:42" x14ac:dyDescent="0.3">
      <c r="A123" s="12">
        <v>116</v>
      </c>
      <c r="B123" s="33"/>
      <c r="C123" s="38" t="str">
        <f>Notes!U124</f>
        <v xml:space="preserve">               </v>
      </c>
      <c r="D123" s="4" t="s">
        <v>433</v>
      </c>
      <c r="E123" s="44"/>
      <c r="F123" s="42"/>
      <c r="G123" s="4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W123" s="33"/>
      <c r="X123" s="38" t="str">
        <f>Notes!U124</f>
        <v xml:space="preserve">               </v>
      </c>
      <c r="Y123" s="4" t="s">
        <v>433</v>
      </c>
      <c r="Z123" s="44"/>
      <c r="AA123" s="42"/>
      <c r="AB123" s="42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</row>
    <row r="124" spans="1:42" x14ac:dyDescent="0.3">
      <c r="A124" s="12">
        <v>117</v>
      </c>
      <c r="B124" s="33"/>
      <c r="C124" s="38" t="str">
        <f>Notes!U125</f>
        <v xml:space="preserve">               </v>
      </c>
      <c r="D124" s="4"/>
      <c r="E124" s="44"/>
      <c r="F124" s="42"/>
      <c r="G124" s="4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W124" s="33"/>
      <c r="X124" s="38" t="str">
        <f>Notes!U125</f>
        <v xml:space="preserve">               </v>
      </c>
      <c r="Y124" s="4"/>
      <c r="Z124" s="44"/>
      <c r="AA124" s="42"/>
      <c r="AB124" s="42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 spans="1:42" x14ac:dyDescent="0.3">
      <c r="A125" s="12">
        <v>118</v>
      </c>
      <c r="B125" s="33"/>
      <c r="C125" s="38" t="str">
        <f>Notes!U126</f>
        <v xml:space="preserve">               </v>
      </c>
      <c r="D125" s="4"/>
      <c r="E125" s="44"/>
      <c r="F125" s="42"/>
      <c r="G125" s="4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W125" s="33"/>
      <c r="X125" s="38" t="str">
        <f>Notes!U126</f>
        <v xml:space="preserve">               </v>
      </c>
      <c r="Y125" s="4"/>
      <c r="Z125" s="44"/>
      <c r="AA125" s="42"/>
      <c r="AB125" s="42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</row>
    <row r="126" spans="1:42" x14ac:dyDescent="0.3">
      <c r="A126" s="12">
        <v>119</v>
      </c>
      <c r="B126" s="33"/>
      <c r="C126" s="38" t="str">
        <f>Notes!U127</f>
        <v xml:space="preserve">               </v>
      </c>
      <c r="D126" s="4"/>
      <c r="E126" s="44"/>
      <c r="F126" s="42"/>
      <c r="G126" s="4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W126" s="33"/>
      <c r="X126" s="38" t="str">
        <f>Notes!U127</f>
        <v xml:space="preserve">               </v>
      </c>
      <c r="Y126" s="4"/>
      <c r="Z126" s="44"/>
      <c r="AA126" s="42"/>
      <c r="AB126" s="42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 spans="1:42" x14ac:dyDescent="0.3">
      <c r="A127" s="12">
        <v>120</v>
      </c>
      <c r="B127" s="33"/>
      <c r="C127" s="38" t="str">
        <f>Notes!U128</f>
        <v xml:space="preserve">               </v>
      </c>
      <c r="D127" s="4"/>
      <c r="E127" s="44"/>
      <c r="F127" s="42"/>
      <c r="G127" s="4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W127" s="33"/>
      <c r="X127" s="38" t="str">
        <f>Notes!U128</f>
        <v xml:space="preserve">               </v>
      </c>
      <c r="Y127" s="4"/>
      <c r="Z127" s="44"/>
      <c r="AA127" s="42"/>
      <c r="AB127" s="42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 spans="1:42" x14ac:dyDescent="0.3">
      <c r="A128" s="12">
        <v>121</v>
      </c>
      <c r="B128" s="33"/>
      <c r="C128" s="38" t="str">
        <f>Notes!U129</f>
        <v xml:space="preserve">               </v>
      </c>
      <c r="D128" s="4"/>
      <c r="E128" s="44"/>
      <c r="F128" s="42"/>
      <c r="G128" s="4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W128" s="33"/>
      <c r="X128" s="38" t="str">
        <f>Notes!U129</f>
        <v xml:space="preserve">               </v>
      </c>
      <c r="Y128" s="4"/>
      <c r="Z128" s="44"/>
      <c r="AA128" s="42"/>
      <c r="AB128" s="42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</row>
    <row r="129" spans="1:42" x14ac:dyDescent="0.3">
      <c r="A129" s="12">
        <v>122</v>
      </c>
      <c r="B129" s="33"/>
      <c r="C129" s="38" t="str">
        <f>Notes!U130</f>
        <v xml:space="preserve">               </v>
      </c>
      <c r="D129" s="4"/>
      <c r="E129" s="44"/>
      <c r="F129" s="42"/>
      <c r="G129" s="4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W129" s="33"/>
      <c r="X129" s="38" t="str">
        <f>Notes!U130</f>
        <v xml:space="preserve">               </v>
      </c>
      <c r="Y129" s="4"/>
      <c r="Z129" s="44"/>
      <c r="AA129" s="42"/>
      <c r="AB129" s="42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</row>
    <row r="130" spans="1:42" x14ac:dyDescent="0.3">
      <c r="A130" s="12">
        <v>123</v>
      </c>
      <c r="B130" s="33"/>
      <c r="C130" s="38" t="str">
        <f>Notes!U131</f>
        <v xml:space="preserve">               </v>
      </c>
      <c r="D130" s="4"/>
      <c r="E130" s="44"/>
      <c r="F130" s="42"/>
      <c r="G130" s="4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W130" s="33"/>
      <c r="X130" s="38" t="str">
        <f>Notes!U131</f>
        <v xml:space="preserve">               </v>
      </c>
      <c r="Y130" s="4"/>
      <c r="Z130" s="44"/>
      <c r="AA130" s="42"/>
      <c r="AB130" s="42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</row>
    <row r="131" spans="1:42" x14ac:dyDescent="0.3">
      <c r="A131" s="12">
        <v>124</v>
      </c>
      <c r="B131" s="33"/>
      <c r="C131" s="38" t="str">
        <f>Notes!U132</f>
        <v xml:space="preserve">               </v>
      </c>
      <c r="D131" s="4"/>
      <c r="E131" s="44"/>
      <c r="F131" s="42"/>
      <c r="G131" s="4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W131" s="33"/>
      <c r="X131" s="38" t="str">
        <f>Notes!U132</f>
        <v xml:space="preserve">               </v>
      </c>
      <c r="Y131" s="4"/>
      <c r="Z131" s="44"/>
      <c r="AA131" s="42"/>
      <c r="AB131" s="42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</row>
    <row r="132" spans="1:42" x14ac:dyDescent="0.3">
      <c r="A132" s="12">
        <v>125</v>
      </c>
      <c r="B132" s="33"/>
      <c r="C132" s="38" t="str">
        <f>Notes!U133</f>
        <v xml:space="preserve">               </v>
      </c>
      <c r="D132" s="4"/>
      <c r="E132" s="44"/>
      <c r="F132" s="42"/>
      <c r="G132" s="4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W132" s="33"/>
      <c r="X132" s="38" t="str">
        <f>Notes!U133</f>
        <v xml:space="preserve">               </v>
      </c>
      <c r="Y132" s="4"/>
      <c r="Z132" s="44"/>
      <c r="AA132" s="42"/>
      <c r="AB132" s="42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 spans="1:42" x14ac:dyDescent="0.3">
      <c r="A133" s="12">
        <v>126</v>
      </c>
      <c r="B133" s="33"/>
      <c r="C133" s="38" t="str">
        <f>Notes!U134</f>
        <v xml:space="preserve">               </v>
      </c>
      <c r="D133" s="4"/>
      <c r="E133" s="44"/>
      <c r="F133" s="42"/>
      <c r="G133" s="4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W133" s="33"/>
      <c r="X133" s="38" t="str">
        <f>Notes!U134</f>
        <v xml:space="preserve">               </v>
      </c>
      <c r="Y133" s="4"/>
      <c r="Z133" s="44"/>
      <c r="AA133" s="42"/>
      <c r="AB133" s="42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 spans="1:42" x14ac:dyDescent="0.3">
      <c r="A134" s="12">
        <v>127</v>
      </c>
      <c r="B134" s="33"/>
      <c r="C134" s="38" t="str">
        <f>Notes!U135</f>
        <v xml:space="preserve">               </v>
      </c>
      <c r="D134" s="4"/>
      <c r="E134" s="44"/>
      <c r="F134" s="42"/>
      <c r="G134" s="4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W134" s="33"/>
      <c r="X134" s="38" t="str">
        <f>Notes!U135</f>
        <v xml:space="preserve">               </v>
      </c>
      <c r="Y134" s="4"/>
      <c r="Z134" s="44"/>
      <c r="AA134" s="42"/>
      <c r="AB134" s="42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 spans="1:42" x14ac:dyDescent="0.3">
      <c r="A135" s="12">
        <v>128</v>
      </c>
      <c r="B135" s="33"/>
      <c r="C135" s="38" t="str">
        <f>Notes!U136</f>
        <v xml:space="preserve">               </v>
      </c>
      <c r="D135" s="4"/>
      <c r="E135" s="44"/>
      <c r="F135" s="42"/>
      <c r="G135" s="4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W135" s="33"/>
      <c r="X135" s="38" t="str">
        <f>Notes!U136</f>
        <v xml:space="preserve">               </v>
      </c>
      <c r="Y135" s="4"/>
      <c r="Z135" s="44"/>
      <c r="AA135" s="42"/>
      <c r="AB135" s="42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</row>
    <row r="136" spans="1:42" x14ac:dyDescent="0.3">
      <c r="A136" s="12">
        <v>129</v>
      </c>
      <c r="B136" s="33"/>
      <c r="C136" s="38" t="str">
        <f>Notes!U137</f>
        <v xml:space="preserve">               </v>
      </c>
      <c r="D136" s="4"/>
      <c r="E136" s="44"/>
      <c r="F136" s="42"/>
      <c r="G136" s="4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W136" s="33"/>
      <c r="X136" s="38" t="str">
        <f>Notes!U137</f>
        <v xml:space="preserve">               </v>
      </c>
      <c r="Y136" s="4"/>
      <c r="Z136" s="44"/>
      <c r="AA136" s="42"/>
      <c r="AB136" s="42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</row>
    <row r="137" spans="1:42" x14ac:dyDescent="0.3">
      <c r="A137" s="12">
        <v>130</v>
      </c>
      <c r="B137" s="33"/>
      <c r="C137" s="38" t="str">
        <f>Notes!U138</f>
        <v xml:space="preserve">               </v>
      </c>
      <c r="D137" s="4"/>
      <c r="E137" s="44"/>
      <c r="F137" s="42"/>
      <c r="G137" s="4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W137" s="33"/>
      <c r="X137" s="38" t="str">
        <f>Notes!U138</f>
        <v xml:space="preserve">               </v>
      </c>
      <c r="Y137" s="4"/>
      <c r="Z137" s="44"/>
      <c r="AA137" s="42"/>
      <c r="AB137" s="42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 spans="1:42" x14ac:dyDescent="0.3">
      <c r="A138" s="12">
        <v>131</v>
      </c>
      <c r="B138" s="33"/>
      <c r="C138" s="38" t="str">
        <f>Notes!U139</f>
        <v xml:space="preserve">               </v>
      </c>
      <c r="D138" s="4"/>
      <c r="E138" s="44"/>
      <c r="F138" s="42"/>
      <c r="G138" s="4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W138" s="33"/>
      <c r="X138" s="38" t="str">
        <f>Notes!U139</f>
        <v xml:space="preserve">               </v>
      </c>
      <c r="Y138" s="4"/>
      <c r="Z138" s="44"/>
      <c r="AA138" s="42"/>
      <c r="AB138" s="42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 spans="1:42" x14ac:dyDescent="0.3">
      <c r="A139" s="12">
        <v>132</v>
      </c>
      <c r="B139" s="33"/>
      <c r="C139" s="38" t="str">
        <f>Notes!U140</f>
        <v xml:space="preserve">               </v>
      </c>
      <c r="D139" s="4"/>
      <c r="E139" s="44"/>
      <c r="F139" s="42"/>
      <c r="G139" s="4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W139" s="33"/>
      <c r="X139" s="38" t="str">
        <f>Notes!U140</f>
        <v xml:space="preserve">               </v>
      </c>
      <c r="Y139" s="4"/>
      <c r="Z139" s="44"/>
      <c r="AA139" s="42"/>
      <c r="AB139" s="42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spans="1:42" x14ac:dyDescent="0.3">
      <c r="A140" s="12">
        <v>133</v>
      </c>
      <c r="B140" s="33"/>
      <c r="C140" s="38" t="str">
        <f>Notes!U141</f>
        <v xml:space="preserve">               </v>
      </c>
      <c r="D140" s="4"/>
      <c r="E140" s="44"/>
      <c r="F140" s="42"/>
      <c r="G140" s="4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W140" s="33"/>
      <c r="X140" s="38" t="str">
        <f>Notes!U141</f>
        <v xml:space="preserve">               </v>
      </c>
      <c r="Y140" s="4"/>
      <c r="Z140" s="44"/>
      <c r="AA140" s="42"/>
      <c r="AB140" s="42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 spans="1:42" x14ac:dyDescent="0.3">
      <c r="A141" s="12">
        <v>134</v>
      </c>
      <c r="B141" s="33"/>
      <c r="C141" s="38" t="str">
        <f>Notes!U142</f>
        <v xml:space="preserve">               </v>
      </c>
      <c r="D141" s="4"/>
      <c r="E141" s="44"/>
      <c r="F141" s="42"/>
      <c r="G141" s="4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W141" s="33"/>
      <c r="X141" s="38" t="str">
        <f>Notes!U142</f>
        <v xml:space="preserve">               </v>
      </c>
      <c r="Y141" s="4"/>
      <c r="Z141" s="44"/>
      <c r="AA141" s="42"/>
      <c r="AB141" s="42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 spans="1:42" x14ac:dyDescent="0.3">
      <c r="A142" s="12">
        <v>135</v>
      </c>
      <c r="B142" s="33"/>
      <c r="C142" s="38" t="str">
        <f>Notes!U143</f>
        <v xml:space="preserve">               </v>
      </c>
      <c r="D142" s="4"/>
      <c r="E142" s="44"/>
      <c r="F142" s="42"/>
      <c r="G142" s="4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W142" s="33"/>
      <c r="X142" s="38" t="str">
        <f>Notes!U143</f>
        <v xml:space="preserve">               </v>
      </c>
      <c r="Y142" s="4"/>
      <c r="Z142" s="44"/>
      <c r="AA142" s="42"/>
      <c r="AB142" s="42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</row>
    <row r="143" spans="1:42" x14ac:dyDescent="0.3">
      <c r="A143" s="12">
        <v>136</v>
      </c>
      <c r="B143" s="33"/>
      <c r="C143" s="38" t="str">
        <f>Notes!U144</f>
        <v xml:space="preserve">               </v>
      </c>
      <c r="D143" s="4"/>
      <c r="E143" s="44"/>
      <c r="F143" s="42"/>
      <c r="G143" s="4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W143" s="33"/>
      <c r="X143" s="38" t="str">
        <f>Notes!U144</f>
        <v xml:space="preserve">               </v>
      </c>
      <c r="Y143" s="4"/>
      <c r="Z143" s="44"/>
      <c r="AA143" s="42"/>
      <c r="AB143" s="42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</row>
    <row r="144" spans="1:42" x14ac:dyDescent="0.3">
      <c r="A144" s="12">
        <v>137</v>
      </c>
      <c r="B144" s="33"/>
      <c r="C144" s="38" t="str">
        <f>Notes!U145</f>
        <v xml:space="preserve">               </v>
      </c>
      <c r="D144" s="4"/>
      <c r="E144" s="44"/>
      <c r="F144" s="42"/>
      <c r="G144" s="4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W144" s="33"/>
      <c r="X144" s="38" t="str">
        <f>Notes!U145</f>
        <v xml:space="preserve">               </v>
      </c>
      <c r="Y144" s="4"/>
      <c r="Z144" s="44"/>
      <c r="AA144" s="42"/>
      <c r="AB144" s="42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</row>
    <row r="145" spans="1:42" x14ac:dyDescent="0.3">
      <c r="A145" s="12">
        <v>138</v>
      </c>
      <c r="B145" s="33"/>
      <c r="C145" s="38" t="str">
        <f>Notes!U146</f>
        <v xml:space="preserve">               </v>
      </c>
      <c r="D145" s="4"/>
      <c r="E145" s="44"/>
      <c r="F145" s="42"/>
      <c r="G145" s="4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W145" s="33"/>
      <c r="X145" s="38" t="str">
        <f>Notes!U146</f>
        <v xml:space="preserve">               </v>
      </c>
      <c r="Y145" s="4"/>
      <c r="Z145" s="44"/>
      <c r="AA145" s="42"/>
      <c r="AB145" s="42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 spans="1:42" x14ac:dyDescent="0.3">
      <c r="A146" s="12">
        <v>139</v>
      </c>
      <c r="B146" s="33"/>
      <c r="C146" s="38" t="str">
        <f>Notes!U147</f>
        <v xml:space="preserve">               </v>
      </c>
      <c r="D146" s="4"/>
      <c r="E146" s="44"/>
      <c r="F146" s="42"/>
      <c r="G146" s="4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W146" s="33"/>
      <c r="X146" s="38" t="str">
        <f>Notes!U147</f>
        <v xml:space="preserve">               </v>
      </c>
      <c r="Y146" s="4"/>
      <c r="Z146" s="44"/>
      <c r="AA146" s="42"/>
      <c r="AB146" s="42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 spans="1:42" x14ac:dyDescent="0.3">
      <c r="A147" s="12">
        <v>140</v>
      </c>
      <c r="B147" s="33"/>
      <c r="C147" s="38" t="str">
        <f>Notes!U148</f>
        <v xml:space="preserve">               </v>
      </c>
      <c r="D147" s="4"/>
      <c r="E147" s="44"/>
      <c r="F147" s="42"/>
      <c r="G147" s="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W147" s="33"/>
      <c r="X147" s="38" t="str">
        <f>Notes!U148</f>
        <v xml:space="preserve">               </v>
      </c>
      <c r="Y147" s="4"/>
      <c r="Z147" s="44"/>
      <c r="AA147" s="42"/>
      <c r="AB147" s="42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 spans="1:42" x14ac:dyDescent="0.3">
      <c r="A148" s="12">
        <v>141</v>
      </c>
      <c r="B148" s="33"/>
      <c r="C148" s="38" t="str">
        <f>Notes!U149</f>
        <v xml:space="preserve">               </v>
      </c>
      <c r="D148" s="4"/>
      <c r="E148" s="44"/>
      <c r="F148" s="42"/>
      <c r="G148" s="4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W148" s="33"/>
      <c r="X148" s="38" t="str">
        <f>Notes!U149</f>
        <v xml:space="preserve">               </v>
      </c>
      <c r="Y148" s="4"/>
      <c r="Z148" s="44"/>
      <c r="AA148" s="42"/>
      <c r="AB148" s="42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</row>
    <row r="149" spans="1:42" x14ac:dyDescent="0.3">
      <c r="A149" s="12">
        <v>142</v>
      </c>
      <c r="B149" s="33"/>
      <c r="C149" s="38" t="str">
        <f>Notes!U150</f>
        <v xml:space="preserve">               </v>
      </c>
      <c r="D149" s="4"/>
      <c r="E149" s="44"/>
      <c r="F149" s="42"/>
      <c r="G149" s="4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W149" s="33"/>
      <c r="X149" s="38" t="str">
        <f>Notes!U150</f>
        <v xml:space="preserve">               </v>
      </c>
      <c r="Y149" s="4"/>
      <c r="Z149" s="44"/>
      <c r="AA149" s="42"/>
      <c r="AB149" s="42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</row>
    <row r="150" spans="1:42" x14ac:dyDescent="0.3">
      <c r="A150" s="12">
        <v>143</v>
      </c>
      <c r="B150" s="33"/>
      <c r="C150" s="38" t="str">
        <f>Notes!U151</f>
        <v xml:space="preserve">               </v>
      </c>
      <c r="D150" s="4"/>
      <c r="E150" s="44"/>
      <c r="F150" s="42"/>
      <c r="G150" s="4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W150" s="33"/>
      <c r="X150" s="38" t="str">
        <f>Notes!U151</f>
        <v xml:space="preserve">               </v>
      </c>
      <c r="Y150" s="4"/>
      <c r="Z150" s="44"/>
      <c r="AA150" s="42"/>
      <c r="AB150" s="42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</row>
    <row r="151" spans="1:42" x14ac:dyDescent="0.3">
      <c r="A151" s="12">
        <v>144</v>
      </c>
      <c r="B151" s="33"/>
      <c r="C151" s="38" t="str">
        <f>Notes!U152</f>
        <v xml:space="preserve">               </v>
      </c>
      <c r="D151" s="4"/>
      <c r="E151" s="44"/>
      <c r="F151" s="42"/>
      <c r="G151" s="4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W151" s="33"/>
      <c r="X151" s="38" t="str">
        <f>Notes!U152</f>
        <v xml:space="preserve">               </v>
      </c>
      <c r="Y151" s="4"/>
      <c r="Z151" s="44"/>
      <c r="AA151" s="42"/>
      <c r="AB151" s="42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</row>
    <row r="152" spans="1:42" x14ac:dyDescent="0.3">
      <c r="A152" s="12">
        <v>145</v>
      </c>
      <c r="B152" s="33"/>
      <c r="C152" s="38" t="str">
        <f>Notes!U153</f>
        <v xml:space="preserve">               </v>
      </c>
      <c r="D152" s="4"/>
      <c r="E152" s="44"/>
      <c r="F152" s="42"/>
      <c r="G152" s="4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W152" s="33"/>
      <c r="X152" s="38" t="str">
        <f>Notes!U153</f>
        <v xml:space="preserve">               </v>
      </c>
      <c r="Y152" s="4"/>
      <c r="Z152" s="44"/>
      <c r="AA152" s="42"/>
      <c r="AB152" s="42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</row>
    <row r="153" spans="1:42" x14ac:dyDescent="0.3">
      <c r="A153" s="12">
        <v>146</v>
      </c>
      <c r="B153" s="33"/>
      <c r="C153" s="38" t="str">
        <f>Notes!U154</f>
        <v xml:space="preserve">               </v>
      </c>
      <c r="D153" s="4"/>
      <c r="E153" s="44"/>
      <c r="F153" s="42"/>
      <c r="G153" s="4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W153" s="33"/>
      <c r="X153" s="38" t="str">
        <f>Notes!U154</f>
        <v xml:space="preserve">               </v>
      </c>
      <c r="Y153" s="4"/>
      <c r="Z153" s="44"/>
      <c r="AA153" s="42"/>
      <c r="AB153" s="42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</row>
    <row r="154" spans="1:42" x14ac:dyDescent="0.3">
      <c r="A154" s="12">
        <v>147</v>
      </c>
      <c r="B154" s="33"/>
      <c r="C154" s="38" t="str">
        <f>Notes!U155</f>
        <v xml:space="preserve">               </v>
      </c>
      <c r="D154" s="4"/>
      <c r="E154" s="44"/>
      <c r="F154" s="42"/>
      <c r="G154" s="4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W154" s="33"/>
      <c r="X154" s="38" t="str">
        <f>Notes!U155</f>
        <v xml:space="preserve">               </v>
      </c>
      <c r="Y154" s="4"/>
      <c r="Z154" s="44"/>
      <c r="AA154" s="42"/>
      <c r="AB154" s="4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</row>
    <row r="155" spans="1:42" x14ac:dyDescent="0.3">
      <c r="A155" s="12">
        <v>148</v>
      </c>
      <c r="B155" s="33"/>
      <c r="C155" s="38" t="str">
        <f>Notes!U156</f>
        <v xml:space="preserve">               </v>
      </c>
      <c r="D155" s="4"/>
      <c r="E155" s="44"/>
      <c r="F155" s="42"/>
      <c r="G155" s="4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W155" s="33"/>
      <c r="X155" s="38" t="str">
        <f>Notes!U156</f>
        <v xml:space="preserve">               </v>
      </c>
      <c r="Y155" s="4"/>
      <c r="Z155" s="44"/>
      <c r="AA155" s="42"/>
      <c r="AB155" s="42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</row>
    <row r="156" spans="1:42" x14ac:dyDescent="0.3">
      <c r="A156" s="12">
        <v>149</v>
      </c>
      <c r="B156" s="33"/>
      <c r="C156" s="38" t="str">
        <f>Notes!U157</f>
        <v xml:space="preserve">               </v>
      </c>
      <c r="D156" s="4"/>
      <c r="E156" s="44"/>
      <c r="F156" s="42"/>
      <c r="G156" s="4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W156" s="33"/>
      <c r="X156" s="38" t="str">
        <f>Notes!U157</f>
        <v xml:space="preserve">               </v>
      </c>
      <c r="Y156" s="4"/>
      <c r="Z156" s="44"/>
      <c r="AA156" s="42"/>
      <c r="AB156" s="42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</row>
    <row r="157" spans="1:42" x14ac:dyDescent="0.3">
      <c r="A157" s="12">
        <v>150</v>
      </c>
      <c r="B157" s="33"/>
      <c r="C157" s="38" t="str">
        <f>Notes!U158</f>
        <v xml:space="preserve">               </v>
      </c>
      <c r="D157" s="4"/>
      <c r="E157" s="45"/>
      <c r="F157" s="42"/>
      <c r="G157" s="4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W157" s="33"/>
      <c r="X157" s="38" t="str">
        <f>Notes!U158</f>
        <v xml:space="preserve">               </v>
      </c>
      <c r="Y157" s="4"/>
      <c r="Z157" s="44"/>
      <c r="AA157" s="42"/>
      <c r="AB157" s="42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 spans="1:42" x14ac:dyDescent="0.3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</row>
  </sheetData>
  <sheetProtection sheet="1" objects="1" scenarios="1"/>
  <conditionalFormatting sqref="E8:U157">
    <cfRule type="cellIs" dxfId="15" priority="3" operator="equal">
      <formula>"Eps"</formula>
    </cfRule>
  </conditionalFormatting>
  <conditionalFormatting sqref="Z8:AP157">
    <cfRule type="cellIs" dxfId="14" priority="2" operator="equal">
      <formula>"Eps"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184F-29F6-4141-9A99-879CCC5D9264}">
  <sheetPr>
    <tabColor theme="8" tint="-0.499984740745262"/>
  </sheetPr>
  <dimension ref="A1:DW158"/>
  <sheetViews>
    <sheetView zoomScale="85" zoomScaleNormal="85" workbookViewId="0">
      <pane ySplit="7" topLeftCell="A112" activePane="bottomLeft" state="frozen"/>
      <selection activeCell="E6" sqref="E6"/>
      <selection pane="bottomLeft" activeCell="A120" sqref="A120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 customWidth="1"/>
    <col min="5" max="21" width="9.109375" customWidth="1"/>
    <col min="22" max="23" width="2.44140625" customWidth="1"/>
    <col min="24" max="24" width="28.88671875" customWidth="1"/>
    <col min="25" max="25" width="9.109375" hidden="1" customWidth="1"/>
    <col min="26" max="42" width="9.109375" customWidth="1"/>
    <col min="43" max="44" width="2.44140625" customWidth="1"/>
    <col min="45" max="45" width="28.88671875" customWidth="1"/>
    <col min="46" max="46" width="9.109375" hidden="1" customWidth="1"/>
    <col min="47" max="63" width="9.109375" customWidth="1"/>
    <col min="64" max="65" width="2.44140625" customWidth="1"/>
    <col min="66" max="66" width="19.88671875" customWidth="1"/>
    <col min="67" max="67" width="9.109375" hidden="1" customWidth="1"/>
    <col min="68" max="84" width="9.109375" customWidth="1"/>
    <col min="85" max="86" width="2.44140625" customWidth="1"/>
    <col min="87" max="87" width="19.88671875" customWidth="1"/>
    <col min="88" max="88" width="9.109375" hidden="1" customWidth="1"/>
    <col min="89" max="105" width="9.109375" customWidth="1"/>
    <col min="106" max="107" width="2.44140625" customWidth="1"/>
    <col min="108" max="108" width="19.88671875" customWidth="1"/>
    <col min="109" max="109" width="9.109375" hidden="1" customWidth="1"/>
    <col min="110" max="126" width="9.109375" customWidth="1"/>
    <col min="127" max="127" width="2.44140625" customWidth="1"/>
    <col min="128" max="16384" width="9.109375" hidden="1"/>
  </cols>
  <sheetData>
    <row r="1" spans="1:126" ht="18" x14ac:dyDescent="0.35">
      <c r="A1" s="9" t="s">
        <v>75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65</v>
      </c>
      <c r="N1" s="8" t="str">
        <f>C5</f>
        <v>Average output price (PX)</v>
      </c>
      <c r="R1" s="8" t="str">
        <f>BN5</f>
        <v>Import price incl. transaction costs (PM)</v>
      </c>
    </row>
    <row r="2" spans="1:126" x14ac:dyDescent="0.3">
      <c r="M2" s="8"/>
      <c r="N2" s="8" t="str">
        <f>X5</f>
        <v>Composite commodity price (PQ)</v>
      </c>
      <c r="R2" s="8" t="str">
        <f>CI5</f>
        <v>World export price excl. transaction costs (pwe)</v>
      </c>
    </row>
    <row r="3" spans="1:126" x14ac:dyDescent="0.3">
      <c r="M3" s="8"/>
      <c r="N3" s="8" t="str">
        <f>AS5</f>
        <v>Export price incl. transaction costs (PE)</v>
      </c>
      <c r="R3" s="8" t="str">
        <f>DD5</f>
        <v>World import price excl. transaction costs (pwm)</v>
      </c>
    </row>
    <row r="4" spans="1:126" x14ac:dyDescent="0.3"/>
    <row r="5" spans="1:126" ht="15.6" x14ac:dyDescent="0.3">
      <c r="B5" s="13"/>
      <c r="C5" s="11" t="s">
        <v>68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69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R5" s="13"/>
      <c r="AS5" s="11" t="s">
        <v>70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M5" s="13"/>
      <c r="BN5" s="11" t="s">
        <v>71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H5" s="13"/>
      <c r="CI5" s="11" t="s">
        <v>72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C5" s="13"/>
      <c r="DD5" s="11" t="s">
        <v>73</v>
      </c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</row>
    <row r="6" spans="1:126" x14ac:dyDescent="0.3">
      <c r="B6" s="29"/>
      <c r="C6" s="35" t="s">
        <v>498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W6" s="29"/>
      <c r="X6" s="35" t="s">
        <v>498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R6" s="29"/>
      <c r="AS6" s="35" t="s">
        <v>498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M6" s="29"/>
      <c r="BN6" s="35" t="s">
        <v>498</v>
      </c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H6" s="29"/>
      <c r="CI6" s="35" t="s">
        <v>498</v>
      </c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C6" s="29"/>
      <c r="DD6" s="35" t="s">
        <v>498</v>
      </c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</row>
    <row r="7" spans="1:126" x14ac:dyDescent="0.3">
      <c r="B7" s="29"/>
      <c r="C7" s="34"/>
      <c r="D7" s="34"/>
      <c r="E7" s="43" t="s">
        <v>260</v>
      </c>
      <c r="F7" s="41" t="s">
        <v>42</v>
      </c>
      <c r="G7" s="41" t="s">
        <v>704</v>
      </c>
      <c r="H7" s="39" t="s">
        <v>481</v>
      </c>
      <c r="I7" s="39" t="s">
        <v>482</v>
      </c>
      <c r="J7" s="39" t="s">
        <v>483</v>
      </c>
      <c r="K7" s="39" t="s">
        <v>484</v>
      </c>
      <c r="L7" s="39" t="s">
        <v>485</v>
      </c>
      <c r="M7" s="39" t="s">
        <v>486</v>
      </c>
      <c r="N7" s="39" t="s">
        <v>487</v>
      </c>
      <c r="O7" s="39" t="s">
        <v>488</v>
      </c>
      <c r="P7" s="39" t="s">
        <v>489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  <c r="W7" s="29"/>
      <c r="X7" s="34"/>
      <c r="Y7" s="34"/>
      <c r="Z7" s="43" t="s">
        <v>260</v>
      </c>
      <c r="AA7" s="41" t="s">
        <v>42</v>
      </c>
      <c r="AB7" s="41" t="s">
        <v>704</v>
      </c>
      <c r="AC7" s="39" t="s">
        <v>481</v>
      </c>
      <c r="AD7" s="39" t="s">
        <v>482</v>
      </c>
      <c r="AE7" s="39" t="s">
        <v>483</v>
      </c>
      <c r="AF7" s="39" t="s">
        <v>484</v>
      </c>
      <c r="AG7" s="39" t="s">
        <v>485</v>
      </c>
      <c r="AH7" s="39" t="s">
        <v>486</v>
      </c>
      <c r="AI7" s="39" t="s">
        <v>487</v>
      </c>
      <c r="AJ7" s="39" t="s">
        <v>488</v>
      </c>
      <c r="AK7" s="39" t="s">
        <v>489</v>
      </c>
      <c r="AL7" s="39" t="s">
        <v>43</v>
      </c>
      <c r="AM7" s="39" t="s">
        <v>44</v>
      </c>
      <c r="AN7" s="39" t="s">
        <v>45</v>
      </c>
      <c r="AO7" s="39" t="s">
        <v>46</v>
      </c>
      <c r="AP7" s="39" t="s">
        <v>47</v>
      </c>
      <c r="AR7" s="29"/>
      <c r="AS7" s="34"/>
      <c r="AT7" s="34"/>
      <c r="AU7" s="43" t="s">
        <v>260</v>
      </c>
      <c r="AV7" s="41" t="s">
        <v>42</v>
      </c>
      <c r="AW7" s="41" t="s">
        <v>704</v>
      </c>
      <c r="AX7" s="39" t="s">
        <v>481</v>
      </c>
      <c r="AY7" s="39" t="s">
        <v>482</v>
      </c>
      <c r="AZ7" s="39" t="s">
        <v>483</v>
      </c>
      <c r="BA7" s="39" t="s">
        <v>484</v>
      </c>
      <c r="BB7" s="39" t="s">
        <v>485</v>
      </c>
      <c r="BC7" s="39" t="s">
        <v>486</v>
      </c>
      <c r="BD7" s="39" t="s">
        <v>487</v>
      </c>
      <c r="BE7" s="39" t="s">
        <v>488</v>
      </c>
      <c r="BF7" s="39" t="s">
        <v>489</v>
      </c>
      <c r="BG7" s="39" t="s">
        <v>43</v>
      </c>
      <c r="BH7" s="39" t="s">
        <v>44</v>
      </c>
      <c r="BI7" s="39" t="s">
        <v>45</v>
      </c>
      <c r="BJ7" s="39" t="s">
        <v>46</v>
      </c>
      <c r="BK7" s="39" t="s">
        <v>47</v>
      </c>
      <c r="BM7" s="29"/>
      <c r="BN7" s="34"/>
      <c r="BO7" s="34"/>
      <c r="BP7" s="43" t="s">
        <v>260</v>
      </c>
      <c r="BQ7" s="41" t="s">
        <v>42</v>
      </c>
      <c r="BR7" s="41" t="s">
        <v>704</v>
      </c>
      <c r="BS7" s="39" t="s">
        <v>481</v>
      </c>
      <c r="BT7" s="39" t="s">
        <v>482</v>
      </c>
      <c r="BU7" s="39" t="s">
        <v>483</v>
      </c>
      <c r="BV7" s="39" t="s">
        <v>484</v>
      </c>
      <c r="BW7" s="39" t="s">
        <v>485</v>
      </c>
      <c r="BX7" s="39" t="s">
        <v>486</v>
      </c>
      <c r="BY7" s="39" t="s">
        <v>487</v>
      </c>
      <c r="BZ7" s="39" t="s">
        <v>488</v>
      </c>
      <c r="CA7" s="39" t="s">
        <v>489</v>
      </c>
      <c r="CB7" s="39" t="s">
        <v>43</v>
      </c>
      <c r="CC7" s="39" t="s">
        <v>44</v>
      </c>
      <c r="CD7" s="39" t="s">
        <v>45</v>
      </c>
      <c r="CE7" s="39" t="s">
        <v>46</v>
      </c>
      <c r="CF7" s="39" t="s">
        <v>47</v>
      </c>
      <c r="CH7" s="29"/>
      <c r="CI7" s="34"/>
      <c r="CJ7" s="34"/>
      <c r="CK7" s="43" t="s">
        <v>260</v>
      </c>
      <c r="CL7" s="41" t="s">
        <v>42</v>
      </c>
      <c r="CM7" s="41" t="s">
        <v>704</v>
      </c>
      <c r="CN7" s="39" t="s">
        <v>481</v>
      </c>
      <c r="CO7" s="39" t="s">
        <v>482</v>
      </c>
      <c r="CP7" s="39" t="s">
        <v>483</v>
      </c>
      <c r="CQ7" s="39" t="s">
        <v>484</v>
      </c>
      <c r="CR7" s="39" t="s">
        <v>485</v>
      </c>
      <c r="CS7" s="39" t="s">
        <v>486</v>
      </c>
      <c r="CT7" s="39" t="s">
        <v>487</v>
      </c>
      <c r="CU7" s="39" t="s">
        <v>488</v>
      </c>
      <c r="CV7" s="39" t="s">
        <v>489</v>
      </c>
      <c r="CW7" s="39" t="s">
        <v>43</v>
      </c>
      <c r="CX7" s="39" t="s">
        <v>44</v>
      </c>
      <c r="CY7" s="39" t="s">
        <v>45</v>
      </c>
      <c r="CZ7" s="39" t="s">
        <v>46</v>
      </c>
      <c r="DA7" s="39" t="s">
        <v>47</v>
      </c>
      <c r="DC7" s="29"/>
      <c r="DD7" s="34"/>
      <c r="DE7" s="34"/>
      <c r="DF7" s="43" t="s">
        <v>260</v>
      </c>
      <c r="DG7" s="41" t="s">
        <v>42</v>
      </c>
      <c r="DH7" s="41" t="s">
        <v>704</v>
      </c>
      <c r="DI7" s="39" t="s">
        <v>481</v>
      </c>
      <c r="DJ7" s="39" t="s">
        <v>482</v>
      </c>
      <c r="DK7" s="39" t="s">
        <v>483</v>
      </c>
      <c r="DL7" s="39" t="s">
        <v>484</v>
      </c>
      <c r="DM7" s="39" t="s">
        <v>485</v>
      </c>
      <c r="DN7" s="39" t="s">
        <v>486</v>
      </c>
      <c r="DO7" s="39" t="s">
        <v>487</v>
      </c>
      <c r="DP7" s="39" t="s">
        <v>488</v>
      </c>
      <c r="DQ7" s="39" t="s">
        <v>489</v>
      </c>
      <c r="DR7" s="39" t="s">
        <v>43</v>
      </c>
      <c r="DS7" s="39" t="s">
        <v>44</v>
      </c>
      <c r="DT7" s="39" t="s">
        <v>45</v>
      </c>
      <c r="DU7" s="39" t="s">
        <v>46</v>
      </c>
      <c r="DV7" s="39" t="s">
        <v>47</v>
      </c>
    </row>
    <row r="8" spans="1:126" x14ac:dyDescent="0.3">
      <c r="A8" s="12">
        <v>1</v>
      </c>
      <c r="B8" s="33"/>
      <c r="C8" s="38" t="str">
        <f>Notes!U9</f>
        <v>All products</v>
      </c>
      <c r="D8" s="4" t="s">
        <v>296</v>
      </c>
      <c r="E8" s="44">
        <v>1.0000000000000002</v>
      </c>
      <c r="F8" s="42">
        <v>-8.8620053267929322E-4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W8" s="33"/>
      <c r="X8" s="38" t="str">
        <f>Notes!U9</f>
        <v>All products</v>
      </c>
      <c r="Y8" s="4" t="s">
        <v>296</v>
      </c>
      <c r="Z8" s="44">
        <v>1.12887004663518</v>
      </c>
      <c r="AA8" s="42">
        <v>-3.6308185019762185E-3</v>
      </c>
      <c r="AB8" s="42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  <c r="AR8" s="33"/>
      <c r="AS8" s="38" t="str">
        <f>Notes!U9</f>
        <v>All products</v>
      </c>
      <c r="AT8" s="4" t="s">
        <v>296</v>
      </c>
      <c r="AU8" s="44">
        <v>0.99999999999999978</v>
      </c>
      <c r="AV8" s="42">
        <v>-1.8530528612614727E-2</v>
      </c>
      <c r="AW8" s="42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  <c r="BI8" s="40" t="s">
        <v>48</v>
      </c>
      <c r="BJ8" s="40" t="s">
        <v>48</v>
      </c>
      <c r="BK8" s="40" t="s">
        <v>48</v>
      </c>
      <c r="BM8" s="33"/>
      <c r="BN8" s="38" t="str">
        <f>Notes!U9</f>
        <v>All products</v>
      </c>
      <c r="BO8" s="4" t="s">
        <v>296</v>
      </c>
      <c r="BP8" s="44">
        <v>1.1538765087729459</v>
      </c>
      <c r="BQ8" s="42">
        <v>-1.7447985388663323E-2</v>
      </c>
      <c r="BR8" s="42" t="s">
        <v>48</v>
      </c>
      <c r="BS8" s="40" t="s">
        <v>48</v>
      </c>
      <c r="BT8" s="40" t="s">
        <v>48</v>
      </c>
      <c r="BU8" s="40" t="s">
        <v>48</v>
      </c>
      <c r="BV8" s="40" t="s">
        <v>48</v>
      </c>
      <c r="BW8" s="40" t="s">
        <v>48</v>
      </c>
      <c r="BX8" s="40" t="s">
        <v>48</v>
      </c>
      <c r="BY8" s="40" t="s">
        <v>48</v>
      </c>
      <c r="BZ8" s="40" t="s">
        <v>48</v>
      </c>
      <c r="CA8" s="40" t="s">
        <v>48</v>
      </c>
      <c r="CB8" s="40" t="s">
        <v>48</v>
      </c>
      <c r="CC8" s="40" t="s">
        <v>48</v>
      </c>
      <c r="CD8" s="40" t="s">
        <v>48</v>
      </c>
      <c r="CE8" s="40" t="s">
        <v>48</v>
      </c>
      <c r="CF8" s="40" t="s">
        <v>48</v>
      </c>
      <c r="CH8" s="33"/>
      <c r="CI8" s="38" t="str">
        <f>Notes!U9</f>
        <v>All products</v>
      </c>
      <c r="CJ8" s="4" t="s">
        <v>296</v>
      </c>
      <c r="CK8" s="44">
        <v>1.1321328259929111</v>
      </c>
      <c r="CL8" s="42" t="s">
        <v>48</v>
      </c>
      <c r="CM8" s="42" t="s">
        <v>48</v>
      </c>
      <c r="CN8" s="40" t="s">
        <v>48</v>
      </c>
      <c r="CO8" s="40" t="s">
        <v>48</v>
      </c>
      <c r="CP8" s="40" t="s">
        <v>48</v>
      </c>
      <c r="CQ8" s="40" t="s">
        <v>48</v>
      </c>
      <c r="CR8" s="40" t="s">
        <v>48</v>
      </c>
      <c r="CS8" s="40" t="s">
        <v>48</v>
      </c>
      <c r="CT8" s="40" t="s">
        <v>48</v>
      </c>
      <c r="CU8" s="40" t="s">
        <v>48</v>
      </c>
      <c r="CV8" s="40" t="s">
        <v>48</v>
      </c>
      <c r="CW8" s="40" t="s">
        <v>48</v>
      </c>
      <c r="CX8" s="40" t="s">
        <v>48</v>
      </c>
      <c r="CY8" s="40" t="s">
        <v>48</v>
      </c>
      <c r="CZ8" s="40" t="s">
        <v>48</v>
      </c>
      <c r="DA8" s="40" t="s">
        <v>48</v>
      </c>
      <c r="DC8" s="33"/>
      <c r="DD8" s="38" t="str">
        <f>Notes!U9</f>
        <v>All products</v>
      </c>
      <c r="DE8" s="4" t="s">
        <v>296</v>
      </c>
      <c r="DF8" s="44">
        <v>0.96639835934322293</v>
      </c>
      <c r="DG8" s="42" t="s">
        <v>48</v>
      </c>
      <c r="DH8" s="42" t="s">
        <v>48</v>
      </c>
      <c r="DI8" s="40" t="s">
        <v>48</v>
      </c>
      <c r="DJ8" s="40" t="s">
        <v>48</v>
      </c>
      <c r="DK8" s="40" t="s">
        <v>48</v>
      </c>
      <c r="DL8" s="40" t="s">
        <v>48</v>
      </c>
      <c r="DM8" s="40" t="s">
        <v>48</v>
      </c>
      <c r="DN8" s="40" t="s">
        <v>48</v>
      </c>
      <c r="DO8" s="40" t="s">
        <v>48</v>
      </c>
      <c r="DP8" s="40" t="s">
        <v>48</v>
      </c>
      <c r="DQ8" s="40" t="s">
        <v>48</v>
      </c>
      <c r="DR8" s="40" t="s">
        <v>48</v>
      </c>
      <c r="DS8" s="40" t="s">
        <v>48</v>
      </c>
      <c r="DT8" s="40" t="s">
        <v>48</v>
      </c>
      <c r="DU8" s="40" t="s">
        <v>48</v>
      </c>
      <c r="DV8" s="40" t="s">
        <v>48</v>
      </c>
    </row>
    <row r="9" spans="1:126" x14ac:dyDescent="0.3">
      <c r="A9" s="12">
        <v>2</v>
      </c>
      <c r="B9" s="33"/>
      <c r="C9" s="38" t="str">
        <f>Notes!U10</f>
        <v>Agriculture</v>
      </c>
      <c r="D9" s="4" t="s">
        <v>303</v>
      </c>
      <c r="E9" s="46">
        <v>1</v>
      </c>
      <c r="F9" s="47">
        <v>-4.9904683319224041E-3</v>
      </c>
      <c r="G9" s="47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W9" s="33"/>
      <c r="X9" s="38" t="str">
        <f>Notes!U10</f>
        <v>Agriculture</v>
      </c>
      <c r="Y9" s="4" t="s">
        <v>303</v>
      </c>
      <c r="Z9" s="46">
        <v>1.2278890976100221</v>
      </c>
      <c r="AA9" s="47">
        <v>-8.9674227689795494E-3</v>
      </c>
      <c r="AB9" s="47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R9" s="33"/>
      <c r="AS9" s="38" t="str">
        <f>Notes!U10</f>
        <v>Agriculture</v>
      </c>
      <c r="AT9" s="4" t="s">
        <v>303</v>
      </c>
      <c r="AU9" s="46">
        <v>1</v>
      </c>
      <c r="AV9" s="47">
        <v>-1.8735840215911015E-2</v>
      </c>
      <c r="AW9" s="47" t="s">
        <v>48</v>
      </c>
      <c r="AX9" s="48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I9" s="48" t="s">
        <v>48</v>
      </c>
      <c r="BJ9" s="48" t="s">
        <v>48</v>
      </c>
      <c r="BK9" s="48" t="s">
        <v>48</v>
      </c>
      <c r="BM9" s="33"/>
      <c r="BN9" s="38" t="str">
        <f>Notes!U10</f>
        <v>Agriculture</v>
      </c>
      <c r="BO9" s="4" t="s">
        <v>303</v>
      </c>
      <c r="BP9" s="46">
        <v>1.1258353609266039</v>
      </c>
      <c r="BQ9" s="47">
        <v>-1.7541935276432774E-2</v>
      </c>
      <c r="BR9" s="47" t="s">
        <v>48</v>
      </c>
      <c r="BS9" s="48" t="s">
        <v>48</v>
      </c>
      <c r="BT9" s="48" t="s">
        <v>48</v>
      </c>
      <c r="BU9" s="48" t="s">
        <v>48</v>
      </c>
      <c r="BV9" s="48" t="s">
        <v>48</v>
      </c>
      <c r="BW9" s="48" t="s">
        <v>48</v>
      </c>
      <c r="BX9" s="48" t="s">
        <v>48</v>
      </c>
      <c r="BY9" s="48" t="s">
        <v>48</v>
      </c>
      <c r="BZ9" s="48" t="s">
        <v>48</v>
      </c>
      <c r="CA9" s="48" t="s">
        <v>48</v>
      </c>
      <c r="CB9" s="48" t="s">
        <v>48</v>
      </c>
      <c r="CC9" s="48" t="s">
        <v>48</v>
      </c>
      <c r="CD9" s="48" t="s">
        <v>48</v>
      </c>
      <c r="CE9" s="48" t="s">
        <v>48</v>
      </c>
      <c r="CF9" s="48" t="s">
        <v>48</v>
      </c>
      <c r="CH9" s="33"/>
      <c r="CI9" s="38" t="str">
        <f>Notes!U10</f>
        <v>Agriculture</v>
      </c>
      <c r="CJ9" s="4" t="s">
        <v>303</v>
      </c>
      <c r="CK9" s="46">
        <v>1.1771123027013277</v>
      </c>
      <c r="CL9" s="47" t="s">
        <v>48</v>
      </c>
      <c r="CM9" s="47" t="s">
        <v>48</v>
      </c>
      <c r="CN9" s="48" t="s">
        <v>48</v>
      </c>
      <c r="CO9" s="48" t="s">
        <v>48</v>
      </c>
      <c r="CP9" s="48" t="s">
        <v>48</v>
      </c>
      <c r="CQ9" s="48" t="s">
        <v>48</v>
      </c>
      <c r="CR9" s="48" t="s">
        <v>48</v>
      </c>
      <c r="CS9" s="48" t="s">
        <v>48</v>
      </c>
      <c r="CT9" s="48" t="s">
        <v>48</v>
      </c>
      <c r="CU9" s="48" t="s">
        <v>48</v>
      </c>
      <c r="CV9" s="48" t="s">
        <v>48</v>
      </c>
      <c r="CW9" s="48" t="s">
        <v>48</v>
      </c>
      <c r="CX9" s="48" t="s">
        <v>48</v>
      </c>
      <c r="CY9" s="48" t="s">
        <v>48</v>
      </c>
      <c r="CZ9" s="48" t="s">
        <v>48</v>
      </c>
      <c r="DA9" s="48" t="s">
        <v>48</v>
      </c>
      <c r="DC9" s="33"/>
      <c r="DD9" s="38" t="str">
        <f>Notes!U10</f>
        <v>Agriculture</v>
      </c>
      <c r="DE9" s="4" t="s">
        <v>303</v>
      </c>
      <c r="DF9" s="46">
        <v>0.96255847703984043</v>
      </c>
      <c r="DG9" s="47" t="s">
        <v>48</v>
      </c>
      <c r="DH9" s="47" t="s">
        <v>48</v>
      </c>
      <c r="DI9" s="48" t="s">
        <v>48</v>
      </c>
      <c r="DJ9" s="48" t="s">
        <v>48</v>
      </c>
      <c r="DK9" s="48" t="s">
        <v>48</v>
      </c>
      <c r="DL9" s="48" t="s">
        <v>48</v>
      </c>
      <c r="DM9" s="48" t="s">
        <v>48</v>
      </c>
      <c r="DN9" s="48" t="s">
        <v>48</v>
      </c>
      <c r="DO9" s="48" t="s">
        <v>48</v>
      </c>
      <c r="DP9" s="48" t="s">
        <v>48</v>
      </c>
      <c r="DQ9" s="48" t="s">
        <v>48</v>
      </c>
      <c r="DR9" s="48" t="s">
        <v>48</v>
      </c>
      <c r="DS9" s="48" t="s">
        <v>48</v>
      </c>
      <c r="DT9" s="48" t="s">
        <v>48</v>
      </c>
      <c r="DU9" s="48" t="s">
        <v>48</v>
      </c>
      <c r="DV9" s="48" t="s">
        <v>48</v>
      </c>
    </row>
    <row r="10" spans="1:126" x14ac:dyDescent="0.3">
      <c r="A10" s="12">
        <v>3</v>
      </c>
      <c r="B10" s="33"/>
      <c r="C10" s="38" t="str">
        <f>Notes!U11</f>
        <v xml:space="preserve">   Crops</v>
      </c>
      <c r="D10" s="4" t="s">
        <v>305</v>
      </c>
      <c r="E10" s="44">
        <v>0.99999999999999956</v>
      </c>
      <c r="F10" s="42">
        <v>4.0933063686776627E-2</v>
      </c>
      <c r="G10" s="42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W10" s="33"/>
      <c r="X10" s="38" t="str">
        <f>Notes!U11</f>
        <v xml:space="preserve">   Crops</v>
      </c>
      <c r="Y10" s="4" t="s">
        <v>305</v>
      </c>
      <c r="Z10" s="44">
        <v>1.1993565300232387</v>
      </c>
      <c r="AA10" s="42">
        <v>2.236592925524139E-2</v>
      </c>
      <c r="AB10" s="42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  <c r="AR10" s="33"/>
      <c r="AS10" s="38" t="str">
        <f>Notes!U11</f>
        <v xml:space="preserve">   Crops</v>
      </c>
      <c r="AT10" s="4" t="s">
        <v>305</v>
      </c>
      <c r="AU10" s="44">
        <v>1</v>
      </c>
      <c r="AV10" s="42">
        <v>-1.8477537477901151E-2</v>
      </c>
      <c r="AW10" s="42" t="s">
        <v>48</v>
      </c>
      <c r="AX10" s="40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  <c r="BI10" s="40" t="s">
        <v>48</v>
      </c>
      <c r="BJ10" s="40" t="s">
        <v>48</v>
      </c>
      <c r="BK10" s="40" t="s">
        <v>48</v>
      </c>
      <c r="BM10" s="33"/>
      <c r="BN10" s="38" t="str">
        <f>Notes!U11</f>
        <v xml:space="preserve">   Crops</v>
      </c>
      <c r="BO10" s="4" t="s">
        <v>305</v>
      </c>
      <c r="BP10" s="44">
        <v>1.1258810776106138</v>
      </c>
      <c r="BQ10" s="42">
        <v>-1.754178296988762E-2</v>
      </c>
      <c r="BR10" s="42" t="s">
        <v>48</v>
      </c>
      <c r="BS10" s="40" t="s">
        <v>48</v>
      </c>
      <c r="BT10" s="40" t="s">
        <v>48</v>
      </c>
      <c r="BU10" s="40" t="s">
        <v>48</v>
      </c>
      <c r="BV10" s="40" t="s">
        <v>48</v>
      </c>
      <c r="BW10" s="40" t="s">
        <v>48</v>
      </c>
      <c r="BX10" s="40" t="s">
        <v>48</v>
      </c>
      <c r="BY10" s="40" t="s">
        <v>48</v>
      </c>
      <c r="BZ10" s="40" t="s">
        <v>48</v>
      </c>
      <c r="CA10" s="40" t="s">
        <v>48</v>
      </c>
      <c r="CB10" s="40" t="s">
        <v>48</v>
      </c>
      <c r="CC10" s="40" t="s">
        <v>48</v>
      </c>
      <c r="CD10" s="40" t="s">
        <v>48</v>
      </c>
      <c r="CE10" s="40" t="s">
        <v>48</v>
      </c>
      <c r="CF10" s="40" t="s">
        <v>48</v>
      </c>
      <c r="CH10" s="33"/>
      <c r="CI10" s="38" t="str">
        <f>Notes!U11</f>
        <v xml:space="preserve">   Crops</v>
      </c>
      <c r="CJ10" s="4" t="s">
        <v>305</v>
      </c>
      <c r="CK10" s="44">
        <v>1.1097773125377177</v>
      </c>
      <c r="CL10" s="42" t="s">
        <v>48</v>
      </c>
      <c r="CM10" s="42" t="s">
        <v>48</v>
      </c>
      <c r="CN10" s="40" t="s">
        <v>48</v>
      </c>
      <c r="CO10" s="40" t="s">
        <v>48</v>
      </c>
      <c r="CP10" s="40" t="s">
        <v>48</v>
      </c>
      <c r="CQ10" s="40" t="s">
        <v>48</v>
      </c>
      <c r="CR10" s="40" t="s">
        <v>48</v>
      </c>
      <c r="CS10" s="40" t="s">
        <v>48</v>
      </c>
      <c r="CT10" s="40" t="s">
        <v>48</v>
      </c>
      <c r="CU10" s="40" t="s">
        <v>48</v>
      </c>
      <c r="CV10" s="40" t="s">
        <v>48</v>
      </c>
      <c r="CW10" s="40" t="s">
        <v>48</v>
      </c>
      <c r="CX10" s="40" t="s">
        <v>48</v>
      </c>
      <c r="CY10" s="40" t="s">
        <v>48</v>
      </c>
      <c r="CZ10" s="40" t="s">
        <v>48</v>
      </c>
      <c r="DA10" s="40" t="s">
        <v>48</v>
      </c>
      <c r="DC10" s="33"/>
      <c r="DD10" s="38" t="str">
        <f>Notes!U11</f>
        <v xml:space="preserve">   Crops</v>
      </c>
      <c r="DE10" s="4" t="s">
        <v>305</v>
      </c>
      <c r="DF10" s="44">
        <v>0.96278938933635294</v>
      </c>
      <c r="DG10" s="42" t="s">
        <v>48</v>
      </c>
      <c r="DH10" s="42" t="s">
        <v>48</v>
      </c>
      <c r="DI10" s="40" t="s">
        <v>48</v>
      </c>
      <c r="DJ10" s="40" t="s">
        <v>48</v>
      </c>
      <c r="DK10" s="40" t="s">
        <v>48</v>
      </c>
      <c r="DL10" s="40" t="s">
        <v>48</v>
      </c>
      <c r="DM10" s="40" t="s">
        <v>48</v>
      </c>
      <c r="DN10" s="40" t="s">
        <v>48</v>
      </c>
      <c r="DO10" s="40" t="s">
        <v>48</v>
      </c>
      <c r="DP10" s="40" t="s">
        <v>48</v>
      </c>
      <c r="DQ10" s="40" t="s">
        <v>48</v>
      </c>
      <c r="DR10" s="40" t="s">
        <v>48</v>
      </c>
      <c r="DS10" s="40" t="s">
        <v>48</v>
      </c>
      <c r="DT10" s="40" t="s">
        <v>48</v>
      </c>
      <c r="DU10" s="40" t="s">
        <v>48</v>
      </c>
      <c r="DV10" s="40" t="s">
        <v>48</v>
      </c>
    </row>
    <row r="11" spans="1:126" x14ac:dyDescent="0.3">
      <c r="A11" s="12">
        <v>4</v>
      </c>
      <c r="B11" s="33"/>
      <c r="C11" s="38" t="str">
        <f>Notes!U12</f>
        <v xml:space="preserve">      Maize</v>
      </c>
      <c r="D11" s="4" t="s">
        <v>308</v>
      </c>
      <c r="E11" s="44">
        <v>1</v>
      </c>
      <c r="F11" s="42">
        <v>4.1077937267131048E-2</v>
      </c>
      <c r="G11" s="42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W11" s="33"/>
      <c r="X11" s="38" t="str">
        <f>Notes!U12</f>
        <v xml:space="preserve">      Maize</v>
      </c>
      <c r="Y11" s="4" t="s">
        <v>308</v>
      </c>
      <c r="Z11" s="44">
        <v>1.1391281876749673</v>
      </c>
      <c r="AA11" s="42">
        <v>-1.1192882514388103E-3</v>
      </c>
      <c r="AB11" s="42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  <c r="AR11" s="33"/>
      <c r="AS11" s="38" t="str">
        <f>Notes!U12</f>
        <v xml:space="preserve">      Maize</v>
      </c>
      <c r="AT11" s="4" t="s">
        <v>308</v>
      </c>
      <c r="AU11" s="44" t="s">
        <v>48</v>
      </c>
      <c r="AV11" s="42" t="s">
        <v>48</v>
      </c>
      <c r="AW11" s="42" t="s">
        <v>48</v>
      </c>
      <c r="AX11" s="40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  <c r="BI11" s="40" t="s">
        <v>48</v>
      </c>
      <c r="BJ11" s="40" t="s">
        <v>48</v>
      </c>
      <c r="BK11" s="40" t="s">
        <v>48</v>
      </c>
      <c r="BM11" s="33"/>
      <c r="BN11" s="38" t="str">
        <f>Notes!U12</f>
        <v xml:space="preserve">      Maize</v>
      </c>
      <c r="BO11" s="4" t="s">
        <v>308</v>
      </c>
      <c r="BP11" s="44">
        <v>1.1391281876749657</v>
      </c>
      <c r="BQ11" s="42">
        <v>-1.7498164872531419E-2</v>
      </c>
      <c r="BR11" s="42" t="s">
        <v>48</v>
      </c>
      <c r="BS11" s="40" t="s">
        <v>48</v>
      </c>
      <c r="BT11" s="40" t="s">
        <v>48</v>
      </c>
      <c r="BU11" s="40" t="s">
        <v>48</v>
      </c>
      <c r="BV11" s="40" t="s">
        <v>48</v>
      </c>
      <c r="BW11" s="40" t="s">
        <v>48</v>
      </c>
      <c r="BX11" s="40" t="s">
        <v>48</v>
      </c>
      <c r="BY11" s="40" t="s">
        <v>48</v>
      </c>
      <c r="BZ11" s="40" t="s">
        <v>48</v>
      </c>
      <c r="CA11" s="40" t="s">
        <v>48</v>
      </c>
      <c r="CB11" s="40" t="s">
        <v>48</v>
      </c>
      <c r="CC11" s="40" t="s">
        <v>48</v>
      </c>
      <c r="CD11" s="40" t="s">
        <v>48</v>
      </c>
      <c r="CE11" s="40" t="s">
        <v>48</v>
      </c>
      <c r="CF11" s="40" t="s">
        <v>48</v>
      </c>
      <c r="CH11" s="33"/>
      <c r="CI11" s="38" t="str">
        <f>Notes!U12</f>
        <v xml:space="preserve">      Maize</v>
      </c>
      <c r="CJ11" s="4" t="s">
        <v>308</v>
      </c>
      <c r="CK11" s="44" t="s">
        <v>48</v>
      </c>
      <c r="CL11" s="42" t="s">
        <v>48</v>
      </c>
      <c r="CM11" s="42" t="s">
        <v>48</v>
      </c>
      <c r="CN11" s="40" t="s">
        <v>48</v>
      </c>
      <c r="CO11" s="40" t="s">
        <v>48</v>
      </c>
      <c r="CP11" s="40" t="s">
        <v>48</v>
      </c>
      <c r="CQ11" s="40" t="s">
        <v>48</v>
      </c>
      <c r="CR11" s="40" t="s">
        <v>48</v>
      </c>
      <c r="CS11" s="40" t="s">
        <v>48</v>
      </c>
      <c r="CT11" s="40" t="s">
        <v>48</v>
      </c>
      <c r="CU11" s="40" t="s">
        <v>48</v>
      </c>
      <c r="CV11" s="40" t="s">
        <v>48</v>
      </c>
      <c r="CW11" s="40" t="s">
        <v>48</v>
      </c>
      <c r="CX11" s="40" t="s">
        <v>48</v>
      </c>
      <c r="CY11" s="40" t="s">
        <v>48</v>
      </c>
      <c r="CZ11" s="40" t="s">
        <v>48</v>
      </c>
      <c r="DA11" s="40" t="s">
        <v>48</v>
      </c>
      <c r="DC11" s="33"/>
      <c r="DD11" s="38" t="str">
        <f>Notes!U12</f>
        <v xml:space="preserve">      Maize</v>
      </c>
      <c r="DE11" s="4" t="s">
        <v>308</v>
      </c>
      <c r="DF11" s="44">
        <v>1</v>
      </c>
      <c r="DG11" s="42" t="s">
        <v>48</v>
      </c>
      <c r="DH11" s="42" t="s">
        <v>48</v>
      </c>
      <c r="DI11" s="40" t="s">
        <v>48</v>
      </c>
      <c r="DJ11" s="40" t="s">
        <v>48</v>
      </c>
      <c r="DK11" s="40" t="s">
        <v>48</v>
      </c>
      <c r="DL11" s="40" t="s">
        <v>48</v>
      </c>
      <c r="DM11" s="40" t="s">
        <v>48</v>
      </c>
      <c r="DN11" s="40" t="s">
        <v>48</v>
      </c>
      <c r="DO11" s="40" t="s">
        <v>48</v>
      </c>
      <c r="DP11" s="40" t="s">
        <v>48</v>
      </c>
      <c r="DQ11" s="40" t="s">
        <v>48</v>
      </c>
      <c r="DR11" s="40" t="s">
        <v>48</v>
      </c>
      <c r="DS11" s="40" t="s">
        <v>48</v>
      </c>
      <c r="DT11" s="40" t="s">
        <v>48</v>
      </c>
      <c r="DU11" s="40" t="s">
        <v>48</v>
      </c>
      <c r="DV11" s="40" t="s">
        <v>48</v>
      </c>
    </row>
    <row r="12" spans="1:126" x14ac:dyDescent="0.3">
      <c r="A12" s="12">
        <v>5</v>
      </c>
      <c r="B12" s="33"/>
      <c r="C12" s="38" t="str">
        <f>Notes!U13</f>
        <v xml:space="preserve">      Sorghum and millet</v>
      </c>
      <c r="D12" s="4" t="s">
        <v>508</v>
      </c>
      <c r="E12" s="44" t="s">
        <v>48</v>
      </c>
      <c r="F12" s="42" t="s">
        <v>48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W12" s="33"/>
      <c r="X12" s="38" t="str">
        <f>Notes!U13</f>
        <v xml:space="preserve">      Sorghum and millet</v>
      </c>
      <c r="Y12" s="4" t="s">
        <v>508</v>
      </c>
      <c r="Z12" s="44" t="s">
        <v>48</v>
      </c>
      <c r="AA12" s="42" t="s">
        <v>48</v>
      </c>
      <c r="AB12" s="42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O12" s="40" t="s">
        <v>48</v>
      </c>
      <c r="AP12" s="40" t="s">
        <v>48</v>
      </c>
      <c r="AR12" s="33"/>
      <c r="AS12" s="38" t="str">
        <f>Notes!U13</f>
        <v xml:space="preserve">      Sorghum and millet</v>
      </c>
      <c r="AT12" s="4" t="s">
        <v>508</v>
      </c>
      <c r="AU12" s="44" t="s">
        <v>48</v>
      </c>
      <c r="AV12" s="42" t="s">
        <v>48</v>
      </c>
      <c r="AW12" s="42" t="s">
        <v>48</v>
      </c>
      <c r="AX12" s="40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  <c r="BI12" s="40" t="s">
        <v>48</v>
      </c>
      <c r="BJ12" s="40" t="s">
        <v>48</v>
      </c>
      <c r="BK12" s="40" t="s">
        <v>48</v>
      </c>
      <c r="BM12" s="33"/>
      <c r="BN12" s="38" t="str">
        <f>Notes!U13</f>
        <v xml:space="preserve">      Sorghum and millet</v>
      </c>
      <c r="BO12" s="4" t="s">
        <v>508</v>
      </c>
      <c r="BP12" s="44" t="s">
        <v>48</v>
      </c>
      <c r="BQ12" s="42" t="s">
        <v>48</v>
      </c>
      <c r="BR12" s="42" t="s">
        <v>48</v>
      </c>
      <c r="BS12" s="40" t="s">
        <v>48</v>
      </c>
      <c r="BT12" s="40" t="s">
        <v>48</v>
      </c>
      <c r="BU12" s="40" t="s">
        <v>48</v>
      </c>
      <c r="BV12" s="40" t="s">
        <v>48</v>
      </c>
      <c r="BW12" s="40" t="s">
        <v>48</v>
      </c>
      <c r="BX12" s="40" t="s">
        <v>48</v>
      </c>
      <c r="BY12" s="40" t="s">
        <v>48</v>
      </c>
      <c r="BZ12" s="40" t="s">
        <v>48</v>
      </c>
      <c r="CA12" s="40" t="s">
        <v>48</v>
      </c>
      <c r="CB12" s="40" t="s">
        <v>48</v>
      </c>
      <c r="CC12" s="40" t="s">
        <v>48</v>
      </c>
      <c r="CD12" s="40" t="s">
        <v>48</v>
      </c>
      <c r="CE12" s="40" t="s">
        <v>48</v>
      </c>
      <c r="CF12" s="40" t="s">
        <v>48</v>
      </c>
      <c r="CH12" s="33"/>
      <c r="CI12" s="38" t="str">
        <f>Notes!U13</f>
        <v xml:space="preserve">      Sorghum and millet</v>
      </c>
      <c r="CJ12" s="4" t="s">
        <v>508</v>
      </c>
      <c r="CK12" s="44" t="s">
        <v>48</v>
      </c>
      <c r="CL12" s="42" t="s">
        <v>48</v>
      </c>
      <c r="CM12" s="42" t="s">
        <v>48</v>
      </c>
      <c r="CN12" s="40" t="s">
        <v>48</v>
      </c>
      <c r="CO12" s="40" t="s">
        <v>48</v>
      </c>
      <c r="CP12" s="40" t="s">
        <v>48</v>
      </c>
      <c r="CQ12" s="40" t="s">
        <v>48</v>
      </c>
      <c r="CR12" s="40" t="s">
        <v>48</v>
      </c>
      <c r="CS12" s="40" t="s">
        <v>48</v>
      </c>
      <c r="CT12" s="40" t="s">
        <v>48</v>
      </c>
      <c r="CU12" s="40" t="s">
        <v>48</v>
      </c>
      <c r="CV12" s="40" t="s">
        <v>48</v>
      </c>
      <c r="CW12" s="40" t="s">
        <v>48</v>
      </c>
      <c r="CX12" s="40" t="s">
        <v>48</v>
      </c>
      <c r="CY12" s="40" t="s">
        <v>48</v>
      </c>
      <c r="CZ12" s="40" t="s">
        <v>48</v>
      </c>
      <c r="DA12" s="40" t="s">
        <v>48</v>
      </c>
      <c r="DC12" s="33"/>
      <c r="DD12" s="38" t="str">
        <f>Notes!U13</f>
        <v xml:space="preserve">      Sorghum and millet</v>
      </c>
      <c r="DE12" s="4" t="s">
        <v>508</v>
      </c>
      <c r="DF12" s="44" t="s">
        <v>48</v>
      </c>
      <c r="DG12" s="42" t="s">
        <v>48</v>
      </c>
      <c r="DH12" s="42" t="s">
        <v>48</v>
      </c>
      <c r="DI12" s="40" t="s">
        <v>48</v>
      </c>
      <c r="DJ12" s="40" t="s">
        <v>48</v>
      </c>
      <c r="DK12" s="40" t="s">
        <v>48</v>
      </c>
      <c r="DL12" s="40" t="s">
        <v>48</v>
      </c>
      <c r="DM12" s="40" t="s">
        <v>48</v>
      </c>
      <c r="DN12" s="40" t="s">
        <v>48</v>
      </c>
      <c r="DO12" s="40" t="s">
        <v>48</v>
      </c>
      <c r="DP12" s="40" t="s">
        <v>48</v>
      </c>
      <c r="DQ12" s="40" t="s">
        <v>48</v>
      </c>
      <c r="DR12" s="40" t="s">
        <v>48</v>
      </c>
      <c r="DS12" s="40" t="s">
        <v>48</v>
      </c>
      <c r="DT12" s="40" t="s">
        <v>48</v>
      </c>
      <c r="DU12" s="40" t="s">
        <v>48</v>
      </c>
      <c r="DV12" s="40" t="s">
        <v>48</v>
      </c>
    </row>
    <row r="13" spans="1:126" x14ac:dyDescent="0.3">
      <c r="A13" s="12">
        <v>6</v>
      </c>
      <c r="B13" s="33"/>
      <c r="C13" s="38" t="str">
        <f>Notes!U14</f>
        <v xml:space="preserve">      Rice paddy (Aman)</v>
      </c>
      <c r="D13" s="4" t="s">
        <v>705</v>
      </c>
      <c r="E13" s="44">
        <v>1</v>
      </c>
      <c r="F13" s="42">
        <v>5.5186940979323751E-2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W13" s="33"/>
      <c r="X13" s="38" t="str">
        <f>Notes!U14</f>
        <v xml:space="preserve">      Rice paddy (Aman)</v>
      </c>
      <c r="Y13" s="4" t="s">
        <v>705</v>
      </c>
      <c r="Z13" s="44">
        <v>1.253686398535188</v>
      </c>
      <c r="AA13" s="42">
        <v>4.1252014915049706E-2</v>
      </c>
      <c r="AB13" s="42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O13" s="40" t="s">
        <v>48</v>
      </c>
      <c r="AP13" s="40" t="s">
        <v>48</v>
      </c>
      <c r="AR13" s="33"/>
      <c r="AS13" s="38" t="str">
        <f>Notes!U14</f>
        <v xml:space="preserve">      Rice paddy (Aman)</v>
      </c>
      <c r="AT13" s="4" t="s">
        <v>705</v>
      </c>
      <c r="AU13" s="44" t="s">
        <v>48</v>
      </c>
      <c r="AV13" s="42" t="s">
        <v>48</v>
      </c>
      <c r="AW13" s="42" t="s">
        <v>48</v>
      </c>
      <c r="AX13" s="40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  <c r="BI13" s="40" t="s">
        <v>48</v>
      </c>
      <c r="BJ13" s="40" t="s">
        <v>48</v>
      </c>
      <c r="BK13" s="40" t="s">
        <v>48</v>
      </c>
      <c r="BM13" s="33"/>
      <c r="BN13" s="38" t="str">
        <f>Notes!U14</f>
        <v xml:space="preserve">      Rice paddy (Aman)</v>
      </c>
      <c r="BO13" s="4" t="s">
        <v>705</v>
      </c>
      <c r="BP13" s="44" t="s">
        <v>48</v>
      </c>
      <c r="BQ13" s="42" t="s">
        <v>48</v>
      </c>
      <c r="BR13" s="42" t="s">
        <v>48</v>
      </c>
      <c r="BS13" s="40" t="s">
        <v>48</v>
      </c>
      <c r="BT13" s="40" t="s">
        <v>48</v>
      </c>
      <c r="BU13" s="40" t="s">
        <v>48</v>
      </c>
      <c r="BV13" s="40" t="s">
        <v>48</v>
      </c>
      <c r="BW13" s="40" t="s">
        <v>48</v>
      </c>
      <c r="BX13" s="40" t="s">
        <v>48</v>
      </c>
      <c r="BY13" s="40" t="s">
        <v>48</v>
      </c>
      <c r="BZ13" s="40" t="s">
        <v>48</v>
      </c>
      <c r="CA13" s="40" t="s">
        <v>48</v>
      </c>
      <c r="CB13" s="40" t="s">
        <v>48</v>
      </c>
      <c r="CC13" s="40" t="s">
        <v>48</v>
      </c>
      <c r="CD13" s="40" t="s">
        <v>48</v>
      </c>
      <c r="CE13" s="40" t="s">
        <v>48</v>
      </c>
      <c r="CF13" s="40" t="s">
        <v>48</v>
      </c>
      <c r="CH13" s="33"/>
      <c r="CI13" s="38" t="str">
        <f>Notes!U14</f>
        <v xml:space="preserve">      Rice paddy (Aman)</v>
      </c>
      <c r="CJ13" s="4" t="s">
        <v>705</v>
      </c>
      <c r="CK13" s="44" t="s">
        <v>48</v>
      </c>
      <c r="CL13" s="42" t="s">
        <v>48</v>
      </c>
      <c r="CM13" s="42" t="s">
        <v>48</v>
      </c>
      <c r="CN13" s="40" t="s">
        <v>48</v>
      </c>
      <c r="CO13" s="40" t="s">
        <v>48</v>
      </c>
      <c r="CP13" s="40" t="s">
        <v>48</v>
      </c>
      <c r="CQ13" s="40" t="s">
        <v>48</v>
      </c>
      <c r="CR13" s="40" t="s">
        <v>48</v>
      </c>
      <c r="CS13" s="40" t="s">
        <v>48</v>
      </c>
      <c r="CT13" s="40" t="s">
        <v>48</v>
      </c>
      <c r="CU13" s="40" t="s">
        <v>48</v>
      </c>
      <c r="CV13" s="40" t="s">
        <v>48</v>
      </c>
      <c r="CW13" s="40" t="s">
        <v>48</v>
      </c>
      <c r="CX13" s="40" t="s">
        <v>48</v>
      </c>
      <c r="CY13" s="40" t="s">
        <v>48</v>
      </c>
      <c r="CZ13" s="40" t="s">
        <v>48</v>
      </c>
      <c r="DA13" s="40" t="s">
        <v>48</v>
      </c>
      <c r="DC13" s="33"/>
      <c r="DD13" s="38" t="str">
        <f>Notes!U14</f>
        <v xml:space="preserve">      Rice paddy (Aman)</v>
      </c>
      <c r="DE13" s="4" t="s">
        <v>705</v>
      </c>
      <c r="DF13" s="44" t="s">
        <v>48</v>
      </c>
      <c r="DG13" s="42" t="s">
        <v>48</v>
      </c>
      <c r="DH13" s="42" t="s">
        <v>48</v>
      </c>
      <c r="DI13" s="40" t="s">
        <v>48</v>
      </c>
      <c r="DJ13" s="40" t="s">
        <v>48</v>
      </c>
      <c r="DK13" s="40" t="s">
        <v>48</v>
      </c>
      <c r="DL13" s="40" t="s">
        <v>48</v>
      </c>
      <c r="DM13" s="40" t="s">
        <v>48</v>
      </c>
      <c r="DN13" s="40" t="s">
        <v>48</v>
      </c>
      <c r="DO13" s="40" t="s">
        <v>48</v>
      </c>
      <c r="DP13" s="40" t="s">
        <v>48</v>
      </c>
      <c r="DQ13" s="40" t="s">
        <v>48</v>
      </c>
      <c r="DR13" s="40" t="s">
        <v>48</v>
      </c>
      <c r="DS13" s="40" t="s">
        <v>48</v>
      </c>
      <c r="DT13" s="40" t="s">
        <v>48</v>
      </c>
      <c r="DU13" s="40" t="s">
        <v>48</v>
      </c>
      <c r="DV13" s="40" t="s">
        <v>48</v>
      </c>
    </row>
    <row r="14" spans="1:126" x14ac:dyDescent="0.3">
      <c r="A14" s="12">
        <v>7</v>
      </c>
      <c r="B14" s="33"/>
      <c r="C14" s="38" t="str">
        <f>Notes!U15</f>
        <v xml:space="preserve">      Rice paddy (Boro)</v>
      </c>
      <c r="D14" s="4" t="s">
        <v>707</v>
      </c>
      <c r="E14" s="44">
        <v>1</v>
      </c>
      <c r="F14" s="42">
        <v>4.5895234749204761E-2</v>
      </c>
      <c r="G14" s="42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U14" s="40" t="s">
        <v>48</v>
      </c>
      <c r="W14" s="33"/>
      <c r="X14" s="38" t="str">
        <f>Notes!U15</f>
        <v xml:space="preserve">      Rice paddy (Boro)</v>
      </c>
      <c r="Y14" s="4" t="s">
        <v>707</v>
      </c>
      <c r="Z14" s="44">
        <v>1.2444836123509384</v>
      </c>
      <c r="AA14" s="42">
        <v>3.4186410377823329E-2</v>
      </c>
      <c r="AB14" s="42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O14" s="40" t="s">
        <v>48</v>
      </c>
      <c r="AP14" s="40" t="s">
        <v>48</v>
      </c>
      <c r="AR14" s="33"/>
      <c r="AS14" s="38" t="str">
        <f>Notes!U15</f>
        <v xml:space="preserve">      Rice paddy (Boro)</v>
      </c>
      <c r="AT14" s="4" t="s">
        <v>707</v>
      </c>
      <c r="AU14" s="44" t="s">
        <v>48</v>
      </c>
      <c r="AV14" s="42" t="s">
        <v>48</v>
      </c>
      <c r="AW14" s="42" t="s">
        <v>48</v>
      </c>
      <c r="AX14" s="40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  <c r="BI14" s="40" t="s">
        <v>48</v>
      </c>
      <c r="BJ14" s="40" t="s">
        <v>48</v>
      </c>
      <c r="BK14" s="40" t="s">
        <v>48</v>
      </c>
      <c r="BM14" s="33"/>
      <c r="BN14" s="38" t="str">
        <f>Notes!U15</f>
        <v xml:space="preserve">      Rice paddy (Boro)</v>
      </c>
      <c r="BO14" s="4" t="s">
        <v>707</v>
      </c>
      <c r="BP14" s="44" t="s">
        <v>48</v>
      </c>
      <c r="BQ14" s="42" t="s">
        <v>48</v>
      </c>
      <c r="BR14" s="42" t="s">
        <v>48</v>
      </c>
      <c r="BS14" s="40" t="s">
        <v>48</v>
      </c>
      <c r="BT14" s="40" t="s">
        <v>48</v>
      </c>
      <c r="BU14" s="40" t="s">
        <v>48</v>
      </c>
      <c r="BV14" s="40" t="s">
        <v>48</v>
      </c>
      <c r="BW14" s="40" t="s">
        <v>48</v>
      </c>
      <c r="BX14" s="40" t="s">
        <v>48</v>
      </c>
      <c r="BY14" s="40" t="s">
        <v>48</v>
      </c>
      <c r="BZ14" s="40" t="s">
        <v>48</v>
      </c>
      <c r="CA14" s="40" t="s">
        <v>48</v>
      </c>
      <c r="CB14" s="40" t="s">
        <v>48</v>
      </c>
      <c r="CC14" s="40" t="s">
        <v>48</v>
      </c>
      <c r="CD14" s="40" t="s">
        <v>48</v>
      </c>
      <c r="CE14" s="40" t="s">
        <v>48</v>
      </c>
      <c r="CF14" s="40" t="s">
        <v>48</v>
      </c>
      <c r="CH14" s="33"/>
      <c r="CI14" s="38" t="str">
        <f>Notes!U15</f>
        <v xml:space="preserve">      Rice paddy (Boro)</v>
      </c>
      <c r="CJ14" s="4" t="s">
        <v>707</v>
      </c>
      <c r="CK14" s="44" t="s">
        <v>48</v>
      </c>
      <c r="CL14" s="42" t="s">
        <v>48</v>
      </c>
      <c r="CM14" s="42" t="s">
        <v>48</v>
      </c>
      <c r="CN14" s="40" t="s">
        <v>48</v>
      </c>
      <c r="CO14" s="40" t="s">
        <v>48</v>
      </c>
      <c r="CP14" s="40" t="s">
        <v>48</v>
      </c>
      <c r="CQ14" s="40" t="s">
        <v>48</v>
      </c>
      <c r="CR14" s="40" t="s">
        <v>48</v>
      </c>
      <c r="CS14" s="40" t="s">
        <v>48</v>
      </c>
      <c r="CT14" s="40" t="s">
        <v>48</v>
      </c>
      <c r="CU14" s="40" t="s">
        <v>48</v>
      </c>
      <c r="CV14" s="40" t="s">
        <v>48</v>
      </c>
      <c r="CW14" s="40" t="s">
        <v>48</v>
      </c>
      <c r="CX14" s="40" t="s">
        <v>48</v>
      </c>
      <c r="CY14" s="40" t="s">
        <v>48</v>
      </c>
      <c r="CZ14" s="40" t="s">
        <v>48</v>
      </c>
      <c r="DA14" s="40" t="s">
        <v>48</v>
      </c>
      <c r="DC14" s="33"/>
      <c r="DD14" s="38" t="str">
        <f>Notes!U15</f>
        <v xml:space="preserve">      Rice paddy (Boro)</v>
      </c>
      <c r="DE14" s="4" t="s">
        <v>707</v>
      </c>
      <c r="DF14" s="44" t="s">
        <v>48</v>
      </c>
      <c r="DG14" s="42" t="s">
        <v>48</v>
      </c>
      <c r="DH14" s="42" t="s">
        <v>48</v>
      </c>
      <c r="DI14" s="40" t="s">
        <v>48</v>
      </c>
      <c r="DJ14" s="40" t="s">
        <v>48</v>
      </c>
      <c r="DK14" s="40" t="s">
        <v>48</v>
      </c>
      <c r="DL14" s="40" t="s">
        <v>48</v>
      </c>
      <c r="DM14" s="40" t="s">
        <v>48</v>
      </c>
      <c r="DN14" s="40" t="s">
        <v>48</v>
      </c>
      <c r="DO14" s="40" t="s">
        <v>48</v>
      </c>
      <c r="DP14" s="40" t="s">
        <v>48</v>
      </c>
      <c r="DQ14" s="40" t="s">
        <v>48</v>
      </c>
      <c r="DR14" s="40" t="s">
        <v>48</v>
      </c>
      <c r="DS14" s="40" t="s">
        <v>48</v>
      </c>
      <c r="DT14" s="40" t="s">
        <v>48</v>
      </c>
      <c r="DU14" s="40" t="s">
        <v>48</v>
      </c>
      <c r="DV14" s="40" t="s">
        <v>48</v>
      </c>
    </row>
    <row r="15" spans="1:126" x14ac:dyDescent="0.3">
      <c r="A15" s="12">
        <v>8</v>
      </c>
      <c r="B15" s="33"/>
      <c r="C15" s="38" t="str">
        <f>Notes!U16</f>
        <v xml:space="preserve">      Wheat and barley</v>
      </c>
      <c r="D15" s="4" t="s">
        <v>510</v>
      </c>
      <c r="E15" s="44">
        <v>1</v>
      </c>
      <c r="F15" s="42">
        <v>3.2339286988491978E-2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W15" s="33"/>
      <c r="X15" s="38" t="str">
        <f>Notes!U16</f>
        <v xml:space="preserve">      Wheat and barley</v>
      </c>
      <c r="Y15" s="4" t="s">
        <v>510</v>
      </c>
      <c r="Z15" s="44">
        <v>1.1007601573417929</v>
      </c>
      <c r="AA15" s="42">
        <v>-1.6904929009253777E-2</v>
      </c>
      <c r="AB15" s="42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O15" s="40" t="s">
        <v>48</v>
      </c>
      <c r="AP15" s="40" t="s">
        <v>48</v>
      </c>
      <c r="AR15" s="33"/>
      <c r="AS15" s="38" t="str">
        <f>Notes!U16</f>
        <v xml:space="preserve">      Wheat and barley</v>
      </c>
      <c r="AT15" s="4" t="s">
        <v>510</v>
      </c>
      <c r="AU15" s="44" t="s">
        <v>48</v>
      </c>
      <c r="AV15" s="42" t="s">
        <v>48</v>
      </c>
      <c r="AW15" s="42" t="s">
        <v>48</v>
      </c>
      <c r="AX15" s="40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  <c r="BI15" s="40" t="s">
        <v>48</v>
      </c>
      <c r="BJ15" s="40" t="s">
        <v>48</v>
      </c>
      <c r="BK15" s="40" t="s">
        <v>48</v>
      </c>
      <c r="BM15" s="33"/>
      <c r="BN15" s="38" t="str">
        <f>Notes!U16</f>
        <v xml:space="preserve">      Wheat and barley</v>
      </c>
      <c r="BO15" s="4" t="s">
        <v>510</v>
      </c>
      <c r="BP15" s="44">
        <v>1.1007601573417951</v>
      </c>
      <c r="BQ15" s="42">
        <v>-1.7627380788776126E-2</v>
      </c>
      <c r="BR15" s="42" t="s">
        <v>48</v>
      </c>
      <c r="BS15" s="40" t="s">
        <v>48</v>
      </c>
      <c r="BT15" s="40" t="s">
        <v>48</v>
      </c>
      <c r="BU15" s="40" t="s">
        <v>48</v>
      </c>
      <c r="BV15" s="40" t="s">
        <v>48</v>
      </c>
      <c r="BW15" s="40" t="s">
        <v>48</v>
      </c>
      <c r="BX15" s="40" t="s">
        <v>48</v>
      </c>
      <c r="BY15" s="40" t="s">
        <v>48</v>
      </c>
      <c r="BZ15" s="40" t="s">
        <v>48</v>
      </c>
      <c r="CA15" s="40" t="s">
        <v>48</v>
      </c>
      <c r="CB15" s="40" t="s">
        <v>48</v>
      </c>
      <c r="CC15" s="40" t="s">
        <v>48</v>
      </c>
      <c r="CD15" s="40" t="s">
        <v>48</v>
      </c>
      <c r="CE15" s="40" t="s">
        <v>48</v>
      </c>
      <c r="CF15" s="40" t="s">
        <v>48</v>
      </c>
      <c r="CH15" s="33"/>
      <c r="CI15" s="38" t="str">
        <f>Notes!U16</f>
        <v xml:space="preserve">      Wheat and barley</v>
      </c>
      <c r="CJ15" s="4" t="s">
        <v>510</v>
      </c>
      <c r="CK15" s="44" t="s">
        <v>48</v>
      </c>
      <c r="CL15" s="42" t="s">
        <v>48</v>
      </c>
      <c r="CM15" s="42" t="s">
        <v>48</v>
      </c>
      <c r="CN15" s="40" t="s">
        <v>48</v>
      </c>
      <c r="CO15" s="40" t="s">
        <v>48</v>
      </c>
      <c r="CP15" s="40" t="s">
        <v>48</v>
      </c>
      <c r="CQ15" s="40" t="s">
        <v>48</v>
      </c>
      <c r="CR15" s="40" t="s">
        <v>48</v>
      </c>
      <c r="CS15" s="40" t="s">
        <v>48</v>
      </c>
      <c r="CT15" s="40" t="s">
        <v>48</v>
      </c>
      <c r="CU15" s="40" t="s">
        <v>48</v>
      </c>
      <c r="CV15" s="40" t="s">
        <v>48</v>
      </c>
      <c r="CW15" s="40" t="s">
        <v>48</v>
      </c>
      <c r="CX15" s="40" t="s">
        <v>48</v>
      </c>
      <c r="CY15" s="40" t="s">
        <v>48</v>
      </c>
      <c r="CZ15" s="40" t="s">
        <v>48</v>
      </c>
      <c r="DA15" s="40" t="s">
        <v>48</v>
      </c>
      <c r="DC15" s="33"/>
      <c r="DD15" s="38" t="str">
        <f>Notes!U16</f>
        <v xml:space="preserve">      Wheat and barley</v>
      </c>
      <c r="DE15" s="4" t="s">
        <v>510</v>
      </c>
      <c r="DF15" s="44">
        <v>1</v>
      </c>
      <c r="DG15" s="42" t="s">
        <v>48</v>
      </c>
      <c r="DH15" s="42" t="s">
        <v>48</v>
      </c>
      <c r="DI15" s="40" t="s">
        <v>48</v>
      </c>
      <c r="DJ15" s="40" t="s">
        <v>48</v>
      </c>
      <c r="DK15" s="40" t="s">
        <v>48</v>
      </c>
      <c r="DL15" s="40" t="s">
        <v>48</v>
      </c>
      <c r="DM15" s="40" t="s">
        <v>48</v>
      </c>
      <c r="DN15" s="40" t="s">
        <v>48</v>
      </c>
      <c r="DO15" s="40" t="s">
        <v>48</v>
      </c>
      <c r="DP15" s="40" t="s">
        <v>48</v>
      </c>
      <c r="DQ15" s="40" t="s">
        <v>48</v>
      </c>
      <c r="DR15" s="40" t="s">
        <v>48</v>
      </c>
      <c r="DS15" s="40" t="s">
        <v>48</v>
      </c>
      <c r="DT15" s="40" t="s">
        <v>48</v>
      </c>
      <c r="DU15" s="40" t="s">
        <v>48</v>
      </c>
      <c r="DV15" s="40" t="s">
        <v>48</v>
      </c>
    </row>
    <row r="16" spans="1:126" x14ac:dyDescent="0.3">
      <c r="A16" s="12">
        <v>9</v>
      </c>
      <c r="B16" s="33"/>
      <c r="C16" s="38" t="str">
        <f>Notes!U17</f>
        <v xml:space="preserve">      Other cereals</v>
      </c>
      <c r="D16" s="4" t="s">
        <v>314</v>
      </c>
      <c r="E16" s="44" t="s">
        <v>48</v>
      </c>
      <c r="F16" s="42" t="s">
        <v>48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W16" s="33"/>
      <c r="X16" s="38" t="str">
        <f>Notes!U17</f>
        <v xml:space="preserve">      Other cereals</v>
      </c>
      <c r="Y16" s="4" t="s">
        <v>314</v>
      </c>
      <c r="Z16" s="44" t="s">
        <v>48</v>
      </c>
      <c r="AA16" s="42" t="s">
        <v>48</v>
      </c>
      <c r="AB16" s="42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O16" s="40" t="s">
        <v>48</v>
      </c>
      <c r="AP16" s="40" t="s">
        <v>48</v>
      </c>
      <c r="AR16" s="33"/>
      <c r="AS16" s="38" t="str">
        <f>Notes!U17</f>
        <v xml:space="preserve">      Other cereals</v>
      </c>
      <c r="AT16" s="4" t="s">
        <v>314</v>
      </c>
      <c r="AU16" s="44" t="s">
        <v>48</v>
      </c>
      <c r="AV16" s="42" t="s">
        <v>48</v>
      </c>
      <c r="AW16" s="42" t="s">
        <v>48</v>
      </c>
      <c r="AX16" s="40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  <c r="BI16" s="40" t="s">
        <v>48</v>
      </c>
      <c r="BJ16" s="40" t="s">
        <v>48</v>
      </c>
      <c r="BK16" s="40" t="s">
        <v>48</v>
      </c>
      <c r="BM16" s="33"/>
      <c r="BN16" s="38" t="str">
        <f>Notes!U17</f>
        <v xml:space="preserve">      Other cereals</v>
      </c>
      <c r="BO16" s="4" t="s">
        <v>314</v>
      </c>
      <c r="BP16" s="44" t="s">
        <v>48</v>
      </c>
      <c r="BQ16" s="42" t="s">
        <v>48</v>
      </c>
      <c r="BR16" s="42" t="s">
        <v>48</v>
      </c>
      <c r="BS16" s="40" t="s">
        <v>48</v>
      </c>
      <c r="BT16" s="40" t="s">
        <v>48</v>
      </c>
      <c r="BU16" s="40" t="s">
        <v>48</v>
      </c>
      <c r="BV16" s="40" t="s">
        <v>48</v>
      </c>
      <c r="BW16" s="40" t="s">
        <v>48</v>
      </c>
      <c r="BX16" s="40" t="s">
        <v>48</v>
      </c>
      <c r="BY16" s="40" t="s">
        <v>48</v>
      </c>
      <c r="BZ16" s="40" t="s">
        <v>48</v>
      </c>
      <c r="CA16" s="40" t="s">
        <v>48</v>
      </c>
      <c r="CB16" s="40" t="s">
        <v>48</v>
      </c>
      <c r="CC16" s="40" t="s">
        <v>48</v>
      </c>
      <c r="CD16" s="40" t="s">
        <v>48</v>
      </c>
      <c r="CE16" s="40" t="s">
        <v>48</v>
      </c>
      <c r="CF16" s="40" t="s">
        <v>48</v>
      </c>
      <c r="CH16" s="33"/>
      <c r="CI16" s="38" t="str">
        <f>Notes!U17</f>
        <v xml:space="preserve">      Other cereals</v>
      </c>
      <c r="CJ16" s="4" t="s">
        <v>314</v>
      </c>
      <c r="CK16" s="44" t="s">
        <v>48</v>
      </c>
      <c r="CL16" s="42" t="s">
        <v>48</v>
      </c>
      <c r="CM16" s="42" t="s">
        <v>48</v>
      </c>
      <c r="CN16" s="40" t="s">
        <v>48</v>
      </c>
      <c r="CO16" s="40" t="s">
        <v>48</v>
      </c>
      <c r="CP16" s="40" t="s">
        <v>48</v>
      </c>
      <c r="CQ16" s="40" t="s">
        <v>48</v>
      </c>
      <c r="CR16" s="40" t="s">
        <v>48</v>
      </c>
      <c r="CS16" s="40" t="s">
        <v>48</v>
      </c>
      <c r="CT16" s="40" t="s">
        <v>48</v>
      </c>
      <c r="CU16" s="40" t="s">
        <v>48</v>
      </c>
      <c r="CV16" s="40" t="s">
        <v>48</v>
      </c>
      <c r="CW16" s="40" t="s">
        <v>48</v>
      </c>
      <c r="CX16" s="40" t="s">
        <v>48</v>
      </c>
      <c r="CY16" s="40" t="s">
        <v>48</v>
      </c>
      <c r="CZ16" s="40" t="s">
        <v>48</v>
      </c>
      <c r="DA16" s="40" t="s">
        <v>48</v>
      </c>
      <c r="DC16" s="33"/>
      <c r="DD16" s="38" t="str">
        <f>Notes!U17</f>
        <v xml:space="preserve">      Other cereals</v>
      </c>
      <c r="DE16" s="4" t="s">
        <v>314</v>
      </c>
      <c r="DF16" s="44" t="s">
        <v>48</v>
      </c>
      <c r="DG16" s="42" t="s">
        <v>48</v>
      </c>
      <c r="DH16" s="42" t="s">
        <v>48</v>
      </c>
      <c r="DI16" s="40" t="s">
        <v>48</v>
      </c>
      <c r="DJ16" s="40" t="s">
        <v>48</v>
      </c>
      <c r="DK16" s="40" t="s">
        <v>48</v>
      </c>
      <c r="DL16" s="40" t="s">
        <v>48</v>
      </c>
      <c r="DM16" s="40" t="s">
        <v>48</v>
      </c>
      <c r="DN16" s="40" t="s">
        <v>48</v>
      </c>
      <c r="DO16" s="40" t="s">
        <v>48</v>
      </c>
      <c r="DP16" s="40" t="s">
        <v>48</v>
      </c>
      <c r="DQ16" s="40" t="s">
        <v>48</v>
      </c>
      <c r="DR16" s="40" t="s">
        <v>48</v>
      </c>
      <c r="DS16" s="40" t="s">
        <v>48</v>
      </c>
      <c r="DT16" s="40" t="s">
        <v>48</v>
      </c>
      <c r="DU16" s="40" t="s">
        <v>48</v>
      </c>
      <c r="DV16" s="40" t="s">
        <v>48</v>
      </c>
    </row>
    <row r="17" spans="1:126" x14ac:dyDescent="0.3">
      <c r="A17" s="12">
        <v>10</v>
      </c>
      <c r="B17" s="33"/>
      <c r="C17" s="38" t="str">
        <f>Notes!U18</f>
        <v xml:space="preserve">      Pulses</v>
      </c>
      <c r="D17" s="4" t="s">
        <v>317</v>
      </c>
      <c r="E17" s="44">
        <v>1</v>
      </c>
      <c r="F17" s="42">
        <v>3.3486210497524205E-2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W17" s="33"/>
      <c r="X17" s="38" t="str">
        <f>Notes!U18</f>
        <v xml:space="preserve">      Pulses</v>
      </c>
      <c r="Y17" s="4" t="s">
        <v>317</v>
      </c>
      <c r="Z17" s="44">
        <v>1.1269124140529825</v>
      </c>
      <c r="AA17" s="42">
        <v>-4.3912739973173132E-4</v>
      </c>
      <c r="AB17" s="42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  <c r="AR17" s="33"/>
      <c r="AS17" s="38" t="str">
        <f>Notes!U18</f>
        <v xml:space="preserve">      Pulses</v>
      </c>
      <c r="AT17" s="4" t="s">
        <v>317</v>
      </c>
      <c r="AU17" s="44" t="s">
        <v>48</v>
      </c>
      <c r="AV17" s="42" t="s">
        <v>48</v>
      </c>
      <c r="AW17" s="42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  <c r="BI17" s="40" t="s">
        <v>48</v>
      </c>
      <c r="BJ17" s="40" t="s">
        <v>48</v>
      </c>
      <c r="BK17" s="40" t="s">
        <v>48</v>
      </c>
      <c r="BM17" s="33"/>
      <c r="BN17" s="38" t="str">
        <f>Notes!U18</f>
        <v xml:space="preserve">      Pulses</v>
      </c>
      <c r="BO17" s="4" t="s">
        <v>317</v>
      </c>
      <c r="BP17" s="44">
        <v>1.1269124140529823</v>
      </c>
      <c r="BQ17" s="42">
        <v>-1.7538350324852736E-2</v>
      </c>
      <c r="BR17" s="42" t="s">
        <v>48</v>
      </c>
      <c r="BS17" s="40" t="s">
        <v>48</v>
      </c>
      <c r="BT17" s="40" t="s">
        <v>48</v>
      </c>
      <c r="BU17" s="40" t="s">
        <v>48</v>
      </c>
      <c r="BV17" s="40" t="s">
        <v>48</v>
      </c>
      <c r="BW17" s="40" t="s">
        <v>48</v>
      </c>
      <c r="BX17" s="40" t="s">
        <v>48</v>
      </c>
      <c r="BY17" s="40" t="s">
        <v>48</v>
      </c>
      <c r="BZ17" s="40" t="s">
        <v>48</v>
      </c>
      <c r="CA17" s="40" t="s">
        <v>48</v>
      </c>
      <c r="CB17" s="40" t="s">
        <v>48</v>
      </c>
      <c r="CC17" s="40" t="s">
        <v>48</v>
      </c>
      <c r="CD17" s="40" t="s">
        <v>48</v>
      </c>
      <c r="CE17" s="40" t="s">
        <v>48</v>
      </c>
      <c r="CF17" s="40" t="s">
        <v>48</v>
      </c>
      <c r="CH17" s="33"/>
      <c r="CI17" s="38" t="str">
        <f>Notes!U18</f>
        <v xml:space="preserve">      Pulses</v>
      </c>
      <c r="CJ17" s="4" t="s">
        <v>317</v>
      </c>
      <c r="CK17" s="44" t="s">
        <v>48</v>
      </c>
      <c r="CL17" s="42" t="s">
        <v>48</v>
      </c>
      <c r="CM17" s="42" t="s">
        <v>48</v>
      </c>
      <c r="CN17" s="40" t="s">
        <v>48</v>
      </c>
      <c r="CO17" s="40" t="s">
        <v>48</v>
      </c>
      <c r="CP17" s="40" t="s">
        <v>48</v>
      </c>
      <c r="CQ17" s="40" t="s">
        <v>48</v>
      </c>
      <c r="CR17" s="40" t="s">
        <v>48</v>
      </c>
      <c r="CS17" s="40" t="s">
        <v>48</v>
      </c>
      <c r="CT17" s="40" t="s">
        <v>48</v>
      </c>
      <c r="CU17" s="40" t="s">
        <v>48</v>
      </c>
      <c r="CV17" s="40" t="s">
        <v>48</v>
      </c>
      <c r="CW17" s="40" t="s">
        <v>48</v>
      </c>
      <c r="CX17" s="40" t="s">
        <v>48</v>
      </c>
      <c r="CY17" s="40" t="s">
        <v>48</v>
      </c>
      <c r="CZ17" s="40" t="s">
        <v>48</v>
      </c>
      <c r="DA17" s="40" t="s">
        <v>48</v>
      </c>
      <c r="DC17" s="33"/>
      <c r="DD17" s="38" t="str">
        <f>Notes!U18</f>
        <v xml:space="preserve">      Pulses</v>
      </c>
      <c r="DE17" s="4" t="s">
        <v>317</v>
      </c>
      <c r="DF17" s="44">
        <v>1.0000000000000002</v>
      </c>
      <c r="DG17" s="42" t="s">
        <v>48</v>
      </c>
      <c r="DH17" s="42" t="s">
        <v>48</v>
      </c>
      <c r="DI17" s="40" t="s">
        <v>48</v>
      </c>
      <c r="DJ17" s="40" t="s">
        <v>48</v>
      </c>
      <c r="DK17" s="40" t="s">
        <v>48</v>
      </c>
      <c r="DL17" s="40" t="s">
        <v>48</v>
      </c>
      <c r="DM17" s="40" t="s">
        <v>48</v>
      </c>
      <c r="DN17" s="40" t="s">
        <v>48</v>
      </c>
      <c r="DO17" s="40" t="s">
        <v>48</v>
      </c>
      <c r="DP17" s="40" t="s">
        <v>48</v>
      </c>
      <c r="DQ17" s="40" t="s">
        <v>48</v>
      </c>
      <c r="DR17" s="40" t="s">
        <v>48</v>
      </c>
      <c r="DS17" s="40" t="s">
        <v>48</v>
      </c>
      <c r="DT17" s="40" t="s">
        <v>48</v>
      </c>
      <c r="DU17" s="40" t="s">
        <v>48</v>
      </c>
      <c r="DV17" s="40" t="s">
        <v>48</v>
      </c>
    </row>
    <row r="18" spans="1:126" x14ac:dyDescent="0.3">
      <c r="A18" s="12">
        <v>11</v>
      </c>
      <c r="B18" s="33"/>
      <c r="C18" s="38" t="str">
        <f>Notes!U19</f>
        <v xml:space="preserve">      Groundnuts</v>
      </c>
      <c r="D18" s="4" t="s">
        <v>512</v>
      </c>
      <c r="E18" s="44" t="s">
        <v>48</v>
      </c>
      <c r="F18" s="42" t="s">
        <v>48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W18" s="33"/>
      <c r="X18" s="38" t="str">
        <f>Notes!U19</f>
        <v xml:space="preserve">      Groundnuts</v>
      </c>
      <c r="Y18" s="4" t="s">
        <v>512</v>
      </c>
      <c r="Z18" s="44" t="s">
        <v>48</v>
      </c>
      <c r="AA18" s="42" t="s">
        <v>48</v>
      </c>
      <c r="AB18" s="42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O18" s="40" t="s">
        <v>48</v>
      </c>
      <c r="AP18" s="40" t="s">
        <v>48</v>
      </c>
      <c r="AR18" s="33"/>
      <c r="AS18" s="38" t="str">
        <f>Notes!U19</f>
        <v xml:space="preserve">      Groundnuts</v>
      </c>
      <c r="AT18" s="4" t="s">
        <v>512</v>
      </c>
      <c r="AU18" s="44" t="s">
        <v>48</v>
      </c>
      <c r="AV18" s="42" t="s">
        <v>48</v>
      </c>
      <c r="AW18" s="42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  <c r="BI18" s="40" t="s">
        <v>48</v>
      </c>
      <c r="BJ18" s="40" t="s">
        <v>48</v>
      </c>
      <c r="BK18" s="40" t="s">
        <v>48</v>
      </c>
      <c r="BM18" s="33"/>
      <c r="BN18" s="38" t="str">
        <f>Notes!U19</f>
        <v xml:space="preserve">      Groundnuts</v>
      </c>
      <c r="BO18" s="4" t="s">
        <v>512</v>
      </c>
      <c r="BP18" s="44" t="s">
        <v>48</v>
      </c>
      <c r="BQ18" s="42" t="s">
        <v>48</v>
      </c>
      <c r="BR18" s="42" t="s">
        <v>48</v>
      </c>
      <c r="BS18" s="40" t="s">
        <v>48</v>
      </c>
      <c r="BT18" s="40" t="s">
        <v>48</v>
      </c>
      <c r="BU18" s="40" t="s">
        <v>48</v>
      </c>
      <c r="BV18" s="40" t="s">
        <v>48</v>
      </c>
      <c r="BW18" s="40" t="s">
        <v>48</v>
      </c>
      <c r="BX18" s="40" t="s">
        <v>48</v>
      </c>
      <c r="BY18" s="40" t="s">
        <v>48</v>
      </c>
      <c r="BZ18" s="40" t="s">
        <v>48</v>
      </c>
      <c r="CA18" s="40" t="s">
        <v>48</v>
      </c>
      <c r="CB18" s="40" t="s">
        <v>48</v>
      </c>
      <c r="CC18" s="40" t="s">
        <v>48</v>
      </c>
      <c r="CD18" s="40" t="s">
        <v>48</v>
      </c>
      <c r="CE18" s="40" t="s">
        <v>48</v>
      </c>
      <c r="CF18" s="40" t="s">
        <v>48</v>
      </c>
      <c r="CH18" s="33"/>
      <c r="CI18" s="38" t="str">
        <f>Notes!U19</f>
        <v xml:space="preserve">      Groundnuts</v>
      </c>
      <c r="CJ18" s="4" t="s">
        <v>512</v>
      </c>
      <c r="CK18" s="44" t="s">
        <v>48</v>
      </c>
      <c r="CL18" s="42" t="s">
        <v>48</v>
      </c>
      <c r="CM18" s="42" t="s">
        <v>48</v>
      </c>
      <c r="CN18" s="40" t="s">
        <v>48</v>
      </c>
      <c r="CO18" s="40" t="s">
        <v>48</v>
      </c>
      <c r="CP18" s="40" t="s">
        <v>48</v>
      </c>
      <c r="CQ18" s="40" t="s">
        <v>48</v>
      </c>
      <c r="CR18" s="40" t="s">
        <v>48</v>
      </c>
      <c r="CS18" s="40" t="s">
        <v>48</v>
      </c>
      <c r="CT18" s="40" t="s">
        <v>48</v>
      </c>
      <c r="CU18" s="40" t="s">
        <v>48</v>
      </c>
      <c r="CV18" s="40" t="s">
        <v>48</v>
      </c>
      <c r="CW18" s="40" t="s">
        <v>48</v>
      </c>
      <c r="CX18" s="40" t="s">
        <v>48</v>
      </c>
      <c r="CY18" s="40" t="s">
        <v>48</v>
      </c>
      <c r="CZ18" s="40" t="s">
        <v>48</v>
      </c>
      <c r="DA18" s="40" t="s">
        <v>48</v>
      </c>
      <c r="DC18" s="33"/>
      <c r="DD18" s="38" t="str">
        <f>Notes!U19</f>
        <v xml:space="preserve">      Groundnuts</v>
      </c>
      <c r="DE18" s="4" t="s">
        <v>512</v>
      </c>
      <c r="DF18" s="44" t="s">
        <v>48</v>
      </c>
      <c r="DG18" s="42" t="s">
        <v>48</v>
      </c>
      <c r="DH18" s="42" t="s">
        <v>48</v>
      </c>
      <c r="DI18" s="40" t="s">
        <v>48</v>
      </c>
      <c r="DJ18" s="40" t="s">
        <v>48</v>
      </c>
      <c r="DK18" s="40" t="s">
        <v>48</v>
      </c>
      <c r="DL18" s="40" t="s">
        <v>48</v>
      </c>
      <c r="DM18" s="40" t="s">
        <v>48</v>
      </c>
      <c r="DN18" s="40" t="s">
        <v>48</v>
      </c>
      <c r="DO18" s="40" t="s">
        <v>48</v>
      </c>
      <c r="DP18" s="40" t="s">
        <v>48</v>
      </c>
      <c r="DQ18" s="40" t="s">
        <v>48</v>
      </c>
      <c r="DR18" s="40" t="s">
        <v>48</v>
      </c>
      <c r="DS18" s="40" t="s">
        <v>48</v>
      </c>
      <c r="DT18" s="40" t="s">
        <v>48</v>
      </c>
      <c r="DU18" s="40" t="s">
        <v>48</v>
      </c>
      <c r="DV18" s="40" t="s">
        <v>48</v>
      </c>
    </row>
    <row r="19" spans="1:126" x14ac:dyDescent="0.3">
      <c r="A19" s="12">
        <v>12</v>
      </c>
      <c r="B19" s="33"/>
      <c r="C19" s="38" t="str">
        <f>Notes!U20</f>
        <v xml:space="preserve">      Other oilseeds</v>
      </c>
      <c r="D19" s="4" t="s">
        <v>321</v>
      </c>
      <c r="E19" s="44">
        <v>1</v>
      </c>
      <c r="F19" s="42">
        <v>4.0942324398374197E-2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W19" s="33"/>
      <c r="X19" s="38" t="str">
        <f>Notes!U20</f>
        <v xml:space="preserve">      Other oilseeds</v>
      </c>
      <c r="Y19" s="4" t="s">
        <v>321</v>
      </c>
      <c r="Z19" s="44">
        <v>1.1471348166341024</v>
      </c>
      <c r="AA19" s="42">
        <v>5.9827256899902537E-3</v>
      </c>
      <c r="AB19" s="42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O19" s="40" t="s">
        <v>48</v>
      </c>
      <c r="AP19" s="40" t="s">
        <v>48</v>
      </c>
      <c r="AR19" s="33"/>
      <c r="AS19" s="38" t="str">
        <f>Notes!U20</f>
        <v xml:space="preserve">      Other oilseeds</v>
      </c>
      <c r="AT19" s="4" t="s">
        <v>321</v>
      </c>
      <c r="AU19" s="44" t="s">
        <v>48</v>
      </c>
      <c r="AV19" s="42" t="s">
        <v>48</v>
      </c>
      <c r="AW19" s="42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  <c r="BI19" s="40" t="s">
        <v>48</v>
      </c>
      <c r="BJ19" s="40" t="s">
        <v>48</v>
      </c>
      <c r="BK19" s="40" t="s">
        <v>48</v>
      </c>
      <c r="BM19" s="33"/>
      <c r="BN19" s="38" t="str">
        <f>Notes!U20</f>
        <v xml:space="preserve">      Other oilseeds</v>
      </c>
      <c r="BO19" s="4" t="s">
        <v>321</v>
      </c>
      <c r="BP19" s="44">
        <v>1.1471346686607733</v>
      </c>
      <c r="BQ19" s="42">
        <v>-1.7472290819808833E-2</v>
      </c>
      <c r="BR19" s="42" t="s">
        <v>48</v>
      </c>
      <c r="BS19" s="40" t="s">
        <v>48</v>
      </c>
      <c r="BT19" s="40" t="s">
        <v>48</v>
      </c>
      <c r="BU19" s="40" t="s">
        <v>48</v>
      </c>
      <c r="BV19" s="40" t="s">
        <v>48</v>
      </c>
      <c r="BW19" s="40" t="s">
        <v>48</v>
      </c>
      <c r="BX19" s="40" t="s">
        <v>48</v>
      </c>
      <c r="BY19" s="40" t="s">
        <v>48</v>
      </c>
      <c r="BZ19" s="40" t="s">
        <v>48</v>
      </c>
      <c r="CA19" s="40" t="s">
        <v>48</v>
      </c>
      <c r="CB19" s="40" t="s">
        <v>48</v>
      </c>
      <c r="CC19" s="40" t="s">
        <v>48</v>
      </c>
      <c r="CD19" s="40" t="s">
        <v>48</v>
      </c>
      <c r="CE19" s="40" t="s">
        <v>48</v>
      </c>
      <c r="CF19" s="40" t="s">
        <v>48</v>
      </c>
      <c r="CH19" s="33"/>
      <c r="CI19" s="38" t="str">
        <f>Notes!U20</f>
        <v xml:space="preserve">      Other oilseeds</v>
      </c>
      <c r="CJ19" s="4" t="s">
        <v>321</v>
      </c>
      <c r="CK19" s="44" t="s">
        <v>48</v>
      </c>
      <c r="CL19" s="42" t="s">
        <v>48</v>
      </c>
      <c r="CM19" s="42" t="s">
        <v>48</v>
      </c>
      <c r="CN19" s="40" t="s">
        <v>48</v>
      </c>
      <c r="CO19" s="40" t="s">
        <v>48</v>
      </c>
      <c r="CP19" s="40" t="s">
        <v>48</v>
      </c>
      <c r="CQ19" s="40" t="s">
        <v>48</v>
      </c>
      <c r="CR19" s="40" t="s">
        <v>48</v>
      </c>
      <c r="CS19" s="40" t="s">
        <v>48</v>
      </c>
      <c r="CT19" s="40" t="s">
        <v>48</v>
      </c>
      <c r="CU19" s="40" t="s">
        <v>48</v>
      </c>
      <c r="CV19" s="40" t="s">
        <v>48</v>
      </c>
      <c r="CW19" s="40" t="s">
        <v>48</v>
      </c>
      <c r="CX19" s="40" t="s">
        <v>48</v>
      </c>
      <c r="CY19" s="40" t="s">
        <v>48</v>
      </c>
      <c r="CZ19" s="40" t="s">
        <v>48</v>
      </c>
      <c r="DA19" s="40" t="s">
        <v>48</v>
      </c>
      <c r="DC19" s="33"/>
      <c r="DD19" s="38" t="str">
        <f>Notes!U20</f>
        <v xml:space="preserve">      Other oilseeds</v>
      </c>
      <c r="DE19" s="4" t="s">
        <v>321</v>
      </c>
      <c r="DF19" s="44">
        <v>0.98625557798414865</v>
      </c>
      <c r="DG19" s="42" t="s">
        <v>48</v>
      </c>
      <c r="DH19" s="42" t="s">
        <v>48</v>
      </c>
      <c r="DI19" s="40" t="s">
        <v>48</v>
      </c>
      <c r="DJ19" s="40" t="s">
        <v>48</v>
      </c>
      <c r="DK19" s="40" t="s">
        <v>48</v>
      </c>
      <c r="DL19" s="40" t="s">
        <v>48</v>
      </c>
      <c r="DM19" s="40" t="s">
        <v>48</v>
      </c>
      <c r="DN19" s="40" t="s">
        <v>48</v>
      </c>
      <c r="DO19" s="40" t="s">
        <v>48</v>
      </c>
      <c r="DP19" s="40" t="s">
        <v>48</v>
      </c>
      <c r="DQ19" s="40" t="s">
        <v>48</v>
      </c>
      <c r="DR19" s="40" t="s">
        <v>48</v>
      </c>
      <c r="DS19" s="40" t="s">
        <v>48</v>
      </c>
      <c r="DT19" s="40" t="s">
        <v>48</v>
      </c>
      <c r="DU19" s="40" t="s">
        <v>48</v>
      </c>
      <c r="DV19" s="40" t="s">
        <v>48</v>
      </c>
    </row>
    <row r="20" spans="1:126" x14ac:dyDescent="0.3">
      <c r="A20" s="12">
        <v>13</v>
      </c>
      <c r="B20" s="33"/>
      <c r="C20" s="38" t="str">
        <f>Notes!U21</f>
        <v xml:space="preserve">      Cassava</v>
      </c>
      <c r="D20" s="4" t="s">
        <v>515</v>
      </c>
      <c r="E20" s="44" t="s">
        <v>48</v>
      </c>
      <c r="F20" s="42" t="s">
        <v>48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W20" s="33"/>
      <c r="X20" s="38" t="str">
        <f>Notes!U21</f>
        <v xml:space="preserve">      Cassava</v>
      </c>
      <c r="Y20" s="4" t="s">
        <v>515</v>
      </c>
      <c r="Z20" s="44" t="s">
        <v>48</v>
      </c>
      <c r="AA20" s="42" t="s">
        <v>48</v>
      </c>
      <c r="AB20" s="42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  <c r="AR20" s="33"/>
      <c r="AS20" s="38" t="str">
        <f>Notes!U21</f>
        <v xml:space="preserve">      Cassava</v>
      </c>
      <c r="AT20" s="4" t="s">
        <v>515</v>
      </c>
      <c r="AU20" s="44" t="s">
        <v>48</v>
      </c>
      <c r="AV20" s="42" t="s">
        <v>48</v>
      </c>
      <c r="AW20" s="42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  <c r="BI20" s="40" t="s">
        <v>48</v>
      </c>
      <c r="BJ20" s="40" t="s">
        <v>48</v>
      </c>
      <c r="BK20" s="40" t="s">
        <v>48</v>
      </c>
      <c r="BM20" s="33"/>
      <c r="BN20" s="38" t="str">
        <f>Notes!U21</f>
        <v xml:space="preserve">      Cassava</v>
      </c>
      <c r="BO20" s="4" t="s">
        <v>515</v>
      </c>
      <c r="BP20" s="44" t="s">
        <v>48</v>
      </c>
      <c r="BQ20" s="42" t="s">
        <v>48</v>
      </c>
      <c r="BR20" s="42" t="s">
        <v>48</v>
      </c>
      <c r="BS20" s="40" t="s">
        <v>48</v>
      </c>
      <c r="BT20" s="40" t="s">
        <v>48</v>
      </c>
      <c r="BU20" s="40" t="s">
        <v>48</v>
      </c>
      <c r="BV20" s="40" t="s">
        <v>48</v>
      </c>
      <c r="BW20" s="40" t="s">
        <v>48</v>
      </c>
      <c r="BX20" s="40" t="s">
        <v>48</v>
      </c>
      <c r="BY20" s="40" t="s">
        <v>48</v>
      </c>
      <c r="BZ20" s="40" t="s">
        <v>48</v>
      </c>
      <c r="CA20" s="40" t="s">
        <v>48</v>
      </c>
      <c r="CB20" s="40" t="s">
        <v>48</v>
      </c>
      <c r="CC20" s="40" t="s">
        <v>48</v>
      </c>
      <c r="CD20" s="40" t="s">
        <v>48</v>
      </c>
      <c r="CE20" s="40" t="s">
        <v>48</v>
      </c>
      <c r="CF20" s="40" t="s">
        <v>48</v>
      </c>
      <c r="CH20" s="33"/>
      <c r="CI20" s="38" t="str">
        <f>Notes!U21</f>
        <v xml:space="preserve">      Cassava</v>
      </c>
      <c r="CJ20" s="4" t="s">
        <v>515</v>
      </c>
      <c r="CK20" s="44" t="s">
        <v>48</v>
      </c>
      <c r="CL20" s="42" t="s">
        <v>48</v>
      </c>
      <c r="CM20" s="42" t="s">
        <v>48</v>
      </c>
      <c r="CN20" s="40" t="s">
        <v>48</v>
      </c>
      <c r="CO20" s="40" t="s">
        <v>48</v>
      </c>
      <c r="CP20" s="40" t="s">
        <v>48</v>
      </c>
      <c r="CQ20" s="40" t="s">
        <v>48</v>
      </c>
      <c r="CR20" s="40" t="s">
        <v>48</v>
      </c>
      <c r="CS20" s="40" t="s">
        <v>48</v>
      </c>
      <c r="CT20" s="40" t="s">
        <v>48</v>
      </c>
      <c r="CU20" s="40" t="s">
        <v>48</v>
      </c>
      <c r="CV20" s="40" t="s">
        <v>48</v>
      </c>
      <c r="CW20" s="40" t="s">
        <v>48</v>
      </c>
      <c r="CX20" s="40" t="s">
        <v>48</v>
      </c>
      <c r="CY20" s="40" t="s">
        <v>48</v>
      </c>
      <c r="CZ20" s="40" t="s">
        <v>48</v>
      </c>
      <c r="DA20" s="40" t="s">
        <v>48</v>
      </c>
      <c r="DC20" s="33"/>
      <c r="DD20" s="38" t="str">
        <f>Notes!U21</f>
        <v xml:space="preserve">      Cassava</v>
      </c>
      <c r="DE20" s="4" t="s">
        <v>515</v>
      </c>
      <c r="DF20" s="44" t="s">
        <v>48</v>
      </c>
      <c r="DG20" s="42" t="s">
        <v>48</v>
      </c>
      <c r="DH20" s="42" t="s">
        <v>48</v>
      </c>
      <c r="DI20" s="40" t="s">
        <v>48</v>
      </c>
      <c r="DJ20" s="40" t="s">
        <v>48</v>
      </c>
      <c r="DK20" s="40" t="s">
        <v>48</v>
      </c>
      <c r="DL20" s="40" t="s">
        <v>48</v>
      </c>
      <c r="DM20" s="40" t="s">
        <v>48</v>
      </c>
      <c r="DN20" s="40" t="s">
        <v>48</v>
      </c>
      <c r="DO20" s="40" t="s">
        <v>48</v>
      </c>
      <c r="DP20" s="40" t="s">
        <v>48</v>
      </c>
      <c r="DQ20" s="40" t="s">
        <v>48</v>
      </c>
      <c r="DR20" s="40" t="s">
        <v>48</v>
      </c>
      <c r="DS20" s="40" t="s">
        <v>48</v>
      </c>
      <c r="DT20" s="40" t="s">
        <v>48</v>
      </c>
      <c r="DU20" s="40" t="s">
        <v>48</v>
      </c>
      <c r="DV20" s="40" t="s">
        <v>48</v>
      </c>
    </row>
    <row r="21" spans="1:126" x14ac:dyDescent="0.3">
      <c r="A21" s="12">
        <v>14</v>
      </c>
      <c r="B21" s="33"/>
      <c r="C21" s="38" t="str">
        <f>Notes!U22</f>
        <v xml:space="preserve">      Irish potatoes</v>
      </c>
      <c r="D21" s="4" t="s">
        <v>517</v>
      </c>
      <c r="E21" s="44">
        <v>1</v>
      </c>
      <c r="F21" s="42">
        <v>1.5216219599367697E-2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W21" s="33"/>
      <c r="X21" s="38" t="str">
        <f>Notes!U22</f>
        <v xml:space="preserve">      Irish potatoes</v>
      </c>
      <c r="Y21" s="4" t="s">
        <v>517</v>
      </c>
      <c r="Z21" s="44">
        <v>1.1083588526231463</v>
      </c>
      <c r="AA21" s="42">
        <v>1.2382506406583005E-2</v>
      </c>
      <c r="AB21" s="42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  <c r="AR21" s="33"/>
      <c r="AS21" s="38" t="str">
        <f>Notes!U22</f>
        <v xml:space="preserve">      Irish potatoes</v>
      </c>
      <c r="AT21" s="4" t="s">
        <v>517</v>
      </c>
      <c r="AU21" s="44" t="s">
        <v>48</v>
      </c>
      <c r="AV21" s="42" t="s">
        <v>48</v>
      </c>
      <c r="AW21" s="42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  <c r="BI21" s="40" t="s">
        <v>48</v>
      </c>
      <c r="BJ21" s="40" t="s">
        <v>48</v>
      </c>
      <c r="BK21" s="40" t="s">
        <v>48</v>
      </c>
      <c r="BM21" s="33"/>
      <c r="BN21" s="38" t="str">
        <f>Notes!U22</f>
        <v xml:space="preserve">      Irish potatoes</v>
      </c>
      <c r="BO21" s="4" t="s">
        <v>517</v>
      </c>
      <c r="BP21" s="44" t="s">
        <v>48</v>
      </c>
      <c r="BQ21" s="42" t="s">
        <v>48</v>
      </c>
      <c r="BR21" s="42" t="s">
        <v>48</v>
      </c>
      <c r="BS21" s="40" t="s">
        <v>48</v>
      </c>
      <c r="BT21" s="40" t="s">
        <v>48</v>
      </c>
      <c r="BU21" s="40" t="s">
        <v>48</v>
      </c>
      <c r="BV21" s="40" t="s">
        <v>48</v>
      </c>
      <c r="BW21" s="40" t="s">
        <v>48</v>
      </c>
      <c r="BX21" s="40" t="s">
        <v>48</v>
      </c>
      <c r="BY21" s="40" t="s">
        <v>48</v>
      </c>
      <c r="BZ21" s="40" t="s">
        <v>48</v>
      </c>
      <c r="CA21" s="40" t="s">
        <v>48</v>
      </c>
      <c r="CB21" s="40" t="s">
        <v>48</v>
      </c>
      <c r="CC21" s="40" t="s">
        <v>48</v>
      </c>
      <c r="CD21" s="40" t="s">
        <v>48</v>
      </c>
      <c r="CE21" s="40" t="s">
        <v>48</v>
      </c>
      <c r="CF21" s="40" t="s">
        <v>48</v>
      </c>
      <c r="CH21" s="33"/>
      <c r="CI21" s="38" t="str">
        <f>Notes!U22</f>
        <v xml:space="preserve">      Irish potatoes</v>
      </c>
      <c r="CJ21" s="4" t="s">
        <v>517</v>
      </c>
      <c r="CK21" s="44" t="s">
        <v>48</v>
      </c>
      <c r="CL21" s="42" t="s">
        <v>48</v>
      </c>
      <c r="CM21" s="42" t="s">
        <v>48</v>
      </c>
      <c r="CN21" s="40" t="s">
        <v>48</v>
      </c>
      <c r="CO21" s="40" t="s">
        <v>48</v>
      </c>
      <c r="CP21" s="40" t="s">
        <v>48</v>
      </c>
      <c r="CQ21" s="40" t="s">
        <v>48</v>
      </c>
      <c r="CR21" s="40" t="s">
        <v>48</v>
      </c>
      <c r="CS21" s="40" t="s">
        <v>48</v>
      </c>
      <c r="CT21" s="40" t="s">
        <v>48</v>
      </c>
      <c r="CU21" s="40" t="s">
        <v>48</v>
      </c>
      <c r="CV21" s="40" t="s">
        <v>48</v>
      </c>
      <c r="CW21" s="40" t="s">
        <v>48</v>
      </c>
      <c r="CX21" s="40" t="s">
        <v>48</v>
      </c>
      <c r="CY21" s="40" t="s">
        <v>48</v>
      </c>
      <c r="CZ21" s="40" t="s">
        <v>48</v>
      </c>
      <c r="DA21" s="40" t="s">
        <v>48</v>
      </c>
      <c r="DC21" s="33"/>
      <c r="DD21" s="38" t="str">
        <f>Notes!U22</f>
        <v xml:space="preserve">      Irish potatoes</v>
      </c>
      <c r="DE21" s="4" t="s">
        <v>517</v>
      </c>
      <c r="DF21" s="44" t="s">
        <v>48</v>
      </c>
      <c r="DG21" s="42" t="s">
        <v>48</v>
      </c>
      <c r="DH21" s="42" t="s">
        <v>48</v>
      </c>
      <c r="DI21" s="40" t="s">
        <v>48</v>
      </c>
      <c r="DJ21" s="40" t="s">
        <v>48</v>
      </c>
      <c r="DK21" s="40" t="s">
        <v>48</v>
      </c>
      <c r="DL21" s="40" t="s">
        <v>48</v>
      </c>
      <c r="DM21" s="40" t="s">
        <v>48</v>
      </c>
      <c r="DN21" s="40" t="s">
        <v>48</v>
      </c>
      <c r="DO21" s="40" t="s">
        <v>48</v>
      </c>
      <c r="DP21" s="40" t="s">
        <v>48</v>
      </c>
      <c r="DQ21" s="40" t="s">
        <v>48</v>
      </c>
      <c r="DR21" s="40" t="s">
        <v>48</v>
      </c>
      <c r="DS21" s="40" t="s">
        <v>48</v>
      </c>
      <c r="DT21" s="40" t="s">
        <v>48</v>
      </c>
      <c r="DU21" s="40" t="s">
        <v>48</v>
      </c>
      <c r="DV21" s="40" t="s">
        <v>48</v>
      </c>
    </row>
    <row r="22" spans="1:126" x14ac:dyDescent="0.3">
      <c r="A22" s="12">
        <v>15</v>
      </c>
      <c r="B22" s="33"/>
      <c r="C22" s="38" t="str">
        <f>Notes!U23</f>
        <v xml:space="preserve">      Sweet potatoes</v>
      </c>
      <c r="D22" s="4" t="s">
        <v>519</v>
      </c>
      <c r="E22" s="44" t="s">
        <v>48</v>
      </c>
      <c r="F22" s="42" t="s">
        <v>48</v>
      </c>
      <c r="G22" s="42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W22" s="33"/>
      <c r="X22" s="38" t="str">
        <f>Notes!U23</f>
        <v xml:space="preserve">      Sweet potatoes</v>
      </c>
      <c r="Y22" s="4" t="s">
        <v>519</v>
      </c>
      <c r="Z22" s="44" t="s">
        <v>48</v>
      </c>
      <c r="AA22" s="42" t="s">
        <v>48</v>
      </c>
      <c r="AB22" s="42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  <c r="AR22" s="33"/>
      <c r="AS22" s="38" t="str">
        <f>Notes!U23</f>
        <v xml:space="preserve">      Sweet potatoes</v>
      </c>
      <c r="AT22" s="4" t="s">
        <v>519</v>
      </c>
      <c r="AU22" s="44" t="s">
        <v>48</v>
      </c>
      <c r="AV22" s="42" t="s">
        <v>48</v>
      </c>
      <c r="AW22" s="42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  <c r="BI22" s="40" t="s">
        <v>48</v>
      </c>
      <c r="BJ22" s="40" t="s">
        <v>48</v>
      </c>
      <c r="BK22" s="40" t="s">
        <v>48</v>
      </c>
      <c r="BM22" s="33"/>
      <c r="BN22" s="38" t="str">
        <f>Notes!U23</f>
        <v xml:space="preserve">      Sweet potatoes</v>
      </c>
      <c r="BO22" s="4" t="s">
        <v>519</v>
      </c>
      <c r="BP22" s="44" t="s">
        <v>48</v>
      </c>
      <c r="BQ22" s="42" t="s">
        <v>48</v>
      </c>
      <c r="BR22" s="42" t="s">
        <v>48</v>
      </c>
      <c r="BS22" s="40" t="s">
        <v>48</v>
      </c>
      <c r="BT22" s="40" t="s">
        <v>48</v>
      </c>
      <c r="BU22" s="40" t="s">
        <v>48</v>
      </c>
      <c r="BV22" s="40" t="s">
        <v>48</v>
      </c>
      <c r="BW22" s="40" t="s">
        <v>48</v>
      </c>
      <c r="BX22" s="40" t="s">
        <v>48</v>
      </c>
      <c r="BY22" s="40" t="s">
        <v>48</v>
      </c>
      <c r="BZ22" s="40" t="s">
        <v>48</v>
      </c>
      <c r="CA22" s="40" t="s">
        <v>48</v>
      </c>
      <c r="CB22" s="40" t="s">
        <v>48</v>
      </c>
      <c r="CC22" s="40" t="s">
        <v>48</v>
      </c>
      <c r="CD22" s="40" t="s">
        <v>48</v>
      </c>
      <c r="CE22" s="40" t="s">
        <v>48</v>
      </c>
      <c r="CF22" s="40" t="s">
        <v>48</v>
      </c>
      <c r="CH22" s="33"/>
      <c r="CI22" s="38" t="str">
        <f>Notes!U23</f>
        <v xml:space="preserve">      Sweet potatoes</v>
      </c>
      <c r="CJ22" s="4" t="s">
        <v>519</v>
      </c>
      <c r="CK22" s="44" t="s">
        <v>48</v>
      </c>
      <c r="CL22" s="42" t="s">
        <v>48</v>
      </c>
      <c r="CM22" s="42" t="s">
        <v>48</v>
      </c>
      <c r="CN22" s="40" t="s">
        <v>48</v>
      </c>
      <c r="CO22" s="40" t="s">
        <v>48</v>
      </c>
      <c r="CP22" s="40" t="s">
        <v>48</v>
      </c>
      <c r="CQ22" s="40" t="s">
        <v>48</v>
      </c>
      <c r="CR22" s="40" t="s">
        <v>48</v>
      </c>
      <c r="CS22" s="40" t="s">
        <v>48</v>
      </c>
      <c r="CT22" s="40" t="s">
        <v>48</v>
      </c>
      <c r="CU22" s="40" t="s">
        <v>48</v>
      </c>
      <c r="CV22" s="40" t="s">
        <v>48</v>
      </c>
      <c r="CW22" s="40" t="s">
        <v>48</v>
      </c>
      <c r="CX22" s="40" t="s">
        <v>48</v>
      </c>
      <c r="CY22" s="40" t="s">
        <v>48</v>
      </c>
      <c r="CZ22" s="40" t="s">
        <v>48</v>
      </c>
      <c r="DA22" s="40" t="s">
        <v>48</v>
      </c>
      <c r="DC22" s="33"/>
      <c r="DD22" s="38" t="str">
        <f>Notes!U23</f>
        <v xml:space="preserve">      Sweet potatoes</v>
      </c>
      <c r="DE22" s="4" t="s">
        <v>519</v>
      </c>
      <c r="DF22" s="44" t="s">
        <v>48</v>
      </c>
      <c r="DG22" s="42" t="s">
        <v>48</v>
      </c>
      <c r="DH22" s="42" t="s">
        <v>48</v>
      </c>
      <c r="DI22" s="40" t="s">
        <v>48</v>
      </c>
      <c r="DJ22" s="40" t="s">
        <v>48</v>
      </c>
      <c r="DK22" s="40" t="s">
        <v>48</v>
      </c>
      <c r="DL22" s="40" t="s">
        <v>48</v>
      </c>
      <c r="DM22" s="40" t="s">
        <v>48</v>
      </c>
      <c r="DN22" s="40" t="s">
        <v>48</v>
      </c>
      <c r="DO22" s="40" t="s">
        <v>48</v>
      </c>
      <c r="DP22" s="40" t="s">
        <v>48</v>
      </c>
      <c r="DQ22" s="40" t="s">
        <v>48</v>
      </c>
      <c r="DR22" s="40" t="s">
        <v>48</v>
      </c>
      <c r="DS22" s="40" t="s">
        <v>48</v>
      </c>
      <c r="DT22" s="40" t="s">
        <v>48</v>
      </c>
      <c r="DU22" s="40" t="s">
        <v>48</v>
      </c>
      <c r="DV22" s="40" t="s">
        <v>48</v>
      </c>
    </row>
    <row r="23" spans="1:126" x14ac:dyDescent="0.3">
      <c r="A23" s="12">
        <v>16</v>
      </c>
      <c r="B23" s="33"/>
      <c r="C23" s="38" t="str">
        <f>Notes!U24</f>
        <v xml:space="preserve">      Other roots</v>
      </c>
      <c r="D23" s="4" t="s">
        <v>327</v>
      </c>
      <c r="E23" s="44" t="s">
        <v>48</v>
      </c>
      <c r="F23" s="42" t="s">
        <v>48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W23" s="33"/>
      <c r="X23" s="38" t="str">
        <f>Notes!U24</f>
        <v xml:space="preserve">      Other roots</v>
      </c>
      <c r="Y23" s="4" t="s">
        <v>327</v>
      </c>
      <c r="Z23" s="44" t="s">
        <v>48</v>
      </c>
      <c r="AA23" s="42" t="s">
        <v>48</v>
      </c>
      <c r="AB23" s="42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  <c r="AR23" s="33"/>
      <c r="AS23" s="38" t="str">
        <f>Notes!U24</f>
        <v xml:space="preserve">      Other roots</v>
      </c>
      <c r="AT23" s="4" t="s">
        <v>327</v>
      </c>
      <c r="AU23" s="44" t="s">
        <v>48</v>
      </c>
      <c r="AV23" s="42" t="s">
        <v>48</v>
      </c>
      <c r="AW23" s="42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  <c r="BI23" s="40" t="s">
        <v>48</v>
      </c>
      <c r="BJ23" s="40" t="s">
        <v>48</v>
      </c>
      <c r="BK23" s="40" t="s">
        <v>48</v>
      </c>
      <c r="BM23" s="33"/>
      <c r="BN23" s="38" t="str">
        <f>Notes!U24</f>
        <v xml:space="preserve">      Other roots</v>
      </c>
      <c r="BO23" s="4" t="s">
        <v>327</v>
      </c>
      <c r="BP23" s="44" t="s">
        <v>48</v>
      </c>
      <c r="BQ23" s="42" t="s">
        <v>48</v>
      </c>
      <c r="BR23" s="42" t="s">
        <v>48</v>
      </c>
      <c r="BS23" s="40" t="s">
        <v>48</v>
      </c>
      <c r="BT23" s="40" t="s">
        <v>48</v>
      </c>
      <c r="BU23" s="40" t="s">
        <v>48</v>
      </c>
      <c r="BV23" s="40" t="s">
        <v>48</v>
      </c>
      <c r="BW23" s="40" t="s">
        <v>48</v>
      </c>
      <c r="BX23" s="40" t="s">
        <v>48</v>
      </c>
      <c r="BY23" s="40" t="s">
        <v>48</v>
      </c>
      <c r="BZ23" s="40" t="s">
        <v>48</v>
      </c>
      <c r="CA23" s="40" t="s">
        <v>48</v>
      </c>
      <c r="CB23" s="40" t="s">
        <v>48</v>
      </c>
      <c r="CC23" s="40" t="s">
        <v>48</v>
      </c>
      <c r="CD23" s="40" t="s">
        <v>48</v>
      </c>
      <c r="CE23" s="40" t="s">
        <v>48</v>
      </c>
      <c r="CF23" s="40" t="s">
        <v>48</v>
      </c>
      <c r="CH23" s="33"/>
      <c r="CI23" s="38" t="str">
        <f>Notes!U24</f>
        <v xml:space="preserve">      Other roots</v>
      </c>
      <c r="CJ23" s="4" t="s">
        <v>327</v>
      </c>
      <c r="CK23" s="44" t="s">
        <v>48</v>
      </c>
      <c r="CL23" s="42" t="s">
        <v>48</v>
      </c>
      <c r="CM23" s="42" t="s">
        <v>48</v>
      </c>
      <c r="CN23" s="40" t="s">
        <v>48</v>
      </c>
      <c r="CO23" s="40" t="s">
        <v>48</v>
      </c>
      <c r="CP23" s="40" t="s">
        <v>48</v>
      </c>
      <c r="CQ23" s="40" t="s">
        <v>48</v>
      </c>
      <c r="CR23" s="40" t="s">
        <v>48</v>
      </c>
      <c r="CS23" s="40" t="s">
        <v>48</v>
      </c>
      <c r="CT23" s="40" t="s">
        <v>48</v>
      </c>
      <c r="CU23" s="40" t="s">
        <v>48</v>
      </c>
      <c r="CV23" s="40" t="s">
        <v>48</v>
      </c>
      <c r="CW23" s="40" t="s">
        <v>48</v>
      </c>
      <c r="CX23" s="40" t="s">
        <v>48</v>
      </c>
      <c r="CY23" s="40" t="s">
        <v>48</v>
      </c>
      <c r="CZ23" s="40" t="s">
        <v>48</v>
      </c>
      <c r="DA23" s="40" t="s">
        <v>48</v>
      </c>
      <c r="DC23" s="33"/>
      <c r="DD23" s="38" t="str">
        <f>Notes!U24</f>
        <v xml:space="preserve">      Other roots</v>
      </c>
      <c r="DE23" s="4" t="s">
        <v>327</v>
      </c>
      <c r="DF23" s="44" t="s">
        <v>48</v>
      </c>
      <c r="DG23" s="42" t="s">
        <v>48</v>
      </c>
      <c r="DH23" s="42" t="s">
        <v>48</v>
      </c>
      <c r="DI23" s="40" t="s">
        <v>48</v>
      </c>
      <c r="DJ23" s="40" t="s">
        <v>48</v>
      </c>
      <c r="DK23" s="40" t="s">
        <v>48</v>
      </c>
      <c r="DL23" s="40" t="s">
        <v>48</v>
      </c>
      <c r="DM23" s="40" t="s">
        <v>48</v>
      </c>
      <c r="DN23" s="40" t="s">
        <v>48</v>
      </c>
      <c r="DO23" s="40" t="s">
        <v>48</v>
      </c>
      <c r="DP23" s="40" t="s">
        <v>48</v>
      </c>
      <c r="DQ23" s="40" t="s">
        <v>48</v>
      </c>
      <c r="DR23" s="40" t="s">
        <v>48</v>
      </c>
      <c r="DS23" s="40" t="s">
        <v>48</v>
      </c>
      <c r="DT23" s="40" t="s">
        <v>48</v>
      </c>
      <c r="DU23" s="40" t="s">
        <v>48</v>
      </c>
      <c r="DV23" s="40" t="s">
        <v>48</v>
      </c>
    </row>
    <row r="24" spans="1:126" x14ac:dyDescent="0.3">
      <c r="A24" s="12">
        <v>17</v>
      </c>
      <c r="B24" s="33"/>
      <c r="C24" s="38" t="str">
        <f>Notes!U25</f>
        <v xml:space="preserve">      Leafy vegetables</v>
      </c>
      <c r="D24" s="4" t="s">
        <v>709</v>
      </c>
      <c r="E24" s="44">
        <v>1</v>
      </c>
      <c r="F24" s="42">
        <v>3.6337662329155584E-2</v>
      </c>
      <c r="G24" s="42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U24" s="40" t="s">
        <v>48</v>
      </c>
      <c r="W24" s="33"/>
      <c r="X24" s="38" t="str">
        <f>Notes!U25</f>
        <v xml:space="preserve">      Leafy vegetables</v>
      </c>
      <c r="Y24" s="4" t="s">
        <v>709</v>
      </c>
      <c r="Z24" s="44">
        <v>1.3749195097054867</v>
      </c>
      <c r="AA24" s="42">
        <v>2.2683163056314015E-2</v>
      </c>
      <c r="AB24" s="42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O24" s="40" t="s">
        <v>48</v>
      </c>
      <c r="AP24" s="40" t="s">
        <v>48</v>
      </c>
      <c r="AR24" s="33"/>
      <c r="AS24" s="38" t="str">
        <f>Notes!U25</f>
        <v xml:space="preserve">      Leafy vegetables</v>
      </c>
      <c r="AT24" s="4" t="s">
        <v>709</v>
      </c>
      <c r="AU24" s="44" t="s">
        <v>48</v>
      </c>
      <c r="AV24" s="42" t="s">
        <v>48</v>
      </c>
      <c r="AW24" s="42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  <c r="BI24" s="40" t="s">
        <v>48</v>
      </c>
      <c r="BJ24" s="40" t="s">
        <v>48</v>
      </c>
      <c r="BK24" s="40" t="s">
        <v>48</v>
      </c>
      <c r="BM24" s="33"/>
      <c r="BN24" s="38" t="str">
        <f>Notes!U25</f>
        <v xml:space="preserve">      Leafy vegetables</v>
      </c>
      <c r="BO24" s="4" t="s">
        <v>709</v>
      </c>
      <c r="BP24" s="44" t="s">
        <v>48</v>
      </c>
      <c r="BQ24" s="42" t="s">
        <v>48</v>
      </c>
      <c r="BR24" s="42" t="s">
        <v>48</v>
      </c>
      <c r="BS24" s="40" t="s">
        <v>48</v>
      </c>
      <c r="BT24" s="40" t="s">
        <v>48</v>
      </c>
      <c r="BU24" s="40" t="s">
        <v>48</v>
      </c>
      <c r="BV24" s="40" t="s">
        <v>48</v>
      </c>
      <c r="BW24" s="40" t="s">
        <v>48</v>
      </c>
      <c r="BX24" s="40" t="s">
        <v>48</v>
      </c>
      <c r="BY24" s="40" t="s">
        <v>48</v>
      </c>
      <c r="BZ24" s="40" t="s">
        <v>48</v>
      </c>
      <c r="CA24" s="40" t="s">
        <v>48</v>
      </c>
      <c r="CB24" s="40" t="s">
        <v>48</v>
      </c>
      <c r="CC24" s="40" t="s">
        <v>48</v>
      </c>
      <c r="CD24" s="40" t="s">
        <v>48</v>
      </c>
      <c r="CE24" s="40" t="s">
        <v>48</v>
      </c>
      <c r="CF24" s="40" t="s">
        <v>48</v>
      </c>
      <c r="CH24" s="33"/>
      <c r="CI24" s="38" t="str">
        <f>Notes!U25</f>
        <v xml:space="preserve">      Leafy vegetables</v>
      </c>
      <c r="CJ24" s="4" t="s">
        <v>709</v>
      </c>
      <c r="CK24" s="44" t="s">
        <v>48</v>
      </c>
      <c r="CL24" s="42" t="s">
        <v>48</v>
      </c>
      <c r="CM24" s="42" t="s">
        <v>48</v>
      </c>
      <c r="CN24" s="40" t="s">
        <v>48</v>
      </c>
      <c r="CO24" s="40" t="s">
        <v>48</v>
      </c>
      <c r="CP24" s="40" t="s">
        <v>48</v>
      </c>
      <c r="CQ24" s="40" t="s">
        <v>48</v>
      </c>
      <c r="CR24" s="40" t="s">
        <v>48</v>
      </c>
      <c r="CS24" s="40" t="s">
        <v>48</v>
      </c>
      <c r="CT24" s="40" t="s">
        <v>48</v>
      </c>
      <c r="CU24" s="40" t="s">
        <v>48</v>
      </c>
      <c r="CV24" s="40" t="s">
        <v>48</v>
      </c>
      <c r="CW24" s="40" t="s">
        <v>48</v>
      </c>
      <c r="CX24" s="40" t="s">
        <v>48</v>
      </c>
      <c r="CY24" s="40" t="s">
        <v>48</v>
      </c>
      <c r="CZ24" s="40" t="s">
        <v>48</v>
      </c>
      <c r="DA24" s="40" t="s">
        <v>48</v>
      </c>
      <c r="DC24" s="33"/>
      <c r="DD24" s="38" t="str">
        <f>Notes!U25</f>
        <v xml:space="preserve">      Leafy vegetables</v>
      </c>
      <c r="DE24" s="4" t="s">
        <v>709</v>
      </c>
      <c r="DF24" s="44" t="s">
        <v>48</v>
      </c>
      <c r="DG24" s="42" t="s">
        <v>48</v>
      </c>
      <c r="DH24" s="42" t="s">
        <v>48</v>
      </c>
      <c r="DI24" s="40" t="s">
        <v>48</v>
      </c>
      <c r="DJ24" s="40" t="s">
        <v>48</v>
      </c>
      <c r="DK24" s="40" t="s">
        <v>48</v>
      </c>
      <c r="DL24" s="40" t="s">
        <v>48</v>
      </c>
      <c r="DM24" s="40" t="s">
        <v>48</v>
      </c>
      <c r="DN24" s="40" t="s">
        <v>48</v>
      </c>
      <c r="DO24" s="40" t="s">
        <v>48</v>
      </c>
      <c r="DP24" s="40" t="s">
        <v>48</v>
      </c>
      <c r="DQ24" s="40" t="s">
        <v>48</v>
      </c>
      <c r="DR24" s="40" t="s">
        <v>48</v>
      </c>
      <c r="DS24" s="40" t="s">
        <v>48</v>
      </c>
      <c r="DT24" s="40" t="s">
        <v>48</v>
      </c>
      <c r="DU24" s="40" t="s">
        <v>48</v>
      </c>
      <c r="DV24" s="40" t="s">
        <v>48</v>
      </c>
    </row>
    <row r="25" spans="1:126" x14ac:dyDescent="0.3">
      <c r="A25" s="12">
        <v>18</v>
      </c>
      <c r="B25" s="33"/>
      <c r="C25" s="38" t="str">
        <f>Notes!U26</f>
        <v xml:space="preserve">      Other vegetables</v>
      </c>
      <c r="D25" s="4" t="s">
        <v>330</v>
      </c>
      <c r="E25" s="44">
        <v>1</v>
      </c>
      <c r="F25" s="42">
        <v>3.5666234816078557E-2</v>
      </c>
      <c r="G25" s="42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U25" s="40" t="s">
        <v>48</v>
      </c>
      <c r="W25" s="33"/>
      <c r="X25" s="38" t="str">
        <f>Notes!U26</f>
        <v xml:space="preserve">      Other vegetables</v>
      </c>
      <c r="Y25" s="4" t="s">
        <v>330</v>
      </c>
      <c r="Z25" s="44">
        <v>1.3435155814661883</v>
      </c>
      <c r="AA25" s="42">
        <v>1.559500291463678E-2</v>
      </c>
      <c r="AB25" s="42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O25" s="40" t="s">
        <v>48</v>
      </c>
      <c r="AP25" s="40" t="s">
        <v>48</v>
      </c>
      <c r="AR25" s="33"/>
      <c r="AS25" s="38" t="str">
        <f>Notes!U26</f>
        <v xml:space="preserve">      Other vegetables</v>
      </c>
      <c r="AT25" s="4" t="s">
        <v>330</v>
      </c>
      <c r="AU25" s="44" t="s">
        <v>48</v>
      </c>
      <c r="AV25" s="42" t="s">
        <v>48</v>
      </c>
      <c r="AW25" s="42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  <c r="BI25" s="40" t="s">
        <v>48</v>
      </c>
      <c r="BJ25" s="40" t="s">
        <v>48</v>
      </c>
      <c r="BK25" s="40" t="s">
        <v>48</v>
      </c>
      <c r="BM25" s="33"/>
      <c r="BN25" s="38" t="str">
        <f>Notes!U26</f>
        <v xml:space="preserve">      Other vegetables</v>
      </c>
      <c r="BO25" s="4" t="s">
        <v>330</v>
      </c>
      <c r="BP25" s="44">
        <v>1.3435155814661888</v>
      </c>
      <c r="BQ25" s="42">
        <v>-1.6934213609187676E-2</v>
      </c>
      <c r="BR25" s="42" t="s">
        <v>48</v>
      </c>
      <c r="BS25" s="40" t="s">
        <v>48</v>
      </c>
      <c r="BT25" s="40" t="s">
        <v>48</v>
      </c>
      <c r="BU25" s="40" t="s">
        <v>48</v>
      </c>
      <c r="BV25" s="40" t="s">
        <v>48</v>
      </c>
      <c r="BW25" s="40" t="s">
        <v>48</v>
      </c>
      <c r="BX25" s="40" t="s">
        <v>48</v>
      </c>
      <c r="BY25" s="40" t="s">
        <v>48</v>
      </c>
      <c r="BZ25" s="40" t="s">
        <v>48</v>
      </c>
      <c r="CA25" s="40" t="s">
        <v>48</v>
      </c>
      <c r="CB25" s="40" t="s">
        <v>48</v>
      </c>
      <c r="CC25" s="40" t="s">
        <v>48</v>
      </c>
      <c r="CD25" s="40" t="s">
        <v>48</v>
      </c>
      <c r="CE25" s="40" t="s">
        <v>48</v>
      </c>
      <c r="CF25" s="40" t="s">
        <v>48</v>
      </c>
      <c r="CH25" s="33"/>
      <c r="CI25" s="38" t="str">
        <f>Notes!U26</f>
        <v xml:space="preserve">      Other vegetables</v>
      </c>
      <c r="CJ25" s="4" t="s">
        <v>330</v>
      </c>
      <c r="CK25" s="44" t="s">
        <v>48</v>
      </c>
      <c r="CL25" s="42" t="s">
        <v>48</v>
      </c>
      <c r="CM25" s="42" t="s">
        <v>48</v>
      </c>
      <c r="CN25" s="40" t="s">
        <v>48</v>
      </c>
      <c r="CO25" s="40" t="s">
        <v>48</v>
      </c>
      <c r="CP25" s="40" t="s">
        <v>48</v>
      </c>
      <c r="CQ25" s="40" t="s">
        <v>48</v>
      </c>
      <c r="CR25" s="40" t="s">
        <v>48</v>
      </c>
      <c r="CS25" s="40" t="s">
        <v>48</v>
      </c>
      <c r="CT25" s="40" t="s">
        <v>48</v>
      </c>
      <c r="CU25" s="40" t="s">
        <v>48</v>
      </c>
      <c r="CV25" s="40" t="s">
        <v>48</v>
      </c>
      <c r="CW25" s="40" t="s">
        <v>48</v>
      </c>
      <c r="CX25" s="40" t="s">
        <v>48</v>
      </c>
      <c r="CY25" s="40" t="s">
        <v>48</v>
      </c>
      <c r="CZ25" s="40" t="s">
        <v>48</v>
      </c>
      <c r="DA25" s="40" t="s">
        <v>48</v>
      </c>
      <c r="DC25" s="33"/>
      <c r="DD25" s="38" t="str">
        <f>Notes!U26</f>
        <v xml:space="preserve">      Other vegetables</v>
      </c>
      <c r="DE25" s="4" t="s">
        <v>330</v>
      </c>
      <c r="DF25" s="44">
        <v>0.99531924671669936</v>
      </c>
      <c r="DG25" s="42" t="s">
        <v>48</v>
      </c>
      <c r="DH25" s="42" t="s">
        <v>48</v>
      </c>
      <c r="DI25" s="40" t="s">
        <v>48</v>
      </c>
      <c r="DJ25" s="40" t="s">
        <v>48</v>
      </c>
      <c r="DK25" s="40" t="s">
        <v>48</v>
      </c>
      <c r="DL25" s="40" t="s">
        <v>48</v>
      </c>
      <c r="DM25" s="40" t="s">
        <v>48</v>
      </c>
      <c r="DN25" s="40" t="s">
        <v>48</v>
      </c>
      <c r="DO25" s="40" t="s">
        <v>48</v>
      </c>
      <c r="DP25" s="40" t="s">
        <v>48</v>
      </c>
      <c r="DQ25" s="40" t="s">
        <v>48</v>
      </c>
      <c r="DR25" s="40" t="s">
        <v>48</v>
      </c>
      <c r="DS25" s="40" t="s">
        <v>48</v>
      </c>
      <c r="DT25" s="40" t="s">
        <v>48</v>
      </c>
      <c r="DU25" s="40" t="s">
        <v>48</v>
      </c>
      <c r="DV25" s="40" t="s">
        <v>48</v>
      </c>
    </row>
    <row r="26" spans="1:126" x14ac:dyDescent="0.3">
      <c r="A26" s="12">
        <v>19</v>
      </c>
      <c r="B26" s="33"/>
      <c r="C26" s="38" t="str">
        <f>Notes!U27</f>
        <v xml:space="preserve">      Sugarcane</v>
      </c>
      <c r="D26" s="4" t="s">
        <v>333</v>
      </c>
      <c r="E26" s="44">
        <v>1</v>
      </c>
      <c r="F26" s="42">
        <v>-3.7334001711208931E-2</v>
      </c>
      <c r="G26" s="42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U26" s="40" t="s">
        <v>48</v>
      </c>
      <c r="W26" s="33"/>
      <c r="X26" s="38" t="str">
        <f>Notes!U27</f>
        <v xml:space="preserve">      Sugarcane</v>
      </c>
      <c r="Y26" s="4" t="s">
        <v>333</v>
      </c>
      <c r="Z26" s="44">
        <v>1.1903888570082062</v>
      </c>
      <c r="AA26" s="42">
        <v>-3.3566408845697726E-2</v>
      </c>
      <c r="AB26" s="42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O26" s="40" t="s">
        <v>48</v>
      </c>
      <c r="AP26" s="40" t="s">
        <v>48</v>
      </c>
      <c r="AR26" s="33"/>
      <c r="AS26" s="38" t="str">
        <f>Notes!U27</f>
        <v xml:space="preserve">      Sugarcane</v>
      </c>
      <c r="AT26" s="4" t="s">
        <v>333</v>
      </c>
      <c r="AU26" s="44" t="s">
        <v>48</v>
      </c>
      <c r="AV26" s="42" t="s">
        <v>48</v>
      </c>
      <c r="AW26" s="42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  <c r="BI26" s="40" t="s">
        <v>48</v>
      </c>
      <c r="BJ26" s="40" t="s">
        <v>48</v>
      </c>
      <c r="BK26" s="40" t="s">
        <v>48</v>
      </c>
      <c r="BM26" s="33"/>
      <c r="BN26" s="38" t="str">
        <f>Notes!U27</f>
        <v xml:space="preserve">      Sugarcane</v>
      </c>
      <c r="BO26" s="4" t="s">
        <v>333</v>
      </c>
      <c r="BP26" s="44" t="s">
        <v>48</v>
      </c>
      <c r="BQ26" s="42" t="s">
        <v>48</v>
      </c>
      <c r="BR26" s="42" t="s">
        <v>48</v>
      </c>
      <c r="BS26" s="40" t="s">
        <v>48</v>
      </c>
      <c r="BT26" s="40" t="s">
        <v>48</v>
      </c>
      <c r="BU26" s="40" t="s">
        <v>48</v>
      </c>
      <c r="BV26" s="40" t="s">
        <v>48</v>
      </c>
      <c r="BW26" s="40" t="s">
        <v>48</v>
      </c>
      <c r="BX26" s="40" t="s">
        <v>48</v>
      </c>
      <c r="BY26" s="40" t="s">
        <v>48</v>
      </c>
      <c r="BZ26" s="40" t="s">
        <v>48</v>
      </c>
      <c r="CA26" s="40" t="s">
        <v>48</v>
      </c>
      <c r="CB26" s="40" t="s">
        <v>48</v>
      </c>
      <c r="CC26" s="40" t="s">
        <v>48</v>
      </c>
      <c r="CD26" s="40" t="s">
        <v>48</v>
      </c>
      <c r="CE26" s="40" t="s">
        <v>48</v>
      </c>
      <c r="CF26" s="40" t="s">
        <v>48</v>
      </c>
      <c r="CH26" s="33"/>
      <c r="CI26" s="38" t="str">
        <f>Notes!U27</f>
        <v xml:space="preserve">      Sugarcane</v>
      </c>
      <c r="CJ26" s="4" t="s">
        <v>333</v>
      </c>
      <c r="CK26" s="44" t="s">
        <v>48</v>
      </c>
      <c r="CL26" s="42" t="s">
        <v>48</v>
      </c>
      <c r="CM26" s="42" t="s">
        <v>48</v>
      </c>
      <c r="CN26" s="40" t="s">
        <v>48</v>
      </c>
      <c r="CO26" s="40" t="s">
        <v>48</v>
      </c>
      <c r="CP26" s="40" t="s">
        <v>48</v>
      </c>
      <c r="CQ26" s="40" t="s">
        <v>48</v>
      </c>
      <c r="CR26" s="40" t="s">
        <v>48</v>
      </c>
      <c r="CS26" s="40" t="s">
        <v>48</v>
      </c>
      <c r="CT26" s="40" t="s">
        <v>48</v>
      </c>
      <c r="CU26" s="40" t="s">
        <v>48</v>
      </c>
      <c r="CV26" s="40" t="s">
        <v>48</v>
      </c>
      <c r="CW26" s="40" t="s">
        <v>48</v>
      </c>
      <c r="CX26" s="40" t="s">
        <v>48</v>
      </c>
      <c r="CY26" s="40" t="s">
        <v>48</v>
      </c>
      <c r="CZ26" s="40" t="s">
        <v>48</v>
      </c>
      <c r="DA26" s="40" t="s">
        <v>48</v>
      </c>
      <c r="DC26" s="33"/>
      <c r="DD26" s="38" t="str">
        <f>Notes!U27</f>
        <v xml:space="preserve">      Sugarcane</v>
      </c>
      <c r="DE26" s="4" t="s">
        <v>333</v>
      </c>
      <c r="DF26" s="44" t="s">
        <v>48</v>
      </c>
      <c r="DG26" s="42" t="s">
        <v>48</v>
      </c>
      <c r="DH26" s="42" t="s">
        <v>48</v>
      </c>
      <c r="DI26" s="40" t="s">
        <v>48</v>
      </c>
      <c r="DJ26" s="40" t="s">
        <v>48</v>
      </c>
      <c r="DK26" s="40" t="s">
        <v>48</v>
      </c>
      <c r="DL26" s="40" t="s">
        <v>48</v>
      </c>
      <c r="DM26" s="40" t="s">
        <v>48</v>
      </c>
      <c r="DN26" s="40" t="s">
        <v>48</v>
      </c>
      <c r="DO26" s="40" t="s">
        <v>48</v>
      </c>
      <c r="DP26" s="40" t="s">
        <v>48</v>
      </c>
      <c r="DQ26" s="40" t="s">
        <v>48</v>
      </c>
      <c r="DR26" s="40" t="s">
        <v>48</v>
      </c>
      <c r="DS26" s="40" t="s">
        <v>48</v>
      </c>
      <c r="DT26" s="40" t="s">
        <v>48</v>
      </c>
      <c r="DU26" s="40" t="s">
        <v>48</v>
      </c>
      <c r="DV26" s="40" t="s">
        <v>48</v>
      </c>
    </row>
    <row r="27" spans="1:126" x14ac:dyDescent="0.3">
      <c r="A27" s="12">
        <v>20</v>
      </c>
      <c r="B27" s="33"/>
      <c r="C27" s="38" t="str">
        <f>Notes!U28</f>
        <v xml:space="preserve">      Tobacco</v>
      </c>
      <c r="D27" s="4" t="s">
        <v>336</v>
      </c>
      <c r="E27" s="44">
        <v>1</v>
      </c>
      <c r="F27" s="42">
        <v>8.703901104865075E-2</v>
      </c>
      <c r="G27" s="42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U27" s="40" t="s">
        <v>48</v>
      </c>
      <c r="W27" s="33"/>
      <c r="X27" s="38" t="str">
        <f>Notes!U28</f>
        <v xml:space="preserve">      Tobacco</v>
      </c>
      <c r="Y27" s="4" t="s">
        <v>336</v>
      </c>
      <c r="Z27" s="44">
        <v>1.0956793711743258</v>
      </c>
      <c r="AA27" s="42">
        <v>7.8258323173763245E-2</v>
      </c>
      <c r="AB27" s="42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O27" s="40" t="s">
        <v>48</v>
      </c>
      <c r="AP27" s="40" t="s">
        <v>48</v>
      </c>
      <c r="AR27" s="33"/>
      <c r="AS27" s="38" t="str">
        <f>Notes!U28</f>
        <v xml:space="preserve">      Tobacco</v>
      </c>
      <c r="AT27" s="4" t="s">
        <v>336</v>
      </c>
      <c r="AU27" s="44" t="s">
        <v>48</v>
      </c>
      <c r="AV27" s="42" t="s">
        <v>48</v>
      </c>
      <c r="AW27" s="42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  <c r="BI27" s="40" t="s">
        <v>48</v>
      </c>
      <c r="BJ27" s="40" t="s">
        <v>48</v>
      </c>
      <c r="BK27" s="40" t="s">
        <v>48</v>
      </c>
      <c r="BM27" s="33"/>
      <c r="BN27" s="38" t="str">
        <f>Notes!U28</f>
        <v xml:space="preserve">      Tobacco</v>
      </c>
      <c r="BO27" s="4" t="s">
        <v>336</v>
      </c>
      <c r="BP27" s="44" t="s">
        <v>48</v>
      </c>
      <c r="BQ27" s="42" t="s">
        <v>48</v>
      </c>
      <c r="BR27" s="42" t="s">
        <v>48</v>
      </c>
      <c r="BS27" s="40" t="s">
        <v>48</v>
      </c>
      <c r="BT27" s="40" t="s">
        <v>48</v>
      </c>
      <c r="BU27" s="40" t="s">
        <v>48</v>
      </c>
      <c r="BV27" s="40" t="s">
        <v>48</v>
      </c>
      <c r="BW27" s="40" t="s">
        <v>48</v>
      </c>
      <c r="BX27" s="40" t="s">
        <v>48</v>
      </c>
      <c r="BY27" s="40" t="s">
        <v>48</v>
      </c>
      <c r="BZ27" s="40" t="s">
        <v>48</v>
      </c>
      <c r="CA27" s="40" t="s">
        <v>48</v>
      </c>
      <c r="CB27" s="40" t="s">
        <v>48</v>
      </c>
      <c r="CC27" s="40" t="s">
        <v>48</v>
      </c>
      <c r="CD27" s="40" t="s">
        <v>48</v>
      </c>
      <c r="CE27" s="40" t="s">
        <v>48</v>
      </c>
      <c r="CF27" s="40" t="s">
        <v>48</v>
      </c>
      <c r="CH27" s="33"/>
      <c r="CI27" s="38" t="str">
        <f>Notes!U28</f>
        <v xml:space="preserve">      Tobacco</v>
      </c>
      <c r="CJ27" s="4" t="s">
        <v>336</v>
      </c>
      <c r="CK27" s="44" t="s">
        <v>48</v>
      </c>
      <c r="CL27" s="42" t="s">
        <v>48</v>
      </c>
      <c r="CM27" s="42" t="s">
        <v>48</v>
      </c>
      <c r="CN27" s="40" t="s">
        <v>48</v>
      </c>
      <c r="CO27" s="40" t="s">
        <v>48</v>
      </c>
      <c r="CP27" s="40" t="s">
        <v>48</v>
      </c>
      <c r="CQ27" s="40" t="s">
        <v>48</v>
      </c>
      <c r="CR27" s="40" t="s">
        <v>48</v>
      </c>
      <c r="CS27" s="40" t="s">
        <v>48</v>
      </c>
      <c r="CT27" s="40" t="s">
        <v>48</v>
      </c>
      <c r="CU27" s="40" t="s">
        <v>48</v>
      </c>
      <c r="CV27" s="40" t="s">
        <v>48</v>
      </c>
      <c r="CW27" s="40" t="s">
        <v>48</v>
      </c>
      <c r="CX27" s="40" t="s">
        <v>48</v>
      </c>
      <c r="CY27" s="40" t="s">
        <v>48</v>
      </c>
      <c r="CZ27" s="40" t="s">
        <v>48</v>
      </c>
      <c r="DA27" s="40" t="s">
        <v>48</v>
      </c>
      <c r="DC27" s="33"/>
      <c r="DD27" s="38" t="str">
        <f>Notes!U28</f>
        <v xml:space="preserve">      Tobacco</v>
      </c>
      <c r="DE27" s="4" t="s">
        <v>336</v>
      </c>
      <c r="DF27" s="44" t="s">
        <v>48</v>
      </c>
      <c r="DG27" s="42" t="s">
        <v>48</v>
      </c>
      <c r="DH27" s="42" t="s">
        <v>48</v>
      </c>
      <c r="DI27" s="40" t="s">
        <v>48</v>
      </c>
      <c r="DJ27" s="40" t="s">
        <v>48</v>
      </c>
      <c r="DK27" s="40" t="s">
        <v>48</v>
      </c>
      <c r="DL27" s="40" t="s">
        <v>48</v>
      </c>
      <c r="DM27" s="40" t="s">
        <v>48</v>
      </c>
      <c r="DN27" s="40" t="s">
        <v>48</v>
      </c>
      <c r="DO27" s="40" t="s">
        <v>48</v>
      </c>
      <c r="DP27" s="40" t="s">
        <v>48</v>
      </c>
      <c r="DQ27" s="40" t="s">
        <v>48</v>
      </c>
      <c r="DR27" s="40" t="s">
        <v>48</v>
      </c>
      <c r="DS27" s="40" t="s">
        <v>48</v>
      </c>
      <c r="DT27" s="40" t="s">
        <v>48</v>
      </c>
      <c r="DU27" s="40" t="s">
        <v>48</v>
      </c>
      <c r="DV27" s="40" t="s">
        <v>48</v>
      </c>
    </row>
    <row r="28" spans="1:126" x14ac:dyDescent="0.3">
      <c r="A28" s="12">
        <v>21</v>
      </c>
      <c r="B28" s="33"/>
      <c r="C28" s="38" t="str">
        <f>Notes!U29</f>
        <v xml:space="preserve">      Cotton and fibres</v>
      </c>
      <c r="D28" s="4" t="s">
        <v>339</v>
      </c>
      <c r="E28" s="44">
        <v>1</v>
      </c>
      <c r="F28" s="42">
        <v>-2.0236774411608316E-2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W28" s="33"/>
      <c r="X28" s="38" t="str">
        <f>Notes!U29</f>
        <v xml:space="preserve">      Cotton and fibres</v>
      </c>
      <c r="Y28" s="4" t="s">
        <v>339</v>
      </c>
      <c r="Z28" s="44">
        <v>1.0142554126203616</v>
      </c>
      <c r="AA28" s="42">
        <v>-1.7966156636783914E-2</v>
      </c>
      <c r="AB28" s="42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O28" s="40" t="s">
        <v>48</v>
      </c>
      <c r="AP28" s="40" t="s">
        <v>48</v>
      </c>
      <c r="AR28" s="33"/>
      <c r="AS28" s="38" t="str">
        <f>Notes!U29</f>
        <v xml:space="preserve">      Cotton and fibres</v>
      </c>
      <c r="AT28" s="4" t="s">
        <v>339</v>
      </c>
      <c r="AU28" s="44" t="s">
        <v>48</v>
      </c>
      <c r="AV28" s="42" t="s">
        <v>48</v>
      </c>
      <c r="AW28" s="42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  <c r="BI28" s="40" t="s">
        <v>48</v>
      </c>
      <c r="BJ28" s="40" t="s">
        <v>48</v>
      </c>
      <c r="BK28" s="40" t="s">
        <v>48</v>
      </c>
      <c r="BM28" s="33"/>
      <c r="BN28" s="38" t="str">
        <f>Notes!U29</f>
        <v xml:space="preserve">      Cotton and fibres</v>
      </c>
      <c r="BO28" s="4" t="s">
        <v>339</v>
      </c>
      <c r="BP28" s="44">
        <v>1.0142554126203609</v>
      </c>
      <c r="BQ28" s="42">
        <v>-1.7954584068191615E-2</v>
      </c>
      <c r="BR28" s="42" t="s">
        <v>48</v>
      </c>
      <c r="BS28" s="40" t="s">
        <v>48</v>
      </c>
      <c r="BT28" s="40" t="s">
        <v>48</v>
      </c>
      <c r="BU28" s="40" t="s">
        <v>48</v>
      </c>
      <c r="BV28" s="40" t="s">
        <v>48</v>
      </c>
      <c r="BW28" s="40" t="s">
        <v>48</v>
      </c>
      <c r="BX28" s="40" t="s">
        <v>48</v>
      </c>
      <c r="BY28" s="40" t="s">
        <v>48</v>
      </c>
      <c r="BZ28" s="40" t="s">
        <v>48</v>
      </c>
      <c r="CA28" s="40" t="s">
        <v>48</v>
      </c>
      <c r="CB28" s="40" t="s">
        <v>48</v>
      </c>
      <c r="CC28" s="40" t="s">
        <v>48</v>
      </c>
      <c r="CD28" s="40" t="s">
        <v>48</v>
      </c>
      <c r="CE28" s="40" t="s">
        <v>48</v>
      </c>
      <c r="CF28" s="40" t="s">
        <v>48</v>
      </c>
      <c r="CH28" s="33"/>
      <c r="CI28" s="38" t="str">
        <f>Notes!U29</f>
        <v xml:space="preserve">      Cotton and fibres</v>
      </c>
      <c r="CJ28" s="4" t="s">
        <v>339</v>
      </c>
      <c r="CK28" s="44" t="s">
        <v>48</v>
      </c>
      <c r="CL28" s="42" t="s">
        <v>48</v>
      </c>
      <c r="CM28" s="42" t="s">
        <v>48</v>
      </c>
      <c r="CN28" s="40" t="s">
        <v>48</v>
      </c>
      <c r="CO28" s="40" t="s">
        <v>48</v>
      </c>
      <c r="CP28" s="40" t="s">
        <v>48</v>
      </c>
      <c r="CQ28" s="40" t="s">
        <v>48</v>
      </c>
      <c r="CR28" s="40" t="s">
        <v>48</v>
      </c>
      <c r="CS28" s="40" t="s">
        <v>48</v>
      </c>
      <c r="CT28" s="40" t="s">
        <v>48</v>
      </c>
      <c r="CU28" s="40" t="s">
        <v>48</v>
      </c>
      <c r="CV28" s="40" t="s">
        <v>48</v>
      </c>
      <c r="CW28" s="40" t="s">
        <v>48</v>
      </c>
      <c r="CX28" s="40" t="s">
        <v>48</v>
      </c>
      <c r="CY28" s="40" t="s">
        <v>48</v>
      </c>
      <c r="CZ28" s="40" t="s">
        <v>48</v>
      </c>
      <c r="DA28" s="40" t="s">
        <v>48</v>
      </c>
      <c r="DC28" s="33"/>
      <c r="DD28" s="38" t="str">
        <f>Notes!U29</f>
        <v xml:space="preserve">      Cotton and fibres</v>
      </c>
      <c r="DE28" s="4" t="s">
        <v>339</v>
      </c>
      <c r="DF28" s="44">
        <v>0.99996385930151199</v>
      </c>
      <c r="DG28" s="42" t="s">
        <v>48</v>
      </c>
      <c r="DH28" s="42" t="s">
        <v>48</v>
      </c>
      <c r="DI28" s="40" t="s">
        <v>48</v>
      </c>
      <c r="DJ28" s="40" t="s">
        <v>48</v>
      </c>
      <c r="DK28" s="40" t="s">
        <v>48</v>
      </c>
      <c r="DL28" s="40" t="s">
        <v>48</v>
      </c>
      <c r="DM28" s="40" t="s">
        <v>48</v>
      </c>
      <c r="DN28" s="40" t="s">
        <v>48</v>
      </c>
      <c r="DO28" s="40" t="s">
        <v>48</v>
      </c>
      <c r="DP28" s="40" t="s">
        <v>48</v>
      </c>
      <c r="DQ28" s="40" t="s">
        <v>48</v>
      </c>
      <c r="DR28" s="40" t="s">
        <v>48</v>
      </c>
      <c r="DS28" s="40" t="s">
        <v>48</v>
      </c>
      <c r="DT28" s="40" t="s">
        <v>48</v>
      </c>
      <c r="DU28" s="40" t="s">
        <v>48</v>
      </c>
      <c r="DV28" s="40" t="s">
        <v>48</v>
      </c>
    </row>
    <row r="29" spans="1:126" x14ac:dyDescent="0.3">
      <c r="A29" s="12">
        <v>22</v>
      </c>
      <c r="B29" s="33"/>
      <c r="C29" s="38" t="str">
        <f>Notes!U30</f>
        <v xml:space="preserve">      Jute</v>
      </c>
      <c r="D29" s="4" t="s">
        <v>712</v>
      </c>
      <c r="E29" s="44">
        <v>1</v>
      </c>
      <c r="F29" s="42">
        <v>-1.8568278572828056E-2</v>
      </c>
      <c r="G29" s="42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W29" s="33"/>
      <c r="X29" s="38" t="str">
        <f>Notes!U30</f>
        <v xml:space="preserve">      Jute</v>
      </c>
      <c r="Y29" s="4" t="s">
        <v>712</v>
      </c>
      <c r="Z29" s="44">
        <v>1.1097773125377175</v>
      </c>
      <c r="AA29" s="42">
        <v>-1.8106935636463817E-2</v>
      </c>
      <c r="AB29" s="42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  <c r="AR29" s="33"/>
      <c r="AS29" s="38" t="str">
        <f>Notes!U30</f>
        <v xml:space="preserve">      Jute</v>
      </c>
      <c r="AT29" s="4" t="s">
        <v>712</v>
      </c>
      <c r="AU29" s="44">
        <v>1</v>
      </c>
      <c r="AV29" s="42">
        <v>-1.8477537477901151E-2</v>
      </c>
      <c r="AW29" s="42" t="s">
        <v>48</v>
      </c>
      <c r="AX29" s="40" t="s">
        <v>48</v>
      </c>
      <c r="AY29" s="40" t="s">
        <v>48</v>
      </c>
      <c r="AZ29" s="40" t="s">
        <v>48</v>
      </c>
      <c r="BA29" s="40" t="s">
        <v>48</v>
      </c>
      <c r="BB29" s="40" t="s">
        <v>48</v>
      </c>
      <c r="BC29" s="40" t="s">
        <v>48</v>
      </c>
      <c r="BD29" s="40" t="s">
        <v>48</v>
      </c>
      <c r="BE29" s="40" t="s">
        <v>48</v>
      </c>
      <c r="BF29" s="40" t="s">
        <v>48</v>
      </c>
      <c r="BG29" s="40" t="s">
        <v>48</v>
      </c>
      <c r="BH29" s="40" t="s">
        <v>48</v>
      </c>
      <c r="BI29" s="40" t="s">
        <v>48</v>
      </c>
      <c r="BJ29" s="40" t="s">
        <v>48</v>
      </c>
      <c r="BK29" s="40" t="s">
        <v>48</v>
      </c>
      <c r="BM29" s="33"/>
      <c r="BN29" s="38" t="str">
        <f>Notes!U30</f>
        <v xml:space="preserve">      Jute</v>
      </c>
      <c r="BO29" s="4" t="s">
        <v>712</v>
      </c>
      <c r="BP29" s="44">
        <v>1.1097773125377175</v>
      </c>
      <c r="BQ29" s="42">
        <v>-1.7596209548342845E-2</v>
      </c>
      <c r="BR29" s="42" t="s">
        <v>48</v>
      </c>
      <c r="BS29" s="40" t="s">
        <v>48</v>
      </c>
      <c r="BT29" s="40" t="s">
        <v>48</v>
      </c>
      <c r="BU29" s="40" t="s">
        <v>48</v>
      </c>
      <c r="BV29" s="40" t="s">
        <v>48</v>
      </c>
      <c r="BW29" s="40" t="s">
        <v>48</v>
      </c>
      <c r="BX29" s="40" t="s">
        <v>48</v>
      </c>
      <c r="BY29" s="40" t="s">
        <v>48</v>
      </c>
      <c r="BZ29" s="40" t="s">
        <v>48</v>
      </c>
      <c r="CA29" s="40" t="s">
        <v>48</v>
      </c>
      <c r="CB29" s="40" t="s">
        <v>48</v>
      </c>
      <c r="CC29" s="40" t="s">
        <v>48</v>
      </c>
      <c r="CD29" s="40" t="s">
        <v>48</v>
      </c>
      <c r="CE29" s="40" t="s">
        <v>48</v>
      </c>
      <c r="CF29" s="40" t="s">
        <v>48</v>
      </c>
      <c r="CH29" s="33"/>
      <c r="CI29" s="38" t="str">
        <f>Notes!U30</f>
        <v xml:space="preserve">      Jute</v>
      </c>
      <c r="CJ29" s="4" t="s">
        <v>712</v>
      </c>
      <c r="CK29" s="44">
        <v>1.1097773125377177</v>
      </c>
      <c r="CL29" s="42" t="s">
        <v>48</v>
      </c>
      <c r="CM29" s="42" t="s">
        <v>48</v>
      </c>
      <c r="CN29" s="40" t="s">
        <v>48</v>
      </c>
      <c r="CO29" s="40" t="s">
        <v>48</v>
      </c>
      <c r="CP29" s="40" t="s">
        <v>48</v>
      </c>
      <c r="CQ29" s="40" t="s">
        <v>48</v>
      </c>
      <c r="CR29" s="40" t="s">
        <v>48</v>
      </c>
      <c r="CS29" s="40" t="s">
        <v>48</v>
      </c>
      <c r="CT29" s="40" t="s">
        <v>48</v>
      </c>
      <c r="CU29" s="40" t="s">
        <v>48</v>
      </c>
      <c r="CV29" s="40" t="s">
        <v>48</v>
      </c>
      <c r="CW29" s="40" t="s">
        <v>48</v>
      </c>
      <c r="CX29" s="40" t="s">
        <v>48</v>
      </c>
      <c r="CY29" s="40" t="s">
        <v>48</v>
      </c>
      <c r="CZ29" s="40" t="s">
        <v>48</v>
      </c>
      <c r="DA29" s="40" t="s">
        <v>48</v>
      </c>
      <c r="DC29" s="33"/>
      <c r="DD29" s="38" t="str">
        <f>Notes!U30</f>
        <v xml:space="preserve">      Jute</v>
      </c>
      <c r="DE29" s="4" t="s">
        <v>712</v>
      </c>
      <c r="DF29" s="44">
        <v>1</v>
      </c>
      <c r="DG29" s="42" t="s">
        <v>48</v>
      </c>
      <c r="DH29" s="42" t="s">
        <v>48</v>
      </c>
      <c r="DI29" s="40" t="s">
        <v>48</v>
      </c>
      <c r="DJ29" s="40" t="s">
        <v>48</v>
      </c>
      <c r="DK29" s="40" t="s">
        <v>48</v>
      </c>
      <c r="DL29" s="40" t="s">
        <v>48</v>
      </c>
      <c r="DM29" s="40" t="s">
        <v>48</v>
      </c>
      <c r="DN29" s="40" t="s">
        <v>48</v>
      </c>
      <c r="DO29" s="40" t="s">
        <v>48</v>
      </c>
      <c r="DP29" s="40" t="s">
        <v>48</v>
      </c>
      <c r="DQ29" s="40" t="s">
        <v>48</v>
      </c>
      <c r="DR29" s="40" t="s">
        <v>48</v>
      </c>
      <c r="DS29" s="40" t="s">
        <v>48</v>
      </c>
      <c r="DT29" s="40" t="s">
        <v>48</v>
      </c>
      <c r="DU29" s="40" t="s">
        <v>48</v>
      </c>
      <c r="DV29" s="40" t="s">
        <v>48</v>
      </c>
    </row>
    <row r="30" spans="1:126" x14ac:dyDescent="0.3">
      <c r="A30" s="12">
        <v>23</v>
      </c>
      <c r="B30" s="33"/>
      <c r="C30" s="38" t="str">
        <f>Notes!U31</f>
        <v xml:space="preserve">      Nuts</v>
      </c>
      <c r="D30" s="4" t="s">
        <v>522</v>
      </c>
      <c r="E30" s="44">
        <v>1</v>
      </c>
      <c r="F30" s="42">
        <v>6.0320387270662579E-3</v>
      </c>
      <c r="G30" s="42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W30" s="33"/>
      <c r="X30" s="38" t="str">
        <f>Notes!U31</f>
        <v xml:space="preserve">      Nuts</v>
      </c>
      <c r="Y30" s="4" t="s">
        <v>522</v>
      </c>
      <c r="Z30" s="44">
        <v>1.1701252149062675</v>
      </c>
      <c r="AA30" s="42">
        <v>3.151354159625086E-3</v>
      </c>
      <c r="AB30" s="42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O30" s="40" t="s">
        <v>48</v>
      </c>
      <c r="AP30" s="40" t="s">
        <v>48</v>
      </c>
      <c r="AR30" s="33"/>
      <c r="AS30" s="38" t="str">
        <f>Notes!U31</f>
        <v xml:space="preserve">      Nuts</v>
      </c>
      <c r="AT30" s="4" t="s">
        <v>522</v>
      </c>
      <c r="AU30" s="44" t="s">
        <v>48</v>
      </c>
      <c r="AV30" s="42" t="s">
        <v>48</v>
      </c>
      <c r="AW30" s="42" t="s">
        <v>48</v>
      </c>
      <c r="AX30" s="40" t="s">
        <v>48</v>
      </c>
      <c r="AY30" s="40" t="s">
        <v>48</v>
      </c>
      <c r="AZ30" s="40" t="s">
        <v>48</v>
      </c>
      <c r="BA30" s="40" t="s">
        <v>48</v>
      </c>
      <c r="BB30" s="40" t="s">
        <v>48</v>
      </c>
      <c r="BC30" s="40" t="s">
        <v>48</v>
      </c>
      <c r="BD30" s="40" t="s">
        <v>48</v>
      </c>
      <c r="BE30" s="40" t="s">
        <v>48</v>
      </c>
      <c r="BF30" s="40" t="s">
        <v>48</v>
      </c>
      <c r="BG30" s="40" t="s">
        <v>48</v>
      </c>
      <c r="BH30" s="40" t="s">
        <v>48</v>
      </c>
      <c r="BI30" s="40" t="s">
        <v>48</v>
      </c>
      <c r="BJ30" s="40" t="s">
        <v>48</v>
      </c>
      <c r="BK30" s="40" t="s">
        <v>48</v>
      </c>
      <c r="BM30" s="33"/>
      <c r="BN30" s="38" t="str">
        <f>Notes!U31</f>
        <v xml:space="preserve">      Nuts</v>
      </c>
      <c r="BO30" s="4" t="s">
        <v>522</v>
      </c>
      <c r="BP30" s="44" t="s">
        <v>48</v>
      </c>
      <c r="BQ30" s="42" t="s">
        <v>48</v>
      </c>
      <c r="BR30" s="42" t="s">
        <v>48</v>
      </c>
      <c r="BS30" s="40" t="s">
        <v>48</v>
      </c>
      <c r="BT30" s="40" t="s">
        <v>48</v>
      </c>
      <c r="BU30" s="40" t="s">
        <v>48</v>
      </c>
      <c r="BV30" s="40" t="s">
        <v>48</v>
      </c>
      <c r="BW30" s="40" t="s">
        <v>48</v>
      </c>
      <c r="BX30" s="40" t="s">
        <v>48</v>
      </c>
      <c r="BY30" s="40" t="s">
        <v>48</v>
      </c>
      <c r="BZ30" s="40" t="s">
        <v>48</v>
      </c>
      <c r="CA30" s="40" t="s">
        <v>48</v>
      </c>
      <c r="CB30" s="40" t="s">
        <v>48</v>
      </c>
      <c r="CC30" s="40" t="s">
        <v>48</v>
      </c>
      <c r="CD30" s="40" t="s">
        <v>48</v>
      </c>
      <c r="CE30" s="40" t="s">
        <v>48</v>
      </c>
      <c r="CF30" s="40" t="s">
        <v>48</v>
      </c>
      <c r="CH30" s="33"/>
      <c r="CI30" s="38" t="str">
        <f>Notes!U31</f>
        <v xml:space="preserve">      Nuts</v>
      </c>
      <c r="CJ30" s="4" t="s">
        <v>522</v>
      </c>
      <c r="CK30" s="44" t="s">
        <v>48</v>
      </c>
      <c r="CL30" s="42" t="s">
        <v>48</v>
      </c>
      <c r="CM30" s="42" t="s">
        <v>48</v>
      </c>
      <c r="CN30" s="40" t="s">
        <v>48</v>
      </c>
      <c r="CO30" s="40" t="s">
        <v>48</v>
      </c>
      <c r="CP30" s="40" t="s">
        <v>48</v>
      </c>
      <c r="CQ30" s="40" t="s">
        <v>48</v>
      </c>
      <c r="CR30" s="40" t="s">
        <v>48</v>
      </c>
      <c r="CS30" s="40" t="s">
        <v>48</v>
      </c>
      <c r="CT30" s="40" t="s">
        <v>48</v>
      </c>
      <c r="CU30" s="40" t="s">
        <v>48</v>
      </c>
      <c r="CV30" s="40" t="s">
        <v>48</v>
      </c>
      <c r="CW30" s="40" t="s">
        <v>48</v>
      </c>
      <c r="CX30" s="40" t="s">
        <v>48</v>
      </c>
      <c r="CY30" s="40" t="s">
        <v>48</v>
      </c>
      <c r="CZ30" s="40" t="s">
        <v>48</v>
      </c>
      <c r="DA30" s="40" t="s">
        <v>48</v>
      </c>
      <c r="DC30" s="33"/>
      <c r="DD30" s="38" t="str">
        <f>Notes!U31</f>
        <v xml:space="preserve">      Nuts</v>
      </c>
      <c r="DE30" s="4" t="s">
        <v>522</v>
      </c>
      <c r="DF30" s="44" t="s">
        <v>48</v>
      </c>
      <c r="DG30" s="42" t="s">
        <v>48</v>
      </c>
      <c r="DH30" s="42" t="s">
        <v>48</v>
      </c>
      <c r="DI30" s="40" t="s">
        <v>48</v>
      </c>
      <c r="DJ30" s="40" t="s">
        <v>48</v>
      </c>
      <c r="DK30" s="40" t="s">
        <v>48</v>
      </c>
      <c r="DL30" s="40" t="s">
        <v>48</v>
      </c>
      <c r="DM30" s="40" t="s">
        <v>48</v>
      </c>
      <c r="DN30" s="40" t="s">
        <v>48</v>
      </c>
      <c r="DO30" s="40" t="s">
        <v>48</v>
      </c>
      <c r="DP30" s="40" t="s">
        <v>48</v>
      </c>
      <c r="DQ30" s="40" t="s">
        <v>48</v>
      </c>
      <c r="DR30" s="40" t="s">
        <v>48</v>
      </c>
      <c r="DS30" s="40" t="s">
        <v>48</v>
      </c>
      <c r="DT30" s="40" t="s">
        <v>48</v>
      </c>
      <c r="DU30" s="40" t="s">
        <v>48</v>
      </c>
      <c r="DV30" s="40" t="s">
        <v>48</v>
      </c>
    </row>
    <row r="31" spans="1:126" x14ac:dyDescent="0.3">
      <c r="A31" s="12">
        <v>24</v>
      </c>
      <c r="B31" s="33"/>
      <c r="C31" s="38" t="str">
        <f>Notes!U32</f>
        <v xml:space="preserve">      Bananas and plantains</v>
      </c>
      <c r="D31" s="4" t="s">
        <v>523</v>
      </c>
      <c r="E31" s="44">
        <v>1</v>
      </c>
      <c r="F31" s="42">
        <v>2.494044732586076E-2</v>
      </c>
      <c r="G31" s="42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W31" s="33"/>
      <c r="X31" s="38" t="str">
        <f>Notes!U32</f>
        <v xml:space="preserve">      Bananas and plantains</v>
      </c>
      <c r="Y31" s="4" t="s">
        <v>523</v>
      </c>
      <c r="Z31" s="44">
        <v>1.1328339456323901</v>
      </c>
      <c r="AA31" s="42">
        <v>2.0403474168118052E-2</v>
      </c>
      <c r="AB31" s="42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O31" s="40" t="s">
        <v>48</v>
      </c>
      <c r="AP31" s="40" t="s">
        <v>48</v>
      </c>
      <c r="AR31" s="33"/>
      <c r="AS31" s="38" t="str">
        <f>Notes!U32</f>
        <v xml:space="preserve">      Bananas and plantains</v>
      </c>
      <c r="AT31" s="4" t="s">
        <v>523</v>
      </c>
      <c r="AU31" s="44" t="s">
        <v>48</v>
      </c>
      <c r="AV31" s="42" t="s">
        <v>48</v>
      </c>
      <c r="AW31" s="42" t="s">
        <v>48</v>
      </c>
      <c r="AX31" s="40" t="s">
        <v>48</v>
      </c>
      <c r="AY31" s="40" t="s">
        <v>48</v>
      </c>
      <c r="AZ31" s="40" t="s">
        <v>48</v>
      </c>
      <c r="BA31" s="40" t="s">
        <v>48</v>
      </c>
      <c r="BB31" s="40" t="s">
        <v>48</v>
      </c>
      <c r="BC31" s="40" t="s">
        <v>48</v>
      </c>
      <c r="BD31" s="40" t="s">
        <v>48</v>
      </c>
      <c r="BE31" s="40" t="s">
        <v>48</v>
      </c>
      <c r="BF31" s="40" t="s">
        <v>48</v>
      </c>
      <c r="BG31" s="40" t="s">
        <v>48</v>
      </c>
      <c r="BH31" s="40" t="s">
        <v>48</v>
      </c>
      <c r="BI31" s="40" t="s">
        <v>48</v>
      </c>
      <c r="BJ31" s="40" t="s">
        <v>48</v>
      </c>
      <c r="BK31" s="40" t="s">
        <v>48</v>
      </c>
      <c r="BM31" s="33"/>
      <c r="BN31" s="38" t="str">
        <f>Notes!U32</f>
        <v xml:space="preserve">      Bananas and plantains</v>
      </c>
      <c r="BO31" s="4" t="s">
        <v>523</v>
      </c>
      <c r="BP31" s="44" t="s">
        <v>48</v>
      </c>
      <c r="BQ31" s="42" t="s">
        <v>48</v>
      </c>
      <c r="BR31" s="42" t="s">
        <v>48</v>
      </c>
      <c r="BS31" s="40" t="s">
        <v>48</v>
      </c>
      <c r="BT31" s="40" t="s">
        <v>48</v>
      </c>
      <c r="BU31" s="40" t="s">
        <v>48</v>
      </c>
      <c r="BV31" s="40" t="s">
        <v>48</v>
      </c>
      <c r="BW31" s="40" t="s">
        <v>48</v>
      </c>
      <c r="BX31" s="40" t="s">
        <v>48</v>
      </c>
      <c r="BY31" s="40" t="s">
        <v>48</v>
      </c>
      <c r="BZ31" s="40" t="s">
        <v>48</v>
      </c>
      <c r="CA31" s="40" t="s">
        <v>48</v>
      </c>
      <c r="CB31" s="40" t="s">
        <v>48</v>
      </c>
      <c r="CC31" s="40" t="s">
        <v>48</v>
      </c>
      <c r="CD31" s="40" t="s">
        <v>48</v>
      </c>
      <c r="CE31" s="40" t="s">
        <v>48</v>
      </c>
      <c r="CF31" s="40" t="s">
        <v>48</v>
      </c>
      <c r="CH31" s="33"/>
      <c r="CI31" s="38" t="str">
        <f>Notes!U32</f>
        <v xml:space="preserve">      Bananas and plantains</v>
      </c>
      <c r="CJ31" s="4" t="s">
        <v>523</v>
      </c>
      <c r="CK31" s="44" t="s">
        <v>48</v>
      </c>
      <c r="CL31" s="42" t="s">
        <v>48</v>
      </c>
      <c r="CM31" s="42" t="s">
        <v>48</v>
      </c>
      <c r="CN31" s="40" t="s">
        <v>48</v>
      </c>
      <c r="CO31" s="40" t="s">
        <v>48</v>
      </c>
      <c r="CP31" s="40" t="s">
        <v>48</v>
      </c>
      <c r="CQ31" s="40" t="s">
        <v>48</v>
      </c>
      <c r="CR31" s="40" t="s">
        <v>48</v>
      </c>
      <c r="CS31" s="40" t="s">
        <v>48</v>
      </c>
      <c r="CT31" s="40" t="s">
        <v>48</v>
      </c>
      <c r="CU31" s="40" t="s">
        <v>48</v>
      </c>
      <c r="CV31" s="40" t="s">
        <v>48</v>
      </c>
      <c r="CW31" s="40" t="s">
        <v>48</v>
      </c>
      <c r="CX31" s="40" t="s">
        <v>48</v>
      </c>
      <c r="CY31" s="40" t="s">
        <v>48</v>
      </c>
      <c r="CZ31" s="40" t="s">
        <v>48</v>
      </c>
      <c r="DA31" s="40" t="s">
        <v>48</v>
      </c>
      <c r="DC31" s="33"/>
      <c r="DD31" s="38" t="str">
        <f>Notes!U32</f>
        <v xml:space="preserve">      Bananas and plantains</v>
      </c>
      <c r="DE31" s="4" t="s">
        <v>523</v>
      </c>
      <c r="DF31" s="44" t="s">
        <v>48</v>
      </c>
      <c r="DG31" s="42" t="s">
        <v>48</v>
      </c>
      <c r="DH31" s="42" t="s">
        <v>48</v>
      </c>
      <c r="DI31" s="40" t="s">
        <v>48</v>
      </c>
      <c r="DJ31" s="40" t="s">
        <v>48</v>
      </c>
      <c r="DK31" s="40" t="s">
        <v>48</v>
      </c>
      <c r="DL31" s="40" t="s">
        <v>48</v>
      </c>
      <c r="DM31" s="40" t="s">
        <v>48</v>
      </c>
      <c r="DN31" s="40" t="s">
        <v>48</v>
      </c>
      <c r="DO31" s="40" t="s">
        <v>48</v>
      </c>
      <c r="DP31" s="40" t="s">
        <v>48</v>
      </c>
      <c r="DQ31" s="40" t="s">
        <v>48</v>
      </c>
      <c r="DR31" s="40" t="s">
        <v>48</v>
      </c>
      <c r="DS31" s="40" t="s">
        <v>48</v>
      </c>
      <c r="DT31" s="40" t="s">
        <v>48</v>
      </c>
      <c r="DU31" s="40" t="s">
        <v>48</v>
      </c>
      <c r="DV31" s="40" t="s">
        <v>48</v>
      </c>
    </row>
    <row r="32" spans="1:126" x14ac:dyDescent="0.3">
      <c r="A32" s="12">
        <v>25</v>
      </c>
      <c r="B32" s="33"/>
      <c r="C32" s="38" t="str">
        <f>Notes!U33</f>
        <v xml:space="preserve">      Other fruits</v>
      </c>
      <c r="D32" s="4" t="s">
        <v>342</v>
      </c>
      <c r="E32" s="44">
        <v>1</v>
      </c>
      <c r="F32" s="42">
        <v>9.844345580156677E-3</v>
      </c>
      <c r="G32" s="42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W32" s="33"/>
      <c r="X32" s="38" t="str">
        <f>Notes!U33</f>
        <v xml:space="preserve">      Other fruits</v>
      </c>
      <c r="Y32" s="4" t="s">
        <v>342</v>
      </c>
      <c r="Z32" s="44">
        <v>1.165077178634601</v>
      </c>
      <c r="AA32" s="42">
        <v>-6.14918028724043E-3</v>
      </c>
      <c r="AB32" s="42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O32" s="40" t="s">
        <v>48</v>
      </c>
      <c r="AP32" s="40" t="s">
        <v>48</v>
      </c>
      <c r="AR32" s="33"/>
      <c r="AS32" s="38" t="str">
        <f>Notes!U33</f>
        <v xml:space="preserve">      Other fruits</v>
      </c>
      <c r="AT32" s="4" t="s">
        <v>342</v>
      </c>
      <c r="AU32" s="44" t="s">
        <v>48</v>
      </c>
      <c r="AV32" s="42" t="s">
        <v>48</v>
      </c>
      <c r="AW32" s="42" t="s">
        <v>48</v>
      </c>
      <c r="AX32" s="40" t="s">
        <v>48</v>
      </c>
      <c r="AY32" s="40" t="s">
        <v>48</v>
      </c>
      <c r="AZ32" s="40" t="s">
        <v>48</v>
      </c>
      <c r="BA32" s="40" t="s">
        <v>48</v>
      </c>
      <c r="BB32" s="40" t="s">
        <v>48</v>
      </c>
      <c r="BC32" s="40" t="s">
        <v>48</v>
      </c>
      <c r="BD32" s="40" t="s">
        <v>48</v>
      </c>
      <c r="BE32" s="40" t="s">
        <v>48</v>
      </c>
      <c r="BF32" s="40" t="s">
        <v>48</v>
      </c>
      <c r="BG32" s="40" t="s">
        <v>48</v>
      </c>
      <c r="BH32" s="40" t="s">
        <v>48</v>
      </c>
      <c r="BI32" s="40" t="s">
        <v>48</v>
      </c>
      <c r="BJ32" s="40" t="s">
        <v>48</v>
      </c>
      <c r="BK32" s="40" t="s">
        <v>48</v>
      </c>
      <c r="BM32" s="33"/>
      <c r="BN32" s="38" t="str">
        <f>Notes!U33</f>
        <v xml:space="preserve">      Other fruits</v>
      </c>
      <c r="BO32" s="4" t="s">
        <v>342</v>
      </c>
      <c r="BP32" s="44">
        <v>1.1650771786346015</v>
      </c>
      <c r="BQ32" s="42">
        <v>-1.7415598685721623E-2</v>
      </c>
      <c r="BR32" s="42" t="s">
        <v>48</v>
      </c>
      <c r="BS32" s="40" t="s">
        <v>48</v>
      </c>
      <c r="BT32" s="40" t="s">
        <v>48</v>
      </c>
      <c r="BU32" s="40" t="s">
        <v>48</v>
      </c>
      <c r="BV32" s="40" t="s">
        <v>48</v>
      </c>
      <c r="BW32" s="40" t="s">
        <v>48</v>
      </c>
      <c r="BX32" s="40" t="s">
        <v>48</v>
      </c>
      <c r="BY32" s="40" t="s">
        <v>48</v>
      </c>
      <c r="BZ32" s="40" t="s">
        <v>48</v>
      </c>
      <c r="CA32" s="40" t="s">
        <v>48</v>
      </c>
      <c r="CB32" s="40" t="s">
        <v>48</v>
      </c>
      <c r="CC32" s="40" t="s">
        <v>48</v>
      </c>
      <c r="CD32" s="40" t="s">
        <v>48</v>
      </c>
      <c r="CE32" s="40" t="s">
        <v>48</v>
      </c>
      <c r="CF32" s="40" t="s">
        <v>48</v>
      </c>
      <c r="CH32" s="33"/>
      <c r="CI32" s="38" t="str">
        <f>Notes!U33</f>
        <v xml:space="preserve">      Other fruits</v>
      </c>
      <c r="CJ32" s="4" t="s">
        <v>342</v>
      </c>
      <c r="CK32" s="44" t="s">
        <v>48</v>
      </c>
      <c r="CL32" s="42" t="s">
        <v>48</v>
      </c>
      <c r="CM32" s="42" t="s">
        <v>48</v>
      </c>
      <c r="CN32" s="40" t="s">
        <v>48</v>
      </c>
      <c r="CO32" s="40" t="s">
        <v>48</v>
      </c>
      <c r="CP32" s="40" t="s">
        <v>48</v>
      </c>
      <c r="CQ32" s="40" t="s">
        <v>48</v>
      </c>
      <c r="CR32" s="40" t="s">
        <v>48</v>
      </c>
      <c r="CS32" s="40" t="s">
        <v>48</v>
      </c>
      <c r="CT32" s="40" t="s">
        <v>48</v>
      </c>
      <c r="CU32" s="40" t="s">
        <v>48</v>
      </c>
      <c r="CV32" s="40" t="s">
        <v>48</v>
      </c>
      <c r="CW32" s="40" t="s">
        <v>48</v>
      </c>
      <c r="CX32" s="40" t="s">
        <v>48</v>
      </c>
      <c r="CY32" s="40" t="s">
        <v>48</v>
      </c>
      <c r="CZ32" s="40" t="s">
        <v>48</v>
      </c>
      <c r="DA32" s="40" t="s">
        <v>48</v>
      </c>
      <c r="DC32" s="33"/>
      <c r="DD32" s="38" t="str">
        <f>Notes!U33</f>
        <v xml:space="preserve">      Other fruits</v>
      </c>
      <c r="DE32" s="4" t="s">
        <v>342</v>
      </c>
      <c r="DF32" s="44">
        <v>0.76346161201596996</v>
      </c>
      <c r="DG32" s="42" t="s">
        <v>48</v>
      </c>
      <c r="DH32" s="42" t="s">
        <v>48</v>
      </c>
      <c r="DI32" s="40" t="s">
        <v>48</v>
      </c>
      <c r="DJ32" s="40" t="s">
        <v>48</v>
      </c>
      <c r="DK32" s="40" t="s">
        <v>48</v>
      </c>
      <c r="DL32" s="40" t="s">
        <v>48</v>
      </c>
      <c r="DM32" s="40" t="s">
        <v>48</v>
      </c>
      <c r="DN32" s="40" t="s">
        <v>48</v>
      </c>
      <c r="DO32" s="40" t="s">
        <v>48</v>
      </c>
      <c r="DP32" s="40" t="s">
        <v>48</v>
      </c>
      <c r="DQ32" s="40" t="s">
        <v>48</v>
      </c>
      <c r="DR32" s="40" t="s">
        <v>48</v>
      </c>
      <c r="DS32" s="40" t="s">
        <v>48</v>
      </c>
      <c r="DT32" s="40" t="s">
        <v>48</v>
      </c>
      <c r="DU32" s="40" t="s">
        <v>48</v>
      </c>
      <c r="DV32" s="40" t="s">
        <v>48</v>
      </c>
    </row>
    <row r="33" spans="1:126" x14ac:dyDescent="0.3">
      <c r="A33" s="12">
        <v>26</v>
      </c>
      <c r="B33" s="33"/>
      <c r="C33" s="38" t="str">
        <f>Notes!U34</f>
        <v xml:space="preserve">      Leaf tea</v>
      </c>
      <c r="D33" s="4" t="s">
        <v>525</v>
      </c>
      <c r="E33" s="44">
        <v>1</v>
      </c>
      <c r="F33" s="42">
        <v>0.13135980586957974</v>
      </c>
      <c r="G33" s="42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U33" s="40" t="s">
        <v>48</v>
      </c>
      <c r="W33" s="33"/>
      <c r="X33" s="38" t="str">
        <f>Notes!U34</f>
        <v xml:space="preserve">      Leaf tea</v>
      </c>
      <c r="Y33" s="4" t="s">
        <v>525</v>
      </c>
      <c r="Z33" s="44">
        <v>1.0814197783845128</v>
      </c>
      <c r="AA33" s="42">
        <v>0.12047527249141599</v>
      </c>
      <c r="AB33" s="42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O33" s="40" t="s">
        <v>48</v>
      </c>
      <c r="AP33" s="40" t="s">
        <v>48</v>
      </c>
      <c r="AR33" s="33"/>
      <c r="AS33" s="38" t="str">
        <f>Notes!U34</f>
        <v xml:space="preserve">      Leaf tea</v>
      </c>
      <c r="AT33" s="4" t="s">
        <v>525</v>
      </c>
      <c r="AU33" s="44" t="s">
        <v>48</v>
      </c>
      <c r="AV33" s="42" t="s">
        <v>48</v>
      </c>
      <c r="AW33" s="42" t="s">
        <v>48</v>
      </c>
      <c r="AX33" s="40" t="s">
        <v>48</v>
      </c>
      <c r="AY33" s="40" t="s">
        <v>48</v>
      </c>
      <c r="AZ33" s="40" t="s">
        <v>48</v>
      </c>
      <c r="BA33" s="40" t="s">
        <v>48</v>
      </c>
      <c r="BB33" s="40" t="s">
        <v>48</v>
      </c>
      <c r="BC33" s="40" t="s">
        <v>48</v>
      </c>
      <c r="BD33" s="40" t="s">
        <v>48</v>
      </c>
      <c r="BE33" s="40" t="s">
        <v>48</v>
      </c>
      <c r="BF33" s="40" t="s">
        <v>48</v>
      </c>
      <c r="BG33" s="40" t="s">
        <v>48</v>
      </c>
      <c r="BH33" s="40" t="s">
        <v>48</v>
      </c>
      <c r="BI33" s="40" t="s">
        <v>48</v>
      </c>
      <c r="BJ33" s="40" t="s">
        <v>48</v>
      </c>
      <c r="BK33" s="40" t="s">
        <v>48</v>
      </c>
      <c r="BM33" s="33"/>
      <c r="BN33" s="38" t="str">
        <f>Notes!U34</f>
        <v xml:space="preserve">      Leaf tea</v>
      </c>
      <c r="BO33" s="4" t="s">
        <v>525</v>
      </c>
      <c r="BP33" s="44" t="s">
        <v>48</v>
      </c>
      <c r="BQ33" s="42" t="s">
        <v>48</v>
      </c>
      <c r="BR33" s="42" t="s">
        <v>48</v>
      </c>
      <c r="BS33" s="40" t="s">
        <v>48</v>
      </c>
      <c r="BT33" s="40" t="s">
        <v>48</v>
      </c>
      <c r="BU33" s="40" t="s">
        <v>48</v>
      </c>
      <c r="BV33" s="40" t="s">
        <v>48</v>
      </c>
      <c r="BW33" s="40" t="s">
        <v>48</v>
      </c>
      <c r="BX33" s="40" t="s">
        <v>48</v>
      </c>
      <c r="BY33" s="40" t="s">
        <v>48</v>
      </c>
      <c r="BZ33" s="40" t="s">
        <v>48</v>
      </c>
      <c r="CA33" s="40" t="s">
        <v>48</v>
      </c>
      <c r="CB33" s="40" t="s">
        <v>48</v>
      </c>
      <c r="CC33" s="40" t="s">
        <v>48</v>
      </c>
      <c r="CD33" s="40" t="s">
        <v>48</v>
      </c>
      <c r="CE33" s="40" t="s">
        <v>48</v>
      </c>
      <c r="CF33" s="40" t="s">
        <v>48</v>
      </c>
      <c r="CH33" s="33"/>
      <c r="CI33" s="38" t="str">
        <f>Notes!U34</f>
        <v xml:space="preserve">      Leaf tea</v>
      </c>
      <c r="CJ33" s="4" t="s">
        <v>525</v>
      </c>
      <c r="CK33" s="44" t="s">
        <v>48</v>
      </c>
      <c r="CL33" s="42" t="s">
        <v>48</v>
      </c>
      <c r="CM33" s="42" t="s">
        <v>48</v>
      </c>
      <c r="CN33" s="40" t="s">
        <v>48</v>
      </c>
      <c r="CO33" s="40" t="s">
        <v>48</v>
      </c>
      <c r="CP33" s="40" t="s">
        <v>48</v>
      </c>
      <c r="CQ33" s="40" t="s">
        <v>48</v>
      </c>
      <c r="CR33" s="40" t="s">
        <v>48</v>
      </c>
      <c r="CS33" s="40" t="s">
        <v>48</v>
      </c>
      <c r="CT33" s="40" t="s">
        <v>48</v>
      </c>
      <c r="CU33" s="40" t="s">
        <v>48</v>
      </c>
      <c r="CV33" s="40" t="s">
        <v>48</v>
      </c>
      <c r="CW33" s="40" t="s">
        <v>48</v>
      </c>
      <c r="CX33" s="40" t="s">
        <v>48</v>
      </c>
      <c r="CY33" s="40" t="s">
        <v>48</v>
      </c>
      <c r="CZ33" s="40" t="s">
        <v>48</v>
      </c>
      <c r="DA33" s="40" t="s">
        <v>48</v>
      </c>
      <c r="DC33" s="33"/>
      <c r="DD33" s="38" t="str">
        <f>Notes!U34</f>
        <v xml:space="preserve">      Leaf tea</v>
      </c>
      <c r="DE33" s="4" t="s">
        <v>525</v>
      </c>
      <c r="DF33" s="44" t="s">
        <v>48</v>
      </c>
      <c r="DG33" s="42" t="s">
        <v>48</v>
      </c>
      <c r="DH33" s="42" t="s">
        <v>48</v>
      </c>
      <c r="DI33" s="40" t="s">
        <v>48</v>
      </c>
      <c r="DJ33" s="40" t="s">
        <v>48</v>
      </c>
      <c r="DK33" s="40" t="s">
        <v>48</v>
      </c>
      <c r="DL33" s="40" t="s">
        <v>48</v>
      </c>
      <c r="DM33" s="40" t="s">
        <v>48</v>
      </c>
      <c r="DN33" s="40" t="s">
        <v>48</v>
      </c>
      <c r="DO33" s="40" t="s">
        <v>48</v>
      </c>
      <c r="DP33" s="40" t="s">
        <v>48</v>
      </c>
      <c r="DQ33" s="40" t="s">
        <v>48</v>
      </c>
      <c r="DR33" s="40" t="s">
        <v>48</v>
      </c>
      <c r="DS33" s="40" t="s">
        <v>48</v>
      </c>
      <c r="DT33" s="40" t="s">
        <v>48</v>
      </c>
      <c r="DU33" s="40" t="s">
        <v>48</v>
      </c>
      <c r="DV33" s="40" t="s">
        <v>48</v>
      </c>
    </row>
    <row r="34" spans="1:126" x14ac:dyDescent="0.3">
      <c r="A34" s="12">
        <v>27</v>
      </c>
      <c r="B34" s="33"/>
      <c r="C34" s="38" t="str">
        <f>Notes!U35</f>
        <v xml:space="preserve">      Coffee</v>
      </c>
      <c r="D34" s="4" t="s">
        <v>343</v>
      </c>
      <c r="E34" s="44" t="s">
        <v>48</v>
      </c>
      <c r="F34" s="42" t="s">
        <v>48</v>
      </c>
      <c r="G34" s="42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U34" s="40" t="s">
        <v>48</v>
      </c>
      <c r="W34" s="33"/>
      <c r="X34" s="38" t="str">
        <f>Notes!U35</f>
        <v xml:space="preserve">      Coffee</v>
      </c>
      <c r="Y34" s="4" t="s">
        <v>343</v>
      </c>
      <c r="Z34" s="44" t="s">
        <v>48</v>
      </c>
      <c r="AA34" s="42" t="s">
        <v>48</v>
      </c>
      <c r="AB34" s="42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O34" s="40" t="s">
        <v>48</v>
      </c>
      <c r="AP34" s="40" t="s">
        <v>48</v>
      </c>
      <c r="AR34" s="33"/>
      <c r="AS34" s="38" t="str">
        <f>Notes!U35</f>
        <v xml:space="preserve">      Coffee</v>
      </c>
      <c r="AT34" s="4" t="s">
        <v>343</v>
      </c>
      <c r="AU34" s="44" t="s">
        <v>48</v>
      </c>
      <c r="AV34" s="42" t="s">
        <v>48</v>
      </c>
      <c r="AW34" s="42" t="s">
        <v>48</v>
      </c>
      <c r="AX34" s="40" t="s">
        <v>48</v>
      </c>
      <c r="AY34" s="40" t="s">
        <v>48</v>
      </c>
      <c r="AZ34" s="40" t="s">
        <v>48</v>
      </c>
      <c r="BA34" s="40" t="s">
        <v>48</v>
      </c>
      <c r="BB34" s="40" t="s">
        <v>48</v>
      </c>
      <c r="BC34" s="40" t="s">
        <v>48</v>
      </c>
      <c r="BD34" s="40" t="s">
        <v>48</v>
      </c>
      <c r="BE34" s="40" t="s">
        <v>48</v>
      </c>
      <c r="BF34" s="40" t="s">
        <v>48</v>
      </c>
      <c r="BG34" s="40" t="s">
        <v>48</v>
      </c>
      <c r="BH34" s="40" t="s">
        <v>48</v>
      </c>
      <c r="BI34" s="40" t="s">
        <v>48</v>
      </c>
      <c r="BJ34" s="40" t="s">
        <v>48</v>
      </c>
      <c r="BK34" s="40" t="s">
        <v>48</v>
      </c>
      <c r="BM34" s="33"/>
      <c r="BN34" s="38" t="str">
        <f>Notes!U35</f>
        <v xml:space="preserve">      Coffee</v>
      </c>
      <c r="BO34" s="4" t="s">
        <v>343</v>
      </c>
      <c r="BP34" s="44" t="s">
        <v>48</v>
      </c>
      <c r="BQ34" s="42" t="s">
        <v>48</v>
      </c>
      <c r="BR34" s="42" t="s">
        <v>48</v>
      </c>
      <c r="BS34" s="40" t="s">
        <v>48</v>
      </c>
      <c r="BT34" s="40" t="s">
        <v>48</v>
      </c>
      <c r="BU34" s="40" t="s">
        <v>48</v>
      </c>
      <c r="BV34" s="40" t="s">
        <v>48</v>
      </c>
      <c r="BW34" s="40" t="s">
        <v>48</v>
      </c>
      <c r="BX34" s="40" t="s">
        <v>48</v>
      </c>
      <c r="BY34" s="40" t="s">
        <v>48</v>
      </c>
      <c r="BZ34" s="40" t="s">
        <v>48</v>
      </c>
      <c r="CA34" s="40" t="s">
        <v>48</v>
      </c>
      <c r="CB34" s="40" t="s">
        <v>48</v>
      </c>
      <c r="CC34" s="40" t="s">
        <v>48</v>
      </c>
      <c r="CD34" s="40" t="s">
        <v>48</v>
      </c>
      <c r="CE34" s="40" t="s">
        <v>48</v>
      </c>
      <c r="CF34" s="40" t="s">
        <v>48</v>
      </c>
      <c r="CH34" s="33"/>
      <c r="CI34" s="38" t="str">
        <f>Notes!U35</f>
        <v xml:space="preserve">      Coffee</v>
      </c>
      <c r="CJ34" s="4" t="s">
        <v>343</v>
      </c>
      <c r="CK34" s="44" t="s">
        <v>48</v>
      </c>
      <c r="CL34" s="42" t="s">
        <v>48</v>
      </c>
      <c r="CM34" s="42" t="s">
        <v>48</v>
      </c>
      <c r="CN34" s="40" t="s">
        <v>48</v>
      </c>
      <c r="CO34" s="40" t="s">
        <v>48</v>
      </c>
      <c r="CP34" s="40" t="s">
        <v>48</v>
      </c>
      <c r="CQ34" s="40" t="s">
        <v>48</v>
      </c>
      <c r="CR34" s="40" t="s">
        <v>48</v>
      </c>
      <c r="CS34" s="40" t="s">
        <v>48</v>
      </c>
      <c r="CT34" s="40" t="s">
        <v>48</v>
      </c>
      <c r="CU34" s="40" t="s">
        <v>48</v>
      </c>
      <c r="CV34" s="40" t="s">
        <v>48</v>
      </c>
      <c r="CW34" s="40" t="s">
        <v>48</v>
      </c>
      <c r="CX34" s="40" t="s">
        <v>48</v>
      </c>
      <c r="CY34" s="40" t="s">
        <v>48</v>
      </c>
      <c r="CZ34" s="40" t="s">
        <v>48</v>
      </c>
      <c r="DA34" s="40" t="s">
        <v>48</v>
      </c>
      <c r="DC34" s="33"/>
      <c r="DD34" s="38" t="str">
        <f>Notes!U35</f>
        <v xml:space="preserve">      Coffee</v>
      </c>
      <c r="DE34" s="4" t="s">
        <v>343</v>
      </c>
      <c r="DF34" s="44" t="s">
        <v>48</v>
      </c>
      <c r="DG34" s="42" t="s">
        <v>48</v>
      </c>
      <c r="DH34" s="42" t="s">
        <v>48</v>
      </c>
      <c r="DI34" s="40" t="s">
        <v>48</v>
      </c>
      <c r="DJ34" s="40" t="s">
        <v>48</v>
      </c>
      <c r="DK34" s="40" t="s">
        <v>48</v>
      </c>
      <c r="DL34" s="40" t="s">
        <v>48</v>
      </c>
      <c r="DM34" s="40" t="s">
        <v>48</v>
      </c>
      <c r="DN34" s="40" t="s">
        <v>48</v>
      </c>
      <c r="DO34" s="40" t="s">
        <v>48</v>
      </c>
      <c r="DP34" s="40" t="s">
        <v>48</v>
      </c>
      <c r="DQ34" s="40" t="s">
        <v>48</v>
      </c>
      <c r="DR34" s="40" t="s">
        <v>48</v>
      </c>
      <c r="DS34" s="40" t="s">
        <v>48</v>
      </c>
      <c r="DT34" s="40" t="s">
        <v>48</v>
      </c>
      <c r="DU34" s="40" t="s">
        <v>48</v>
      </c>
      <c r="DV34" s="40" t="s">
        <v>48</v>
      </c>
    </row>
    <row r="35" spans="1:126" x14ac:dyDescent="0.3">
      <c r="A35" s="12">
        <v>28</v>
      </c>
      <c r="B35" s="33"/>
      <c r="C35" s="38" t="str">
        <f>Notes!U36</f>
        <v xml:space="preserve">      Cocoa</v>
      </c>
      <c r="D35" s="4" t="s">
        <v>528</v>
      </c>
      <c r="E35" s="44" t="s">
        <v>48</v>
      </c>
      <c r="F35" s="42" t="s">
        <v>48</v>
      </c>
      <c r="G35" s="42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W35" s="33"/>
      <c r="X35" s="38" t="str">
        <f>Notes!U36</f>
        <v xml:space="preserve">      Cocoa</v>
      </c>
      <c r="Y35" s="4" t="s">
        <v>528</v>
      </c>
      <c r="Z35" s="44" t="s">
        <v>48</v>
      </c>
      <c r="AA35" s="42" t="s">
        <v>48</v>
      </c>
      <c r="AB35" s="42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O35" s="40" t="s">
        <v>48</v>
      </c>
      <c r="AP35" s="40" t="s">
        <v>48</v>
      </c>
      <c r="AR35" s="33"/>
      <c r="AS35" s="38" t="str">
        <f>Notes!U36</f>
        <v xml:space="preserve">      Cocoa</v>
      </c>
      <c r="AT35" s="4" t="s">
        <v>528</v>
      </c>
      <c r="AU35" s="44" t="s">
        <v>48</v>
      </c>
      <c r="AV35" s="42" t="s">
        <v>48</v>
      </c>
      <c r="AW35" s="42" t="s">
        <v>48</v>
      </c>
      <c r="AX35" s="40" t="s">
        <v>48</v>
      </c>
      <c r="AY35" s="40" t="s">
        <v>48</v>
      </c>
      <c r="AZ35" s="40" t="s">
        <v>48</v>
      </c>
      <c r="BA35" s="40" t="s">
        <v>48</v>
      </c>
      <c r="BB35" s="40" t="s">
        <v>48</v>
      </c>
      <c r="BC35" s="40" t="s">
        <v>48</v>
      </c>
      <c r="BD35" s="40" t="s">
        <v>48</v>
      </c>
      <c r="BE35" s="40" t="s">
        <v>48</v>
      </c>
      <c r="BF35" s="40" t="s">
        <v>48</v>
      </c>
      <c r="BG35" s="40" t="s">
        <v>48</v>
      </c>
      <c r="BH35" s="40" t="s">
        <v>48</v>
      </c>
      <c r="BI35" s="40" t="s">
        <v>48</v>
      </c>
      <c r="BJ35" s="40" t="s">
        <v>48</v>
      </c>
      <c r="BK35" s="40" t="s">
        <v>48</v>
      </c>
      <c r="BM35" s="33"/>
      <c r="BN35" s="38" t="str">
        <f>Notes!U36</f>
        <v xml:space="preserve">      Cocoa</v>
      </c>
      <c r="BO35" s="4" t="s">
        <v>528</v>
      </c>
      <c r="BP35" s="44" t="s">
        <v>48</v>
      </c>
      <c r="BQ35" s="42" t="s">
        <v>48</v>
      </c>
      <c r="BR35" s="42" t="s">
        <v>48</v>
      </c>
      <c r="BS35" s="40" t="s">
        <v>48</v>
      </c>
      <c r="BT35" s="40" t="s">
        <v>48</v>
      </c>
      <c r="BU35" s="40" t="s">
        <v>48</v>
      </c>
      <c r="BV35" s="40" t="s">
        <v>48</v>
      </c>
      <c r="BW35" s="40" t="s">
        <v>48</v>
      </c>
      <c r="BX35" s="40" t="s">
        <v>48</v>
      </c>
      <c r="BY35" s="40" t="s">
        <v>48</v>
      </c>
      <c r="BZ35" s="40" t="s">
        <v>48</v>
      </c>
      <c r="CA35" s="40" t="s">
        <v>48</v>
      </c>
      <c r="CB35" s="40" t="s">
        <v>48</v>
      </c>
      <c r="CC35" s="40" t="s">
        <v>48</v>
      </c>
      <c r="CD35" s="40" t="s">
        <v>48</v>
      </c>
      <c r="CE35" s="40" t="s">
        <v>48</v>
      </c>
      <c r="CF35" s="40" t="s">
        <v>48</v>
      </c>
      <c r="CH35" s="33"/>
      <c r="CI35" s="38" t="str">
        <f>Notes!U36</f>
        <v xml:space="preserve">      Cocoa</v>
      </c>
      <c r="CJ35" s="4" t="s">
        <v>528</v>
      </c>
      <c r="CK35" s="44" t="s">
        <v>48</v>
      </c>
      <c r="CL35" s="42" t="s">
        <v>48</v>
      </c>
      <c r="CM35" s="42" t="s">
        <v>48</v>
      </c>
      <c r="CN35" s="40" t="s">
        <v>48</v>
      </c>
      <c r="CO35" s="40" t="s">
        <v>48</v>
      </c>
      <c r="CP35" s="40" t="s">
        <v>48</v>
      </c>
      <c r="CQ35" s="40" t="s">
        <v>48</v>
      </c>
      <c r="CR35" s="40" t="s">
        <v>48</v>
      </c>
      <c r="CS35" s="40" t="s">
        <v>48</v>
      </c>
      <c r="CT35" s="40" t="s">
        <v>48</v>
      </c>
      <c r="CU35" s="40" t="s">
        <v>48</v>
      </c>
      <c r="CV35" s="40" t="s">
        <v>48</v>
      </c>
      <c r="CW35" s="40" t="s">
        <v>48</v>
      </c>
      <c r="CX35" s="40" t="s">
        <v>48</v>
      </c>
      <c r="CY35" s="40" t="s">
        <v>48</v>
      </c>
      <c r="CZ35" s="40" t="s">
        <v>48</v>
      </c>
      <c r="DA35" s="40" t="s">
        <v>48</v>
      </c>
      <c r="DC35" s="33"/>
      <c r="DD35" s="38" t="str">
        <f>Notes!U36</f>
        <v xml:space="preserve">      Cocoa</v>
      </c>
      <c r="DE35" s="4" t="s">
        <v>528</v>
      </c>
      <c r="DF35" s="44" t="s">
        <v>48</v>
      </c>
      <c r="DG35" s="42" t="s">
        <v>48</v>
      </c>
      <c r="DH35" s="42" t="s">
        <v>48</v>
      </c>
      <c r="DI35" s="40" t="s">
        <v>48</v>
      </c>
      <c r="DJ35" s="40" t="s">
        <v>48</v>
      </c>
      <c r="DK35" s="40" t="s">
        <v>48</v>
      </c>
      <c r="DL35" s="40" t="s">
        <v>48</v>
      </c>
      <c r="DM35" s="40" t="s">
        <v>48</v>
      </c>
      <c r="DN35" s="40" t="s">
        <v>48</v>
      </c>
      <c r="DO35" s="40" t="s">
        <v>48</v>
      </c>
      <c r="DP35" s="40" t="s">
        <v>48</v>
      </c>
      <c r="DQ35" s="40" t="s">
        <v>48</v>
      </c>
      <c r="DR35" s="40" t="s">
        <v>48</v>
      </c>
      <c r="DS35" s="40" t="s">
        <v>48</v>
      </c>
      <c r="DT35" s="40" t="s">
        <v>48</v>
      </c>
      <c r="DU35" s="40" t="s">
        <v>48</v>
      </c>
      <c r="DV35" s="40" t="s">
        <v>48</v>
      </c>
    </row>
    <row r="36" spans="1:126" x14ac:dyDescent="0.3">
      <c r="A36" s="12">
        <v>29</v>
      </c>
      <c r="B36" s="33"/>
      <c r="C36" s="38" t="str">
        <f>Notes!U37</f>
        <v xml:space="preserve">      Cut flowers</v>
      </c>
      <c r="D36" s="4" t="s">
        <v>530</v>
      </c>
      <c r="E36" s="44" t="s">
        <v>48</v>
      </c>
      <c r="F36" s="42" t="s">
        <v>48</v>
      </c>
      <c r="G36" s="42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U36" s="40" t="s">
        <v>48</v>
      </c>
      <c r="W36" s="33"/>
      <c r="X36" s="38" t="str">
        <f>Notes!U37</f>
        <v xml:space="preserve">      Cut flowers</v>
      </c>
      <c r="Y36" s="4" t="s">
        <v>530</v>
      </c>
      <c r="Z36" s="44" t="s">
        <v>48</v>
      </c>
      <c r="AA36" s="42" t="s">
        <v>48</v>
      </c>
      <c r="AB36" s="42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O36" s="40" t="s">
        <v>48</v>
      </c>
      <c r="AP36" s="40" t="s">
        <v>48</v>
      </c>
      <c r="AR36" s="33"/>
      <c r="AS36" s="38" t="str">
        <f>Notes!U37</f>
        <v xml:space="preserve">      Cut flowers</v>
      </c>
      <c r="AT36" s="4" t="s">
        <v>530</v>
      </c>
      <c r="AU36" s="44" t="s">
        <v>48</v>
      </c>
      <c r="AV36" s="42" t="s">
        <v>48</v>
      </c>
      <c r="AW36" s="42" t="s">
        <v>48</v>
      </c>
      <c r="AX36" s="40" t="s">
        <v>48</v>
      </c>
      <c r="AY36" s="40" t="s">
        <v>48</v>
      </c>
      <c r="AZ36" s="40" t="s">
        <v>48</v>
      </c>
      <c r="BA36" s="40" t="s">
        <v>48</v>
      </c>
      <c r="BB36" s="40" t="s">
        <v>48</v>
      </c>
      <c r="BC36" s="40" t="s">
        <v>48</v>
      </c>
      <c r="BD36" s="40" t="s">
        <v>48</v>
      </c>
      <c r="BE36" s="40" t="s">
        <v>48</v>
      </c>
      <c r="BF36" s="40" t="s">
        <v>48</v>
      </c>
      <c r="BG36" s="40" t="s">
        <v>48</v>
      </c>
      <c r="BH36" s="40" t="s">
        <v>48</v>
      </c>
      <c r="BI36" s="40" t="s">
        <v>48</v>
      </c>
      <c r="BJ36" s="40" t="s">
        <v>48</v>
      </c>
      <c r="BK36" s="40" t="s">
        <v>48</v>
      </c>
      <c r="BM36" s="33"/>
      <c r="BN36" s="38" t="str">
        <f>Notes!U37</f>
        <v xml:space="preserve">      Cut flowers</v>
      </c>
      <c r="BO36" s="4" t="s">
        <v>530</v>
      </c>
      <c r="BP36" s="44" t="s">
        <v>48</v>
      </c>
      <c r="BQ36" s="42" t="s">
        <v>48</v>
      </c>
      <c r="BR36" s="42" t="s">
        <v>48</v>
      </c>
      <c r="BS36" s="40" t="s">
        <v>48</v>
      </c>
      <c r="BT36" s="40" t="s">
        <v>48</v>
      </c>
      <c r="BU36" s="40" t="s">
        <v>48</v>
      </c>
      <c r="BV36" s="40" t="s">
        <v>48</v>
      </c>
      <c r="BW36" s="40" t="s">
        <v>48</v>
      </c>
      <c r="BX36" s="40" t="s">
        <v>48</v>
      </c>
      <c r="BY36" s="40" t="s">
        <v>48</v>
      </c>
      <c r="BZ36" s="40" t="s">
        <v>48</v>
      </c>
      <c r="CA36" s="40" t="s">
        <v>48</v>
      </c>
      <c r="CB36" s="40" t="s">
        <v>48</v>
      </c>
      <c r="CC36" s="40" t="s">
        <v>48</v>
      </c>
      <c r="CD36" s="40" t="s">
        <v>48</v>
      </c>
      <c r="CE36" s="40" t="s">
        <v>48</v>
      </c>
      <c r="CF36" s="40" t="s">
        <v>48</v>
      </c>
      <c r="CH36" s="33"/>
      <c r="CI36" s="38" t="str">
        <f>Notes!U37</f>
        <v xml:space="preserve">      Cut flowers</v>
      </c>
      <c r="CJ36" s="4" t="s">
        <v>530</v>
      </c>
      <c r="CK36" s="44" t="s">
        <v>48</v>
      </c>
      <c r="CL36" s="42" t="s">
        <v>48</v>
      </c>
      <c r="CM36" s="42" t="s">
        <v>48</v>
      </c>
      <c r="CN36" s="40" t="s">
        <v>48</v>
      </c>
      <c r="CO36" s="40" t="s">
        <v>48</v>
      </c>
      <c r="CP36" s="40" t="s">
        <v>48</v>
      </c>
      <c r="CQ36" s="40" t="s">
        <v>48</v>
      </c>
      <c r="CR36" s="40" t="s">
        <v>48</v>
      </c>
      <c r="CS36" s="40" t="s">
        <v>48</v>
      </c>
      <c r="CT36" s="40" t="s">
        <v>48</v>
      </c>
      <c r="CU36" s="40" t="s">
        <v>48</v>
      </c>
      <c r="CV36" s="40" t="s">
        <v>48</v>
      </c>
      <c r="CW36" s="40" t="s">
        <v>48</v>
      </c>
      <c r="CX36" s="40" t="s">
        <v>48</v>
      </c>
      <c r="CY36" s="40" t="s">
        <v>48</v>
      </c>
      <c r="CZ36" s="40" t="s">
        <v>48</v>
      </c>
      <c r="DA36" s="40" t="s">
        <v>48</v>
      </c>
      <c r="DC36" s="33"/>
      <c r="DD36" s="38" t="str">
        <f>Notes!U37</f>
        <v xml:space="preserve">      Cut flowers</v>
      </c>
      <c r="DE36" s="4" t="s">
        <v>530</v>
      </c>
      <c r="DF36" s="44" t="s">
        <v>48</v>
      </c>
      <c r="DG36" s="42" t="s">
        <v>48</v>
      </c>
      <c r="DH36" s="42" t="s">
        <v>48</v>
      </c>
      <c r="DI36" s="40" t="s">
        <v>48</v>
      </c>
      <c r="DJ36" s="40" t="s">
        <v>48</v>
      </c>
      <c r="DK36" s="40" t="s">
        <v>48</v>
      </c>
      <c r="DL36" s="40" t="s">
        <v>48</v>
      </c>
      <c r="DM36" s="40" t="s">
        <v>48</v>
      </c>
      <c r="DN36" s="40" t="s">
        <v>48</v>
      </c>
      <c r="DO36" s="40" t="s">
        <v>48</v>
      </c>
      <c r="DP36" s="40" t="s">
        <v>48</v>
      </c>
      <c r="DQ36" s="40" t="s">
        <v>48</v>
      </c>
      <c r="DR36" s="40" t="s">
        <v>48</v>
      </c>
      <c r="DS36" s="40" t="s">
        <v>48</v>
      </c>
      <c r="DT36" s="40" t="s">
        <v>48</v>
      </c>
      <c r="DU36" s="40" t="s">
        <v>48</v>
      </c>
      <c r="DV36" s="40" t="s">
        <v>48</v>
      </c>
    </row>
    <row r="37" spans="1:126" x14ac:dyDescent="0.3">
      <c r="A37" s="12">
        <v>30</v>
      </c>
      <c r="B37" s="33"/>
      <c r="C37" s="38" t="str">
        <f>Notes!U38</f>
        <v xml:space="preserve">      Rubber</v>
      </c>
      <c r="D37" s="4" t="s">
        <v>532</v>
      </c>
      <c r="E37" s="44" t="s">
        <v>48</v>
      </c>
      <c r="F37" s="42" t="s">
        <v>48</v>
      </c>
      <c r="G37" s="42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W37" s="33"/>
      <c r="X37" s="38" t="str">
        <f>Notes!U38</f>
        <v xml:space="preserve">      Rubber</v>
      </c>
      <c r="Y37" s="4" t="s">
        <v>532</v>
      </c>
      <c r="Z37" s="44" t="s">
        <v>48</v>
      </c>
      <c r="AA37" s="42" t="s">
        <v>48</v>
      </c>
      <c r="AB37" s="42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O37" s="40" t="s">
        <v>48</v>
      </c>
      <c r="AP37" s="40" t="s">
        <v>48</v>
      </c>
      <c r="AR37" s="33"/>
      <c r="AS37" s="38" t="str">
        <f>Notes!U38</f>
        <v xml:space="preserve">      Rubber</v>
      </c>
      <c r="AT37" s="4" t="s">
        <v>532</v>
      </c>
      <c r="AU37" s="44" t="s">
        <v>48</v>
      </c>
      <c r="AV37" s="42" t="s">
        <v>48</v>
      </c>
      <c r="AW37" s="42" t="s">
        <v>48</v>
      </c>
      <c r="AX37" s="40" t="s">
        <v>48</v>
      </c>
      <c r="AY37" s="40" t="s">
        <v>48</v>
      </c>
      <c r="AZ37" s="40" t="s">
        <v>48</v>
      </c>
      <c r="BA37" s="40" t="s">
        <v>48</v>
      </c>
      <c r="BB37" s="40" t="s">
        <v>48</v>
      </c>
      <c r="BC37" s="40" t="s">
        <v>48</v>
      </c>
      <c r="BD37" s="40" t="s">
        <v>48</v>
      </c>
      <c r="BE37" s="40" t="s">
        <v>48</v>
      </c>
      <c r="BF37" s="40" t="s">
        <v>48</v>
      </c>
      <c r="BG37" s="40" t="s">
        <v>48</v>
      </c>
      <c r="BH37" s="40" t="s">
        <v>48</v>
      </c>
      <c r="BI37" s="40" t="s">
        <v>48</v>
      </c>
      <c r="BJ37" s="40" t="s">
        <v>48</v>
      </c>
      <c r="BK37" s="40" t="s">
        <v>48</v>
      </c>
      <c r="BM37" s="33"/>
      <c r="BN37" s="38" t="str">
        <f>Notes!U38</f>
        <v xml:space="preserve">      Rubber</v>
      </c>
      <c r="BO37" s="4" t="s">
        <v>532</v>
      </c>
      <c r="BP37" s="44" t="s">
        <v>48</v>
      </c>
      <c r="BQ37" s="42" t="s">
        <v>48</v>
      </c>
      <c r="BR37" s="42" t="s">
        <v>48</v>
      </c>
      <c r="BS37" s="40" t="s">
        <v>48</v>
      </c>
      <c r="BT37" s="40" t="s">
        <v>48</v>
      </c>
      <c r="BU37" s="40" t="s">
        <v>48</v>
      </c>
      <c r="BV37" s="40" t="s">
        <v>48</v>
      </c>
      <c r="BW37" s="40" t="s">
        <v>48</v>
      </c>
      <c r="BX37" s="40" t="s">
        <v>48</v>
      </c>
      <c r="BY37" s="40" t="s">
        <v>48</v>
      </c>
      <c r="BZ37" s="40" t="s">
        <v>48</v>
      </c>
      <c r="CA37" s="40" t="s">
        <v>48</v>
      </c>
      <c r="CB37" s="40" t="s">
        <v>48</v>
      </c>
      <c r="CC37" s="40" t="s">
        <v>48</v>
      </c>
      <c r="CD37" s="40" t="s">
        <v>48</v>
      </c>
      <c r="CE37" s="40" t="s">
        <v>48</v>
      </c>
      <c r="CF37" s="40" t="s">
        <v>48</v>
      </c>
      <c r="CH37" s="33"/>
      <c r="CI37" s="38" t="str">
        <f>Notes!U38</f>
        <v xml:space="preserve">      Rubber</v>
      </c>
      <c r="CJ37" s="4" t="s">
        <v>532</v>
      </c>
      <c r="CK37" s="44" t="s">
        <v>48</v>
      </c>
      <c r="CL37" s="42" t="s">
        <v>48</v>
      </c>
      <c r="CM37" s="42" t="s">
        <v>48</v>
      </c>
      <c r="CN37" s="40" t="s">
        <v>48</v>
      </c>
      <c r="CO37" s="40" t="s">
        <v>48</v>
      </c>
      <c r="CP37" s="40" t="s">
        <v>48</v>
      </c>
      <c r="CQ37" s="40" t="s">
        <v>48</v>
      </c>
      <c r="CR37" s="40" t="s">
        <v>48</v>
      </c>
      <c r="CS37" s="40" t="s">
        <v>48</v>
      </c>
      <c r="CT37" s="40" t="s">
        <v>48</v>
      </c>
      <c r="CU37" s="40" t="s">
        <v>48</v>
      </c>
      <c r="CV37" s="40" t="s">
        <v>48</v>
      </c>
      <c r="CW37" s="40" t="s">
        <v>48</v>
      </c>
      <c r="CX37" s="40" t="s">
        <v>48</v>
      </c>
      <c r="CY37" s="40" t="s">
        <v>48</v>
      </c>
      <c r="CZ37" s="40" t="s">
        <v>48</v>
      </c>
      <c r="DA37" s="40" t="s">
        <v>48</v>
      </c>
      <c r="DC37" s="33"/>
      <c r="DD37" s="38" t="str">
        <f>Notes!U38</f>
        <v xml:space="preserve">      Rubber</v>
      </c>
      <c r="DE37" s="4" t="s">
        <v>532</v>
      </c>
      <c r="DF37" s="44" t="s">
        <v>48</v>
      </c>
      <c r="DG37" s="42" t="s">
        <v>48</v>
      </c>
      <c r="DH37" s="42" t="s">
        <v>48</v>
      </c>
      <c r="DI37" s="40" t="s">
        <v>48</v>
      </c>
      <c r="DJ37" s="40" t="s">
        <v>48</v>
      </c>
      <c r="DK37" s="40" t="s">
        <v>48</v>
      </c>
      <c r="DL37" s="40" t="s">
        <v>48</v>
      </c>
      <c r="DM37" s="40" t="s">
        <v>48</v>
      </c>
      <c r="DN37" s="40" t="s">
        <v>48</v>
      </c>
      <c r="DO37" s="40" t="s">
        <v>48</v>
      </c>
      <c r="DP37" s="40" t="s">
        <v>48</v>
      </c>
      <c r="DQ37" s="40" t="s">
        <v>48</v>
      </c>
      <c r="DR37" s="40" t="s">
        <v>48</v>
      </c>
      <c r="DS37" s="40" t="s">
        <v>48</v>
      </c>
      <c r="DT37" s="40" t="s">
        <v>48</v>
      </c>
      <c r="DU37" s="40" t="s">
        <v>48</v>
      </c>
      <c r="DV37" s="40" t="s">
        <v>48</v>
      </c>
    </row>
    <row r="38" spans="1:126" x14ac:dyDescent="0.3">
      <c r="A38" s="12">
        <v>31</v>
      </c>
      <c r="B38" s="33"/>
      <c r="C38" s="38" t="str">
        <f>Notes!U39</f>
        <v xml:space="preserve">      Other crops</v>
      </c>
      <c r="D38" s="4" t="s">
        <v>344</v>
      </c>
      <c r="E38" s="44">
        <v>1</v>
      </c>
      <c r="F38" s="42">
        <v>2.9500657705772149E-2</v>
      </c>
      <c r="G38" s="42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  <c r="W38" s="33"/>
      <c r="X38" s="38" t="str">
        <f>Notes!U39</f>
        <v xml:space="preserve">      Other crops</v>
      </c>
      <c r="Y38" s="4" t="s">
        <v>344</v>
      </c>
      <c r="Z38" s="44">
        <v>1.117926858025329</v>
      </c>
      <c r="AA38" s="42">
        <v>1.6769620112389028E-2</v>
      </c>
      <c r="AB38" s="42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O38" s="40" t="s">
        <v>48</v>
      </c>
      <c r="AP38" s="40" t="s">
        <v>48</v>
      </c>
      <c r="AR38" s="33"/>
      <c r="AS38" s="38" t="str">
        <f>Notes!U39</f>
        <v xml:space="preserve">      Other crops</v>
      </c>
      <c r="AT38" s="4" t="s">
        <v>344</v>
      </c>
      <c r="AU38" s="44" t="s">
        <v>48</v>
      </c>
      <c r="AV38" s="42" t="s">
        <v>48</v>
      </c>
      <c r="AW38" s="42" t="s">
        <v>48</v>
      </c>
      <c r="AX38" s="40" t="s">
        <v>48</v>
      </c>
      <c r="AY38" s="40" t="s">
        <v>48</v>
      </c>
      <c r="AZ38" s="40" t="s">
        <v>48</v>
      </c>
      <c r="BA38" s="40" t="s">
        <v>48</v>
      </c>
      <c r="BB38" s="40" t="s">
        <v>48</v>
      </c>
      <c r="BC38" s="40" t="s">
        <v>48</v>
      </c>
      <c r="BD38" s="40" t="s">
        <v>48</v>
      </c>
      <c r="BE38" s="40" t="s">
        <v>48</v>
      </c>
      <c r="BF38" s="40" t="s">
        <v>48</v>
      </c>
      <c r="BG38" s="40" t="s">
        <v>48</v>
      </c>
      <c r="BH38" s="40" t="s">
        <v>48</v>
      </c>
      <c r="BI38" s="40" t="s">
        <v>48</v>
      </c>
      <c r="BJ38" s="40" t="s">
        <v>48</v>
      </c>
      <c r="BK38" s="40" t="s">
        <v>48</v>
      </c>
      <c r="BM38" s="33"/>
      <c r="BN38" s="38" t="str">
        <f>Notes!U39</f>
        <v xml:space="preserve">      Other crops</v>
      </c>
      <c r="BO38" s="4" t="s">
        <v>344</v>
      </c>
      <c r="BP38" s="44">
        <v>1.1139862187916876</v>
      </c>
      <c r="BQ38" s="42">
        <v>-1.7581832620816584E-2</v>
      </c>
      <c r="BR38" s="42" t="s">
        <v>48</v>
      </c>
      <c r="BS38" s="40" t="s">
        <v>48</v>
      </c>
      <c r="BT38" s="40" t="s">
        <v>48</v>
      </c>
      <c r="BU38" s="40" t="s">
        <v>48</v>
      </c>
      <c r="BV38" s="40" t="s">
        <v>48</v>
      </c>
      <c r="BW38" s="40" t="s">
        <v>48</v>
      </c>
      <c r="BX38" s="40" t="s">
        <v>48</v>
      </c>
      <c r="BY38" s="40" t="s">
        <v>48</v>
      </c>
      <c r="BZ38" s="40" t="s">
        <v>48</v>
      </c>
      <c r="CA38" s="40" t="s">
        <v>48</v>
      </c>
      <c r="CB38" s="40" t="s">
        <v>48</v>
      </c>
      <c r="CC38" s="40" t="s">
        <v>48</v>
      </c>
      <c r="CD38" s="40" t="s">
        <v>48</v>
      </c>
      <c r="CE38" s="40" t="s">
        <v>48</v>
      </c>
      <c r="CF38" s="40" t="s">
        <v>48</v>
      </c>
      <c r="CH38" s="33"/>
      <c r="CI38" s="38" t="str">
        <f>Notes!U39</f>
        <v xml:space="preserve">      Other crops</v>
      </c>
      <c r="CJ38" s="4" t="s">
        <v>344</v>
      </c>
      <c r="CK38" s="44" t="s">
        <v>48</v>
      </c>
      <c r="CL38" s="42" t="s">
        <v>48</v>
      </c>
      <c r="CM38" s="42" t="s">
        <v>48</v>
      </c>
      <c r="CN38" s="40" t="s">
        <v>48</v>
      </c>
      <c r="CO38" s="40" t="s">
        <v>48</v>
      </c>
      <c r="CP38" s="40" t="s">
        <v>48</v>
      </c>
      <c r="CQ38" s="40" t="s">
        <v>48</v>
      </c>
      <c r="CR38" s="40" t="s">
        <v>48</v>
      </c>
      <c r="CS38" s="40" t="s">
        <v>48</v>
      </c>
      <c r="CT38" s="40" t="s">
        <v>48</v>
      </c>
      <c r="CU38" s="40" t="s">
        <v>48</v>
      </c>
      <c r="CV38" s="40" t="s">
        <v>48</v>
      </c>
      <c r="CW38" s="40" t="s">
        <v>48</v>
      </c>
      <c r="CX38" s="40" t="s">
        <v>48</v>
      </c>
      <c r="CY38" s="40" t="s">
        <v>48</v>
      </c>
      <c r="CZ38" s="40" t="s">
        <v>48</v>
      </c>
      <c r="DA38" s="40" t="s">
        <v>48</v>
      </c>
      <c r="DC38" s="33"/>
      <c r="DD38" s="38" t="str">
        <f>Notes!U39</f>
        <v xml:space="preserve">      Other crops</v>
      </c>
      <c r="DE38" s="4" t="s">
        <v>344</v>
      </c>
      <c r="DF38" s="44">
        <v>0.84651548492198714</v>
      </c>
      <c r="DG38" s="42" t="s">
        <v>48</v>
      </c>
      <c r="DH38" s="42" t="s">
        <v>48</v>
      </c>
      <c r="DI38" s="40" t="s">
        <v>48</v>
      </c>
      <c r="DJ38" s="40" t="s">
        <v>48</v>
      </c>
      <c r="DK38" s="40" t="s">
        <v>48</v>
      </c>
      <c r="DL38" s="40" t="s">
        <v>48</v>
      </c>
      <c r="DM38" s="40" t="s">
        <v>48</v>
      </c>
      <c r="DN38" s="40" t="s">
        <v>48</v>
      </c>
      <c r="DO38" s="40" t="s">
        <v>48</v>
      </c>
      <c r="DP38" s="40" t="s">
        <v>48</v>
      </c>
      <c r="DQ38" s="40" t="s">
        <v>48</v>
      </c>
      <c r="DR38" s="40" t="s">
        <v>48</v>
      </c>
      <c r="DS38" s="40" t="s">
        <v>48</v>
      </c>
      <c r="DT38" s="40" t="s">
        <v>48</v>
      </c>
      <c r="DU38" s="40" t="s">
        <v>48</v>
      </c>
      <c r="DV38" s="40" t="s">
        <v>48</v>
      </c>
    </row>
    <row r="39" spans="1:126" x14ac:dyDescent="0.3">
      <c r="A39" s="12">
        <v>32</v>
      </c>
      <c r="B39" s="33"/>
      <c r="C39" s="38" t="str">
        <f>Notes!U40</f>
        <v xml:space="preserve">   Livestock</v>
      </c>
      <c r="D39" s="4" t="s">
        <v>346</v>
      </c>
      <c r="E39" s="44">
        <v>0.99999999999999989</v>
      </c>
      <c r="F39" s="42">
        <v>-1.6987183311145682E-2</v>
      </c>
      <c r="G39" s="42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U39" s="40" t="s">
        <v>48</v>
      </c>
      <c r="W39" s="33"/>
      <c r="X39" s="38" t="str">
        <f>Notes!U40</f>
        <v xml:space="preserve">   Livestock</v>
      </c>
      <c r="Y39" s="4" t="s">
        <v>346</v>
      </c>
      <c r="Z39" s="44">
        <v>1.1624434057827957</v>
      </c>
      <c r="AA39" s="42">
        <v>-1.6514940868284089E-2</v>
      </c>
      <c r="AB39" s="42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O39" s="40" t="s">
        <v>48</v>
      </c>
      <c r="AP39" s="40" t="s">
        <v>48</v>
      </c>
      <c r="AR39" s="33"/>
      <c r="AS39" s="38" t="str">
        <f>Notes!U40</f>
        <v xml:space="preserve">   Livestock</v>
      </c>
      <c r="AT39" s="4" t="s">
        <v>346</v>
      </c>
      <c r="AU39" s="44" t="s">
        <v>48</v>
      </c>
      <c r="AV39" s="42" t="s">
        <v>48</v>
      </c>
      <c r="AW39" s="42" t="s">
        <v>48</v>
      </c>
      <c r="AX39" s="40" t="s">
        <v>48</v>
      </c>
      <c r="AY39" s="40" t="s">
        <v>48</v>
      </c>
      <c r="AZ39" s="40" t="s">
        <v>48</v>
      </c>
      <c r="BA39" s="40" t="s">
        <v>48</v>
      </c>
      <c r="BB39" s="40" t="s">
        <v>48</v>
      </c>
      <c r="BC39" s="40" t="s">
        <v>48</v>
      </c>
      <c r="BD39" s="40" t="s">
        <v>48</v>
      </c>
      <c r="BE39" s="40" t="s">
        <v>48</v>
      </c>
      <c r="BF39" s="40" t="s">
        <v>48</v>
      </c>
      <c r="BG39" s="40" t="s">
        <v>48</v>
      </c>
      <c r="BH39" s="40" t="s">
        <v>48</v>
      </c>
      <c r="BI39" s="40" t="s">
        <v>48</v>
      </c>
      <c r="BJ39" s="40" t="s">
        <v>48</v>
      </c>
      <c r="BK39" s="40" t="s">
        <v>48</v>
      </c>
      <c r="BM39" s="33"/>
      <c r="BN39" s="38" t="str">
        <f>Notes!U40</f>
        <v xml:space="preserve">   Livestock</v>
      </c>
      <c r="BO39" s="4" t="s">
        <v>346</v>
      </c>
      <c r="BP39" s="44">
        <v>1.1055042096623786</v>
      </c>
      <c r="BQ39" s="42">
        <v>-1.7610917763544176E-2</v>
      </c>
      <c r="BR39" s="42" t="s">
        <v>48</v>
      </c>
      <c r="BS39" s="40" t="s">
        <v>48</v>
      </c>
      <c r="BT39" s="40" t="s">
        <v>48</v>
      </c>
      <c r="BU39" s="40" t="s">
        <v>48</v>
      </c>
      <c r="BV39" s="40" t="s">
        <v>48</v>
      </c>
      <c r="BW39" s="40" t="s">
        <v>48</v>
      </c>
      <c r="BX39" s="40" t="s">
        <v>48</v>
      </c>
      <c r="BY39" s="40" t="s">
        <v>48</v>
      </c>
      <c r="BZ39" s="40" t="s">
        <v>48</v>
      </c>
      <c r="CA39" s="40" t="s">
        <v>48</v>
      </c>
      <c r="CB39" s="40" t="s">
        <v>48</v>
      </c>
      <c r="CC39" s="40" t="s">
        <v>48</v>
      </c>
      <c r="CD39" s="40" t="s">
        <v>48</v>
      </c>
      <c r="CE39" s="40" t="s">
        <v>48</v>
      </c>
      <c r="CF39" s="40" t="s">
        <v>48</v>
      </c>
      <c r="CH39" s="33"/>
      <c r="CI39" s="38" t="str">
        <f>Notes!U40</f>
        <v xml:space="preserve">   Livestock</v>
      </c>
      <c r="CJ39" s="4" t="s">
        <v>346</v>
      </c>
      <c r="CK39" s="44" t="s">
        <v>48</v>
      </c>
      <c r="CL39" s="42" t="s">
        <v>48</v>
      </c>
      <c r="CM39" s="42" t="s">
        <v>48</v>
      </c>
      <c r="CN39" s="40" t="s">
        <v>48</v>
      </c>
      <c r="CO39" s="40" t="s">
        <v>48</v>
      </c>
      <c r="CP39" s="40" t="s">
        <v>48</v>
      </c>
      <c r="CQ39" s="40" t="s">
        <v>48</v>
      </c>
      <c r="CR39" s="40" t="s">
        <v>48</v>
      </c>
      <c r="CS39" s="40" t="s">
        <v>48</v>
      </c>
      <c r="CT39" s="40" t="s">
        <v>48</v>
      </c>
      <c r="CU39" s="40" t="s">
        <v>48</v>
      </c>
      <c r="CV39" s="40" t="s">
        <v>48</v>
      </c>
      <c r="CW39" s="40" t="s">
        <v>48</v>
      </c>
      <c r="CX39" s="40" t="s">
        <v>48</v>
      </c>
      <c r="CY39" s="40" t="s">
        <v>48</v>
      </c>
      <c r="CZ39" s="40" t="s">
        <v>48</v>
      </c>
      <c r="DA39" s="40" t="s">
        <v>48</v>
      </c>
      <c r="DC39" s="33"/>
      <c r="DD39" s="38" t="str">
        <f>Notes!U40</f>
        <v xml:space="preserve">   Livestock</v>
      </c>
      <c r="DE39" s="4" t="s">
        <v>346</v>
      </c>
      <c r="DF39" s="44">
        <v>0.84873639131837486</v>
      </c>
      <c r="DG39" s="42" t="s">
        <v>48</v>
      </c>
      <c r="DH39" s="42" t="s">
        <v>48</v>
      </c>
      <c r="DI39" s="40" t="s">
        <v>48</v>
      </c>
      <c r="DJ39" s="40" t="s">
        <v>48</v>
      </c>
      <c r="DK39" s="40" t="s">
        <v>48</v>
      </c>
      <c r="DL39" s="40" t="s">
        <v>48</v>
      </c>
      <c r="DM39" s="40" t="s">
        <v>48</v>
      </c>
      <c r="DN39" s="40" t="s">
        <v>48</v>
      </c>
      <c r="DO39" s="40" t="s">
        <v>48</v>
      </c>
      <c r="DP39" s="40" t="s">
        <v>48</v>
      </c>
      <c r="DQ39" s="40" t="s">
        <v>48</v>
      </c>
      <c r="DR39" s="40" t="s">
        <v>48</v>
      </c>
      <c r="DS39" s="40" t="s">
        <v>48</v>
      </c>
      <c r="DT39" s="40" t="s">
        <v>48</v>
      </c>
      <c r="DU39" s="40" t="s">
        <v>48</v>
      </c>
      <c r="DV39" s="40" t="s">
        <v>48</v>
      </c>
    </row>
    <row r="40" spans="1:126" x14ac:dyDescent="0.3">
      <c r="A40" s="12">
        <v>33</v>
      </c>
      <c r="B40" s="33"/>
      <c r="C40" s="38" t="str">
        <f>Notes!U41</f>
        <v xml:space="preserve">      Cattle</v>
      </c>
      <c r="D40" s="4" t="s">
        <v>348</v>
      </c>
      <c r="E40" s="44">
        <v>1</v>
      </c>
      <c r="F40" s="42">
        <v>-9.2866901100330246E-3</v>
      </c>
      <c r="G40" s="42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U40" s="40" t="s">
        <v>48</v>
      </c>
      <c r="W40" s="33"/>
      <c r="X40" s="38" t="str">
        <f>Notes!U41</f>
        <v xml:space="preserve">      Cattle</v>
      </c>
      <c r="Y40" s="4" t="s">
        <v>348</v>
      </c>
      <c r="Z40" s="44">
        <v>1.1436975332217139</v>
      </c>
      <c r="AA40" s="42">
        <v>-9.8526145105415353E-3</v>
      </c>
      <c r="AB40" s="42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O40" s="40" t="s">
        <v>48</v>
      </c>
      <c r="AP40" s="40" t="s">
        <v>48</v>
      </c>
      <c r="AR40" s="33"/>
      <c r="AS40" s="38" t="str">
        <f>Notes!U41</f>
        <v xml:space="preserve">      Cattle</v>
      </c>
      <c r="AT40" s="4" t="s">
        <v>348</v>
      </c>
      <c r="AU40" s="44" t="s">
        <v>48</v>
      </c>
      <c r="AV40" s="42" t="s">
        <v>48</v>
      </c>
      <c r="AW40" s="42" t="s">
        <v>48</v>
      </c>
      <c r="AX40" s="40" t="s">
        <v>48</v>
      </c>
      <c r="AY40" s="40" t="s">
        <v>48</v>
      </c>
      <c r="AZ40" s="40" t="s">
        <v>48</v>
      </c>
      <c r="BA40" s="40" t="s">
        <v>48</v>
      </c>
      <c r="BB40" s="40" t="s">
        <v>48</v>
      </c>
      <c r="BC40" s="40" t="s">
        <v>48</v>
      </c>
      <c r="BD40" s="40" t="s">
        <v>48</v>
      </c>
      <c r="BE40" s="40" t="s">
        <v>48</v>
      </c>
      <c r="BF40" s="40" t="s">
        <v>48</v>
      </c>
      <c r="BG40" s="40" t="s">
        <v>48</v>
      </c>
      <c r="BH40" s="40" t="s">
        <v>48</v>
      </c>
      <c r="BI40" s="40" t="s">
        <v>48</v>
      </c>
      <c r="BJ40" s="40" t="s">
        <v>48</v>
      </c>
      <c r="BK40" s="40" t="s">
        <v>48</v>
      </c>
      <c r="BM40" s="33"/>
      <c r="BN40" s="38" t="str">
        <f>Notes!U41</f>
        <v xml:space="preserve">      Cattle</v>
      </c>
      <c r="BO40" s="4" t="s">
        <v>348</v>
      </c>
      <c r="BP40" s="44" t="s">
        <v>48</v>
      </c>
      <c r="BQ40" s="42" t="s">
        <v>48</v>
      </c>
      <c r="BR40" s="42" t="s">
        <v>48</v>
      </c>
      <c r="BS40" s="40" t="s">
        <v>48</v>
      </c>
      <c r="BT40" s="40" t="s">
        <v>48</v>
      </c>
      <c r="BU40" s="40" t="s">
        <v>48</v>
      </c>
      <c r="BV40" s="40" t="s">
        <v>48</v>
      </c>
      <c r="BW40" s="40" t="s">
        <v>48</v>
      </c>
      <c r="BX40" s="40" t="s">
        <v>48</v>
      </c>
      <c r="BY40" s="40" t="s">
        <v>48</v>
      </c>
      <c r="BZ40" s="40" t="s">
        <v>48</v>
      </c>
      <c r="CA40" s="40" t="s">
        <v>48</v>
      </c>
      <c r="CB40" s="40" t="s">
        <v>48</v>
      </c>
      <c r="CC40" s="40" t="s">
        <v>48</v>
      </c>
      <c r="CD40" s="40" t="s">
        <v>48</v>
      </c>
      <c r="CE40" s="40" t="s">
        <v>48</v>
      </c>
      <c r="CF40" s="40" t="s">
        <v>48</v>
      </c>
      <c r="CH40" s="33"/>
      <c r="CI40" s="38" t="str">
        <f>Notes!U41</f>
        <v xml:space="preserve">      Cattle</v>
      </c>
      <c r="CJ40" s="4" t="s">
        <v>348</v>
      </c>
      <c r="CK40" s="44" t="s">
        <v>48</v>
      </c>
      <c r="CL40" s="42" t="s">
        <v>48</v>
      </c>
      <c r="CM40" s="42" t="s">
        <v>48</v>
      </c>
      <c r="CN40" s="40" t="s">
        <v>48</v>
      </c>
      <c r="CO40" s="40" t="s">
        <v>48</v>
      </c>
      <c r="CP40" s="40" t="s">
        <v>48</v>
      </c>
      <c r="CQ40" s="40" t="s">
        <v>48</v>
      </c>
      <c r="CR40" s="40" t="s">
        <v>48</v>
      </c>
      <c r="CS40" s="40" t="s">
        <v>48</v>
      </c>
      <c r="CT40" s="40" t="s">
        <v>48</v>
      </c>
      <c r="CU40" s="40" t="s">
        <v>48</v>
      </c>
      <c r="CV40" s="40" t="s">
        <v>48</v>
      </c>
      <c r="CW40" s="40" t="s">
        <v>48</v>
      </c>
      <c r="CX40" s="40" t="s">
        <v>48</v>
      </c>
      <c r="CY40" s="40" t="s">
        <v>48</v>
      </c>
      <c r="CZ40" s="40" t="s">
        <v>48</v>
      </c>
      <c r="DA40" s="40" t="s">
        <v>48</v>
      </c>
      <c r="DC40" s="33"/>
      <c r="DD40" s="38" t="str">
        <f>Notes!U41</f>
        <v xml:space="preserve">      Cattle</v>
      </c>
      <c r="DE40" s="4" t="s">
        <v>348</v>
      </c>
      <c r="DF40" s="44" t="s">
        <v>48</v>
      </c>
      <c r="DG40" s="42" t="s">
        <v>48</v>
      </c>
      <c r="DH40" s="42" t="s">
        <v>48</v>
      </c>
      <c r="DI40" s="40" t="s">
        <v>48</v>
      </c>
      <c r="DJ40" s="40" t="s">
        <v>48</v>
      </c>
      <c r="DK40" s="40" t="s">
        <v>48</v>
      </c>
      <c r="DL40" s="40" t="s">
        <v>48</v>
      </c>
      <c r="DM40" s="40" t="s">
        <v>48</v>
      </c>
      <c r="DN40" s="40" t="s">
        <v>48</v>
      </c>
      <c r="DO40" s="40" t="s">
        <v>48</v>
      </c>
      <c r="DP40" s="40" t="s">
        <v>48</v>
      </c>
      <c r="DQ40" s="40" t="s">
        <v>48</v>
      </c>
      <c r="DR40" s="40" t="s">
        <v>48</v>
      </c>
      <c r="DS40" s="40" t="s">
        <v>48</v>
      </c>
      <c r="DT40" s="40" t="s">
        <v>48</v>
      </c>
      <c r="DU40" s="40" t="s">
        <v>48</v>
      </c>
      <c r="DV40" s="40" t="s">
        <v>48</v>
      </c>
    </row>
    <row r="41" spans="1:126" x14ac:dyDescent="0.3">
      <c r="A41" s="12">
        <v>34</v>
      </c>
      <c r="B41" s="33"/>
      <c r="C41" s="38" t="str">
        <f>Notes!U42</f>
        <v xml:space="preserve">      Raw milk</v>
      </c>
      <c r="D41" s="4" t="s">
        <v>535</v>
      </c>
      <c r="E41" s="44">
        <v>1</v>
      </c>
      <c r="F41" s="42">
        <v>-6.282945833357978E-3</v>
      </c>
      <c r="G41" s="42" t="s">
        <v>48</v>
      </c>
      <c r="H41" s="40" t="s">
        <v>48</v>
      </c>
      <c r="I41" s="40" t="s">
        <v>48</v>
      </c>
      <c r="J41" s="40" t="s">
        <v>48</v>
      </c>
      <c r="K41" s="40" t="s">
        <v>48</v>
      </c>
      <c r="L41" s="40" t="s">
        <v>48</v>
      </c>
      <c r="M41" s="40" t="s">
        <v>48</v>
      </c>
      <c r="N41" s="40" t="s">
        <v>48</v>
      </c>
      <c r="O41" s="40" t="s">
        <v>48</v>
      </c>
      <c r="P41" s="40" t="s">
        <v>48</v>
      </c>
      <c r="Q41" s="40" t="s">
        <v>48</v>
      </c>
      <c r="R41" s="40" t="s">
        <v>48</v>
      </c>
      <c r="S41" s="40" t="s">
        <v>48</v>
      </c>
      <c r="T41" s="40" t="s">
        <v>48</v>
      </c>
      <c r="U41" s="40" t="s">
        <v>48</v>
      </c>
      <c r="W41" s="33"/>
      <c r="X41" s="38" t="str">
        <f>Notes!U42</f>
        <v xml:space="preserve">      Raw milk</v>
      </c>
      <c r="Y41" s="4" t="s">
        <v>535</v>
      </c>
      <c r="Z41" s="44">
        <v>1.1978967344043145</v>
      </c>
      <c r="AA41" s="42">
        <v>-7.5231437000722323E-3</v>
      </c>
      <c r="AB41" s="42" t="s">
        <v>48</v>
      </c>
      <c r="AC41" s="40" t="s">
        <v>48</v>
      </c>
      <c r="AD41" s="40" t="s">
        <v>48</v>
      </c>
      <c r="AE41" s="40" t="s">
        <v>48</v>
      </c>
      <c r="AF41" s="40" t="s">
        <v>48</v>
      </c>
      <c r="AG41" s="40" t="s">
        <v>48</v>
      </c>
      <c r="AH41" s="40" t="s">
        <v>48</v>
      </c>
      <c r="AI41" s="40" t="s">
        <v>48</v>
      </c>
      <c r="AJ41" s="40" t="s">
        <v>48</v>
      </c>
      <c r="AK41" s="40" t="s">
        <v>48</v>
      </c>
      <c r="AL41" s="40" t="s">
        <v>48</v>
      </c>
      <c r="AM41" s="40" t="s">
        <v>48</v>
      </c>
      <c r="AN41" s="40" t="s">
        <v>48</v>
      </c>
      <c r="AO41" s="40" t="s">
        <v>48</v>
      </c>
      <c r="AP41" s="40" t="s">
        <v>48</v>
      </c>
      <c r="AR41" s="33"/>
      <c r="AS41" s="38" t="str">
        <f>Notes!U42</f>
        <v xml:space="preserve">      Raw milk</v>
      </c>
      <c r="AT41" s="4" t="s">
        <v>535</v>
      </c>
      <c r="AU41" s="44" t="s">
        <v>48</v>
      </c>
      <c r="AV41" s="42" t="s">
        <v>48</v>
      </c>
      <c r="AW41" s="42" t="s">
        <v>48</v>
      </c>
      <c r="AX41" s="40" t="s">
        <v>48</v>
      </c>
      <c r="AY41" s="40" t="s">
        <v>48</v>
      </c>
      <c r="AZ41" s="40" t="s">
        <v>48</v>
      </c>
      <c r="BA41" s="40" t="s">
        <v>48</v>
      </c>
      <c r="BB41" s="40" t="s">
        <v>48</v>
      </c>
      <c r="BC41" s="40" t="s">
        <v>48</v>
      </c>
      <c r="BD41" s="40" t="s">
        <v>48</v>
      </c>
      <c r="BE41" s="40" t="s">
        <v>48</v>
      </c>
      <c r="BF41" s="40" t="s">
        <v>48</v>
      </c>
      <c r="BG41" s="40" t="s">
        <v>48</v>
      </c>
      <c r="BH41" s="40" t="s">
        <v>48</v>
      </c>
      <c r="BI41" s="40" t="s">
        <v>48</v>
      </c>
      <c r="BJ41" s="40" t="s">
        <v>48</v>
      </c>
      <c r="BK41" s="40" t="s">
        <v>48</v>
      </c>
      <c r="BM41" s="33"/>
      <c r="BN41" s="38" t="str">
        <f>Notes!U42</f>
        <v xml:space="preserve">      Raw milk</v>
      </c>
      <c r="BO41" s="4" t="s">
        <v>535</v>
      </c>
      <c r="BP41" s="44" t="s">
        <v>48</v>
      </c>
      <c r="BQ41" s="42" t="s">
        <v>48</v>
      </c>
      <c r="BR41" s="42" t="s">
        <v>48</v>
      </c>
      <c r="BS41" s="40" t="s">
        <v>48</v>
      </c>
      <c r="BT41" s="40" t="s">
        <v>48</v>
      </c>
      <c r="BU41" s="40" t="s">
        <v>48</v>
      </c>
      <c r="BV41" s="40" t="s">
        <v>48</v>
      </c>
      <c r="BW41" s="40" t="s">
        <v>48</v>
      </c>
      <c r="BX41" s="40" t="s">
        <v>48</v>
      </c>
      <c r="BY41" s="40" t="s">
        <v>48</v>
      </c>
      <c r="BZ41" s="40" t="s">
        <v>48</v>
      </c>
      <c r="CA41" s="40" t="s">
        <v>48</v>
      </c>
      <c r="CB41" s="40" t="s">
        <v>48</v>
      </c>
      <c r="CC41" s="40" t="s">
        <v>48</v>
      </c>
      <c r="CD41" s="40" t="s">
        <v>48</v>
      </c>
      <c r="CE41" s="40" t="s">
        <v>48</v>
      </c>
      <c r="CF41" s="40" t="s">
        <v>48</v>
      </c>
      <c r="CH41" s="33"/>
      <c r="CI41" s="38" t="str">
        <f>Notes!U42</f>
        <v xml:space="preserve">      Raw milk</v>
      </c>
      <c r="CJ41" s="4" t="s">
        <v>535</v>
      </c>
      <c r="CK41" s="44" t="s">
        <v>48</v>
      </c>
      <c r="CL41" s="42" t="s">
        <v>48</v>
      </c>
      <c r="CM41" s="42" t="s">
        <v>48</v>
      </c>
      <c r="CN41" s="40" t="s">
        <v>48</v>
      </c>
      <c r="CO41" s="40" t="s">
        <v>48</v>
      </c>
      <c r="CP41" s="40" t="s">
        <v>48</v>
      </c>
      <c r="CQ41" s="40" t="s">
        <v>48</v>
      </c>
      <c r="CR41" s="40" t="s">
        <v>48</v>
      </c>
      <c r="CS41" s="40" t="s">
        <v>48</v>
      </c>
      <c r="CT41" s="40" t="s">
        <v>48</v>
      </c>
      <c r="CU41" s="40" t="s">
        <v>48</v>
      </c>
      <c r="CV41" s="40" t="s">
        <v>48</v>
      </c>
      <c r="CW41" s="40" t="s">
        <v>48</v>
      </c>
      <c r="CX41" s="40" t="s">
        <v>48</v>
      </c>
      <c r="CY41" s="40" t="s">
        <v>48</v>
      </c>
      <c r="CZ41" s="40" t="s">
        <v>48</v>
      </c>
      <c r="DA41" s="40" t="s">
        <v>48</v>
      </c>
      <c r="DC41" s="33"/>
      <c r="DD41" s="38" t="str">
        <f>Notes!U42</f>
        <v xml:space="preserve">      Raw milk</v>
      </c>
      <c r="DE41" s="4" t="s">
        <v>535</v>
      </c>
      <c r="DF41" s="44" t="s">
        <v>48</v>
      </c>
      <c r="DG41" s="42" t="s">
        <v>48</v>
      </c>
      <c r="DH41" s="42" t="s">
        <v>48</v>
      </c>
      <c r="DI41" s="40" t="s">
        <v>48</v>
      </c>
      <c r="DJ41" s="40" t="s">
        <v>48</v>
      </c>
      <c r="DK41" s="40" t="s">
        <v>48</v>
      </c>
      <c r="DL41" s="40" t="s">
        <v>48</v>
      </c>
      <c r="DM41" s="40" t="s">
        <v>48</v>
      </c>
      <c r="DN41" s="40" t="s">
        <v>48</v>
      </c>
      <c r="DO41" s="40" t="s">
        <v>48</v>
      </c>
      <c r="DP41" s="40" t="s">
        <v>48</v>
      </c>
      <c r="DQ41" s="40" t="s">
        <v>48</v>
      </c>
      <c r="DR41" s="40" t="s">
        <v>48</v>
      </c>
      <c r="DS41" s="40" t="s">
        <v>48</v>
      </c>
      <c r="DT41" s="40" t="s">
        <v>48</v>
      </c>
      <c r="DU41" s="40" t="s">
        <v>48</v>
      </c>
      <c r="DV41" s="40" t="s">
        <v>48</v>
      </c>
    </row>
    <row r="42" spans="1:126" x14ac:dyDescent="0.3">
      <c r="A42" s="12">
        <v>35</v>
      </c>
      <c r="B42" s="33"/>
      <c r="C42" s="38" t="str">
        <f>Notes!U43</f>
        <v xml:space="preserve">      Poultry</v>
      </c>
      <c r="D42" s="4" t="s">
        <v>349</v>
      </c>
      <c r="E42" s="44">
        <v>1</v>
      </c>
      <c r="F42" s="42">
        <v>-2.7422184040415409E-2</v>
      </c>
      <c r="G42" s="42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W42" s="33"/>
      <c r="X42" s="38" t="str">
        <f>Notes!U43</f>
        <v xml:space="preserve">      Poultry</v>
      </c>
      <c r="Y42" s="4" t="s">
        <v>349</v>
      </c>
      <c r="Z42" s="44">
        <v>1.1055042096623808</v>
      </c>
      <c r="AA42" s="42">
        <v>-2.5995223817820712E-2</v>
      </c>
      <c r="AB42" s="42" t="s">
        <v>48</v>
      </c>
      <c r="AC42" s="40" t="s">
        <v>48</v>
      </c>
      <c r="AD42" s="40" t="s">
        <v>48</v>
      </c>
      <c r="AE42" s="40" t="s">
        <v>48</v>
      </c>
      <c r="AF42" s="40" t="s">
        <v>48</v>
      </c>
      <c r="AG42" s="40" t="s">
        <v>48</v>
      </c>
      <c r="AH42" s="40" t="s">
        <v>48</v>
      </c>
      <c r="AI42" s="40" t="s">
        <v>48</v>
      </c>
      <c r="AJ42" s="40" t="s">
        <v>48</v>
      </c>
      <c r="AK42" s="40" t="s">
        <v>48</v>
      </c>
      <c r="AL42" s="40" t="s">
        <v>48</v>
      </c>
      <c r="AM42" s="40" t="s">
        <v>48</v>
      </c>
      <c r="AN42" s="40" t="s">
        <v>48</v>
      </c>
      <c r="AO42" s="40" t="s">
        <v>48</v>
      </c>
      <c r="AP42" s="40" t="s">
        <v>48</v>
      </c>
      <c r="AR42" s="33"/>
      <c r="AS42" s="38" t="str">
        <f>Notes!U43</f>
        <v xml:space="preserve">      Poultry</v>
      </c>
      <c r="AT42" s="4" t="s">
        <v>349</v>
      </c>
      <c r="AU42" s="44" t="s">
        <v>48</v>
      </c>
      <c r="AV42" s="42" t="s">
        <v>48</v>
      </c>
      <c r="AW42" s="42" t="s">
        <v>48</v>
      </c>
      <c r="AX42" s="40" t="s">
        <v>48</v>
      </c>
      <c r="AY42" s="40" t="s">
        <v>48</v>
      </c>
      <c r="AZ42" s="40" t="s">
        <v>48</v>
      </c>
      <c r="BA42" s="40" t="s">
        <v>48</v>
      </c>
      <c r="BB42" s="40" t="s">
        <v>48</v>
      </c>
      <c r="BC42" s="40" t="s">
        <v>48</v>
      </c>
      <c r="BD42" s="40" t="s">
        <v>48</v>
      </c>
      <c r="BE42" s="40" t="s">
        <v>48</v>
      </c>
      <c r="BF42" s="40" t="s">
        <v>48</v>
      </c>
      <c r="BG42" s="40" t="s">
        <v>48</v>
      </c>
      <c r="BH42" s="40" t="s">
        <v>48</v>
      </c>
      <c r="BI42" s="40" t="s">
        <v>48</v>
      </c>
      <c r="BJ42" s="40" t="s">
        <v>48</v>
      </c>
      <c r="BK42" s="40" t="s">
        <v>48</v>
      </c>
      <c r="BM42" s="33"/>
      <c r="BN42" s="38" t="str">
        <f>Notes!U43</f>
        <v xml:space="preserve">      Poultry</v>
      </c>
      <c r="BO42" s="4" t="s">
        <v>349</v>
      </c>
      <c r="BP42" s="44">
        <v>1.1055042096623786</v>
      </c>
      <c r="BQ42" s="42">
        <v>-1.7610917763544176E-2</v>
      </c>
      <c r="BR42" s="42" t="s">
        <v>48</v>
      </c>
      <c r="BS42" s="40" t="s">
        <v>48</v>
      </c>
      <c r="BT42" s="40" t="s">
        <v>48</v>
      </c>
      <c r="BU42" s="40" t="s">
        <v>48</v>
      </c>
      <c r="BV42" s="40" t="s">
        <v>48</v>
      </c>
      <c r="BW42" s="40" t="s">
        <v>48</v>
      </c>
      <c r="BX42" s="40" t="s">
        <v>48</v>
      </c>
      <c r="BY42" s="40" t="s">
        <v>48</v>
      </c>
      <c r="BZ42" s="40" t="s">
        <v>48</v>
      </c>
      <c r="CA42" s="40" t="s">
        <v>48</v>
      </c>
      <c r="CB42" s="40" t="s">
        <v>48</v>
      </c>
      <c r="CC42" s="40" t="s">
        <v>48</v>
      </c>
      <c r="CD42" s="40" t="s">
        <v>48</v>
      </c>
      <c r="CE42" s="40" t="s">
        <v>48</v>
      </c>
      <c r="CF42" s="40" t="s">
        <v>48</v>
      </c>
      <c r="CH42" s="33"/>
      <c r="CI42" s="38" t="str">
        <f>Notes!U43</f>
        <v xml:space="preserve">      Poultry</v>
      </c>
      <c r="CJ42" s="4" t="s">
        <v>349</v>
      </c>
      <c r="CK42" s="44" t="s">
        <v>48</v>
      </c>
      <c r="CL42" s="42" t="s">
        <v>48</v>
      </c>
      <c r="CM42" s="42" t="s">
        <v>48</v>
      </c>
      <c r="CN42" s="40" t="s">
        <v>48</v>
      </c>
      <c r="CO42" s="40" t="s">
        <v>48</v>
      </c>
      <c r="CP42" s="40" t="s">
        <v>48</v>
      </c>
      <c r="CQ42" s="40" t="s">
        <v>48</v>
      </c>
      <c r="CR42" s="40" t="s">
        <v>48</v>
      </c>
      <c r="CS42" s="40" t="s">
        <v>48</v>
      </c>
      <c r="CT42" s="40" t="s">
        <v>48</v>
      </c>
      <c r="CU42" s="40" t="s">
        <v>48</v>
      </c>
      <c r="CV42" s="40" t="s">
        <v>48</v>
      </c>
      <c r="CW42" s="40" t="s">
        <v>48</v>
      </c>
      <c r="CX42" s="40" t="s">
        <v>48</v>
      </c>
      <c r="CY42" s="40" t="s">
        <v>48</v>
      </c>
      <c r="CZ42" s="40" t="s">
        <v>48</v>
      </c>
      <c r="DA42" s="40" t="s">
        <v>48</v>
      </c>
      <c r="DC42" s="33"/>
      <c r="DD42" s="38" t="str">
        <f>Notes!U43</f>
        <v xml:space="preserve">      Poultry</v>
      </c>
      <c r="DE42" s="4" t="s">
        <v>349</v>
      </c>
      <c r="DF42" s="44">
        <v>0.84873639131837486</v>
      </c>
      <c r="DG42" s="42" t="s">
        <v>48</v>
      </c>
      <c r="DH42" s="42" t="s">
        <v>48</v>
      </c>
      <c r="DI42" s="40" t="s">
        <v>48</v>
      </c>
      <c r="DJ42" s="40" t="s">
        <v>48</v>
      </c>
      <c r="DK42" s="40" t="s">
        <v>48</v>
      </c>
      <c r="DL42" s="40" t="s">
        <v>48</v>
      </c>
      <c r="DM42" s="40" t="s">
        <v>48</v>
      </c>
      <c r="DN42" s="40" t="s">
        <v>48</v>
      </c>
      <c r="DO42" s="40" t="s">
        <v>48</v>
      </c>
      <c r="DP42" s="40" t="s">
        <v>48</v>
      </c>
      <c r="DQ42" s="40" t="s">
        <v>48</v>
      </c>
      <c r="DR42" s="40" t="s">
        <v>48</v>
      </c>
      <c r="DS42" s="40" t="s">
        <v>48</v>
      </c>
      <c r="DT42" s="40" t="s">
        <v>48</v>
      </c>
      <c r="DU42" s="40" t="s">
        <v>48</v>
      </c>
      <c r="DV42" s="40" t="s">
        <v>48</v>
      </c>
    </row>
    <row r="43" spans="1:126" x14ac:dyDescent="0.3">
      <c r="A43" s="12">
        <v>36</v>
      </c>
      <c r="B43" s="33"/>
      <c r="C43" s="38" t="str">
        <f>Notes!U44</f>
        <v xml:space="preserve">      Eggs</v>
      </c>
      <c r="D43" s="4" t="s">
        <v>538</v>
      </c>
      <c r="E43" s="44">
        <v>1</v>
      </c>
      <c r="F43" s="42">
        <v>-1.8126480977764814E-2</v>
      </c>
      <c r="G43" s="42" t="s">
        <v>48</v>
      </c>
      <c r="H43" s="40" t="s">
        <v>48</v>
      </c>
      <c r="I43" s="40" t="s">
        <v>48</v>
      </c>
      <c r="J43" s="40" t="s">
        <v>48</v>
      </c>
      <c r="K43" s="40" t="s">
        <v>48</v>
      </c>
      <c r="L43" s="40" t="s">
        <v>48</v>
      </c>
      <c r="M43" s="40" t="s">
        <v>48</v>
      </c>
      <c r="N43" s="40" t="s">
        <v>48</v>
      </c>
      <c r="O43" s="40" t="s">
        <v>48</v>
      </c>
      <c r="P43" s="40" t="s">
        <v>48</v>
      </c>
      <c r="Q43" s="40" t="s">
        <v>48</v>
      </c>
      <c r="R43" s="40" t="s">
        <v>48</v>
      </c>
      <c r="S43" s="40" t="s">
        <v>48</v>
      </c>
      <c r="T43" s="40" t="s">
        <v>48</v>
      </c>
      <c r="U43" s="40" t="s">
        <v>48</v>
      </c>
      <c r="W43" s="33"/>
      <c r="X43" s="38" t="str">
        <f>Notes!U44</f>
        <v xml:space="preserve">      Eggs</v>
      </c>
      <c r="Y43" s="4" t="s">
        <v>538</v>
      </c>
      <c r="Z43" s="44">
        <v>1.0825818246848107</v>
      </c>
      <c r="AA43" s="42">
        <v>-1.7795755109972777E-2</v>
      </c>
      <c r="AB43" s="42" t="s">
        <v>48</v>
      </c>
      <c r="AC43" s="40" t="s">
        <v>48</v>
      </c>
      <c r="AD43" s="40" t="s">
        <v>48</v>
      </c>
      <c r="AE43" s="40" t="s">
        <v>48</v>
      </c>
      <c r="AF43" s="40" t="s">
        <v>48</v>
      </c>
      <c r="AG43" s="40" t="s">
        <v>48</v>
      </c>
      <c r="AH43" s="40" t="s">
        <v>48</v>
      </c>
      <c r="AI43" s="40" t="s">
        <v>48</v>
      </c>
      <c r="AJ43" s="40" t="s">
        <v>48</v>
      </c>
      <c r="AK43" s="40" t="s">
        <v>48</v>
      </c>
      <c r="AL43" s="40" t="s">
        <v>48</v>
      </c>
      <c r="AM43" s="40" t="s">
        <v>48</v>
      </c>
      <c r="AN43" s="40" t="s">
        <v>48</v>
      </c>
      <c r="AO43" s="40" t="s">
        <v>48</v>
      </c>
      <c r="AP43" s="40" t="s">
        <v>48</v>
      </c>
      <c r="AR43" s="33"/>
      <c r="AS43" s="38" t="str">
        <f>Notes!U44</f>
        <v xml:space="preserve">      Eggs</v>
      </c>
      <c r="AT43" s="4" t="s">
        <v>538</v>
      </c>
      <c r="AU43" s="44" t="s">
        <v>48</v>
      </c>
      <c r="AV43" s="42" t="s">
        <v>48</v>
      </c>
      <c r="AW43" s="42" t="s">
        <v>48</v>
      </c>
      <c r="AX43" s="40" t="s">
        <v>48</v>
      </c>
      <c r="AY43" s="40" t="s">
        <v>48</v>
      </c>
      <c r="AZ43" s="40" t="s">
        <v>48</v>
      </c>
      <c r="BA43" s="40" t="s">
        <v>48</v>
      </c>
      <c r="BB43" s="40" t="s">
        <v>48</v>
      </c>
      <c r="BC43" s="40" t="s">
        <v>48</v>
      </c>
      <c r="BD43" s="40" t="s">
        <v>48</v>
      </c>
      <c r="BE43" s="40" t="s">
        <v>48</v>
      </c>
      <c r="BF43" s="40" t="s">
        <v>48</v>
      </c>
      <c r="BG43" s="40" t="s">
        <v>48</v>
      </c>
      <c r="BH43" s="40" t="s">
        <v>48</v>
      </c>
      <c r="BI43" s="40" t="s">
        <v>48</v>
      </c>
      <c r="BJ43" s="40" t="s">
        <v>48</v>
      </c>
      <c r="BK43" s="40" t="s">
        <v>48</v>
      </c>
      <c r="BM43" s="33"/>
      <c r="BN43" s="38" t="str">
        <f>Notes!U44</f>
        <v xml:space="preserve">      Eggs</v>
      </c>
      <c r="BO43" s="4" t="s">
        <v>538</v>
      </c>
      <c r="BP43" s="44" t="s">
        <v>48</v>
      </c>
      <c r="BQ43" s="42" t="s">
        <v>48</v>
      </c>
      <c r="BR43" s="42" t="s">
        <v>48</v>
      </c>
      <c r="BS43" s="40" t="s">
        <v>48</v>
      </c>
      <c r="BT43" s="40" t="s">
        <v>48</v>
      </c>
      <c r="BU43" s="40" t="s">
        <v>48</v>
      </c>
      <c r="BV43" s="40" t="s">
        <v>48</v>
      </c>
      <c r="BW43" s="40" t="s">
        <v>48</v>
      </c>
      <c r="BX43" s="40" t="s">
        <v>48</v>
      </c>
      <c r="BY43" s="40" t="s">
        <v>48</v>
      </c>
      <c r="BZ43" s="40" t="s">
        <v>48</v>
      </c>
      <c r="CA43" s="40" t="s">
        <v>48</v>
      </c>
      <c r="CB43" s="40" t="s">
        <v>48</v>
      </c>
      <c r="CC43" s="40" t="s">
        <v>48</v>
      </c>
      <c r="CD43" s="40" t="s">
        <v>48</v>
      </c>
      <c r="CE43" s="40" t="s">
        <v>48</v>
      </c>
      <c r="CF43" s="40" t="s">
        <v>48</v>
      </c>
      <c r="CH43" s="33"/>
      <c r="CI43" s="38" t="str">
        <f>Notes!U44</f>
        <v xml:space="preserve">      Eggs</v>
      </c>
      <c r="CJ43" s="4" t="s">
        <v>538</v>
      </c>
      <c r="CK43" s="44" t="s">
        <v>48</v>
      </c>
      <c r="CL43" s="42" t="s">
        <v>48</v>
      </c>
      <c r="CM43" s="42" t="s">
        <v>48</v>
      </c>
      <c r="CN43" s="40" t="s">
        <v>48</v>
      </c>
      <c r="CO43" s="40" t="s">
        <v>48</v>
      </c>
      <c r="CP43" s="40" t="s">
        <v>48</v>
      </c>
      <c r="CQ43" s="40" t="s">
        <v>48</v>
      </c>
      <c r="CR43" s="40" t="s">
        <v>48</v>
      </c>
      <c r="CS43" s="40" t="s">
        <v>48</v>
      </c>
      <c r="CT43" s="40" t="s">
        <v>48</v>
      </c>
      <c r="CU43" s="40" t="s">
        <v>48</v>
      </c>
      <c r="CV43" s="40" t="s">
        <v>48</v>
      </c>
      <c r="CW43" s="40" t="s">
        <v>48</v>
      </c>
      <c r="CX43" s="40" t="s">
        <v>48</v>
      </c>
      <c r="CY43" s="40" t="s">
        <v>48</v>
      </c>
      <c r="CZ43" s="40" t="s">
        <v>48</v>
      </c>
      <c r="DA43" s="40" t="s">
        <v>48</v>
      </c>
      <c r="DC43" s="33"/>
      <c r="DD43" s="38" t="str">
        <f>Notes!U44</f>
        <v xml:space="preserve">      Eggs</v>
      </c>
      <c r="DE43" s="4" t="s">
        <v>538</v>
      </c>
      <c r="DF43" s="44" t="s">
        <v>48</v>
      </c>
      <c r="DG43" s="42" t="s">
        <v>48</v>
      </c>
      <c r="DH43" s="42" t="s">
        <v>48</v>
      </c>
      <c r="DI43" s="40" t="s">
        <v>48</v>
      </c>
      <c r="DJ43" s="40" t="s">
        <v>48</v>
      </c>
      <c r="DK43" s="40" t="s">
        <v>48</v>
      </c>
      <c r="DL43" s="40" t="s">
        <v>48</v>
      </c>
      <c r="DM43" s="40" t="s">
        <v>48</v>
      </c>
      <c r="DN43" s="40" t="s">
        <v>48</v>
      </c>
      <c r="DO43" s="40" t="s">
        <v>48</v>
      </c>
      <c r="DP43" s="40" t="s">
        <v>48</v>
      </c>
      <c r="DQ43" s="40" t="s">
        <v>48</v>
      </c>
      <c r="DR43" s="40" t="s">
        <v>48</v>
      </c>
      <c r="DS43" s="40" t="s">
        <v>48</v>
      </c>
      <c r="DT43" s="40" t="s">
        <v>48</v>
      </c>
      <c r="DU43" s="40" t="s">
        <v>48</v>
      </c>
      <c r="DV43" s="40" t="s">
        <v>48</v>
      </c>
    </row>
    <row r="44" spans="1:126" x14ac:dyDescent="0.3">
      <c r="A44" s="12">
        <v>37</v>
      </c>
      <c r="B44" s="33"/>
      <c r="C44" s="38" t="str">
        <f>Notes!U45</f>
        <v xml:space="preserve">      Small ruminants</v>
      </c>
      <c r="D44" s="4" t="s">
        <v>540</v>
      </c>
      <c r="E44" s="44">
        <v>1</v>
      </c>
      <c r="F44" s="42">
        <v>-1.9933969894148085E-2</v>
      </c>
      <c r="G44" s="42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W44" s="33"/>
      <c r="X44" s="38" t="str">
        <f>Notes!U45</f>
        <v xml:space="preserve">      Small ruminants</v>
      </c>
      <c r="Y44" s="4" t="s">
        <v>540</v>
      </c>
      <c r="Z44" s="44">
        <v>1.2496504326317557</v>
      </c>
      <c r="AA44" s="42">
        <v>-1.8706659458289643E-2</v>
      </c>
      <c r="AB44" s="42" t="s">
        <v>48</v>
      </c>
      <c r="AC44" s="40" t="s">
        <v>48</v>
      </c>
      <c r="AD44" s="40" t="s">
        <v>48</v>
      </c>
      <c r="AE44" s="40" t="s">
        <v>48</v>
      </c>
      <c r="AF44" s="40" t="s">
        <v>48</v>
      </c>
      <c r="AG44" s="40" t="s">
        <v>48</v>
      </c>
      <c r="AH44" s="40" t="s">
        <v>48</v>
      </c>
      <c r="AI44" s="40" t="s">
        <v>48</v>
      </c>
      <c r="AJ44" s="40" t="s">
        <v>48</v>
      </c>
      <c r="AK44" s="40" t="s">
        <v>48</v>
      </c>
      <c r="AL44" s="40" t="s">
        <v>48</v>
      </c>
      <c r="AM44" s="40" t="s">
        <v>48</v>
      </c>
      <c r="AN44" s="40" t="s">
        <v>48</v>
      </c>
      <c r="AO44" s="40" t="s">
        <v>48</v>
      </c>
      <c r="AP44" s="40" t="s">
        <v>48</v>
      </c>
      <c r="AR44" s="33"/>
      <c r="AS44" s="38" t="str">
        <f>Notes!U45</f>
        <v xml:space="preserve">      Small ruminants</v>
      </c>
      <c r="AT44" s="4" t="s">
        <v>540</v>
      </c>
      <c r="AU44" s="44" t="s">
        <v>48</v>
      </c>
      <c r="AV44" s="42" t="s">
        <v>48</v>
      </c>
      <c r="AW44" s="42" t="s">
        <v>48</v>
      </c>
      <c r="AX44" s="40" t="s">
        <v>48</v>
      </c>
      <c r="AY44" s="40" t="s">
        <v>48</v>
      </c>
      <c r="AZ44" s="40" t="s">
        <v>48</v>
      </c>
      <c r="BA44" s="40" t="s">
        <v>48</v>
      </c>
      <c r="BB44" s="40" t="s">
        <v>48</v>
      </c>
      <c r="BC44" s="40" t="s">
        <v>48</v>
      </c>
      <c r="BD44" s="40" t="s">
        <v>48</v>
      </c>
      <c r="BE44" s="40" t="s">
        <v>48</v>
      </c>
      <c r="BF44" s="40" t="s">
        <v>48</v>
      </c>
      <c r="BG44" s="40" t="s">
        <v>48</v>
      </c>
      <c r="BH44" s="40" t="s">
        <v>48</v>
      </c>
      <c r="BI44" s="40" t="s">
        <v>48</v>
      </c>
      <c r="BJ44" s="40" t="s">
        <v>48</v>
      </c>
      <c r="BK44" s="40" t="s">
        <v>48</v>
      </c>
      <c r="BM44" s="33"/>
      <c r="BN44" s="38" t="str">
        <f>Notes!U45</f>
        <v xml:space="preserve">      Small ruminants</v>
      </c>
      <c r="BO44" s="4" t="s">
        <v>540</v>
      </c>
      <c r="BP44" s="44" t="s">
        <v>48</v>
      </c>
      <c r="BQ44" s="42" t="s">
        <v>48</v>
      </c>
      <c r="BR44" s="42" t="s">
        <v>48</v>
      </c>
      <c r="BS44" s="40" t="s">
        <v>48</v>
      </c>
      <c r="BT44" s="40" t="s">
        <v>48</v>
      </c>
      <c r="BU44" s="40" t="s">
        <v>48</v>
      </c>
      <c r="BV44" s="40" t="s">
        <v>48</v>
      </c>
      <c r="BW44" s="40" t="s">
        <v>48</v>
      </c>
      <c r="BX44" s="40" t="s">
        <v>48</v>
      </c>
      <c r="BY44" s="40" t="s">
        <v>48</v>
      </c>
      <c r="BZ44" s="40" t="s">
        <v>48</v>
      </c>
      <c r="CA44" s="40" t="s">
        <v>48</v>
      </c>
      <c r="CB44" s="40" t="s">
        <v>48</v>
      </c>
      <c r="CC44" s="40" t="s">
        <v>48</v>
      </c>
      <c r="CD44" s="40" t="s">
        <v>48</v>
      </c>
      <c r="CE44" s="40" t="s">
        <v>48</v>
      </c>
      <c r="CF44" s="40" t="s">
        <v>48</v>
      </c>
      <c r="CH44" s="33"/>
      <c r="CI44" s="38" t="str">
        <f>Notes!U45</f>
        <v xml:space="preserve">      Small ruminants</v>
      </c>
      <c r="CJ44" s="4" t="s">
        <v>540</v>
      </c>
      <c r="CK44" s="44" t="s">
        <v>48</v>
      </c>
      <c r="CL44" s="42" t="s">
        <v>48</v>
      </c>
      <c r="CM44" s="42" t="s">
        <v>48</v>
      </c>
      <c r="CN44" s="40" t="s">
        <v>48</v>
      </c>
      <c r="CO44" s="40" t="s">
        <v>48</v>
      </c>
      <c r="CP44" s="40" t="s">
        <v>48</v>
      </c>
      <c r="CQ44" s="40" t="s">
        <v>48</v>
      </c>
      <c r="CR44" s="40" t="s">
        <v>48</v>
      </c>
      <c r="CS44" s="40" t="s">
        <v>48</v>
      </c>
      <c r="CT44" s="40" t="s">
        <v>48</v>
      </c>
      <c r="CU44" s="40" t="s">
        <v>48</v>
      </c>
      <c r="CV44" s="40" t="s">
        <v>48</v>
      </c>
      <c r="CW44" s="40" t="s">
        <v>48</v>
      </c>
      <c r="CX44" s="40" t="s">
        <v>48</v>
      </c>
      <c r="CY44" s="40" t="s">
        <v>48</v>
      </c>
      <c r="CZ44" s="40" t="s">
        <v>48</v>
      </c>
      <c r="DA44" s="40" t="s">
        <v>48</v>
      </c>
      <c r="DC44" s="33"/>
      <c r="DD44" s="38" t="str">
        <f>Notes!U45</f>
        <v xml:space="preserve">      Small ruminants</v>
      </c>
      <c r="DE44" s="4" t="s">
        <v>540</v>
      </c>
      <c r="DF44" s="44" t="s">
        <v>48</v>
      </c>
      <c r="DG44" s="42" t="s">
        <v>48</v>
      </c>
      <c r="DH44" s="42" t="s">
        <v>48</v>
      </c>
      <c r="DI44" s="40" t="s">
        <v>48</v>
      </c>
      <c r="DJ44" s="40" t="s">
        <v>48</v>
      </c>
      <c r="DK44" s="40" t="s">
        <v>48</v>
      </c>
      <c r="DL44" s="40" t="s">
        <v>48</v>
      </c>
      <c r="DM44" s="40" t="s">
        <v>48</v>
      </c>
      <c r="DN44" s="40" t="s">
        <v>48</v>
      </c>
      <c r="DO44" s="40" t="s">
        <v>48</v>
      </c>
      <c r="DP44" s="40" t="s">
        <v>48</v>
      </c>
      <c r="DQ44" s="40" t="s">
        <v>48</v>
      </c>
      <c r="DR44" s="40" t="s">
        <v>48</v>
      </c>
      <c r="DS44" s="40" t="s">
        <v>48</v>
      </c>
      <c r="DT44" s="40" t="s">
        <v>48</v>
      </c>
      <c r="DU44" s="40" t="s">
        <v>48</v>
      </c>
      <c r="DV44" s="40" t="s">
        <v>48</v>
      </c>
    </row>
    <row r="45" spans="1:126" x14ac:dyDescent="0.3">
      <c r="A45" s="12">
        <v>38</v>
      </c>
      <c r="B45" s="33"/>
      <c r="C45" s="38" t="str">
        <f>Notes!U46</f>
        <v xml:space="preserve">      Other livestock</v>
      </c>
      <c r="D45" s="4" t="s">
        <v>350</v>
      </c>
      <c r="E45" s="44">
        <v>1</v>
      </c>
      <c r="F45" s="42">
        <v>-5.0725575279986224E-2</v>
      </c>
      <c r="G45" s="42" t="s">
        <v>48</v>
      </c>
      <c r="H45" s="40" t="s">
        <v>48</v>
      </c>
      <c r="I45" s="40" t="s">
        <v>48</v>
      </c>
      <c r="J45" s="40" t="s">
        <v>48</v>
      </c>
      <c r="K45" s="40" t="s">
        <v>48</v>
      </c>
      <c r="L45" s="40" t="s">
        <v>48</v>
      </c>
      <c r="M45" s="40" t="s">
        <v>48</v>
      </c>
      <c r="N45" s="40" t="s">
        <v>48</v>
      </c>
      <c r="O45" s="40" t="s">
        <v>48</v>
      </c>
      <c r="P45" s="40" t="s">
        <v>48</v>
      </c>
      <c r="Q45" s="40" t="s">
        <v>48</v>
      </c>
      <c r="R45" s="40" t="s">
        <v>48</v>
      </c>
      <c r="S45" s="40" t="s">
        <v>48</v>
      </c>
      <c r="T45" s="40" t="s">
        <v>48</v>
      </c>
      <c r="U45" s="40" t="s">
        <v>48</v>
      </c>
      <c r="W45" s="33"/>
      <c r="X45" s="38" t="str">
        <f>Notes!U46</f>
        <v xml:space="preserve">      Other livestock</v>
      </c>
      <c r="Y45" s="4" t="s">
        <v>350</v>
      </c>
      <c r="Z45" s="44">
        <v>1.1692373724647671</v>
      </c>
      <c r="AA45" s="42">
        <v>-4.537459762771201E-2</v>
      </c>
      <c r="AB45" s="42" t="s">
        <v>48</v>
      </c>
      <c r="AC45" s="40" t="s">
        <v>48</v>
      </c>
      <c r="AD45" s="40" t="s">
        <v>48</v>
      </c>
      <c r="AE45" s="40" t="s">
        <v>48</v>
      </c>
      <c r="AF45" s="40" t="s">
        <v>48</v>
      </c>
      <c r="AG45" s="40" t="s">
        <v>48</v>
      </c>
      <c r="AH45" s="40" t="s">
        <v>48</v>
      </c>
      <c r="AI45" s="40" t="s">
        <v>48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40" t="s">
        <v>48</v>
      </c>
      <c r="AO45" s="40" t="s">
        <v>48</v>
      </c>
      <c r="AP45" s="40" t="s">
        <v>48</v>
      </c>
      <c r="AR45" s="33"/>
      <c r="AS45" s="38" t="str">
        <f>Notes!U46</f>
        <v xml:space="preserve">      Other livestock</v>
      </c>
      <c r="AT45" s="4" t="s">
        <v>350</v>
      </c>
      <c r="AU45" s="44" t="s">
        <v>48</v>
      </c>
      <c r="AV45" s="42" t="s">
        <v>48</v>
      </c>
      <c r="AW45" s="42" t="s">
        <v>48</v>
      </c>
      <c r="AX45" s="40" t="s">
        <v>48</v>
      </c>
      <c r="AY45" s="40" t="s">
        <v>48</v>
      </c>
      <c r="AZ45" s="40" t="s">
        <v>48</v>
      </c>
      <c r="BA45" s="40" t="s">
        <v>48</v>
      </c>
      <c r="BB45" s="40" t="s">
        <v>48</v>
      </c>
      <c r="BC45" s="40" t="s">
        <v>48</v>
      </c>
      <c r="BD45" s="40" t="s">
        <v>48</v>
      </c>
      <c r="BE45" s="40" t="s">
        <v>48</v>
      </c>
      <c r="BF45" s="40" t="s">
        <v>48</v>
      </c>
      <c r="BG45" s="40" t="s">
        <v>48</v>
      </c>
      <c r="BH45" s="40" t="s">
        <v>48</v>
      </c>
      <c r="BI45" s="40" t="s">
        <v>48</v>
      </c>
      <c r="BJ45" s="40" t="s">
        <v>48</v>
      </c>
      <c r="BK45" s="40" t="s">
        <v>48</v>
      </c>
      <c r="BM45" s="33"/>
      <c r="BN45" s="38" t="str">
        <f>Notes!U46</f>
        <v xml:space="preserve">      Other livestock</v>
      </c>
      <c r="BO45" s="4" t="s">
        <v>350</v>
      </c>
      <c r="BP45" s="44" t="s">
        <v>48</v>
      </c>
      <c r="BQ45" s="42" t="s">
        <v>48</v>
      </c>
      <c r="BR45" s="42" t="s">
        <v>48</v>
      </c>
      <c r="BS45" s="40" t="s">
        <v>48</v>
      </c>
      <c r="BT45" s="40" t="s">
        <v>48</v>
      </c>
      <c r="BU45" s="40" t="s">
        <v>48</v>
      </c>
      <c r="BV45" s="40" t="s">
        <v>48</v>
      </c>
      <c r="BW45" s="40" t="s">
        <v>48</v>
      </c>
      <c r="BX45" s="40" t="s">
        <v>48</v>
      </c>
      <c r="BY45" s="40" t="s">
        <v>48</v>
      </c>
      <c r="BZ45" s="40" t="s">
        <v>48</v>
      </c>
      <c r="CA45" s="40" t="s">
        <v>48</v>
      </c>
      <c r="CB45" s="40" t="s">
        <v>48</v>
      </c>
      <c r="CC45" s="40" t="s">
        <v>48</v>
      </c>
      <c r="CD45" s="40" t="s">
        <v>48</v>
      </c>
      <c r="CE45" s="40" t="s">
        <v>48</v>
      </c>
      <c r="CF45" s="40" t="s">
        <v>48</v>
      </c>
      <c r="CH45" s="33"/>
      <c r="CI45" s="38" t="str">
        <f>Notes!U46</f>
        <v xml:space="preserve">      Other livestock</v>
      </c>
      <c r="CJ45" s="4" t="s">
        <v>350</v>
      </c>
      <c r="CK45" s="44" t="s">
        <v>48</v>
      </c>
      <c r="CL45" s="42" t="s">
        <v>48</v>
      </c>
      <c r="CM45" s="42" t="s">
        <v>48</v>
      </c>
      <c r="CN45" s="40" t="s">
        <v>48</v>
      </c>
      <c r="CO45" s="40" t="s">
        <v>48</v>
      </c>
      <c r="CP45" s="40" t="s">
        <v>48</v>
      </c>
      <c r="CQ45" s="40" t="s">
        <v>48</v>
      </c>
      <c r="CR45" s="40" t="s">
        <v>48</v>
      </c>
      <c r="CS45" s="40" t="s">
        <v>48</v>
      </c>
      <c r="CT45" s="40" t="s">
        <v>48</v>
      </c>
      <c r="CU45" s="40" t="s">
        <v>48</v>
      </c>
      <c r="CV45" s="40" t="s">
        <v>48</v>
      </c>
      <c r="CW45" s="40" t="s">
        <v>48</v>
      </c>
      <c r="CX45" s="40" t="s">
        <v>48</v>
      </c>
      <c r="CY45" s="40" t="s">
        <v>48</v>
      </c>
      <c r="CZ45" s="40" t="s">
        <v>48</v>
      </c>
      <c r="DA45" s="40" t="s">
        <v>48</v>
      </c>
      <c r="DC45" s="33"/>
      <c r="DD45" s="38" t="str">
        <f>Notes!U46</f>
        <v xml:space="preserve">      Other livestock</v>
      </c>
      <c r="DE45" s="4" t="s">
        <v>350</v>
      </c>
      <c r="DF45" s="44" t="s">
        <v>48</v>
      </c>
      <c r="DG45" s="42" t="s">
        <v>48</v>
      </c>
      <c r="DH45" s="42" t="s">
        <v>48</v>
      </c>
      <c r="DI45" s="40" t="s">
        <v>48</v>
      </c>
      <c r="DJ45" s="40" t="s">
        <v>48</v>
      </c>
      <c r="DK45" s="40" t="s">
        <v>48</v>
      </c>
      <c r="DL45" s="40" t="s">
        <v>48</v>
      </c>
      <c r="DM45" s="40" t="s">
        <v>48</v>
      </c>
      <c r="DN45" s="40" t="s">
        <v>48</v>
      </c>
      <c r="DO45" s="40" t="s">
        <v>48</v>
      </c>
      <c r="DP45" s="40" t="s">
        <v>48</v>
      </c>
      <c r="DQ45" s="40" t="s">
        <v>48</v>
      </c>
      <c r="DR45" s="40" t="s">
        <v>48</v>
      </c>
      <c r="DS45" s="40" t="s">
        <v>48</v>
      </c>
      <c r="DT45" s="40" t="s">
        <v>48</v>
      </c>
      <c r="DU45" s="40" t="s">
        <v>48</v>
      </c>
      <c r="DV45" s="40" t="s">
        <v>48</v>
      </c>
    </row>
    <row r="46" spans="1:126" x14ac:dyDescent="0.3">
      <c r="A46" s="12">
        <v>39</v>
      </c>
      <c r="B46" s="33"/>
      <c r="C46" s="38" t="str">
        <f>Notes!U47</f>
        <v xml:space="preserve">   Other agriculture</v>
      </c>
      <c r="D46" s="4" t="s">
        <v>352</v>
      </c>
      <c r="E46" s="44">
        <v>1</v>
      </c>
      <c r="F46" s="42">
        <v>-4.3476312947954288E-2</v>
      </c>
      <c r="G46" s="42" t="s">
        <v>48</v>
      </c>
      <c r="H46" s="40" t="s">
        <v>48</v>
      </c>
      <c r="I46" s="40" t="s">
        <v>48</v>
      </c>
      <c r="J46" s="40" t="s">
        <v>48</v>
      </c>
      <c r="K46" s="40" t="s">
        <v>48</v>
      </c>
      <c r="L46" s="40" t="s">
        <v>48</v>
      </c>
      <c r="M46" s="40" t="s">
        <v>48</v>
      </c>
      <c r="N46" s="40" t="s">
        <v>48</v>
      </c>
      <c r="O46" s="40" t="s">
        <v>48</v>
      </c>
      <c r="P46" s="40" t="s">
        <v>48</v>
      </c>
      <c r="Q46" s="40" t="s">
        <v>48</v>
      </c>
      <c r="R46" s="40" t="s">
        <v>48</v>
      </c>
      <c r="S46" s="40" t="s">
        <v>48</v>
      </c>
      <c r="T46" s="40" t="s">
        <v>48</v>
      </c>
      <c r="U46" s="40" t="s">
        <v>48</v>
      </c>
      <c r="W46" s="33"/>
      <c r="X46" s="38" t="str">
        <f>Notes!U47</f>
        <v xml:space="preserve">   Other agriculture</v>
      </c>
      <c r="Y46" s="4" t="s">
        <v>352</v>
      </c>
      <c r="Z46" s="44">
        <v>1.2849086699007231</v>
      </c>
      <c r="AA46" s="42">
        <v>-3.9530308311175322E-2</v>
      </c>
      <c r="AB46" s="42" t="s">
        <v>48</v>
      </c>
      <c r="AC46" s="40" t="s">
        <v>48</v>
      </c>
      <c r="AD46" s="40" t="s">
        <v>48</v>
      </c>
      <c r="AE46" s="40" t="s">
        <v>48</v>
      </c>
      <c r="AF46" s="40" t="s">
        <v>48</v>
      </c>
      <c r="AG46" s="40" t="s">
        <v>48</v>
      </c>
      <c r="AH46" s="40" t="s">
        <v>48</v>
      </c>
      <c r="AI46" s="40" t="s">
        <v>48</v>
      </c>
      <c r="AJ46" s="40" t="s">
        <v>48</v>
      </c>
      <c r="AK46" s="40" t="s">
        <v>48</v>
      </c>
      <c r="AL46" s="40" t="s">
        <v>48</v>
      </c>
      <c r="AM46" s="40" t="s">
        <v>48</v>
      </c>
      <c r="AN46" s="40" t="s">
        <v>48</v>
      </c>
      <c r="AO46" s="40" t="s">
        <v>48</v>
      </c>
      <c r="AP46" s="40" t="s">
        <v>48</v>
      </c>
      <c r="AR46" s="33"/>
      <c r="AS46" s="38" t="str">
        <f>Notes!U47</f>
        <v xml:space="preserve">   Other agriculture</v>
      </c>
      <c r="AT46" s="4" t="s">
        <v>352</v>
      </c>
      <c r="AU46" s="44">
        <v>1</v>
      </c>
      <c r="AV46" s="42">
        <v>-1.9234847488369677E-2</v>
      </c>
      <c r="AW46" s="42" t="s">
        <v>48</v>
      </c>
      <c r="AX46" s="40" t="s">
        <v>48</v>
      </c>
      <c r="AY46" s="40" t="s">
        <v>48</v>
      </c>
      <c r="AZ46" s="40" t="s">
        <v>48</v>
      </c>
      <c r="BA46" s="40" t="s">
        <v>48</v>
      </c>
      <c r="BB46" s="40" t="s">
        <v>48</v>
      </c>
      <c r="BC46" s="40" t="s">
        <v>48</v>
      </c>
      <c r="BD46" s="40" t="s">
        <v>48</v>
      </c>
      <c r="BE46" s="40" t="s">
        <v>48</v>
      </c>
      <c r="BF46" s="40" t="s">
        <v>48</v>
      </c>
      <c r="BG46" s="40" t="s">
        <v>48</v>
      </c>
      <c r="BH46" s="40" t="s">
        <v>48</v>
      </c>
      <c r="BI46" s="40" t="s">
        <v>48</v>
      </c>
      <c r="BJ46" s="40" t="s">
        <v>48</v>
      </c>
      <c r="BK46" s="40" t="s">
        <v>48</v>
      </c>
      <c r="BM46" s="33"/>
      <c r="BN46" s="38" t="str">
        <f>Notes!U47</f>
        <v xml:space="preserve">   Other agriculture</v>
      </c>
      <c r="BO46" s="4" t="s">
        <v>352</v>
      </c>
      <c r="BP46" s="44" t="s">
        <v>48</v>
      </c>
      <c r="BQ46" s="42" t="s">
        <v>48</v>
      </c>
      <c r="BR46" s="42" t="s">
        <v>48</v>
      </c>
      <c r="BS46" s="40" t="s">
        <v>48</v>
      </c>
      <c r="BT46" s="40" t="s">
        <v>48</v>
      </c>
      <c r="BU46" s="40" t="s">
        <v>48</v>
      </c>
      <c r="BV46" s="40" t="s">
        <v>48</v>
      </c>
      <c r="BW46" s="40" t="s">
        <v>48</v>
      </c>
      <c r="BX46" s="40" t="s">
        <v>48</v>
      </c>
      <c r="BY46" s="40" t="s">
        <v>48</v>
      </c>
      <c r="BZ46" s="40" t="s">
        <v>48</v>
      </c>
      <c r="CA46" s="40" t="s">
        <v>48</v>
      </c>
      <c r="CB46" s="40" t="s">
        <v>48</v>
      </c>
      <c r="CC46" s="40" t="s">
        <v>48</v>
      </c>
      <c r="CD46" s="40" t="s">
        <v>48</v>
      </c>
      <c r="CE46" s="40" t="s">
        <v>48</v>
      </c>
      <c r="CF46" s="40" t="s">
        <v>48</v>
      </c>
      <c r="CH46" s="33"/>
      <c r="CI46" s="38" t="str">
        <f>Notes!U47</f>
        <v xml:space="preserve">   Other agriculture</v>
      </c>
      <c r="CJ46" s="4" t="s">
        <v>352</v>
      </c>
      <c r="CK46" s="44">
        <v>1.2890970857991606</v>
      </c>
      <c r="CL46" s="42" t="s">
        <v>48</v>
      </c>
      <c r="CM46" s="42" t="s">
        <v>48</v>
      </c>
      <c r="CN46" s="40" t="s">
        <v>48</v>
      </c>
      <c r="CO46" s="40" t="s">
        <v>48</v>
      </c>
      <c r="CP46" s="40" t="s">
        <v>48</v>
      </c>
      <c r="CQ46" s="40" t="s">
        <v>48</v>
      </c>
      <c r="CR46" s="40" t="s">
        <v>48</v>
      </c>
      <c r="CS46" s="40" t="s">
        <v>48</v>
      </c>
      <c r="CT46" s="40" t="s">
        <v>48</v>
      </c>
      <c r="CU46" s="40" t="s">
        <v>48</v>
      </c>
      <c r="CV46" s="40" t="s">
        <v>48</v>
      </c>
      <c r="CW46" s="40" t="s">
        <v>48</v>
      </c>
      <c r="CX46" s="40" t="s">
        <v>48</v>
      </c>
      <c r="CY46" s="40" t="s">
        <v>48</v>
      </c>
      <c r="CZ46" s="40" t="s">
        <v>48</v>
      </c>
      <c r="DA46" s="40" t="s">
        <v>48</v>
      </c>
      <c r="DC46" s="33"/>
      <c r="DD46" s="38" t="str">
        <f>Notes!U47</f>
        <v xml:space="preserve">   Other agriculture</v>
      </c>
      <c r="DE46" s="4" t="s">
        <v>352</v>
      </c>
      <c r="DF46" s="44" t="s">
        <v>48</v>
      </c>
      <c r="DG46" s="42" t="s">
        <v>48</v>
      </c>
      <c r="DH46" s="42" t="s">
        <v>48</v>
      </c>
      <c r="DI46" s="40" t="s">
        <v>48</v>
      </c>
      <c r="DJ46" s="40" t="s">
        <v>48</v>
      </c>
      <c r="DK46" s="40" t="s">
        <v>48</v>
      </c>
      <c r="DL46" s="40" t="s">
        <v>48</v>
      </c>
      <c r="DM46" s="40" t="s">
        <v>48</v>
      </c>
      <c r="DN46" s="40" t="s">
        <v>48</v>
      </c>
      <c r="DO46" s="40" t="s">
        <v>48</v>
      </c>
      <c r="DP46" s="40" t="s">
        <v>48</v>
      </c>
      <c r="DQ46" s="40" t="s">
        <v>48</v>
      </c>
      <c r="DR46" s="40" t="s">
        <v>48</v>
      </c>
      <c r="DS46" s="40" t="s">
        <v>48</v>
      </c>
      <c r="DT46" s="40" t="s">
        <v>48</v>
      </c>
      <c r="DU46" s="40" t="s">
        <v>48</v>
      </c>
      <c r="DV46" s="40" t="s">
        <v>48</v>
      </c>
    </row>
    <row r="47" spans="1:126" x14ac:dyDescent="0.3">
      <c r="A47" s="12">
        <v>40</v>
      </c>
      <c r="B47" s="33"/>
      <c r="C47" s="38" t="str">
        <f>Notes!U48</f>
        <v xml:space="preserve">      Forestry</v>
      </c>
      <c r="D47" s="4" t="s">
        <v>354</v>
      </c>
      <c r="E47" s="44">
        <v>1</v>
      </c>
      <c r="F47" s="42">
        <v>-8.4710523591369213E-2</v>
      </c>
      <c r="G47" s="42" t="s">
        <v>48</v>
      </c>
      <c r="H47" s="40" t="s">
        <v>48</v>
      </c>
      <c r="I47" s="40" t="s">
        <v>48</v>
      </c>
      <c r="J47" s="40" t="s">
        <v>48</v>
      </c>
      <c r="K47" s="40" t="s">
        <v>48</v>
      </c>
      <c r="L47" s="40" t="s">
        <v>48</v>
      </c>
      <c r="M47" s="40" t="s">
        <v>48</v>
      </c>
      <c r="N47" s="40" t="s">
        <v>48</v>
      </c>
      <c r="O47" s="40" t="s">
        <v>48</v>
      </c>
      <c r="P47" s="40" t="s">
        <v>48</v>
      </c>
      <c r="Q47" s="40" t="s">
        <v>48</v>
      </c>
      <c r="R47" s="40" t="s">
        <v>48</v>
      </c>
      <c r="S47" s="40" t="s">
        <v>48</v>
      </c>
      <c r="T47" s="40" t="s">
        <v>48</v>
      </c>
      <c r="U47" s="40" t="s">
        <v>48</v>
      </c>
      <c r="W47" s="33"/>
      <c r="X47" s="38" t="str">
        <f>Notes!U48</f>
        <v xml:space="preserve">      Forestry</v>
      </c>
      <c r="Y47" s="4" t="s">
        <v>354</v>
      </c>
      <c r="Z47" s="44">
        <v>1.441566750665711</v>
      </c>
      <c r="AA47" s="42">
        <v>-6.295518476823192E-2</v>
      </c>
      <c r="AB47" s="42" t="s">
        <v>48</v>
      </c>
      <c r="AC47" s="40" t="s">
        <v>48</v>
      </c>
      <c r="AD47" s="40" t="s">
        <v>48</v>
      </c>
      <c r="AE47" s="40" t="s">
        <v>48</v>
      </c>
      <c r="AF47" s="40" t="s">
        <v>48</v>
      </c>
      <c r="AG47" s="40" t="s">
        <v>48</v>
      </c>
      <c r="AH47" s="40" t="s">
        <v>48</v>
      </c>
      <c r="AI47" s="40" t="s">
        <v>48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40" t="s">
        <v>48</v>
      </c>
      <c r="AO47" s="40" t="s">
        <v>48</v>
      </c>
      <c r="AP47" s="40" t="s">
        <v>48</v>
      </c>
      <c r="AR47" s="33"/>
      <c r="AS47" s="38" t="str">
        <f>Notes!U48</f>
        <v xml:space="preserve">      Forestry</v>
      </c>
      <c r="AT47" s="4" t="s">
        <v>354</v>
      </c>
      <c r="AU47" s="44" t="s">
        <v>48</v>
      </c>
      <c r="AV47" s="42" t="s">
        <v>48</v>
      </c>
      <c r="AW47" s="42" t="s">
        <v>48</v>
      </c>
      <c r="AX47" s="40" t="s">
        <v>48</v>
      </c>
      <c r="AY47" s="40" t="s">
        <v>48</v>
      </c>
      <c r="AZ47" s="40" t="s">
        <v>48</v>
      </c>
      <c r="BA47" s="40" t="s">
        <v>48</v>
      </c>
      <c r="BB47" s="40" t="s">
        <v>48</v>
      </c>
      <c r="BC47" s="40" t="s">
        <v>48</v>
      </c>
      <c r="BD47" s="40" t="s">
        <v>48</v>
      </c>
      <c r="BE47" s="40" t="s">
        <v>48</v>
      </c>
      <c r="BF47" s="40" t="s">
        <v>48</v>
      </c>
      <c r="BG47" s="40" t="s">
        <v>48</v>
      </c>
      <c r="BH47" s="40" t="s">
        <v>48</v>
      </c>
      <c r="BI47" s="40" t="s">
        <v>48</v>
      </c>
      <c r="BJ47" s="40" t="s">
        <v>48</v>
      </c>
      <c r="BK47" s="40" t="s">
        <v>48</v>
      </c>
      <c r="BM47" s="33"/>
      <c r="BN47" s="38" t="str">
        <f>Notes!U48</f>
        <v xml:space="preserve">      Forestry</v>
      </c>
      <c r="BO47" s="4" t="s">
        <v>354</v>
      </c>
      <c r="BP47" s="44" t="s">
        <v>48</v>
      </c>
      <c r="BQ47" s="42" t="s">
        <v>48</v>
      </c>
      <c r="BR47" s="42" t="s">
        <v>48</v>
      </c>
      <c r="BS47" s="40" t="s">
        <v>48</v>
      </c>
      <c r="BT47" s="40" t="s">
        <v>48</v>
      </c>
      <c r="BU47" s="40" t="s">
        <v>48</v>
      </c>
      <c r="BV47" s="40" t="s">
        <v>48</v>
      </c>
      <c r="BW47" s="40" t="s">
        <v>48</v>
      </c>
      <c r="BX47" s="40" t="s">
        <v>48</v>
      </c>
      <c r="BY47" s="40" t="s">
        <v>48</v>
      </c>
      <c r="BZ47" s="40" t="s">
        <v>48</v>
      </c>
      <c r="CA47" s="40" t="s">
        <v>48</v>
      </c>
      <c r="CB47" s="40" t="s">
        <v>48</v>
      </c>
      <c r="CC47" s="40" t="s">
        <v>48</v>
      </c>
      <c r="CD47" s="40" t="s">
        <v>48</v>
      </c>
      <c r="CE47" s="40" t="s">
        <v>48</v>
      </c>
      <c r="CF47" s="40" t="s">
        <v>48</v>
      </c>
      <c r="CH47" s="33"/>
      <c r="CI47" s="38" t="str">
        <f>Notes!U48</f>
        <v xml:space="preserve">      Forestry</v>
      </c>
      <c r="CJ47" s="4" t="s">
        <v>354</v>
      </c>
      <c r="CK47" s="44" t="s">
        <v>48</v>
      </c>
      <c r="CL47" s="42" t="s">
        <v>48</v>
      </c>
      <c r="CM47" s="42" t="s">
        <v>48</v>
      </c>
      <c r="CN47" s="40" t="s">
        <v>48</v>
      </c>
      <c r="CO47" s="40" t="s">
        <v>48</v>
      </c>
      <c r="CP47" s="40" t="s">
        <v>48</v>
      </c>
      <c r="CQ47" s="40" t="s">
        <v>48</v>
      </c>
      <c r="CR47" s="40" t="s">
        <v>48</v>
      </c>
      <c r="CS47" s="40" t="s">
        <v>48</v>
      </c>
      <c r="CT47" s="40" t="s">
        <v>48</v>
      </c>
      <c r="CU47" s="40" t="s">
        <v>48</v>
      </c>
      <c r="CV47" s="40" t="s">
        <v>48</v>
      </c>
      <c r="CW47" s="40" t="s">
        <v>48</v>
      </c>
      <c r="CX47" s="40" t="s">
        <v>48</v>
      </c>
      <c r="CY47" s="40" t="s">
        <v>48</v>
      </c>
      <c r="CZ47" s="40" t="s">
        <v>48</v>
      </c>
      <c r="DA47" s="40" t="s">
        <v>48</v>
      </c>
      <c r="DC47" s="33"/>
      <c r="DD47" s="38" t="str">
        <f>Notes!U48</f>
        <v xml:space="preserve">      Forestry</v>
      </c>
      <c r="DE47" s="4" t="s">
        <v>354</v>
      </c>
      <c r="DF47" s="44" t="s">
        <v>48</v>
      </c>
      <c r="DG47" s="42" t="s">
        <v>48</v>
      </c>
      <c r="DH47" s="42" t="s">
        <v>48</v>
      </c>
      <c r="DI47" s="40" t="s">
        <v>48</v>
      </c>
      <c r="DJ47" s="40" t="s">
        <v>48</v>
      </c>
      <c r="DK47" s="40" t="s">
        <v>48</v>
      </c>
      <c r="DL47" s="40" t="s">
        <v>48</v>
      </c>
      <c r="DM47" s="40" t="s">
        <v>48</v>
      </c>
      <c r="DN47" s="40" t="s">
        <v>48</v>
      </c>
      <c r="DO47" s="40" t="s">
        <v>48</v>
      </c>
      <c r="DP47" s="40" t="s">
        <v>48</v>
      </c>
      <c r="DQ47" s="40" t="s">
        <v>48</v>
      </c>
      <c r="DR47" s="40" t="s">
        <v>48</v>
      </c>
      <c r="DS47" s="40" t="s">
        <v>48</v>
      </c>
      <c r="DT47" s="40" t="s">
        <v>48</v>
      </c>
      <c r="DU47" s="40" t="s">
        <v>48</v>
      </c>
      <c r="DV47" s="40" t="s">
        <v>48</v>
      </c>
    </row>
    <row r="48" spans="1:126" x14ac:dyDescent="0.3">
      <c r="A48" s="12">
        <v>41</v>
      </c>
      <c r="B48" s="33"/>
      <c r="C48" s="38" t="str">
        <f>Notes!U49</f>
        <v xml:space="preserve">      Aquaculture</v>
      </c>
      <c r="D48" s="4" t="s">
        <v>542</v>
      </c>
      <c r="E48" s="44">
        <v>1</v>
      </c>
      <c r="F48" s="42">
        <v>-2.325554228563842E-2</v>
      </c>
      <c r="G48" s="42" t="s">
        <v>48</v>
      </c>
      <c r="H48" s="40" t="s">
        <v>48</v>
      </c>
      <c r="I48" s="40" t="s">
        <v>48</v>
      </c>
      <c r="J48" s="40" t="s">
        <v>48</v>
      </c>
      <c r="K48" s="40" t="s">
        <v>48</v>
      </c>
      <c r="L48" s="40" t="s">
        <v>48</v>
      </c>
      <c r="M48" s="40" t="s">
        <v>48</v>
      </c>
      <c r="N48" s="40" t="s">
        <v>48</v>
      </c>
      <c r="O48" s="40" t="s">
        <v>48</v>
      </c>
      <c r="P48" s="40" t="s">
        <v>48</v>
      </c>
      <c r="Q48" s="40" t="s">
        <v>48</v>
      </c>
      <c r="R48" s="40" t="s">
        <v>48</v>
      </c>
      <c r="S48" s="40" t="s">
        <v>48</v>
      </c>
      <c r="T48" s="40" t="s">
        <v>48</v>
      </c>
      <c r="U48" s="40" t="s">
        <v>48</v>
      </c>
      <c r="W48" s="33"/>
      <c r="X48" s="38" t="str">
        <f>Notes!U49</f>
        <v xml:space="preserve">      Aquaculture</v>
      </c>
      <c r="Y48" s="4" t="s">
        <v>542</v>
      </c>
      <c r="Z48" s="44">
        <v>1.0965918872582012</v>
      </c>
      <c r="AA48" s="42">
        <v>-2.2421693931884423E-2</v>
      </c>
      <c r="AB48" s="42" t="s">
        <v>48</v>
      </c>
      <c r="AC48" s="40" t="s">
        <v>48</v>
      </c>
      <c r="AD48" s="40" t="s">
        <v>48</v>
      </c>
      <c r="AE48" s="40" t="s">
        <v>48</v>
      </c>
      <c r="AF48" s="40" t="s">
        <v>48</v>
      </c>
      <c r="AG48" s="40" t="s">
        <v>48</v>
      </c>
      <c r="AH48" s="40" t="s">
        <v>48</v>
      </c>
      <c r="AI48" s="40" t="s">
        <v>48</v>
      </c>
      <c r="AJ48" s="40" t="s">
        <v>48</v>
      </c>
      <c r="AK48" s="40" t="s">
        <v>48</v>
      </c>
      <c r="AL48" s="40" t="s">
        <v>48</v>
      </c>
      <c r="AM48" s="40" t="s">
        <v>48</v>
      </c>
      <c r="AN48" s="40" t="s">
        <v>48</v>
      </c>
      <c r="AO48" s="40" t="s">
        <v>48</v>
      </c>
      <c r="AP48" s="40" t="s">
        <v>48</v>
      </c>
      <c r="AR48" s="33"/>
      <c r="AS48" s="38" t="str">
        <f>Notes!U49</f>
        <v xml:space="preserve">      Aquaculture</v>
      </c>
      <c r="AT48" s="4" t="s">
        <v>542</v>
      </c>
      <c r="AU48" s="44" t="s">
        <v>48</v>
      </c>
      <c r="AV48" s="42" t="s">
        <v>48</v>
      </c>
      <c r="AW48" s="42" t="s">
        <v>48</v>
      </c>
      <c r="AX48" s="40" t="s">
        <v>48</v>
      </c>
      <c r="AY48" s="40" t="s">
        <v>48</v>
      </c>
      <c r="AZ48" s="40" t="s">
        <v>48</v>
      </c>
      <c r="BA48" s="40" t="s">
        <v>48</v>
      </c>
      <c r="BB48" s="40" t="s">
        <v>48</v>
      </c>
      <c r="BC48" s="40" t="s">
        <v>48</v>
      </c>
      <c r="BD48" s="40" t="s">
        <v>48</v>
      </c>
      <c r="BE48" s="40" t="s">
        <v>48</v>
      </c>
      <c r="BF48" s="40" t="s">
        <v>48</v>
      </c>
      <c r="BG48" s="40" t="s">
        <v>48</v>
      </c>
      <c r="BH48" s="40" t="s">
        <v>48</v>
      </c>
      <c r="BI48" s="40" t="s">
        <v>48</v>
      </c>
      <c r="BJ48" s="40" t="s">
        <v>48</v>
      </c>
      <c r="BK48" s="40" t="s">
        <v>48</v>
      </c>
      <c r="BM48" s="33"/>
      <c r="BN48" s="38" t="str">
        <f>Notes!U49</f>
        <v xml:space="preserve">      Aquaculture</v>
      </c>
      <c r="BO48" s="4" t="s">
        <v>542</v>
      </c>
      <c r="BP48" s="44" t="s">
        <v>48</v>
      </c>
      <c r="BQ48" s="42" t="s">
        <v>48</v>
      </c>
      <c r="BR48" s="42" t="s">
        <v>48</v>
      </c>
      <c r="BS48" s="40" t="s">
        <v>48</v>
      </c>
      <c r="BT48" s="40" t="s">
        <v>48</v>
      </c>
      <c r="BU48" s="40" t="s">
        <v>48</v>
      </c>
      <c r="BV48" s="40" t="s">
        <v>48</v>
      </c>
      <c r="BW48" s="40" t="s">
        <v>48</v>
      </c>
      <c r="BX48" s="40" t="s">
        <v>48</v>
      </c>
      <c r="BY48" s="40" t="s">
        <v>48</v>
      </c>
      <c r="BZ48" s="40" t="s">
        <v>48</v>
      </c>
      <c r="CA48" s="40" t="s">
        <v>48</v>
      </c>
      <c r="CB48" s="40" t="s">
        <v>48</v>
      </c>
      <c r="CC48" s="40" t="s">
        <v>48</v>
      </c>
      <c r="CD48" s="40" t="s">
        <v>48</v>
      </c>
      <c r="CE48" s="40" t="s">
        <v>48</v>
      </c>
      <c r="CF48" s="40" t="s">
        <v>48</v>
      </c>
      <c r="CH48" s="33"/>
      <c r="CI48" s="38" t="str">
        <f>Notes!U49</f>
        <v xml:space="preserve">      Aquaculture</v>
      </c>
      <c r="CJ48" s="4" t="s">
        <v>542</v>
      </c>
      <c r="CK48" s="44" t="s">
        <v>48</v>
      </c>
      <c r="CL48" s="42" t="s">
        <v>48</v>
      </c>
      <c r="CM48" s="42" t="s">
        <v>48</v>
      </c>
      <c r="CN48" s="40" t="s">
        <v>48</v>
      </c>
      <c r="CO48" s="40" t="s">
        <v>48</v>
      </c>
      <c r="CP48" s="40" t="s">
        <v>48</v>
      </c>
      <c r="CQ48" s="40" t="s">
        <v>48</v>
      </c>
      <c r="CR48" s="40" t="s">
        <v>48</v>
      </c>
      <c r="CS48" s="40" t="s">
        <v>48</v>
      </c>
      <c r="CT48" s="40" t="s">
        <v>48</v>
      </c>
      <c r="CU48" s="40" t="s">
        <v>48</v>
      </c>
      <c r="CV48" s="40" t="s">
        <v>48</v>
      </c>
      <c r="CW48" s="40" t="s">
        <v>48</v>
      </c>
      <c r="CX48" s="40" t="s">
        <v>48</v>
      </c>
      <c r="CY48" s="40" t="s">
        <v>48</v>
      </c>
      <c r="CZ48" s="40" t="s">
        <v>48</v>
      </c>
      <c r="DA48" s="40" t="s">
        <v>48</v>
      </c>
      <c r="DC48" s="33"/>
      <c r="DD48" s="38" t="str">
        <f>Notes!U49</f>
        <v xml:space="preserve">      Aquaculture</v>
      </c>
      <c r="DE48" s="4" t="s">
        <v>542</v>
      </c>
      <c r="DF48" s="44" t="s">
        <v>48</v>
      </c>
      <c r="DG48" s="42" t="s">
        <v>48</v>
      </c>
      <c r="DH48" s="42" t="s">
        <v>48</v>
      </c>
      <c r="DI48" s="40" t="s">
        <v>48</v>
      </c>
      <c r="DJ48" s="40" t="s">
        <v>48</v>
      </c>
      <c r="DK48" s="40" t="s">
        <v>48</v>
      </c>
      <c r="DL48" s="40" t="s">
        <v>48</v>
      </c>
      <c r="DM48" s="40" t="s">
        <v>48</v>
      </c>
      <c r="DN48" s="40" t="s">
        <v>48</v>
      </c>
      <c r="DO48" s="40" t="s">
        <v>48</v>
      </c>
      <c r="DP48" s="40" t="s">
        <v>48</v>
      </c>
      <c r="DQ48" s="40" t="s">
        <v>48</v>
      </c>
      <c r="DR48" s="40" t="s">
        <v>48</v>
      </c>
      <c r="DS48" s="40" t="s">
        <v>48</v>
      </c>
      <c r="DT48" s="40" t="s">
        <v>48</v>
      </c>
      <c r="DU48" s="40" t="s">
        <v>48</v>
      </c>
      <c r="DV48" s="40" t="s">
        <v>48</v>
      </c>
    </row>
    <row r="49" spans="1:126" x14ac:dyDescent="0.3">
      <c r="A49" s="12">
        <v>42</v>
      </c>
      <c r="B49" s="33"/>
      <c r="C49" s="38" t="str">
        <f>Notes!U50</f>
        <v xml:space="preserve">      Capture fisheries</v>
      </c>
      <c r="D49" s="4" t="s">
        <v>356</v>
      </c>
      <c r="E49" s="44">
        <v>1</v>
      </c>
      <c r="F49" s="42">
        <v>-2.5772877001561945E-3</v>
      </c>
      <c r="G49" s="42" t="s">
        <v>48</v>
      </c>
      <c r="H49" s="40" t="s">
        <v>48</v>
      </c>
      <c r="I49" s="40" t="s">
        <v>48</v>
      </c>
      <c r="J49" s="40" t="s">
        <v>48</v>
      </c>
      <c r="K49" s="40" t="s">
        <v>48</v>
      </c>
      <c r="L49" s="40" t="s">
        <v>48</v>
      </c>
      <c r="M49" s="40" t="s">
        <v>48</v>
      </c>
      <c r="N49" s="40" t="s">
        <v>48</v>
      </c>
      <c r="O49" s="40" t="s">
        <v>48</v>
      </c>
      <c r="P49" s="40" t="s">
        <v>48</v>
      </c>
      <c r="Q49" s="40" t="s">
        <v>48</v>
      </c>
      <c r="R49" s="40" t="s">
        <v>48</v>
      </c>
      <c r="S49" s="40" t="s">
        <v>48</v>
      </c>
      <c r="T49" s="40" t="s">
        <v>48</v>
      </c>
      <c r="U49" s="40" t="s">
        <v>48</v>
      </c>
      <c r="W49" s="33"/>
      <c r="X49" s="38" t="str">
        <f>Notes!U50</f>
        <v xml:space="preserve">      Capture fisheries</v>
      </c>
      <c r="Y49" s="4" t="s">
        <v>356</v>
      </c>
      <c r="Z49" s="44">
        <v>1.2890970857991608</v>
      </c>
      <c r="AA49" s="42">
        <v>-4.7409578759038951E-3</v>
      </c>
      <c r="AB49" s="42" t="s">
        <v>48</v>
      </c>
      <c r="AC49" s="40" t="s">
        <v>48</v>
      </c>
      <c r="AD49" s="40" t="s">
        <v>48</v>
      </c>
      <c r="AE49" s="40" t="s">
        <v>48</v>
      </c>
      <c r="AF49" s="40" t="s">
        <v>48</v>
      </c>
      <c r="AG49" s="40" t="s">
        <v>48</v>
      </c>
      <c r="AH49" s="40" t="s">
        <v>48</v>
      </c>
      <c r="AI49" s="40" t="s">
        <v>48</v>
      </c>
      <c r="AJ49" s="40" t="s">
        <v>48</v>
      </c>
      <c r="AK49" s="40" t="s">
        <v>48</v>
      </c>
      <c r="AL49" s="40" t="s">
        <v>48</v>
      </c>
      <c r="AM49" s="40" t="s">
        <v>48</v>
      </c>
      <c r="AN49" s="40" t="s">
        <v>48</v>
      </c>
      <c r="AO49" s="40" t="s">
        <v>48</v>
      </c>
      <c r="AP49" s="40" t="s">
        <v>48</v>
      </c>
      <c r="AR49" s="33"/>
      <c r="AS49" s="38" t="str">
        <f>Notes!U50</f>
        <v xml:space="preserve">      Capture fisheries</v>
      </c>
      <c r="AT49" s="4" t="s">
        <v>356</v>
      </c>
      <c r="AU49" s="44">
        <v>1</v>
      </c>
      <c r="AV49" s="42">
        <v>-1.9234847488369677E-2</v>
      </c>
      <c r="AW49" s="42" t="s">
        <v>48</v>
      </c>
      <c r="AX49" s="40" t="s">
        <v>48</v>
      </c>
      <c r="AY49" s="40" t="s">
        <v>48</v>
      </c>
      <c r="AZ49" s="40" t="s">
        <v>48</v>
      </c>
      <c r="BA49" s="40" t="s">
        <v>48</v>
      </c>
      <c r="BB49" s="40" t="s">
        <v>48</v>
      </c>
      <c r="BC49" s="40" t="s">
        <v>48</v>
      </c>
      <c r="BD49" s="40" t="s">
        <v>48</v>
      </c>
      <c r="BE49" s="40" t="s">
        <v>48</v>
      </c>
      <c r="BF49" s="40" t="s">
        <v>48</v>
      </c>
      <c r="BG49" s="40" t="s">
        <v>48</v>
      </c>
      <c r="BH49" s="40" t="s">
        <v>48</v>
      </c>
      <c r="BI49" s="40" t="s">
        <v>48</v>
      </c>
      <c r="BJ49" s="40" t="s">
        <v>48</v>
      </c>
      <c r="BK49" s="40" t="s">
        <v>48</v>
      </c>
      <c r="BM49" s="33"/>
      <c r="BN49" s="38" t="str">
        <f>Notes!U50</f>
        <v xml:space="preserve">      Capture fisheries</v>
      </c>
      <c r="BO49" s="4" t="s">
        <v>356</v>
      </c>
      <c r="BP49" s="44" t="s">
        <v>48</v>
      </c>
      <c r="BQ49" s="42" t="s">
        <v>48</v>
      </c>
      <c r="BR49" s="42" t="s">
        <v>48</v>
      </c>
      <c r="BS49" s="40" t="s">
        <v>48</v>
      </c>
      <c r="BT49" s="40" t="s">
        <v>48</v>
      </c>
      <c r="BU49" s="40" t="s">
        <v>48</v>
      </c>
      <c r="BV49" s="40" t="s">
        <v>48</v>
      </c>
      <c r="BW49" s="40" t="s">
        <v>48</v>
      </c>
      <c r="BX49" s="40" t="s">
        <v>48</v>
      </c>
      <c r="BY49" s="40" t="s">
        <v>48</v>
      </c>
      <c r="BZ49" s="40" t="s">
        <v>48</v>
      </c>
      <c r="CA49" s="40" t="s">
        <v>48</v>
      </c>
      <c r="CB49" s="40" t="s">
        <v>48</v>
      </c>
      <c r="CC49" s="40" t="s">
        <v>48</v>
      </c>
      <c r="CD49" s="40" t="s">
        <v>48</v>
      </c>
      <c r="CE49" s="40" t="s">
        <v>48</v>
      </c>
      <c r="CF49" s="40" t="s">
        <v>48</v>
      </c>
      <c r="CH49" s="33"/>
      <c r="CI49" s="38" t="str">
        <f>Notes!U50</f>
        <v xml:space="preserve">      Capture fisheries</v>
      </c>
      <c r="CJ49" s="4" t="s">
        <v>356</v>
      </c>
      <c r="CK49" s="44">
        <v>1.2890970857991606</v>
      </c>
      <c r="CL49" s="42" t="s">
        <v>48</v>
      </c>
      <c r="CM49" s="42" t="s">
        <v>48</v>
      </c>
      <c r="CN49" s="40" t="s">
        <v>48</v>
      </c>
      <c r="CO49" s="40" t="s">
        <v>48</v>
      </c>
      <c r="CP49" s="40" t="s">
        <v>48</v>
      </c>
      <c r="CQ49" s="40" t="s">
        <v>48</v>
      </c>
      <c r="CR49" s="40" t="s">
        <v>48</v>
      </c>
      <c r="CS49" s="40" t="s">
        <v>48</v>
      </c>
      <c r="CT49" s="40" t="s">
        <v>48</v>
      </c>
      <c r="CU49" s="40" t="s">
        <v>48</v>
      </c>
      <c r="CV49" s="40" t="s">
        <v>48</v>
      </c>
      <c r="CW49" s="40" t="s">
        <v>48</v>
      </c>
      <c r="CX49" s="40" t="s">
        <v>48</v>
      </c>
      <c r="CY49" s="40" t="s">
        <v>48</v>
      </c>
      <c r="CZ49" s="40" t="s">
        <v>48</v>
      </c>
      <c r="DA49" s="40" t="s">
        <v>48</v>
      </c>
      <c r="DC49" s="33"/>
      <c r="DD49" s="38" t="str">
        <f>Notes!U50</f>
        <v xml:space="preserve">      Capture fisheries</v>
      </c>
      <c r="DE49" s="4" t="s">
        <v>356</v>
      </c>
      <c r="DF49" s="44" t="s">
        <v>48</v>
      </c>
      <c r="DG49" s="42" t="s">
        <v>48</v>
      </c>
      <c r="DH49" s="42" t="s">
        <v>48</v>
      </c>
      <c r="DI49" s="40" t="s">
        <v>48</v>
      </c>
      <c r="DJ49" s="40" t="s">
        <v>48</v>
      </c>
      <c r="DK49" s="40" t="s">
        <v>48</v>
      </c>
      <c r="DL49" s="40" t="s">
        <v>48</v>
      </c>
      <c r="DM49" s="40" t="s">
        <v>48</v>
      </c>
      <c r="DN49" s="40" t="s">
        <v>48</v>
      </c>
      <c r="DO49" s="40" t="s">
        <v>48</v>
      </c>
      <c r="DP49" s="40" t="s">
        <v>48</v>
      </c>
      <c r="DQ49" s="40" t="s">
        <v>48</v>
      </c>
      <c r="DR49" s="40" t="s">
        <v>48</v>
      </c>
      <c r="DS49" s="40" t="s">
        <v>48</v>
      </c>
      <c r="DT49" s="40" t="s">
        <v>48</v>
      </c>
      <c r="DU49" s="40" t="s">
        <v>48</v>
      </c>
      <c r="DV49" s="40" t="s">
        <v>48</v>
      </c>
    </row>
    <row r="50" spans="1:126" x14ac:dyDescent="0.3">
      <c r="A50" s="12">
        <v>43</v>
      </c>
      <c r="B50" s="33"/>
      <c r="C50" s="38" t="str">
        <f>Notes!U51</f>
        <v>Industry</v>
      </c>
      <c r="D50" s="4" t="s">
        <v>357</v>
      </c>
      <c r="E50" s="44">
        <v>0.99999999999999989</v>
      </c>
      <c r="F50" s="42">
        <v>-3.0720304321496528E-3</v>
      </c>
      <c r="G50" s="42" t="s">
        <v>48</v>
      </c>
      <c r="H50" s="40" t="s">
        <v>48</v>
      </c>
      <c r="I50" s="40" t="s">
        <v>48</v>
      </c>
      <c r="J50" s="40" t="s">
        <v>48</v>
      </c>
      <c r="K50" s="40" t="s">
        <v>48</v>
      </c>
      <c r="L50" s="40" t="s">
        <v>48</v>
      </c>
      <c r="M50" s="40" t="s">
        <v>48</v>
      </c>
      <c r="N50" s="40" t="s">
        <v>48</v>
      </c>
      <c r="O50" s="40" t="s">
        <v>48</v>
      </c>
      <c r="P50" s="40" t="s">
        <v>48</v>
      </c>
      <c r="Q50" s="40" t="s">
        <v>48</v>
      </c>
      <c r="R50" s="40" t="s">
        <v>48</v>
      </c>
      <c r="S50" s="40" t="s">
        <v>48</v>
      </c>
      <c r="T50" s="40" t="s">
        <v>48</v>
      </c>
      <c r="U50" s="40" t="s">
        <v>48</v>
      </c>
      <c r="W50" s="33"/>
      <c r="X50" s="38" t="str">
        <f>Notes!U51</f>
        <v>Industry</v>
      </c>
      <c r="Y50" s="4" t="s">
        <v>357</v>
      </c>
      <c r="Z50" s="44">
        <v>1.1870795556339708</v>
      </c>
      <c r="AA50" s="42">
        <v>-5.7595437970681118E-3</v>
      </c>
      <c r="AB50" s="42" t="s">
        <v>48</v>
      </c>
      <c r="AC50" s="40" t="s">
        <v>48</v>
      </c>
      <c r="AD50" s="40" t="s">
        <v>48</v>
      </c>
      <c r="AE50" s="40" t="s">
        <v>48</v>
      </c>
      <c r="AF50" s="40" t="s">
        <v>48</v>
      </c>
      <c r="AG50" s="40" t="s">
        <v>48</v>
      </c>
      <c r="AH50" s="40" t="s">
        <v>48</v>
      </c>
      <c r="AI50" s="40" t="s">
        <v>48</v>
      </c>
      <c r="AJ50" s="40" t="s">
        <v>48</v>
      </c>
      <c r="AK50" s="40" t="s">
        <v>48</v>
      </c>
      <c r="AL50" s="40" t="s">
        <v>48</v>
      </c>
      <c r="AM50" s="40" t="s">
        <v>48</v>
      </c>
      <c r="AN50" s="40" t="s">
        <v>48</v>
      </c>
      <c r="AO50" s="40" t="s">
        <v>48</v>
      </c>
      <c r="AP50" s="40" t="s">
        <v>48</v>
      </c>
      <c r="AR50" s="33"/>
      <c r="AS50" s="38" t="str">
        <f>Notes!U51</f>
        <v>Industry</v>
      </c>
      <c r="AT50" s="4" t="s">
        <v>357</v>
      </c>
      <c r="AU50" s="44">
        <v>1.0000000000000002</v>
      </c>
      <c r="AV50" s="42">
        <v>-1.85963384703558E-2</v>
      </c>
      <c r="AW50" s="42" t="s">
        <v>48</v>
      </c>
      <c r="AX50" s="40" t="s">
        <v>48</v>
      </c>
      <c r="AY50" s="40" t="s">
        <v>48</v>
      </c>
      <c r="AZ50" s="40" t="s">
        <v>48</v>
      </c>
      <c r="BA50" s="40" t="s">
        <v>48</v>
      </c>
      <c r="BB50" s="40" t="s">
        <v>48</v>
      </c>
      <c r="BC50" s="40" t="s">
        <v>48</v>
      </c>
      <c r="BD50" s="40" t="s">
        <v>48</v>
      </c>
      <c r="BE50" s="40" t="s">
        <v>48</v>
      </c>
      <c r="BF50" s="40" t="s">
        <v>48</v>
      </c>
      <c r="BG50" s="40" t="s">
        <v>48</v>
      </c>
      <c r="BH50" s="40" t="s">
        <v>48</v>
      </c>
      <c r="BI50" s="40" t="s">
        <v>48</v>
      </c>
      <c r="BJ50" s="40" t="s">
        <v>48</v>
      </c>
      <c r="BK50" s="40" t="s">
        <v>48</v>
      </c>
      <c r="BM50" s="33"/>
      <c r="BN50" s="38" t="str">
        <f>Notes!U51</f>
        <v>Industry</v>
      </c>
      <c r="BO50" s="4" t="s">
        <v>357</v>
      </c>
      <c r="BP50" s="44">
        <v>1.1908071068050443</v>
      </c>
      <c r="BQ50" s="42">
        <v>-1.7333547913567227E-2</v>
      </c>
      <c r="BR50" s="42" t="s">
        <v>48</v>
      </c>
      <c r="BS50" s="40" t="s">
        <v>48</v>
      </c>
      <c r="BT50" s="40" t="s">
        <v>48</v>
      </c>
      <c r="BU50" s="40" t="s">
        <v>48</v>
      </c>
      <c r="BV50" s="40" t="s">
        <v>48</v>
      </c>
      <c r="BW50" s="40" t="s">
        <v>48</v>
      </c>
      <c r="BX50" s="40" t="s">
        <v>48</v>
      </c>
      <c r="BY50" s="40" t="s">
        <v>48</v>
      </c>
      <c r="BZ50" s="40" t="s">
        <v>48</v>
      </c>
      <c r="CA50" s="40" t="s">
        <v>48</v>
      </c>
      <c r="CB50" s="40" t="s">
        <v>48</v>
      </c>
      <c r="CC50" s="40" t="s">
        <v>48</v>
      </c>
      <c r="CD50" s="40" t="s">
        <v>48</v>
      </c>
      <c r="CE50" s="40" t="s">
        <v>48</v>
      </c>
      <c r="CF50" s="40" t="s">
        <v>48</v>
      </c>
      <c r="CH50" s="33"/>
      <c r="CI50" s="38" t="str">
        <f>Notes!U51</f>
        <v>Industry</v>
      </c>
      <c r="CJ50" s="4" t="s">
        <v>357</v>
      </c>
      <c r="CK50" s="44">
        <v>1.1469234268751476</v>
      </c>
      <c r="CL50" s="42" t="s">
        <v>48</v>
      </c>
      <c r="CM50" s="42" t="s">
        <v>48</v>
      </c>
      <c r="CN50" s="40" t="s">
        <v>48</v>
      </c>
      <c r="CO50" s="40" t="s">
        <v>48</v>
      </c>
      <c r="CP50" s="40" t="s">
        <v>48</v>
      </c>
      <c r="CQ50" s="40" t="s">
        <v>48</v>
      </c>
      <c r="CR50" s="40" t="s">
        <v>48</v>
      </c>
      <c r="CS50" s="40" t="s">
        <v>48</v>
      </c>
      <c r="CT50" s="40" t="s">
        <v>48</v>
      </c>
      <c r="CU50" s="40" t="s">
        <v>48</v>
      </c>
      <c r="CV50" s="40" t="s">
        <v>48</v>
      </c>
      <c r="CW50" s="40" t="s">
        <v>48</v>
      </c>
      <c r="CX50" s="40" t="s">
        <v>48</v>
      </c>
      <c r="CY50" s="40" t="s">
        <v>48</v>
      </c>
      <c r="CZ50" s="40" t="s">
        <v>48</v>
      </c>
      <c r="DA50" s="40" t="s">
        <v>48</v>
      </c>
      <c r="DC50" s="33"/>
      <c r="DD50" s="38" t="str">
        <f>Notes!U51</f>
        <v>Industry</v>
      </c>
      <c r="DE50" s="4" t="s">
        <v>357</v>
      </c>
      <c r="DF50" s="44">
        <v>0.95846009334347015</v>
      </c>
      <c r="DG50" s="42" t="s">
        <v>48</v>
      </c>
      <c r="DH50" s="42" t="s">
        <v>48</v>
      </c>
      <c r="DI50" s="40" t="s">
        <v>48</v>
      </c>
      <c r="DJ50" s="40" t="s">
        <v>48</v>
      </c>
      <c r="DK50" s="40" t="s">
        <v>48</v>
      </c>
      <c r="DL50" s="40" t="s">
        <v>48</v>
      </c>
      <c r="DM50" s="40" t="s">
        <v>48</v>
      </c>
      <c r="DN50" s="40" t="s">
        <v>48</v>
      </c>
      <c r="DO50" s="40" t="s">
        <v>48</v>
      </c>
      <c r="DP50" s="40" t="s">
        <v>48</v>
      </c>
      <c r="DQ50" s="40" t="s">
        <v>48</v>
      </c>
      <c r="DR50" s="40" t="s">
        <v>48</v>
      </c>
      <c r="DS50" s="40" t="s">
        <v>48</v>
      </c>
      <c r="DT50" s="40" t="s">
        <v>48</v>
      </c>
      <c r="DU50" s="40" t="s">
        <v>48</v>
      </c>
      <c r="DV50" s="40" t="s">
        <v>48</v>
      </c>
    </row>
    <row r="51" spans="1:126" x14ac:dyDescent="0.3">
      <c r="A51" s="12">
        <v>44</v>
      </c>
      <c r="B51" s="33"/>
      <c r="C51" s="38" t="str">
        <f>Notes!U52</f>
        <v xml:space="preserve">   Mining</v>
      </c>
      <c r="D51" s="4" t="s">
        <v>545</v>
      </c>
      <c r="E51" s="44">
        <v>0.99999999999999989</v>
      </c>
      <c r="F51" s="42">
        <v>-6.5126066940435212E-2</v>
      </c>
      <c r="G51" s="42" t="s">
        <v>48</v>
      </c>
      <c r="H51" s="40" t="s">
        <v>48</v>
      </c>
      <c r="I51" s="40" t="s">
        <v>48</v>
      </c>
      <c r="J51" s="40" t="s">
        <v>48</v>
      </c>
      <c r="K51" s="40" t="s">
        <v>48</v>
      </c>
      <c r="L51" s="40" t="s">
        <v>48</v>
      </c>
      <c r="M51" s="40" t="s">
        <v>48</v>
      </c>
      <c r="N51" s="40" t="s">
        <v>48</v>
      </c>
      <c r="O51" s="40" t="s">
        <v>48</v>
      </c>
      <c r="P51" s="40" t="s">
        <v>48</v>
      </c>
      <c r="Q51" s="40" t="s">
        <v>48</v>
      </c>
      <c r="R51" s="40" t="s">
        <v>48</v>
      </c>
      <c r="S51" s="40" t="s">
        <v>48</v>
      </c>
      <c r="T51" s="40" t="s">
        <v>48</v>
      </c>
      <c r="U51" s="40" t="s">
        <v>48</v>
      </c>
      <c r="W51" s="33"/>
      <c r="X51" s="38" t="str">
        <f>Notes!U52</f>
        <v xml:space="preserve">   Mining</v>
      </c>
      <c r="Y51" s="4" t="s">
        <v>545</v>
      </c>
      <c r="Z51" s="44">
        <v>1.0522123994240222</v>
      </c>
      <c r="AA51" s="42">
        <v>-5.0991063423044825E-2</v>
      </c>
      <c r="AB51" s="42" t="s">
        <v>48</v>
      </c>
      <c r="AC51" s="40" t="s">
        <v>48</v>
      </c>
      <c r="AD51" s="40" t="s">
        <v>48</v>
      </c>
      <c r="AE51" s="40" t="s">
        <v>48</v>
      </c>
      <c r="AF51" s="40" t="s">
        <v>48</v>
      </c>
      <c r="AG51" s="40" t="s">
        <v>48</v>
      </c>
      <c r="AH51" s="40" t="s">
        <v>48</v>
      </c>
      <c r="AI51" s="40" t="s">
        <v>48</v>
      </c>
      <c r="AJ51" s="40" t="s">
        <v>48</v>
      </c>
      <c r="AK51" s="40" t="s">
        <v>48</v>
      </c>
      <c r="AL51" s="40" t="s">
        <v>48</v>
      </c>
      <c r="AM51" s="40" t="s">
        <v>48</v>
      </c>
      <c r="AN51" s="40" t="s">
        <v>48</v>
      </c>
      <c r="AO51" s="40" t="s">
        <v>48</v>
      </c>
      <c r="AP51" s="40" t="s">
        <v>48</v>
      </c>
      <c r="AR51" s="33"/>
      <c r="AS51" s="38" t="str">
        <f>Notes!U52</f>
        <v xml:space="preserve">   Mining</v>
      </c>
      <c r="AT51" s="4" t="s">
        <v>545</v>
      </c>
      <c r="AU51" s="44" t="s">
        <v>48</v>
      </c>
      <c r="AV51" s="42" t="s">
        <v>48</v>
      </c>
      <c r="AW51" s="42" t="s">
        <v>48</v>
      </c>
      <c r="AX51" s="40" t="s">
        <v>48</v>
      </c>
      <c r="AY51" s="40" t="s">
        <v>48</v>
      </c>
      <c r="AZ51" s="40" t="s">
        <v>48</v>
      </c>
      <c r="BA51" s="40" t="s">
        <v>48</v>
      </c>
      <c r="BB51" s="40" t="s">
        <v>48</v>
      </c>
      <c r="BC51" s="40" t="s">
        <v>48</v>
      </c>
      <c r="BD51" s="40" t="s">
        <v>48</v>
      </c>
      <c r="BE51" s="40" t="s">
        <v>48</v>
      </c>
      <c r="BF51" s="40" t="s">
        <v>48</v>
      </c>
      <c r="BG51" s="40" t="s">
        <v>48</v>
      </c>
      <c r="BH51" s="40" t="s">
        <v>48</v>
      </c>
      <c r="BI51" s="40" t="s">
        <v>48</v>
      </c>
      <c r="BJ51" s="40" t="s">
        <v>48</v>
      </c>
      <c r="BK51" s="40" t="s">
        <v>48</v>
      </c>
      <c r="BM51" s="33"/>
      <c r="BN51" s="38" t="str">
        <f>Notes!U52</f>
        <v xml:space="preserve">   Mining</v>
      </c>
      <c r="BO51" s="4" t="s">
        <v>545</v>
      </c>
      <c r="BP51" s="44">
        <v>1.0362071158066928</v>
      </c>
      <c r="BQ51" s="42">
        <v>-1.7814926307813117E-2</v>
      </c>
      <c r="BR51" s="42" t="s">
        <v>48</v>
      </c>
      <c r="BS51" s="40" t="s">
        <v>48</v>
      </c>
      <c r="BT51" s="40" t="s">
        <v>48</v>
      </c>
      <c r="BU51" s="40" t="s">
        <v>48</v>
      </c>
      <c r="BV51" s="40" t="s">
        <v>48</v>
      </c>
      <c r="BW51" s="40" t="s">
        <v>48</v>
      </c>
      <c r="BX51" s="40" t="s">
        <v>48</v>
      </c>
      <c r="BY51" s="40" t="s">
        <v>48</v>
      </c>
      <c r="BZ51" s="40" t="s">
        <v>48</v>
      </c>
      <c r="CA51" s="40" t="s">
        <v>48</v>
      </c>
      <c r="CB51" s="40" t="s">
        <v>48</v>
      </c>
      <c r="CC51" s="40" t="s">
        <v>48</v>
      </c>
      <c r="CD51" s="40" t="s">
        <v>48</v>
      </c>
      <c r="CE51" s="40" t="s">
        <v>48</v>
      </c>
      <c r="CF51" s="40" t="s">
        <v>48</v>
      </c>
      <c r="CH51" s="33"/>
      <c r="CI51" s="38" t="str">
        <f>Notes!U52</f>
        <v xml:space="preserve">   Mining</v>
      </c>
      <c r="CJ51" s="4" t="s">
        <v>545</v>
      </c>
      <c r="CK51" s="44" t="s">
        <v>48</v>
      </c>
      <c r="CL51" s="42" t="s">
        <v>48</v>
      </c>
      <c r="CM51" s="42" t="s">
        <v>48</v>
      </c>
      <c r="CN51" s="40" t="s">
        <v>48</v>
      </c>
      <c r="CO51" s="40" t="s">
        <v>48</v>
      </c>
      <c r="CP51" s="40" t="s">
        <v>48</v>
      </c>
      <c r="CQ51" s="40" t="s">
        <v>48</v>
      </c>
      <c r="CR51" s="40" t="s">
        <v>48</v>
      </c>
      <c r="CS51" s="40" t="s">
        <v>48</v>
      </c>
      <c r="CT51" s="40" t="s">
        <v>48</v>
      </c>
      <c r="CU51" s="40" t="s">
        <v>48</v>
      </c>
      <c r="CV51" s="40" t="s">
        <v>48</v>
      </c>
      <c r="CW51" s="40" t="s">
        <v>48</v>
      </c>
      <c r="CX51" s="40" t="s">
        <v>48</v>
      </c>
      <c r="CY51" s="40" t="s">
        <v>48</v>
      </c>
      <c r="CZ51" s="40" t="s">
        <v>48</v>
      </c>
      <c r="DA51" s="40" t="s">
        <v>48</v>
      </c>
      <c r="DC51" s="33"/>
      <c r="DD51" s="38" t="str">
        <f>Notes!U52</f>
        <v xml:space="preserve">   Mining</v>
      </c>
      <c r="DE51" s="4" t="s">
        <v>545</v>
      </c>
      <c r="DF51" s="44">
        <v>0.9439872618525651</v>
      </c>
      <c r="DG51" s="42" t="s">
        <v>48</v>
      </c>
      <c r="DH51" s="42" t="s">
        <v>48</v>
      </c>
      <c r="DI51" s="40" t="s">
        <v>48</v>
      </c>
      <c r="DJ51" s="40" t="s">
        <v>48</v>
      </c>
      <c r="DK51" s="40" t="s">
        <v>48</v>
      </c>
      <c r="DL51" s="40" t="s">
        <v>48</v>
      </c>
      <c r="DM51" s="40" t="s">
        <v>48</v>
      </c>
      <c r="DN51" s="40" t="s">
        <v>48</v>
      </c>
      <c r="DO51" s="40" t="s">
        <v>48</v>
      </c>
      <c r="DP51" s="40" t="s">
        <v>48</v>
      </c>
      <c r="DQ51" s="40" t="s">
        <v>48</v>
      </c>
      <c r="DR51" s="40" t="s">
        <v>48</v>
      </c>
      <c r="DS51" s="40" t="s">
        <v>48</v>
      </c>
      <c r="DT51" s="40" t="s">
        <v>48</v>
      </c>
      <c r="DU51" s="40" t="s">
        <v>48</v>
      </c>
      <c r="DV51" s="40" t="s">
        <v>48</v>
      </c>
    </row>
    <row r="52" spans="1:126" x14ac:dyDescent="0.3">
      <c r="A52" s="12">
        <v>45</v>
      </c>
      <c r="B52" s="33"/>
      <c r="C52" s="38" t="str">
        <f>Notes!U53</f>
        <v xml:space="preserve">      Coal and lignite</v>
      </c>
      <c r="D52" s="4" t="s">
        <v>546</v>
      </c>
      <c r="E52" s="44">
        <v>1</v>
      </c>
      <c r="F52" s="42">
        <v>-4.6907537343521266E-2</v>
      </c>
      <c r="G52" s="42" t="s">
        <v>48</v>
      </c>
      <c r="H52" s="40" t="s">
        <v>48</v>
      </c>
      <c r="I52" s="40" t="s">
        <v>48</v>
      </c>
      <c r="J52" s="40" t="s">
        <v>48</v>
      </c>
      <c r="K52" s="40" t="s">
        <v>48</v>
      </c>
      <c r="L52" s="40" t="s">
        <v>48</v>
      </c>
      <c r="M52" s="40" t="s">
        <v>48</v>
      </c>
      <c r="N52" s="40" t="s">
        <v>48</v>
      </c>
      <c r="O52" s="40" t="s">
        <v>48</v>
      </c>
      <c r="P52" s="40" t="s">
        <v>48</v>
      </c>
      <c r="Q52" s="40" t="s">
        <v>48</v>
      </c>
      <c r="R52" s="40" t="s">
        <v>48</v>
      </c>
      <c r="S52" s="40" t="s">
        <v>48</v>
      </c>
      <c r="T52" s="40" t="s">
        <v>48</v>
      </c>
      <c r="U52" s="40" t="s">
        <v>48</v>
      </c>
      <c r="W52" s="33"/>
      <c r="X52" s="38" t="str">
        <f>Notes!U53</f>
        <v xml:space="preserve">      Coal and lignite</v>
      </c>
      <c r="Y52" s="4" t="s">
        <v>546</v>
      </c>
      <c r="Z52" s="44">
        <v>1.0465025082989043</v>
      </c>
      <c r="AA52" s="42">
        <v>-3.4341383073710485E-2</v>
      </c>
      <c r="AB52" s="42" t="s">
        <v>48</v>
      </c>
      <c r="AC52" s="40" t="s">
        <v>48</v>
      </c>
      <c r="AD52" s="40" t="s">
        <v>48</v>
      </c>
      <c r="AE52" s="40" t="s">
        <v>48</v>
      </c>
      <c r="AF52" s="40" t="s">
        <v>48</v>
      </c>
      <c r="AG52" s="40" t="s">
        <v>48</v>
      </c>
      <c r="AH52" s="40" t="s">
        <v>48</v>
      </c>
      <c r="AI52" s="40" t="s">
        <v>48</v>
      </c>
      <c r="AJ52" s="40" t="s">
        <v>48</v>
      </c>
      <c r="AK52" s="40" t="s">
        <v>48</v>
      </c>
      <c r="AL52" s="40" t="s">
        <v>48</v>
      </c>
      <c r="AM52" s="40" t="s">
        <v>48</v>
      </c>
      <c r="AN52" s="40" t="s">
        <v>48</v>
      </c>
      <c r="AO52" s="40" t="s">
        <v>48</v>
      </c>
      <c r="AP52" s="40" t="s">
        <v>48</v>
      </c>
      <c r="AR52" s="33"/>
      <c r="AS52" s="38" t="str">
        <f>Notes!U53</f>
        <v xml:space="preserve">      Coal and lignite</v>
      </c>
      <c r="AT52" s="4" t="s">
        <v>546</v>
      </c>
      <c r="AU52" s="44" t="s">
        <v>48</v>
      </c>
      <c r="AV52" s="42" t="s">
        <v>48</v>
      </c>
      <c r="AW52" s="42" t="s">
        <v>48</v>
      </c>
      <c r="AX52" s="40" t="s">
        <v>48</v>
      </c>
      <c r="AY52" s="40" t="s">
        <v>48</v>
      </c>
      <c r="AZ52" s="40" t="s">
        <v>48</v>
      </c>
      <c r="BA52" s="40" t="s">
        <v>48</v>
      </c>
      <c r="BB52" s="40" t="s">
        <v>48</v>
      </c>
      <c r="BC52" s="40" t="s">
        <v>48</v>
      </c>
      <c r="BD52" s="40" t="s">
        <v>48</v>
      </c>
      <c r="BE52" s="40" t="s">
        <v>48</v>
      </c>
      <c r="BF52" s="40" t="s">
        <v>48</v>
      </c>
      <c r="BG52" s="40" t="s">
        <v>48</v>
      </c>
      <c r="BH52" s="40" t="s">
        <v>48</v>
      </c>
      <c r="BI52" s="40" t="s">
        <v>48</v>
      </c>
      <c r="BJ52" s="40" t="s">
        <v>48</v>
      </c>
      <c r="BK52" s="40" t="s">
        <v>48</v>
      </c>
      <c r="BM52" s="33"/>
      <c r="BN52" s="38" t="str">
        <f>Notes!U53</f>
        <v xml:space="preserve">      Coal and lignite</v>
      </c>
      <c r="BO52" s="4" t="s">
        <v>546</v>
      </c>
      <c r="BP52" s="44">
        <v>1.0465025082989043</v>
      </c>
      <c r="BQ52" s="42">
        <v>-1.7826285046418366E-2</v>
      </c>
      <c r="BR52" s="42" t="s">
        <v>48</v>
      </c>
      <c r="BS52" s="40" t="s">
        <v>48</v>
      </c>
      <c r="BT52" s="40" t="s">
        <v>48</v>
      </c>
      <c r="BU52" s="40" t="s">
        <v>48</v>
      </c>
      <c r="BV52" s="40" t="s">
        <v>48</v>
      </c>
      <c r="BW52" s="40" t="s">
        <v>48</v>
      </c>
      <c r="BX52" s="40" t="s">
        <v>48</v>
      </c>
      <c r="BY52" s="40" t="s">
        <v>48</v>
      </c>
      <c r="BZ52" s="40" t="s">
        <v>48</v>
      </c>
      <c r="CA52" s="40" t="s">
        <v>48</v>
      </c>
      <c r="CB52" s="40" t="s">
        <v>48</v>
      </c>
      <c r="CC52" s="40" t="s">
        <v>48</v>
      </c>
      <c r="CD52" s="40" t="s">
        <v>48</v>
      </c>
      <c r="CE52" s="40" t="s">
        <v>48</v>
      </c>
      <c r="CF52" s="40" t="s">
        <v>48</v>
      </c>
      <c r="CH52" s="33"/>
      <c r="CI52" s="38" t="str">
        <f>Notes!U53</f>
        <v xml:space="preserve">      Coal and lignite</v>
      </c>
      <c r="CJ52" s="4" t="s">
        <v>546</v>
      </c>
      <c r="CK52" s="44" t="s">
        <v>48</v>
      </c>
      <c r="CL52" s="42" t="s">
        <v>48</v>
      </c>
      <c r="CM52" s="42" t="s">
        <v>48</v>
      </c>
      <c r="CN52" s="40" t="s">
        <v>48</v>
      </c>
      <c r="CO52" s="40" t="s">
        <v>48</v>
      </c>
      <c r="CP52" s="40" t="s">
        <v>48</v>
      </c>
      <c r="CQ52" s="40" t="s">
        <v>48</v>
      </c>
      <c r="CR52" s="40" t="s">
        <v>48</v>
      </c>
      <c r="CS52" s="40" t="s">
        <v>48</v>
      </c>
      <c r="CT52" s="40" t="s">
        <v>48</v>
      </c>
      <c r="CU52" s="40" t="s">
        <v>48</v>
      </c>
      <c r="CV52" s="40" t="s">
        <v>48</v>
      </c>
      <c r="CW52" s="40" t="s">
        <v>48</v>
      </c>
      <c r="CX52" s="40" t="s">
        <v>48</v>
      </c>
      <c r="CY52" s="40" t="s">
        <v>48</v>
      </c>
      <c r="CZ52" s="40" t="s">
        <v>48</v>
      </c>
      <c r="DA52" s="40" t="s">
        <v>48</v>
      </c>
      <c r="DC52" s="33"/>
      <c r="DD52" s="38" t="str">
        <f>Notes!U53</f>
        <v xml:space="preserve">      Coal and lignite</v>
      </c>
      <c r="DE52" s="4" t="s">
        <v>546</v>
      </c>
      <c r="DF52" s="44">
        <v>1</v>
      </c>
      <c r="DG52" s="42" t="s">
        <v>48</v>
      </c>
      <c r="DH52" s="42" t="s">
        <v>48</v>
      </c>
      <c r="DI52" s="40" t="s">
        <v>48</v>
      </c>
      <c r="DJ52" s="40" t="s">
        <v>48</v>
      </c>
      <c r="DK52" s="40" t="s">
        <v>48</v>
      </c>
      <c r="DL52" s="40" t="s">
        <v>48</v>
      </c>
      <c r="DM52" s="40" t="s">
        <v>48</v>
      </c>
      <c r="DN52" s="40" t="s">
        <v>48</v>
      </c>
      <c r="DO52" s="40" t="s">
        <v>48</v>
      </c>
      <c r="DP52" s="40" t="s">
        <v>48</v>
      </c>
      <c r="DQ52" s="40" t="s">
        <v>48</v>
      </c>
      <c r="DR52" s="40" t="s">
        <v>48</v>
      </c>
      <c r="DS52" s="40" t="s">
        <v>48</v>
      </c>
      <c r="DT52" s="40" t="s">
        <v>48</v>
      </c>
      <c r="DU52" s="40" t="s">
        <v>48</v>
      </c>
      <c r="DV52" s="40" t="s">
        <v>48</v>
      </c>
    </row>
    <row r="53" spans="1:126" x14ac:dyDescent="0.3">
      <c r="A53" s="12">
        <v>46</v>
      </c>
      <c r="B53" s="33"/>
      <c r="C53" s="38" t="str">
        <f>Notes!U54</f>
        <v xml:space="preserve">      Crude oil</v>
      </c>
      <c r="D53" s="4" t="s">
        <v>548</v>
      </c>
      <c r="E53" s="44" t="s">
        <v>48</v>
      </c>
      <c r="F53" s="42" t="s">
        <v>48</v>
      </c>
      <c r="G53" s="42" t="s">
        <v>48</v>
      </c>
      <c r="H53" s="40" t="s">
        <v>48</v>
      </c>
      <c r="I53" s="40" t="s">
        <v>48</v>
      </c>
      <c r="J53" s="40" t="s">
        <v>48</v>
      </c>
      <c r="K53" s="40" t="s">
        <v>48</v>
      </c>
      <c r="L53" s="40" t="s">
        <v>48</v>
      </c>
      <c r="M53" s="40" t="s">
        <v>48</v>
      </c>
      <c r="N53" s="40" t="s">
        <v>48</v>
      </c>
      <c r="O53" s="40" t="s">
        <v>48</v>
      </c>
      <c r="P53" s="40" t="s">
        <v>48</v>
      </c>
      <c r="Q53" s="40" t="s">
        <v>48</v>
      </c>
      <c r="R53" s="40" t="s">
        <v>48</v>
      </c>
      <c r="S53" s="40" t="s">
        <v>48</v>
      </c>
      <c r="T53" s="40" t="s">
        <v>48</v>
      </c>
      <c r="U53" s="40" t="s">
        <v>48</v>
      </c>
      <c r="W53" s="33"/>
      <c r="X53" s="38" t="str">
        <f>Notes!U54</f>
        <v xml:space="preserve">      Crude oil</v>
      </c>
      <c r="Y53" s="4" t="s">
        <v>548</v>
      </c>
      <c r="Z53" s="44">
        <v>1.001203755638622</v>
      </c>
      <c r="AA53" s="42">
        <v>-1.7820671339419114E-2</v>
      </c>
      <c r="AB53" s="42" t="s">
        <v>48</v>
      </c>
      <c r="AC53" s="40" t="s">
        <v>48</v>
      </c>
      <c r="AD53" s="40" t="s">
        <v>48</v>
      </c>
      <c r="AE53" s="40" t="s">
        <v>48</v>
      </c>
      <c r="AF53" s="40" t="s">
        <v>48</v>
      </c>
      <c r="AG53" s="40" t="s">
        <v>48</v>
      </c>
      <c r="AH53" s="40" t="s">
        <v>48</v>
      </c>
      <c r="AI53" s="40" t="s">
        <v>48</v>
      </c>
      <c r="AJ53" s="40" t="s">
        <v>48</v>
      </c>
      <c r="AK53" s="40" t="s">
        <v>48</v>
      </c>
      <c r="AL53" s="40" t="s">
        <v>48</v>
      </c>
      <c r="AM53" s="40" t="s">
        <v>48</v>
      </c>
      <c r="AN53" s="40" t="s">
        <v>48</v>
      </c>
      <c r="AO53" s="40" t="s">
        <v>48</v>
      </c>
      <c r="AP53" s="40" t="s">
        <v>48</v>
      </c>
      <c r="AR53" s="33"/>
      <c r="AS53" s="38" t="str">
        <f>Notes!U54</f>
        <v xml:space="preserve">      Crude oil</v>
      </c>
      <c r="AT53" s="4" t="s">
        <v>548</v>
      </c>
      <c r="AU53" s="44" t="s">
        <v>48</v>
      </c>
      <c r="AV53" s="42" t="s">
        <v>48</v>
      </c>
      <c r="AW53" s="42" t="s">
        <v>48</v>
      </c>
      <c r="AX53" s="40" t="s">
        <v>48</v>
      </c>
      <c r="AY53" s="40" t="s">
        <v>48</v>
      </c>
      <c r="AZ53" s="40" t="s">
        <v>48</v>
      </c>
      <c r="BA53" s="40" t="s">
        <v>48</v>
      </c>
      <c r="BB53" s="40" t="s">
        <v>48</v>
      </c>
      <c r="BC53" s="40" t="s">
        <v>48</v>
      </c>
      <c r="BD53" s="40" t="s">
        <v>48</v>
      </c>
      <c r="BE53" s="40" t="s">
        <v>48</v>
      </c>
      <c r="BF53" s="40" t="s">
        <v>48</v>
      </c>
      <c r="BG53" s="40" t="s">
        <v>48</v>
      </c>
      <c r="BH53" s="40" t="s">
        <v>48</v>
      </c>
      <c r="BI53" s="40" t="s">
        <v>48</v>
      </c>
      <c r="BJ53" s="40" t="s">
        <v>48</v>
      </c>
      <c r="BK53" s="40" t="s">
        <v>48</v>
      </c>
      <c r="BM53" s="33"/>
      <c r="BN53" s="38" t="str">
        <f>Notes!U54</f>
        <v xml:space="preserve">      Crude oil</v>
      </c>
      <c r="BO53" s="4" t="s">
        <v>548</v>
      </c>
      <c r="BP53" s="44">
        <v>1</v>
      </c>
      <c r="BQ53" s="42">
        <v>-1.7820671339408012E-2</v>
      </c>
      <c r="BR53" s="42" t="s">
        <v>48</v>
      </c>
      <c r="BS53" s="40" t="s">
        <v>48</v>
      </c>
      <c r="BT53" s="40" t="s">
        <v>48</v>
      </c>
      <c r="BU53" s="40" t="s">
        <v>48</v>
      </c>
      <c r="BV53" s="40" t="s">
        <v>48</v>
      </c>
      <c r="BW53" s="40" t="s">
        <v>48</v>
      </c>
      <c r="BX53" s="40" t="s">
        <v>48</v>
      </c>
      <c r="BY53" s="40" t="s">
        <v>48</v>
      </c>
      <c r="BZ53" s="40" t="s">
        <v>48</v>
      </c>
      <c r="CA53" s="40" t="s">
        <v>48</v>
      </c>
      <c r="CB53" s="40" t="s">
        <v>48</v>
      </c>
      <c r="CC53" s="40" t="s">
        <v>48</v>
      </c>
      <c r="CD53" s="40" t="s">
        <v>48</v>
      </c>
      <c r="CE53" s="40" t="s">
        <v>48</v>
      </c>
      <c r="CF53" s="40" t="s">
        <v>48</v>
      </c>
      <c r="CH53" s="33"/>
      <c r="CI53" s="38" t="str">
        <f>Notes!U54</f>
        <v xml:space="preserve">      Crude oil</v>
      </c>
      <c r="CJ53" s="4" t="s">
        <v>548</v>
      </c>
      <c r="CK53" s="44" t="s">
        <v>48</v>
      </c>
      <c r="CL53" s="42" t="s">
        <v>48</v>
      </c>
      <c r="CM53" s="42" t="s">
        <v>48</v>
      </c>
      <c r="CN53" s="40" t="s">
        <v>48</v>
      </c>
      <c r="CO53" s="40" t="s">
        <v>48</v>
      </c>
      <c r="CP53" s="40" t="s">
        <v>48</v>
      </c>
      <c r="CQ53" s="40" t="s">
        <v>48</v>
      </c>
      <c r="CR53" s="40" t="s">
        <v>48</v>
      </c>
      <c r="CS53" s="40" t="s">
        <v>48</v>
      </c>
      <c r="CT53" s="40" t="s">
        <v>48</v>
      </c>
      <c r="CU53" s="40" t="s">
        <v>48</v>
      </c>
      <c r="CV53" s="40" t="s">
        <v>48</v>
      </c>
      <c r="CW53" s="40" t="s">
        <v>48</v>
      </c>
      <c r="CX53" s="40" t="s">
        <v>48</v>
      </c>
      <c r="CY53" s="40" t="s">
        <v>48</v>
      </c>
      <c r="CZ53" s="40" t="s">
        <v>48</v>
      </c>
      <c r="DA53" s="40" t="s">
        <v>48</v>
      </c>
      <c r="DC53" s="33"/>
      <c r="DD53" s="38" t="str">
        <f>Notes!U54</f>
        <v xml:space="preserve">      Crude oil</v>
      </c>
      <c r="DE53" s="4" t="s">
        <v>548</v>
      </c>
      <c r="DF53" s="44">
        <v>0.954234557715682</v>
      </c>
      <c r="DG53" s="42" t="s">
        <v>48</v>
      </c>
      <c r="DH53" s="42" t="s">
        <v>48</v>
      </c>
      <c r="DI53" s="40" t="s">
        <v>48</v>
      </c>
      <c r="DJ53" s="40" t="s">
        <v>48</v>
      </c>
      <c r="DK53" s="40" t="s">
        <v>48</v>
      </c>
      <c r="DL53" s="40" t="s">
        <v>48</v>
      </c>
      <c r="DM53" s="40" t="s">
        <v>48</v>
      </c>
      <c r="DN53" s="40" t="s">
        <v>48</v>
      </c>
      <c r="DO53" s="40" t="s">
        <v>48</v>
      </c>
      <c r="DP53" s="40" t="s">
        <v>48</v>
      </c>
      <c r="DQ53" s="40" t="s">
        <v>48</v>
      </c>
      <c r="DR53" s="40" t="s">
        <v>48</v>
      </c>
      <c r="DS53" s="40" t="s">
        <v>48</v>
      </c>
      <c r="DT53" s="40" t="s">
        <v>48</v>
      </c>
      <c r="DU53" s="40" t="s">
        <v>48</v>
      </c>
      <c r="DV53" s="40" t="s">
        <v>48</v>
      </c>
    </row>
    <row r="54" spans="1:126" x14ac:dyDescent="0.3">
      <c r="A54" s="12">
        <v>47</v>
      </c>
      <c r="B54" s="33"/>
      <c r="C54" s="38" t="str">
        <f>Notes!U55</f>
        <v xml:space="preserve">      Natural gas</v>
      </c>
      <c r="D54" s="4" t="s">
        <v>550</v>
      </c>
      <c r="E54" s="44">
        <v>1</v>
      </c>
      <c r="F54" s="42">
        <v>-0.15214740104231295</v>
      </c>
      <c r="G54" s="42" t="s">
        <v>48</v>
      </c>
      <c r="H54" s="40" t="s">
        <v>48</v>
      </c>
      <c r="I54" s="40" t="s">
        <v>48</v>
      </c>
      <c r="J54" s="40" t="s">
        <v>48</v>
      </c>
      <c r="K54" s="40" t="s">
        <v>48</v>
      </c>
      <c r="L54" s="40" t="s">
        <v>48</v>
      </c>
      <c r="M54" s="40" t="s">
        <v>48</v>
      </c>
      <c r="N54" s="40" t="s">
        <v>48</v>
      </c>
      <c r="O54" s="40" t="s">
        <v>48</v>
      </c>
      <c r="P54" s="40" t="s">
        <v>48</v>
      </c>
      <c r="Q54" s="40" t="s">
        <v>48</v>
      </c>
      <c r="R54" s="40" t="s">
        <v>48</v>
      </c>
      <c r="S54" s="40" t="s">
        <v>48</v>
      </c>
      <c r="T54" s="40" t="s">
        <v>48</v>
      </c>
      <c r="U54" s="40" t="s">
        <v>48</v>
      </c>
      <c r="W54" s="33"/>
      <c r="X54" s="38" t="str">
        <f>Notes!U55</f>
        <v xml:space="preserve">      Natural gas</v>
      </c>
      <c r="Y54" s="4" t="s">
        <v>550</v>
      </c>
      <c r="Z54" s="44">
        <v>1.1111798910328312</v>
      </c>
      <c r="AA54" s="42">
        <v>-0.13825222104217882</v>
      </c>
      <c r="AB54" s="42" t="s">
        <v>48</v>
      </c>
      <c r="AC54" s="40" t="s">
        <v>48</v>
      </c>
      <c r="AD54" s="40" t="s">
        <v>48</v>
      </c>
      <c r="AE54" s="40" t="s">
        <v>48</v>
      </c>
      <c r="AF54" s="40" t="s">
        <v>48</v>
      </c>
      <c r="AG54" s="40" t="s">
        <v>48</v>
      </c>
      <c r="AH54" s="40" t="s">
        <v>48</v>
      </c>
      <c r="AI54" s="40" t="s">
        <v>48</v>
      </c>
      <c r="AJ54" s="40" t="s">
        <v>48</v>
      </c>
      <c r="AK54" s="40" t="s">
        <v>48</v>
      </c>
      <c r="AL54" s="40" t="s">
        <v>48</v>
      </c>
      <c r="AM54" s="40" t="s">
        <v>48</v>
      </c>
      <c r="AN54" s="40" t="s">
        <v>48</v>
      </c>
      <c r="AO54" s="40" t="s">
        <v>48</v>
      </c>
      <c r="AP54" s="40" t="s">
        <v>48</v>
      </c>
      <c r="AR54" s="33"/>
      <c r="AS54" s="38" t="str">
        <f>Notes!U55</f>
        <v xml:space="preserve">      Natural gas</v>
      </c>
      <c r="AT54" s="4" t="s">
        <v>550</v>
      </c>
      <c r="AU54" s="44" t="s">
        <v>48</v>
      </c>
      <c r="AV54" s="42" t="s">
        <v>48</v>
      </c>
      <c r="AW54" s="42" t="s">
        <v>48</v>
      </c>
      <c r="AX54" s="40" t="s">
        <v>48</v>
      </c>
      <c r="AY54" s="40" t="s">
        <v>48</v>
      </c>
      <c r="AZ54" s="40" t="s">
        <v>48</v>
      </c>
      <c r="BA54" s="40" t="s">
        <v>48</v>
      </c>
      <c r="BB54" s="40" t="s">
        <v>48</v>
      </c>
      <c r="BC54" s="40" t="s">
        <v>48</v>
      </c>
      <c r="BD54" s="40" t="s">
        <v>48</v>
      </c>
      <c r="BE54" s="40" t="s">
        <v>48</v>
      </c>
      <c r="BF54" s="40" t="s">
        <v>48</v>
      </c>
      <c r="BG54" s="40" t="s">
        <v>48</v>
      </c>
      <c r="BH54" s="40" t="s">
        <v>48</v>
      </c>
      <c r="BI54" s="40" t="s">
        <v>48</v>
      </c>
      <c r="BJ54" s="40" t="s">
        <v>48</v>
      </c>
      <c r="BK54" s="40" t="s">
        <v>48</v>
      </c>
      <c r="BM54" s="33"/>
      <c r="BN54" s="38" t="str">
        <f>Notes!U55</f>
        <v xml:space="preserve">      Natural gas</v>
      </c>
      <c r="BO54" s="4" t="s">
        <v>550</v>
      </c>
      <c r="BP54" s="44" t="s">
        <v>48</v>
      </c>
      <c r="BQ54" s="42" t="s">
        <v>48</v>
      </c>
      <c r="BR54" s="42" t="s">
        <v>48</v>
      </c>
      <c r="BS54" s="40" t="s">
        <v>48</v>
      </c>
      <c r="BT54" s="40" t="s">
        <v>48</v>
      </c>
      <c r="BU54" s="40" t="s">
        <v>48</v>
      </c>
      <c r="BV54" s="40" t="s">
        <v>48</v>
      </c>
      <c r="BW54" s="40" t="s">
        <v>48</v>
      </c>
      <c r="BX54" s="40" t="s">
        <v>48</v>
      </c>
      <c r="BY54" s="40" t="s">
        <v>48</v>
      </c>
      <c r="BZ54" s="40" t="s">
        <v>48</v>
      </c>
      <c r="CA54" s="40" t="s">
        <v>48</v>
      </c>
      <c r="CB54" s="40" t="s">
        <v>48</v>
      </c>
      <c r="CC54" s="40" t="s">
        <v>48</v>
      </c>
      <c r="CD54" s="40" t="s">
        <v>48</v>
      </c>
      <c r="CE54" s="40" t="s">
        <v>48</v>
      </c>
      <c r="CF54" s="40" t="s">
        <v>48</v>
      </c>
      <c r="CH54" s="33"/>
      <c r="CI54" s="38" t="str">
        <f>Notes!U55</f>
        <v xml:space="preserve">      Natural gas</v>
      </c>
      <c r="CJ54" s="4" t="s">
        <v>550</v>
      </c>
      <c r="CK54" s="44" t="s">
        <v>48</v>
      </c>
      <c r="CL54" s="42" t="s">
        <v>48</v>
      </c>
      <c r="CM54" s="42" t="s">
        <v>48</v>
      </c>
      <c r="CN54" s="40" t="s">
        <v>48</v>
      </c>
      <c r="CO54" s="40" t="s">
        <v>48</v>
      </c>
      <c r="CP54" s="40" t="s">
        <v>48</v>
      </c>
      <c r="CQ54" s="40" t="s">
        <v>48</v>
      </c>
      <c r="CR54" s="40" t="s">
        <v>48</v>
      </c>
      <c r="CS54" s="40" t="s">
        <v>48</v>
      </c>
      <c r="CT54" s="40" t="s">
        <v>48</v>
      </c>
      <c r="CU54" s="40" t="s">
        <v>48</v>
      </c>
      <c r="CV54" s="40" t="s">
        <v>48</v>
      </c>
      <c r="CW54" s="40" t="s">
        <v>48</v>
      </c>
      <c r="CX54" s="40" t="s">
        <v>48</v>
      </c>
      <c r="CY54" s="40" t="s">
        <v>48</v>
      </c>
      <c r="CZ54" s="40" t="s">
        <v>48</v>
      </c>
      <c r="DA54" s="40" t="s">
        <v>48</v>
      </c>
      <c r="DC54" s="33"/>
      <c r="DD54" s="38" t="str">
        <f>Notes!U55</f>
        <v xml:space="preserve">      Natural gas</v>
      </c>
      <c r="DE54" s="4" t="s">
        <v>550</v>
      </c>
      <c r="DF54" s="44" t="s">
        <v>48</v>
      </c>
      <c r="DG54" s="42" t="s">
        <v>48</v>
      </c>
      <c r="DH54" s="42" t="s">
        <v>48</v>
      </c>
      <c r="DI54" s="40" t="s">
        <v>48</v>
      </c>
      <c r="DJ54" s="40" t="s">
        <v>48</v>
      </c>
      <c r="DK54" s="40" t="s">
        <v>48</v>
      </c>
      <c r="DL54" s="40" t="s">
        <v>48</v>
      </c>
      <c r="DM54" s="40" t="s">
        <v>48</v>
      </c>
      <c r="DN54" s="40" t="s">
        <v>48</v>
      </c>
      <c r="DO54" s="40" t="s">
        <v>48</v>
      </c>
      <c r="DP54" s="40" t="s">
        <v>48</v>
      </c>
      <c r="DQ54" s="40" t="s">
        <v>48</v>
      </c>
      <c r="DR54" s="40" t="s">
        <v>48</v>
      </c>
      <c r="DS54" s="40" t="s">
        <v>48</v>
      </c>
      <c r="DT54" s="40" t="s">
        <v>48</v>
      </c>
      <c r="DU54" s="40" t="s">
        <v>48</v>
      </c>
      <c r="DV54" s="40" t="s">
        <v>48</v>
      </c>
    </row>
    <row r="55" spans="1:126" x14ac:dyDescent="0.3">
      <c r="A55" s="12">
        <v>48</v>
      </c>
      <c r="B55" s="33"/>
      <c r="C55" s="38" t="str">
        <f>Notes!U56</f>
        <v xml:space="preserve">      Other mining</v>
      </c>
      <c r="D55" s="4" t="s">
        <v>552</v>
      </c>
      <c r="E55" s="44">
        <v>1</v>
      </c>
      <c r="F55" s="42">
        <v>-5.8073315797224634E-2</v>
      </c>
      <c r="G55" s="42" t="s">
        <v>48</v>
      </c>
      <c r="H55" s="40" t="s">
        <v>48</v>
      </c>
      <c r="I55" s="40" t="s">
        <v>48</v>
      </c>
      <c r="J55" s="40" t="s">
        <v>48</v>
      </c>
      <c r="K55" s="40" t="s">
        <v>48</v>
      </c>
      <c r="L55" s="40" t="s">
        <v>48</v>
      </c>
      <c r="M55" s="40" t="s">
        <v>48</v>
      </c>
      <c r="N55" s="40" t="s">
        <v>48</v>
      </c>
      <c r="O55" s="40" t="s">
        <v>48</v>
      </c>
      <c r="P55" s="40" t="s">
        <v>48</v>
      </c>
      <c r="Q55" s="40" t="s">
        <v>48</v>
      </c>
      <c r="R55" s="40" t="s">
        <v>48</v>
      </c>
      <c r="S55" s="40" t="s">
        <v>48</v>
      </c>
      <c r="T55" s="40" t="s">
        <v>48</v>
      </c>
      <c r="U55" s="40" t="s">
        <v>48</v>
      </c>
      <c r="W55" s="33"/>
      <c r="X55" s="38" t="str">
        <f>Notes!U56</f>
        <v xml:space="preserve">      Other mining</v>
      </c>
      <c r="Y55" s="4" t="s">
        <v>552</v>
      </c>
      <c r="Z55" s="44">
        <v>1.0531922258942905</v>
      </c>
      <c r="AA55" s="42">
        <v>-4.9687201126935587E-2</v>
      </c>
      <c r="AB55" s="42" t="s">
        <v>48</v>
      </c>
      <c r="AC55" s="40" t="s">
        <v>48</v>
      </c>
      <c r="AD55" s="40" t="s">
        <v>48</v>
      </c>
      <c r="AE55" s="40" t="s">
        <v>48</v>
      </c>
      <c r="AF55" s="40" t="s">
        <v>48</v>
      </c>
      <c r="AG55" s="40" t="s">
        <v>48</v>
      </c>
      <c r="AH55" s="40" t="s">
        <v>48</v>
      </c>
      <c r="AI55" s="40" t="s">
        <v>48</v>
      </c>
      <c r="AJ55" s="40" t="s">
        <v>48</v>
      </c>
      <c r="AK55" s="40" t="s">
        <v>48</v>
      </c>
      <c r="AL55" s="40" t="s">
        <v>48</v>
      </c>
      <c r="AM55" s="40" t="s">
        <v>48</v>
      </c>
      <c r="AN55" s="40" t="s">
        <v>48</v>
      </c>
      <c r="AO55" s="40" t="s">
        <v>48</v>
      </c>
      <c r="AP55" s="40" t="s">
        <v>48</v>
      </c>
      <c r="AR55" s="33"/>
      <c r="AS55" s="38" t="str">
        <f>Notes!U56</f>
        <v xml:space="preserve">      Other mining</v>
      </c>
      <c r="AT55" s="4" t="s">
        <v>552</v>
      </c>
      <c r="AU55" s="44" t="s">
        <v>48</v>
      </c>
      <c r="AV55" s="42" t="s">
        <v>48</v>
      </c>
      <c r="AW55" s="42" t="s">
        <v>48</v>
      </c>
      <c r="AX55" s="40" t="s">
        <v>48</v>
      </c>
      <c r="AY55" s="40" t="s">
        <v>48</v>
      </c>
      <c r="AZ55" s="40" t="s">
        <v>48</v>
      </c>
      <c r="BA55" s="40" t="s">
        <v>48</v>
      </c>
      <c r="BB55" s="40" t="s">
        <v>48</v>
      </c>
      <c r="BC55" s="40" t="s">
        <v>48</v>
      </c>
      <c r="BD55" s="40" t="s">
        <v>48</v>
      </c>
      <c r="BE55" s="40" t="s">
        <v>48</v>
      </c>
      <c r="BF55" s="40" t="s">
        <v>48</v>
      </c>
      <c r="BG55" s="40" t="s">
        <v>48</v>
      </c>
      <c r="BH55" s="40" t="s">
        <v>48</v>
      </c>
      <c r="BI55" s="40" t="s">
        <v>48</v>
      </c>
      <c r="BJ55" s="40" t="s">
        <v>48</v>
      </c>
      <c r="BK55" s="40" t="s">
        <v>48</v>
      </c>
      <c r="BM55" s="33"/>
      <c r="BN55" s="38" t="str">
        <f>Notes!U56</f>
        <v xml:space="preserve">      Other mining</v>
      </c>
      <c r="BO55" s="4" t="s">
        <v>552</v>
      </c>
      <c r="BP55" s="44">
        <v>1.0531922258942907</v>
      </c>
      <c r="BQ55" s="42">
        <v>-1.7800653299471225E-2</v>
      </c>
      <c r="BR55" s="42" t="s">
        <v>48</v>
      </c>
      <c r="BS55" s="40" t="s">
        <v>48</v>
      </c>
      <c r="BT55" s="40" t="s">
        <v>48</v>
      </c>
      <c r="BU55" s="40" t="s">
        <v>48</v>
      </c>
      <c r="BV55" s="40" t="s">
        <v>48</v>
      </c>
      <c r="BW55" s="40" t="s">
        <v>48</v>
      </c>
      <c r="BX55" s="40" t="s">
        <v>48</v>
      </c>
      <c r="BY55" s="40" t="s">
        <v>48</v>
      </c>
      <c r="BZ55" s="40" t="s">
        <v>48</v>
      </c>
      <c r="CA55" s="40" t="s">
        <v>48</v>
      </c>
      <c r="CB55" s="40" t="s">
        <v>48</v>
      </c>
      <c r="CC55" s="40" t="s">
        <v>48</v>
      </c>
      <c r="CD55" s="40" t="s">
        <v>48</v>
      </c>
      <c r="CE55" s="40" t="s">
        <v>48</v>
      </c>
      <c r="CF55" s="40" t="s">
        <v>48</v>
      </c>
      <c r="CH55" s="33"/>
      <c r="CI55" s="38" t="str">
        <f>Notes!U56</f>
        <v xml:space="preserve">      Other mining</v>
      </c>
      <c r="CJ55" s="4" t="s">
        <v>552</v>
      </c>
      <c r="CK55" s="44" t="s">
        <v>48</v>
      </c>
      <c r="CL55" s="42" t="s">
        <v>48</v>
      </c>
      <c r="CM55" s="42" t="s">
        <v>48</v>
      </c>
      <c r="CN55" s="40" t="s">
        <v>48</v>
      </c>
      <c r="CO55" s="40" t="s">
        <v>48</v>
      </c>
      <c r="CP55" s="40" t="s">
        <v>48</v>
      </c>
      <c r="CQ55" s="40" t="s">
        <v>48</v>
      </c>
      <c r="CR55" s="40" t="s">
        <v>48</v>
      </c>
      <c r="CS55" s="40" t="s">
        <v>48</v>
      </c>
      <c r="CT55" s="40" t="s">
        <v>48</v>
      </c>
      <c r="CU55" s="40" t="s">
        <v>48</v>
      </c>
      <c r="CV55" s="40" t="s">
        <v>48</v>
      </c>
      <c r="CW55" s="40" t="s">
        <v>48</v>
      </c>
      <c r="CX55" s="40" t="s">
        <v>48</v>
      </c>
      <c r="CY55" s="40" t="s">
        <v>48</v>
      </c>
      <c r="CZ55" s="40" t="s">
        <v>48</v>
      </c>
      <c r="DA55" s="40" t="s">
        <v>48</v>
      </c>
      <c r="DC55" s="33"/>
      <c r="DD55" s="38" t="str">
        <f>Notes!U56</f>
        <v xml:space="preserve">      Other mining</v>
      </c>
      <c r="DE55" s="4" t="s">
        <v>552</v>
      </c>
      <c r="DF55" s="44">
        <v>0.87676239703002257</v>
      </c>
      <c r="DG55" s="42" t="s">
        <v>48</v>
      </c>
      <c r="DH55" s="42" t="s">
        <v>48</v>
      </c>
      <c r="DI55" s="40" t="s">
        <v>48</v>
      </c>
      <c r="DJ55" s="40" t="s">
        <v>48</v>
      </c>
      <c r="DK55" s="40" t="s">
        <v>48</v>
      </c>
      <c r="DL55" s="40" t="s">
        <v>48</v>
      </c>
      <c r="DM55" s="40" t="s">
        <v>48</v>
      </c>
      <c r="DN55" s="40" t="s">
        <v>48</v>
      </c>
      <c r="DO55" s="40" t="s">
        <v>48</v>
      </c>
      <c r="DP55" s="40" t="s">
        <v>48</v>
      </c>
      <c r="DQ55" s="40" t="s">
        <v>48</v>
      </c>
      <c r="DR55" s="40" t="s">
        <v>48</v>
      </c>
      <c r="DS55" s="40" t="s">
        <v>48</v>
      </c>
      <c r="DT55" s="40" t="s">
        <v>48</v>
      </c>
      <c r="DU55" s="40" t="s">
        <v>48</v>
      </c>
      <c r="DV55" s="40" t="s">
        <v>48</v>
      </c>
    </row>
    <row r="56" spans="1:126" x14ac:dyDescent="0.3">
      <c r="A56" s="12">
        <v>49</v>
      </c>
      <c r="B56" s="33"/>
      <c r="C56" s="38" t="str">
        <f>Notes!U57</f>
        <v xml:space="preserve">   Manufacturing</v>
      </c>
      <c r="D56" s="4" t="s">
        <v>360</v>
      </c>
      <c r="E56" s="44">
        <v>0.99999999999999989</v>
      </c>
      <c r="F56" s="42">
        <v>-4.1101107833063644E-3</v>
      </c>
      <c r="G56" s="42" t="s">
        <v>48</v>
      </c>
      <c r="H56" s="40" t="s">
        <v>48</v>
      </c>
      <c r="I56" s="40" t="s">
        <v>48</v>
      </c>
      <c r="J56" s="40" t="s">
        <v>48</v>
      </c>
      <c r="K56" s="40" t="s">
        <v>48</v>
      </c>
      <c r="L56" s="40" t="s">
        <v>48</v>
      </c>
      <c r="M56" s="40" t="s">
        <v>48</v>
      </c>
      <c r="N56" s="40" t="s">
        <v>48</v>
      </c>
      <c r="O56" s="40" t="s">
        <v>48</v>
      </c>
      <c r="P56" s="40" t="s">
        <v>48</v>
      </c>
      <c r="Q56" s="40" t="s">
        <v>48</v>
      </c>
      <c r="R56" s="40" t="s">
        <v>48</v>
      </c>
      <c r="S56" s="40" t="s">
        <v>48</v>
      </c>
      <c r="T56" s="40" t="s">
        <v>48</v>
      </c>
      <c r="U56" s="40" t="s">
        <v>48</v>
      </c>
      <c r="W56" s="33"/>
      <c r="X56" s="38" t="str">
        <f>Notes!U57</f>
        <v xml:space="preserve">   Manufacturing</v>
      </c>
      <c r="Y56" s="4" t="s">
        <v>360</v>
      </c>
      <c r="Z56" s="44">
        <v>1.260008434429273</v>
      </c>
      <c r="AA56" s="42">
        <v>-6.9453282595999255E-3</v>
      </c>
      <c r="AB56" s="42" t="s">
        <v>48</v>
      </c>
      <c r="AC56" s="40" t="s">
        <v>48</v>
      </c>
      <c r="AD56" s="40" t="s">
        <v>48</v>
      </c>
      <c r="AE56" s="40" t="s">
        <v>48</v>
      </c>
      <c r="AF56" s="40" t="s">
        <v>48</v>
      </c>
      <c r="AG56" s="40" t="s">
        <v>48</v>
      </c>
      <c r="AH56" s="40" t="s">
        <v>48</v>
      </c>
      <c r="AI56" s="40" t="s">
        <v>48</v>
      </c>
      <c r="AJ56" s="40" t="s">
        <v>48</v>
      </c>
      <c r="AK56" s="40" t="s">
        <v>48</v>
      </c>
      <c r="AL56" s="40" t="s">
        <v>48</v>
      </c>
      <c r="AM56" s="40" t="s">
        <v>48</v>
      </c>
      <c r="AN56" s="40" t="s">
        <v>48</v>
      </c>
      <c r="AO56" s="40" t="s">
        <v>48</v>
      </c>
      <c r="AP56" s="40" t="s">
        <v>48</v>
      </c>
      <c r="AR56" s="33"/>
      <c r="AS56" s="38" t="str">
        <f>Notes!U57</f>
        <v xml:space="preserve">   Manufacturing</v>
      </c>
      <c r="AT56" s="4" t="s">
        <v>360</v>
      </c>
      <c r="AU56" s="44">
        <v>1.0000000000000002</v>
      </c>
      <c r="AV56" s="42">
        <v>-1.85963384703558E-2</v>
      </c>
      <c r="AW56" s="42" t="s">
        <v>48</v>
      </c>
      <c r="AX56" s="40" t="s">
        <v>48</v>
      </c>
      <c r="AY56" s="40" t="s">
        <v>48</v>
      </c>
      <c r="AZ56" s="40" t="s">
        <v>48</v>
      </c>
      <c r="BA56" s="40" t="s">
        <v>48</v>
      </c>
      <c r="BB56" s="40" t="s">
        <v>48</v>
      </c>
      <c r="BC56" s="40" t="s">
        <v>48</v>
      </c>
      <c r="BD56" s="40" t="s">
        <v>48</v>
      </c>
      <c r="BE56" s="40" t="s">
        <v>48</v>
      </c>
      <c r="BF56" s="40" t="s">
        <v>48</v>
      </c>
      <c r="BG56" s="40" t="s">
        <v>48</v>
      </c>
      <c r="BH56" s="40" t="s">
        <v>48</v>
      </c>
      <c r="BI56" s="40" t="s">
        <v>48</v>
      </c>
      <c r="BJ56" s="40" t="s">
        <v>48</v>
      </c>
      <c r="BK56" s="40" t="s">
        <v>48</v>
      </c>
      <c r="BM56" s="33"/>
      <c r="BN56" s="38" t="str">
        <f>Notes!U57</f>
        <v xml:space="preserve">   Manufacturing</v>
      </c>
      <c r="BO56" s="4" t="s">
        <v>360</v>
      </c>
      <c r="BP56" s="44">
        <v>1.2097654354072696</v>
      </c>
      <c r="BQ56" s="42">
        <v>-1.7281710032568398E-2</v>
      </c>
      <c r="BR56" s="42" t="s">
        <v>48</v>
      </c>
      <c r="BS56" s="40" t="s">
        <v>48</v>
      </c>
      <c r="BT56" s="40" t="s">
        <v>48</v>
      </c>
      <c r="BU56" s="40" t="s">
        <v>48</v>
      </c>
      <c r="BV56" s="40" t="s">
        <v>48</v>
      </c>
      <c r="BW56" s="40" t="s">
        <v>48</v>
      </c>
      <c r="BX56" s="40" t="s">
        <v>48</v>
      </c>
      <c r="BY56" s="40" t="s">
        <v>48</v>
      </c>
      <c r="BZ56" s="40" t="s">
        <v>48</v>
      </c>
      <c r="CA56" s="40" t="s">
        <v>48</v>
      </c>
      <c r="CB56" s="40" t="s">
        <v>48</v>
      </c>
      <c r="CC56" s="40" t="s">
        <v>48</v>
      </c>
      <c r="CD56" s="40" t="s">
        <v>48</v>
      </c>
      <c r="CE56" s="40" t="s">
        <v>48</v>
      </c>
      <c r="CF56" s="40" t="s">
        <v>48</v>
      </c>
      <c r="CH56" s="33"/>
      <c r="CI56" s="38" t="str">
        <f>Notes!U57</f>
        <v xml:space="preserve">   Manufacturing</v>
      </c>
      <c r="CJ56" s="4" t="s">
        <v>360</v>
      </c>
      <c r="CK56" s="44">
        <v>1.1469234268751476</v>
      </c>
      <c r="CL56" s="42" t="s">
        <v>48</v>
      </c>
      <c r="CM56" s="42" t="s">
        <v>48</v>
      </c>
      <c r="CN56" s="40" t="s">
        <v>48</v>
      </c>
      <c r="CO56" s="40" t="s">
        <v>48</v>
      </c>
      <c r="CP56" s="40" t="s">
        <v>48</v>
      </c>
      <c r="CQ56" s="40" t="s">
        <v>48</v>
      </c>
      <c r="CR56" s="40" t="s">
        <v>48</v>
      </c>
      <c r="CS56" s="40" t="s">
        <v>48</v>
      </c>
      <c r="CT56" s="40" t="s">
        <v>48</v>
      </c>
      <c r="CU56" s="40" t="s">
        <v>48</v>
      </c>
      <c r="CV56" s="40" t="s">
        <v>48</v>
      </c>
      <c r="CW56" s="40" t="s">
        <v>48</v>
      </c>
      <c r="CX56" s="40" t="s">
        <v>48</v>
      </c>
      <c r="CY56" s="40" t="s">
        <v>48</v>
      </c>
      <c r="CZ56" s="40" t="s">
        <v>48</v>
      </c>
      <c r="DA56" s="40" t="s">
        <v>48</v>
      </c>
      <c r="DC56" s="33"/>
      <c r="DD56" s="38" t="str">
        <f>Notes!U57</f>
        <v xml:space="preserve">   Manufacturing</v>
      </c>
      <c r="DE56" s="4" t="s">
        <v>360</v>
      </c>
      <c r="DF56" s="44">
        <v>0.95875217317961015</v>
      </c>
      <c r="DG56" s="42" t="s">
        <v>48</v>
      </c>
      <c r="DH56" s="42" t="s">
        <v>48</v>
      </c>
      <c r="DI56" s="40" t="s">
        <v>48</v>
      </c>
      <c r="DJ56" s="40" t="s">
        <v>48</v>
      </c>
      <c r="DK56" s="40" t="s">
        <v>48</v>
      </c>
      <c r="DL56" s="40" t="s">
        <v>48</v>
      </c>
      <c r="DM56" s="40" t="s">
        <v>48</v>
      </c>
      <c r="DN56" s="40" t="s">
        <v>48</v>
      </c>
      <c r="DO56" s="40" t="s">
        <v>48</v>
      </c>
      <c r="DP56" s="40" t="s">
        <v>48</v>
      </c>
      <c r="DQ56" s="40" t="s">
        <v>48</v>
      </c>
      <c r="DR56" s="40" t="s">
        <v>48</v>
      </c>
      <c r="DS56" s="40" t="s">
        <v>48</v>
      </c>
      <c r="DT56" s="40" t="s">
        <v>48</v>
      </c>
      <c r="DU56" s="40" t="s">
        <v>48</v>
      </c>
      <c r="DV56" s="40" t="s">
        <v>48</v>
      </c>
    </row>
    <row r="57" spans="1:126" x14ac:dyDescent="0.3">
      <c r="A57" s="12">
        <v>50</v>
      </c>
      <c r="B57" s="33"/>
      <c r="C57" s="38" t="str">
        <f>Notes!U58</f>
        <v xml:space="preserve">      Food processing</v>
      </c>
      <c r="D57" s="4" t="s">
        <v>554</v>
      </c>
      <c r="E57" s="44">
        <v>1</v>
      </c>
      <c r="F57" s="42">
        <v>2.5004896907399043E-2</v>
      </c>
      <c r="G57" s="42" t="s">
        <v>48</v>
      </c>
      <c r="H57" s="40" t="s">
        <v>48</v>
      </c>
      <c r="I57" s="40" t="s">
        <v>48</v>
      </c>
      <c r="J57" s="40" t="s">
        <v>48</v>
      </c>
      <c r="K57" s="40" t="s">
        <v>48</v>
      </c>
      <c r="L57" s="40" t="s">
        <v>48</v>
      </c>
      <c r="M57" s="40" t="s">
        <v>48</v>
      </c>
      <c r="N57" s="40" t="s">
        <v>48</v>
      </c>
      <c r="O57" s="40" t="s">
        <v>48</v>
      </c>
      <c r="P57" s="40" t="s">
        <v>48</v>
      </c>
      <c r="Q57" s="40" t="s">
        <v>48</v>
      </c>
      <c r="R57" s="40" t="s">
        <v>48</v>
      </c>
      <c r="S57" s="40" t="s">
        <v>48</v>
      </c>
      <c r="T57" s="40" t="s">
        <v>48</v>
      </c>
      <c r="U57" s="40" t="s">
        <v>48</v>
      </c>
      <c r="W57" s="33"/>
      <c r="X57" s="38" t="str">
        <f>Notes!U58</f>
        <v xml:space="preserve">      Food processing</v>
      </c>
      <c r="Y57" s="4" t="s">
        <v>554</v>
      </c>
      <c r="Z57" s="44">
        <v>1.1927785670985913</v>
      </c>
      <c r="AA57" s="42">
        <v>1.4265469370156048E-2</v>
      </c>
      <c r="AB57" s="42" t="s">
        <v>48</v>
      </c>
      <c r="AC57" s="40" t="s">
        <v>48</v>
      </c>
      <c r="AD57" s="40" t="s">
        <v>48</v>
      </c>
      <c r="AE57" s="40" t="s">
        <v>48</v>
      </c>
      <c r="AF57" s="40" t="s">
        <v>48</v>
      </c>
      <c r="AG57" s="40" t="s">
        <v>48</v>
      </c>
      <c r="AH57" s="40" t="s">
        <v>48</v>
      </c>
      <c r="AI57" s="40" t="s">
        <v>48</v>
      </c>
      <c r="AJ57" s="40" t="s">
        <v>48</v>
      </c>
      <c r="AK57" s="40" t="s">
        <v>48</v>
      </c>
      <c r="AL57" s="40" t="s">
        <v>48</v>
      </c>
      <c r="AM57" s="40" t="s">
        <v>48</v>
      </c>
      <c r="AN57" s="40" t="s">
        <v>48</v>
      </c>
      <c r="AO57" s="40" t="s">
        <v>48</v>
      </c>
      <c r="AP57" s="40" t="s">
        <v>48</v>
      </c>
      <c r="AR57" s="33"/>
      <c r="AS57" s="38" t="str">
        <f>Notes!U58</f>
        <v xml:space="preserve">      Food processing</v>
      </c>
      <c r="AT57" s="4" t="s">
        <v>554</v>
      </c>
      <c r="AU57" s="44">
        <v>1</v>
      </c>
      <c r="AV57" s="42">
        <v>-1.8318405823192219E-2</v>
      </c>
      <c r="AW57" s="42" t="s">
        <v>48</v>
      </c>
      <c r="AX57" s="40" t="s">
        <v>48</v>
      </c>
      <c r="AY57" s="40" t="s">
        <v>48</v>
      </c>
      <c r="AZ57" s="40" t="s">
        <v>48</v>
      </c>
      <c r="BA57" s="40" t="s">
        <v>48</v>
      </c>
      <c r="BB57" s="40" t="s">
        <v>48</v>
      </c>
      <c r="BC57" s="40" t="s">
        <v>48</v>
      </c>
      <c r="BD57" s="40" t="s">
        <v>48</v>
      </c>
      <c r="BE57" s="40" t="s">
        <v>48</v>
      </c>
      <c r="BF57" s="40" t="s">
        <v>48</v>
      </c>
      <c r="BG57" s="40" t="s">
        <v>48</v>
      </c>
      <c r="BH57" s="40" t="s">
        <v>48</v>
      </c>
      <c r="BI57" s="40" t="s">
        <v>48</v>
      </c>
      <c r="BJ57" s="40" t="s">
        <v>48</v>
      </c>
      <c r="BK57" s="40" t="s">
        <v>48</v>
      </c>
      <c r="BM57" s="33"/>
      <c r="BN57" s="38" t="str">
        <f>Notes!U58</f>
        <v xml:space="preserve">      Food processing</v>
      </c>
      <c r="BO57" s="4" t="s">
        <v>554</v>
      </c>
      <c r="BP57" s="44">
        <v>1.0718564665251336</v>
      </c>
      <c r="BQ57" s="42">
        <v>-1.7730832768902971E-2</v>
      </c>
      <c r="BR57" s="42" t="s">
        <v>48</v>
      </c>
      <c r="BS57" s="40" t="s">
        <v>48</v>
      </c>
      <c r="BT57" s="40" t="s">
        <v>48</v>
      </c>
      <c r="BU57" s="40" t="s">
        <v>48</v>
      </c>
      <c r="BV57" s="40" t="s">
        <v>48</v>
      </c>
      <c r="BW57" s="40" t="s">
        <v>48</v>
      </c>
      <c r="BX57" s="40" t="s">
        <v>48</v>
      </c>
      <c r="BY57" s="40" t="s">
        <v>48</v>
      </c>
      <c r="BZ57" s="40" t="s">
        <v>48</v>
      </c>
      <c r="CA57" s="40" t="s">
        <v>48</v>
      </c>
      <c r="CB57" s="40" t="s">
        <v>48</v>
      </c>
      <c r="CC57" s="40" t="s">
        <v>48</v>
      </c>
      <c r="CD57" s="40" t="s">
        <v>48</v>
      </c>
      <c r="CE57" s="40" t="s">
        <v>48</v>
      </c>
      <c r="CF57" s="40" t="s">
        <v>48</v>
      </c>
      <c r="CH57" s="33"/>
      <c r="CI57" s="38" t="str">
        <f>Notes!U58</f>
        <v xml:space="preserve">      Food processing</v>
      </c>
      <c r="CJ57" s="4" t="s">
        <v>554</v>
      </c>
      <c r="CK57" s="44">
        <v>1.0722520996906049</v>
      </c>
      <c r="CL57" s="42" t="s">
        <v>48</v>
      </c>
      <c r="CM57" s="42" t="s">
        <v>48</v>
      </c>
      <c r="CN57" s="40" t="s">
        <v>48</v>
      </c>
      <c r="CO57" s="40" t="s">
        <v>48</v>
      </c>
      <c r="CP57" s="40" t="s">
        <v>48</v>
      </c>
      <c r="CQ57" s="40" t="s">
        <v>48</v>
      </c>
      <c r="CR57" s="40" t="s">
        <v>48</v>
      </c>
      <c r="CS57" s="40" t="s">
        <v>48</v>
      </c>
      <c r="CT57" s="40" t="s">
        <v>48</v>
      </c>
      <c r="CU57" s="40" t="s">
        <v>48</v>
      </c>
      <c r="CV57" s="40" t="s">
        <v>48</v>
      </c>
      <c r="CW57" s="40" t="s">
        <v>48</v>
      </c>
      <c r="CX57" s="40" t="s">
        <v>48</v>
      </c>
      <c r="CY57" s="40" t="s">
        <v>48</v>
      </c>
      <c r="CZ57" s="40" t="s">
        <v>48</v>
      </c>
      <c r="DA57" s="40" t="s">
        <v>48</v>
      </c>
      <c r="DC57" s="33"/>
      <c r="DD57" s="38" t="str">
        <f>Notes!U58</f>
        <v xml:space="preserve">      Food processing</v>
      </c>
      <c r="DE57" s="4" t="s">
        <v>554</v>
      </c>
      <c r="DF57" s="44">
        <v>0.96479973650527906</v>
      </c>
      <c r="DG57" s="42" t="s">
        <v>48</v>
      </c>
      <c r="DH57" s="42" t="s">
        <v>48</v>
      </c>
      <c r="DI57" s="40" t="s">
        <v>48</v>
      </c>
      <c r="DJ57" s="40" t="s">
        <v>48</v>
      </c>
      <c r="DK57" s="40" t="s">
        <v>48</v>
      </c>
      <c r="DL57" s="40" t="s">
        <v>48</v>
      </c>
      <c r="DM57" s="40" t="s">
        <v>48</v>
      </c>
      <c r="DN57" s="40" t="s">
        <v>48</v>
      </c>
      <c r="DO57" s="40" t="s">
        <v>48</v>
      </c>
      <c r="DP57" s="40" t="s">
        <v>48</v>
      </c>
      <c r="DQ57" s="40" t="s">
        <v>48</v>
      </c>
      <c r="DR57" s="40" t="s">
        <v>48</v>
      </c>
      <c r="DS57" s="40" t="s">
        <v>48</v>
      </c>
      <c r="DT57" s="40" t="s">
        <v>48</v>
      </c>
      <c r="DU57" s="40" t="s">
        <v>48</v>
      </c>
      <c r="DV57" s="40" t="s">
        <v>48</v>
      </c>
    </row>
    <row r="58" spans="1:126" x14ac:dyDescent="0.3">
      <c r="A58" s="12">
        <v>51</v>
      </c>
      <c r="B58" s="33"/>
      <c r="C58" s="38" t="str">
        <f>Notes!U59</f>
        <v xml:space="preserve">         Meat processing</v>
      </c>
      <c r="D58" s="4" t="s">
        <v>556</v>
      </c>
      <c r="E58" s="44">
        <v>1</v>
      </c>
      <c r="F58" s="42">
        <v>2.3833983733290154E-2</v>
      </c>
      <c r="G58" s="42" t="s">
        <v>48</v>
      </c>
      <c r="H58" s="40" t="s">
        <v>48</v>
      </c>
      <c r="I58" s="40" t="s">
        <v>48</v>
      </c>
      <c r="J58" s="40" t="s">
        <v>48</v>
      </c>
      <c r="K58" s="40" t="s">
        <v>48</v>
      </c>
      <c r="L58" s="40" t="s">
        <v>48</v>
      </c>
      <c r="M58" s="40" t="s">
        <v>48</v>
      </c>
      <c r="N58" s="40" t="s">
        <v>48</v>
      </c>
      <c r="O58" s="40" t="s">
        <v>48</v>
      </c>
      <c r="P58" s="40" t="s">
        <v>48</v>
      </c>
      <c r="Q58" s="40" t="s">
        <v>48</v>
      </c>
      <c r="R58" s="40" t="s">
        <v>48</v>
      </c>
      <c r="S58" s="40" t="s">
        <v>48</v>
      </c>
      <c r="T58" s="40" t="s">
        <v>48</v>
      </c>
      <c r="U58" s="40" t="s">
        <v>48</v>
      </c>
      <c r="W58" s="33"/>
      <c r="X58" s="38" t="str">
        <f>Notes!U59</f>
        <v xml:space="preserve">         Meat processing</v>
      </c>
      <c r="Y58" s="4" t="s">
        <v>556</v>
      </c>
      <c r="Z58" s="44">
        <v>1.1113095274329272</v>
      </c>
      <c r="AA58" s="42">
        <v>1.9633960116971494E-2</v>
      </c>
      <c r="AB58" s="42" t="s">
        <v>48</v>
      </c>
      <c r="AC58" s="40" t="s">
        <v>48</v>
      </c>
      <c r="AD58" s="40" t="s">
        <v>48</v>
      </c>
      <c r="AE58" s="40" t="s">
        <v>48</v>
      </c>
      <c r="AF58" s="40" t="s">
        <v>48</v>
      </c>
      <c r="AG58" s="40" t="s">
        <v>48</v>
      </c>
      <c r="AH58" s="40" t="s">
        <v>48</v>
      </c>
      <c r="AI58" s="40" t="s">
        <v>48</v>
      </c>
      <c r="AJ58" s="40" t="s">
        <v>48</v>
      </c>
      <c r="AK58" s="40" t="s">
        <v>48</v>
      </c>
      <c r="AL58" s="40" t="s">
        <v>48</v>
      </c>
      <c r="AM58" s="40" t="s">
        <v>48</v>
      </c>
      <c r="AN58" s="40" t="s">
        <v>48</v>
      </c>
      <c r="AO58" s="40" t="s">
        <v>48</v>
      </c>
      <c r="AP58" s="40" t="s">
        <v>48</v>
      </c>
      <c r="AR58" s="33"/>
      <c r="AS58" s="38" t="str">
        <f>Notes!U59</f>
        <v xml:space="preserve">         Meat processing</v>
      </c>
      <c r="AT58" s="4" t="s">
        <v>556</v>
      </c>
      <c r="AU58" s="44" t="s">
        <v>48</v>
      </c>
      <c r="AV58" s="42" t="s">
        <v>48</v>
      </c>
      <c r="AW58" s="42" t="s">
        <v>48</v>
      </c>
      <c r="AX58" s="40" t="s">
        <v>48</v>
      </c>
      <c r="AY58" s="40" t="s">
        <v>48</v>
      </c>
      <c r="AZ58" s="40" t="s">
        <v>48</v>
      </c>
      <c r="BA58" s="40" t="s">
        <v>48</v>
      </c>
      <c r="BB58" s="40" t="s">
        <v>48</v>
      </c>
      <c r="BC58" s="40" t="s">
        <v>48</v>
      </c>
      <c r="BD58" s="40" t="s">
        <v>48</v>
      </c>
      <c r="BE58" s="40" t="s">
        <v>48</v>
      </c>
      <c r="BF58" s="40" t="s">
        <v>48</v>
      </c>
      <c r="BG58" s="40" t="s">
        <v>48</v>
      </c>
      <c r="BH58" s="40" t="s">
        <v>48</v>
      </c>
      <c r="BI58" s="40" t="s">
        <v>48</v>
      </c>
      <c r="BJ58" s="40" t="s">
        <v>48</v>
      </c>
      <c r="BK58" s="40" t="s">
        <v>48</v>
      </c>
      <c r="BM58" s="33"/>
      <c r="BN58" s="38" t="str">
        <f>Notes!U59</f>
        <v xml:space="preserve">         Meat processing</v>
      </c>
      <c r="BO58" s="4" t="s">
        <v>556</v>
      </c>
      <c r="BP58" s="44">
        <v>1.1113095274329272</v>
      </c>
      <c r="BQ58" s="42">
        <v>-1.7590963148206296E-2</v>
      </c>
      <c r="BR58" s="42" t="s">
        <v>48</v>
      </c>
      <c r="BS58" s="40" t="s">
        <v>48</v>
      </c>
      <c r="BT58" s="40" t="s">
        <v>48</v>
      </c>
      <c r="BU58" s="40" t="s">
        <v>48</v>
      </c>
      <c r="BV58" s="40" t="s">
        <v>48</v>
      </c>
      <c r="BW58" s="40" t="s">
        <v>48</v>
      </c>
      <c r="BX58" s="40" t="s">
        <v>48</v>
      </c>
      <c r="BY58" s="40" t="s">
        <v>48</v>
      </c>
      <c r="BZ58" s="40" t="s">
        <v>48</v>
      </c>
      <c r="CA58" s="40" t="s">
        <v>48</v>
      </c>
      <c r="CB58" s="40" t="s">
        <v>48</v>
      </c>
      <c r="CC58" s="40" t="s">
        <v>48</v>
      </c>
      <c r="CD58" s="40" t="s">
        <v>48</v>
      </c>
      <c r="CE58" s="40" t="s">
        <v>48</v>
      </c>
      <c r="CF58" s="40" t="s">
        <v>48</v>
      </c>
      <c r="CH58" s="33"/>
      <c r="CI58" s="38" t="str">
        <f>Notes!U59</f>
        <v xml:space="preserve">         Meat processing</v>
      </c>
      <c r="CJ58" s="4" t="s">
        <v>556</v>
      </c>
      <c r="CK58" s="44" t="s">
        <v>48</v>
      </c>
      <c r="CL58" s="42" t="s">
        <v>48</v>
      </c>
      <c r="CM58" s="42" t="s">
        <v>48</v>
      </c>
      <c r="CN58" s="40" t="s">
        <v>48</v>
      </c>
      <c r="CO58" s="40" t="s">
        <v>48</v>
      </c>
      <c r="CP58" s="40" t="s">
        <v>48</v>
      </c>
      <c r="CQ58" s="40" t="s">
        <v>48</v>
      </c>
      <c r="CR58" s="40" t="s">
        <v>48</v>
      </c>
      <c r="CS58" s="40" t="s">
        <v>48</v>
      </c>
      <c r="CT58" s="40" t="s">
        <v>48</v>
      </c>
      <c r="CU58" s="40" t="s">
        <v>48</v>
      </c>
      <c r="CV58" s="40" t="s">
        <v>48</v>
      </c>
      <c r="CW58" s="40" t="s">
        <v>48</v>
      </c>
      <c r="CX58" s="40" t="s">
        <v>48</v>
      </c>
      <c r="CY58" s="40" t="s">
        <v>48</v>
      </c>
      <c r="CZ58" s="40" t="s">
        <v>48</v>
      </c>
      <c r="DA58" s="40" t="s">
        <v>48</v>
      </c>
      <c r="DC58" s="33"/>
      <c r="DD58" s="38" t="str">
        <f>Notes!U59</f>
        <v xml:space="preserve">         Meat processing</v>
      </c>
      <c r="DE58" s="4" t="s">
        <v>556</v>
      </c>
      <c r="DF58" s="44">
        <v>1</v>
      </c>
      <c r="DG58" s="42" t="s">
        <v>48</v>
      </c>
      <c r="DH58" s="42" t="s">
        <v>48</v>
      </c>
      <c r="DI58" s="40" t="s">
        <v>48</v>
      </c>
      <c r="DJ58" s="40" t="s">
        <v>48</v>
      </c>
      <c r="DK58" s="40" t="s">
        <v>48</v>
      </c>
      <c r="DL58" s="40" t="s">
        <v>48</v>
      </c>
      <c r="DM58" s="40" t="s">
        <v>48</v>
      </c>
      <c r="DN58" s="40" t="s">
        <v>48</v>
      </c>
      <c r="DO58" s="40" t="s">
        <v>48</v>
      </c>
      <c r="DP58" s="40" t="s">
        <v>48</v>
      </c>
      <c r="DQ58" s="40" t="s">
        <v>48</v>
      </c>
      <c r="DR58" s="40" t="s">
        <v>48</v>
      </c>
      <c r="DS58" s="40" t="s">
        <v>48</v>
      </c>
      <c r="DT58" s="40" t="s">
        <v>48</v>
      </c>
      <c r="DU58" s="40" t="s">
        <v>48</v>
      </c>
      <c r="DV58" s="40" t="s">
        <v>48</v>
      </c>
    </row>
    <row r="59" spans="1:126" x14ac:dyDescent="0.3">
      <c r="A59" s="12">
        <v>52</v>
      </c>
      <c r="B59" s="33"/>
      <c r="C59" s="38" t="str">
        <f>Notes!U60</f>
        <v xml:space="preserve">         Fish and seafood processing</v>
      </c>
      <c r="D59" s="4" t="s">
        <v>557</v>
      </c>
      <c r="E59" s="44">
        <v>1</v>
      </c>
      <c r="F59" s="42">
        <v>1.4063556926569021E-2</v>
      </c>
      <c r="G59" s="42" t="s">
        <v>48</v>
      </c>
      <c r="H59" s="40" t="s">
        <v>48</v>
      </c>
      <c r="I59" s="40" t="s">
        <v>48</v>
      </c>
      <c r="J59" s="40" t="s">
        <v>48</v>
      </c>
      <c r="K59" s="40" t="s">
        <v>48</v>
      </c>
      <c r="L59" s="40" t="s">
        <v>48</v>
      </c>
      <c r="M59" s="40" t="s">
        <v>48</v>
      </c>
      <c r="N59" s="40" t="s">
        <v>48</v>
      </c>
      <c r="O59" s="40" t="s">
        <v>48</v>
      </c>
      <c r="P59" s="40" t="s">
        <v>48</v>
      </c>
      <c r="Q59" s="40" t="s">
        <v>48</v>
      </c>
      <c r="R59" s="40" t="s">
        <v>48</v>
      </c>
      <c r="S59" s="40" t="s">
        <v>48</v>
      </c>
      <c r="T59" s="40" t="s">
        <v>48</v>
      </c>
      <c r="U59" s="40" t="s">
        <v>48</v>
      </c>
      <c r="W59" s="33"/>
      <c r="X59" s="38" t="str">
        <f>Notes!U60</f>
        <v xml:space="preserve">         Fish and seafood processing</v>
      </c>
      <c r="Y59" s="4" t="s">
        <v>557</v>
      </c>
      <c r="Z59" s="44">
        <v>1.0538672491419339</v>
      </c>
      <c r="AA59" s="42">
        <v>1.2328309940734528E-2</v>
      </c>
      <c r="AB59" s="42" t="s">
        <v>48</v>
      </c>
      <c r="AC59" s="40" t="s">
        <v>48</v>
      </c>
      <c r="AD59" s="40" t="s">
        <v>48</v>
      </c>
      <c r="AE59" s="40" t="s">
        <v>48</v>
      </c>
      <c r="AF59" s="40" t="s">
        <v>48</v>
      </c>
      <c r="AG59" s="40" t="s">
        <v>48</v>
      </c>
      <c r="AH59" s="40" t="s">
        <v>48</v>
      </c>
      <c r="AI59" s="40" t="s">
        <v>48</v>
      </c>
      <c r="AJ59" s="40" t="s">
        <v>48</v>
      </c>
      <c r="AK59" s="40" t="s">
        <v>48</v>
      </c>
      <c r="AL59" s="40" t="s">
        <v>48</v>
      </c>
      <c r="AM59" s="40" t="s">
        <v>48</v>
      </c>
      <c r="AN59" s="40" t="s">
        <v>48</v>
      </c>
      <c r="AO59" s="40" t="s">
        <v>48</v>
      </c>
      <c r="AP59" s="40" t="s">
        <v>48</v>
      </c>
      <c r="AR59" s="33"/>
      <c r="AS59" s="38" t="str">
        <f>Notes!U60</f>
        <v xml:space="preserve">         Fish and seafood processing</v>
      </c>
      <c r="AT59" s="4" t="s">
        <v>557</v>
      </c>
      <c r="AU59" s="44">
        <v>1</v>
      </c>
      <c r="AV59" s="42">
        <v>-1.8241423033715787E-2</v>
      </c>
      <c r="AW59" s="42" t="s">
        <v>48</v>
      </c>
      <c r="AX59" s="40" t="s">
        <v>48</v>
      </c>
      <c r="AY59" s="40" t="s">
        <v>48</v>
      </c>
      <c r="AZ59" s="40" t="s">
        <v>48</v>
      </c>
      <c r="BA59" s="40" t="s">
        <v>48</v>
      </c>
      <c r="BB59" s="40" t="s">
        <v>48</v>
      </c>
      <c r="BC59" s="40" t="s">
        <v>48</v>
      </c>
      <c r="BD59" s="40" t="s">
        <v>48</v>
      </c>
      <c r="BE59" s="40" t="s">
        <v>48</v>
      </c>
      <c r="BF59" s="40" t="s">
        <v>48</v>
      </c>
      <c r="BG59" s="40" t="s">
        <v>48</v>
      </c>
      <c r="BH59" s="40" t="s">
        <v>48</v>
      </c>
      <c r="BI59" s="40" t="s">
        <v>48</v>
      </c>
      <c r="BJ59" s="40" t="s">
        <v>48</v>
      </c>
      <c r="BK59" s="40" t="s">
        <v>48</v>
      </c>
      <c r="BM59" s="33"/>
      <c r="BN59" s="38" t="str">
        <f>Notes!U60</f>
        <v xml:space="preserve">         Fish and seafood processing</v>
      </c>
      <c r="BO59" s="4" t="s">
        <v>557</v>
      </c>
      <c r="BP59" s="44">
        <v>1.0538672491419339</v>
      </c>
      <c r="BQ59" s="42">
        <v>-1.7798085014852916E-2</v>
      </c>
      <c r="BR59" s="42" t="s">
        <v>48</v>
      </c>
      <c r="BS59" s="40" t="s">
        <v>48</v>
      </c>
      <c r="BT59" s="40" t="s">
        <v>48</v>
      </c>
      <c r="BU59" s="40" t="s">
        <v>48</v>
      </c>
      <c r="BV59" s="40" t="s">
        <v>48</v>
      </c>
      <c r="BW59" s="40" t="s">
        <v>48</v>
      </c>
      <c r="BX59" s="40" t="s">
        <v>48</v>
      </c>
      <c r="BY59" s="40" t="s">
        <v>48</v>
      </c>
      <c r="BZ59" s="40" t="s">
        <v>48</v>
      </c>
      <c r="CA59" s="40" t="s">
        <v>48</v>
      </c>
      <c r="CB59" s="40" t="s">
        <v>48</v>
      </c>
      <c r="CC59" s="40" t="s">
        <v>48</v>
      </c>
      <c r="CD59" s="40" t="s">
        <v>48</v>
      </c>
      <c r="CE59" s="40" t="s">
        <v>48</v>
      </c>
      <c r="CF59" s="40" t="s">
        <v>48</v>
      </c>
      <c r="CH59" s="33"/>
      <c r="CI59" s="38" t="str">
        <f>Notes!U60</f>
        <v xml:space="preserve">         Fish and seafood processing</v>
      </c>
      <c r="CJ59" s="4" t="s">
        <v>557</v>
      </c>
      <c r="CK59" s="44">
        <v>1.0538672491419339</v>
      </c>
      <c r="CL59" s="42" t="s">
        <v>48</v>
      </c>
      <c r="CM59" s="42" t="s">
        <v>48</v>
      </c>
      <c r="CN59" s="40" t="s">
        <v>48</v>
      </c>
      <c r="CO59" s="40" t="s">
        <v>48</v>
      </c>
      <c r="CP59" s="40" t="s">
        <v>48</v>
      </c>
      <c r="CQ59" s="40" t="s">
        <v>48</v>
      </c>
      <c r="CR59" s="40" t="s">
        <v>48</v>
      </c>
      <c r="CS59" s="40" t="s">
        <v>48</v>
      </c>
      <c r="CT59" s="40" t="s">
        <v>48</v>
      </c>
      <c r="CU59" s="40" t="s">
        <v>48</v>
      </c>
      <c r="CV59" s="40" t="s">
        <v>48</v>
      </c>
      <c r="CW59" s="40" t="s">
        <v>48</v>
      </c>
      <c r="CX59" s="40" t="s">
        <v>48</v>
      </c>
      <c r="CY59" s="40" t="s">
        <v>48</v>
      </c>
      <c r="CZ59" s="40" t="s">
        <v>48</v>
      </c>
      <c r="DA59" s="40" t="s">
        <v>48</v>
      </c>
      <c r="DC59" s="33"/>
      <c r="DD59" s="38" t="str">
        <f>Notes!U60</f>
        <v xml:space="preserve">         Fish and seafood processing</v>
      </c>
      <c r="DE59" s="4" t="s">
        <v>557</v>
      </c>
      <c r="DF59" s="44">
        <v>0.75105278890010152</v>
      </c>
      <c r="DG59" s="42" t="s">
        <v>48</v>
      </c>
      <c r="DH59" s="42" t="s">
        <v>48</v>
      </c>
      <c r="DI59" s="40" t="s">
        <v>48</v>
      </c>
      <c r="DJ59" s="40" t="s">
        <v>48</v>
      </c>
      <c r="DK59" s="40" t="s">
        <v>48</v>
      </c>
      <c r="DL59" s="40" t="s">
        <v>48</v>
      </c>
      <c r="DM59" s="40" t="s">
        <v>48</v>
      </c>
      <c r="DN59" s="40" t="s">
        <v>48</v>
      </c>
      <c r="DO59" s="40" t="s">
        <v>48</v>
      </c>
      <c r="DP59" s="40" t="s">
        <v>48</v>
      </c>
      <c r="DQ59" s="40" t="s">
        <v>48</v>
      </c>
      <c r="DR59" s="40" t="s">
        <v>48</v>
      </c>
      <c r="DS59" s="40" t="s">
        <v>48</v>
      </c>
      <c r="DT59" s="40" t="s">
        <v>48</v>
      </c>
      <c r="DU59" s="40" t="s">
        <v>48</v>
      </c>
      <c r="DV59" s="40" t="s">
        <v>48</v>
      </c>
    </row>
    <row r="60" spans="1:126" x14ac:dyDescent="0.3">
      <c r="A60" s="12">
        <v>53</v>
      </c>
      <c r="B60" s="33"/>
      <c r="C60" s="38" t="str">
        <f>Notes!U61</f>
        <v xml:space="preserve">         Dairy</v>
      </c>
      <c r="D60" s="4" t="s">
        <v>559</v>
      </c>
      <c r="E60" s="44">
        <v>1</v>
      </c>
      <c r="F60" s="42">
        <v>-6.4130132334083711E-3</v>
      </c>
      <c r="G60" s="42" t="s">
        <v>48</v>
      </c>
      <c r="H60" s="40" t="s">
        <v>48</v>
      </c>
      <c r="I60" s="40" t="s">
        <v>48</v>
      </c>
      <c r="J60" s="40" t="s">
        <v>48</v>
      </c>
      <c r="K60" s="40" t="s">
        <v>48</v>
      </c>
      <c r="L60" s="40" t="s">
        <v>48</v>
      </c>
      <c r="M60" s="40" t="s">
        <v>48</v>
      </c>
      <c r="N60" s="40" t="s">
        <v>48</v>
      </c>
      <c r="O60" s="40" t="s">
        <v>48</v>
      </c>
      <c r="P60" s="40" t="s">
        <v>48</v>
      </c>
      <c r="Q60" s="40" t="s">
        <v>48</v>
      </c>
      <c r="R60" s="40" t="s">
        <v>48</v>
      </c>
      <c r="S60" s="40" t="s">
        <v>48</v>
      </c>
      <c r="T60" s="40" t="s">
        <v>48</v>
      </c>
      <c r="U60" s="40" t="s">
        <v>48</v>
      </c>
      <c r="W60" s="33"/>
      <c r="X60" s="38" t="str">
        <f>Notes!U61</f>
        <v xml:space="preserve">         Dairy</v>
      </c>
      <c r="Y60" s="4" t="s">
        <v>559</v>
      </c>
      <c r="Z60" s="44">
        <v>1.3965152423298328</v>
      </c>
      <c r="AA60" s="42">
        <v>-9.5553833595940496E-3</v>
      </c>
      <c r="AB60" s="42" t="s">
        <v>48</v>
      </c>
      <c r="AC60" s="40" t="s">
        <v>48</v>
      </c>
      <c r="AD60" s="40" t="s">
        <v>48</v>
      </c>
      <c r="AE60" s="40" t="s">
        <v>48</v>
      </c>
      <c r="AF60" s="40" t="s">
        <v>48</v>
      </c>
      <c r="AG60" s="40" t="s">
        <v>48</v>
      </c>
      <c r="AH60" s="40" t="s">
        <v>48</v>
      </c>
      <c r="AI60" s="40" t="s">
        <v>48</v>
      </c>
      <c r="AJ60" s="40" t="s">
        <v>48</v>
      </c>
      <c r="AK60" s="40" t="s">
        <v>48</v>
      </c>
      <c r="AL60" s="40" t="s">
        <v>48</v>
      </c>
      <c r="AM60" s="40" t="s">
        <v>48</v>
      </c>
      <c r="AN60" s="40" t="s">
        <v>48</v>
      </c>
      <c r="AO60" s="40" t="s">
        <v>48</v>
      </c>
      <c r="AP60" s="40" t="s">
        <v>48</v>
      </c>
      <c r="AR60" s="33"/>
      <c r="AS60" s="38" t="str">
        <f>Notes!U61</f>
        <v xml:space="preserve">         Dairy</v>
      </c>
      <c r="AT60" s="4" t="s">
        <v>559</v>
      </c>
      <c r="AU60" s="44" t="s">
        <v>48</v>
      </c>
      <c r="AV60" s="42" t="s">
        <v>48</v>
      </c>
      <c r="AW60" s="42" t="s">
        <v>48</v>
      </c>
      <c r="AX60" s="40" t="s">
        <v>48</v>
      </c>
      <c r="AY60" s="40" t="s">
        <v>48</v>
      </c>
      <c r="AZ60" s="40" t="s">
        <v>48</v>
      </c>
      <c r="BA60" s="40" t="s">
        <v>48</v>
      </c>
      <c r="BB60" s="40" t="s">
        <v>48</v>
      </c>
      <c r="BC60" s="40" t="s">
        <v>48</v>
      </c>
      <c r="BD60" s="40" t="s">
        <v>48</v>
      </c>
      <c r="BE60" s="40" t="s">
        <v>48</v>
      </c>
      <c r="BF60" s="40" t="s">
        <v>48</v>
      </c>
      <c r="BG60" s="40" t="s">
        <v>48</v>
      </c>
      <c r="BH60" s="40" t="s">
        <v>48</v>
      </c>
      <c r="BI60" s="40" t="s">
        <v>48</v>
      </c>
      <c r="BJ60" s="40" t="s">
        <v>48</v>
      </c>
      <c r="BK60" s="40" t="s">
        <v>48</v>
      </c>
      <c r="BM60" s="33"/>
      <c r="BN60" s="38" t="str">
        <f>Notes!U61</f>
        <v xml:space="preserve">         Dairy</v>
      </c>
      <c r="BO60" s="4" t="s">
        <v>559</v>
      </c>
      <c r="BP60" s="44">
        <v>1.0763249417949625</v>
      </c>
      <c r="BQ60" s="42">
        <v>-1.7714476083696695E-2</v>
      </c>
      <c r="BR60" s="42" t="s">
        <v>48</v>
      </c>
      <c r="BS60" s="40" t="s">
        <v>48</v>
      </c>
      <c r="BT60" s="40" t="s">
        <v>48</v>
      </c>
      <c r="BU60" s="40" t="s">
        <v>48</v>
      </c>
      <c r="BV60" s="40" t="s">
        <v>48</v>
      </c>
      <c r="BW60" s="40" t="s">
        <v>48</v>
      </c>
      <c r="BX60" s="40" t="s">
        <v>48</v>
      </c>
      <c r="BY60" s="40" t="s">
        <v>48</v>
      </c>
      <c r="BZ60" s="40" t="s">
        <v>48</v>
      </c>
      <c r="CA60" s="40" t="s">
        <v>48</v>
      </c>
      <c r="CB60" s="40" t="s">
        <v>48</v>
      </c>
      <c r="CC60" s="40" t="s">
        <v>48</v>
      </c>
      <c r="CD60" s="40" t="s">
        <v>48</v>
      </c>
      <c r="CE60" s="40" t="s">
        <v>48</v>
      </c>
      <c r="CF60" s="40" t="s">
        <v>48</v>
      </c>
      <c r="CH60" s="33"/>
      <c r="CI60" s="38" t="str">
        <f>Notes!U61</f>
        <v xml:space="preserve">         Dairy</v>
      </c>
      <c r="CJ60" s="4" t="s">
        <v>559</v>
      </c>
      <c r="CK60" s="44" t="s">
        <v>48</v>
      </c>
      <c r="CL60" s="42" t="s">
        <v>48</v>
      </c>
      <c r="CM60" s="42" t="s">
        <v>48</v>
      </c>
      <c r="CN60" s="40" t="s">
        <v>48</v>
      </c>
      <c r="CO60" s="40" t="s">
        <v>48</v>
      </c>
      <c r="CP60" s="40" t="s">
        <v>48</v>
      </c>
      <c r="CQ60" s="40" t="s">
        <v>48</v>
      </c>
      <c r="CR60" s="40" t="s">
        <v>48</v>
      </c>
      <c r="CS60" s="40" t="s">
        <v>48</v>
      </c>
      <c r="CT60" s="40" t="s">
        <v>48</v>
      </c>
      <c r="CU60" s="40" t="s">
        <v>48</v>
      </c>
      <c r="CV60" s="40" t="s">
        <v>48</v>
      </c>
      <c r="CW60" s="40" t="s">
        <v>48</v>
      </c>
      <c r="CX60" s="40" t="s">
        <v>48</v>
      </c>
      <c r="CY60" s="40" t="s">
        <v>48</v>
      </c>
      <c r="CZ60" s="40" t="s">
        <v>48</v>
      </c>
      <c r="DA60" s="40" t="s">
        <v>48</v>
      </c>
      <c r="DC60" s="33"/>
      <c r="DD60" s="38" t="str">
        <f>Notes!U61</f>
        <v xml:space="preserve">         Dairy</v>
      </c>
      <c r="DE60" s="4" t="s">
        <v>559</v>
      </c>
      <c r="DF60" s="44">
        <v>1</v>
      </c>
      <c r="DG60" s="42" t="s">
        <v>48</v>
      </c>
      <c r="DH60" s="42" t="s">
        <v>48</v>
      </c>
      <c r="DI60" s="40" t="s">
        <v>48</v>
      </c>
      <c r="DJ60" s="40" t="s">
        <v>48</v>
      </c>
      <c r="DK60" s="40" t="s">
        <v>48</v>
      </c>
      <c r="DL60" s="40" t="s">
        <v>48</v>
      </c>
      <c r="DM60" s="40" t="s">
        <v>48</v>
      </c>
      <c r="DN60" s="40" t="s">
        <v>48</v>
      </c>
      <c r="DO60" s="40" t="s">
        <v>48</v>
      </c>
      <c r="DP60" s="40" t="s">
        <v>48</v>
      </c>
      <c r="DQ60" s="40" t="s">
        <v>48</v>
      </c>
      <c r="DR60" s="40" t="s">
        <v>48</v>
      </c>
      <c r="DS60" s="40" t="s">
        <v>48</v>
      </c>
      <c r="DT60" s="40" t="s">
        <v>48</v>
      </c>
      <c r="DU60" s="40" t="s">
        <v>48</v>
      </c>
      <c r="DV60" s="40" t="s">
        <v>48</v>
      </c>
    </row>
    <row r="61" spans="1:126" x14ac:dyDescent="0.3">
      <c r="A61" s="12">
        <v>54</v>
      </c>
      <c r="B61" s="33"/>
      <c r="C61" s="38" t="str">
        <f>Notes!U62</f>
        <v xml:space="preserve">         Fruit and vegetable processing</v>
      </c>
      <c r="D61" s="4" t="s">
        <v>561</v>
      </c>
      <c r="E61" s="44">
        <v>1</v>
      </c>
      <c r="F61" s="42">
        <v>2.6113545618033918E-2</v>
      </c>
      <c r="G61" s="42" t="s">
        <v>48</v>
      </c>
      <c r="H61" s="40" t="s">
        <v>48</v>
      </c>
      <c r="I61" s="40" t="s">
        <v>48</v>
      </c>
      <c r="J61" s="40" t="s">
        <v>48</v>
      </c>
      <c r="K61" s="40" t="s">
        <v>48</v>
      </c>
      <c r="L61" s="40" t="s">
        <v>48</v>
      </c>
      <c r="M61" s="40" t="s">
        <v>48</v>
      </c>
      <c r="N61" s="40" t="s">
        <v>48</v>
      </c>
      <c r="O61" s="40" t="s">
        <v>48</v>
      </c>
      <c r="P61" s="40" t="s">
        <v>48</v>
      </c>
      <c r="Q61" s="40" t="s">
        <v>48</v>
      </c>
      <c r="R61" s="40" t="s">
        <v>48</v>
      </c>
      <c r="S61" s="40" t="s">
        <v>48</v>
      </c>
      <c r="T61" s="40" t="s">
        <v>48</v>
      </c>
      <c r="U61" s="40" t="s">
        <v>48</v>
      </c>
      <c r="W61" s="33"/>
      <c r="X61" s="38" t="str">
        <f>Notes!U62</f>
        <v xml:space="preserve">         Fruit and vegetable processing</v>
      </c>
      <c r="Y61" s="4" t="s">
        <v>561</v>
      </c>
      <c r="Z61" s="44">
        <v>1.0475551730640771</v>
      </c>
      <c r="AA61" s="42">
        <v>1.5765978410131609E-2</v>
      </c>
      <c r="AB61" s="42" t="s">
        <v>48</v>
      </c>
      <c r="AC61" s="40" t="s">
        <v>48</v>
      </c>
      <c r="AD61" s="40" t="s">
        <v>48</v>
      </c>
      <c r="AE61" s="40" t="s">
        <v>48</v>
      </c>
      <c r="AF61" s="40" t="s">
        <v>48</v>
      </c>
      <c r="AG61" s="40" t="s">
        <v>48</v>
      </c>
      <c r="AH61" s="40" t="s">
        <v>48</v>
      </c>
      <c r="AI61" s="40" t="s">
        <v>48</v>
      </c>
      <c r="AJ61" s="40" t="s">
        <v>48</v>
      </c>
      <c r="AK61" s="40" t="s">
        <v>48</v>
      </c>
      <c r="AL61" s="40" t="s">
        <v>48</v>
      </c>
      <c r="AM61" s="40" t="s">
        <v>48</v>
      </c>
      <c r="AN61" s="40" t="s">
        <v>48</v>
      </c>
      <c r="AO61" s="40" t="s">
        <v>48</v>
      </c>
      <c r="AP61" s="40" t="s">
        <v>48</v>
      </c>
      <c r="AR61" s="33"/>
      <c r="AS61" s="38" t="str">
        <f>Notes!U62</f>
        <v xml:space="preserve">         Fruit and vegetable processing</v>
      </c>
      <c r="AT61" s="4" t="s">
        <v>561</v>
      </c>
      <c r="AU61" s="44" t="s">
        <v>48</v>
      </c>
      <c r="AV61" s="42" t="s">
        <v>48</v>
      </c>
      <c r="AW61" s="42" t="s">
        <v>48</v>
      </c>
      <c r="AX61" s="40" t="s">
        <v>48</v>
      </c>
      <c r="AY61" s="40" t="s">
        <v>48</v>
      </c>
      <c r="AZ61" s="40" t="s">
        <v>48</v>
      </c>
      <c r="BA61" s="40" t="s">
        <v>48</v>
      </c>
      <c r="BB61" s="40" t="s">
        <v>48</v>
      </c>
      <c r="BC61" s="40" t="s">
        <v>48</v>
      </c>
      <c r="BD61" s="40" t="s">
        <v>48</v>
      </c>
      <c r="BE61" s="40" t="s">
        <v>48</v>
      </c>
      <c r="BF61" s="40" t="s">
        <v>48</v>
      </c>
      <c r="BG61" s="40" t="s">
        <v>48</v>
      </c>
      <c r="BH61" s="40" t="s">
        <v>48</v>
      </c>
      <c r="BI61" s="40" t="s">
        <v>48</v>
      </c>
      <c r="BJ61" s="40" t="s">
        <v>48</v>
      </c>
      <c r="BK61" s="40" t="s">
        <v>48</v>
      </c>
      <c r="BM61" s="33"/>
      <c r="BN61" s="38" t="str">
        <f>Notes!U62</f>
        <v xml:space="preserve">         Fruit and vegetable processing</v>
      </c>
      <c r="BO61" s="4" t="s">
        <v>561</v>
      </c>
      <c r="BP61" s="44">
        <v>1.0475551730640769</v>
      </c>
      <c r="BQ61" s="42">
        <v>-1.7822230040165365E-2</v>
      </c>
      <c r="BR61" s="42" t="s">
        <v>48</v>
      </c>
      <c r="BS61" s="40" t="s">
        <v>48</v>
      </c>
      <c r="BT61" s="40" t="s">
        <v>48</v>
      </c>
      <c r="BU61" s="40" t="s">
        <v>48</v>
      </c>
      <c r="BV61" s="40" t="s">
        <v>48</v>
      </c>
      <c r="BW61" s="40" t="s">
        <v>48</v>
      </c>
      <c r="BX61" s="40" t="s">
        <v>48</v>
      </c>
      <c r="BY61" s="40" t="s">
        <v>48</v>
      </c>
      <c r="BZ61" s="40" t="s">
        <v>48</v>
      </c>
      <c r="CA61" s="40" t="s">
        <v>48</v>
      </c>
      <c r="CB61" s="40" t="s">
        <v>48</v>
      </c>
      <c r="CC61" s="40" t="s">
        <v>48</v>
      </c>
      <c r="CD61" s="40" t="s">
        <v>48</v>
      </c>
      <c r="CE61" s="40" t="s">
        <v>48</v>
      </c>
      <c r="CF61" s="40" t="s">
        <v>48</v>
      </c>
      <c r="CH61" s="33"/>
      <c r="CI61" s="38" t="str">
        <f>Notes!U62</f>
        <v xml:space="preserve">         Fruit and vegetable processing</v>
      </c>
      <c r="CJ61" s="4" t="s">
        <v>561</v>
      </c>
      <c r="CK61" s="44" t="s">
        <v>48</v>
      </c>
      <c r="CL61" s="42" t="s">
        <v>48</v>
      </c>
      <c r="CM61" s="42" t="s">
        <v>48</v>
      </c>
      <c r="CN61" s="40" t="s">
        <v>48</v>
      </c>
      <c r="CO61" s="40" t="s">
        <v>48</v>
      </c>
      <c r="CP61" s="40" t="s">
        <v>48</v>
      </c>
      <c r="CQ61" s="40" t="s">
        <v>48</v>
      </c>
      <c r="CR61" s="40" t="s">
        <v>48</v>
      </c>
      <c r="CS61" s="40" t="s">
        <v>48</v>
      </c>
      <c r="CT61" s="40" t="s">
        <v>48</v>
      </c>
      <c r="CU61" s="40" t="s">
        <v>48</v>
      </c>
      <c r="CV61" s="40" t="s">
        <v>48</v>
      </c>
      <c r="CW61" s="40" t="s">
        <v>48</v>
      </c>
      <c r="CX61" s="40" t="s">
        <v>48</v>
      </c>
      <c r="CY61" s="40" t="s">
        <v>48</v>
      </c>
      <c r="CZ61" s="40" t="s">
        <v>48</v>
      </c>
      <c r="DA61" s="40" t="s">
        <v>48</v>
      </c>
      <c r="DC61" s="33"/>
      <c r="DD61" s="38" t="str">
        <f>Notes!U62</f>
        <v xml:space="preserve">         Fruit and vegetable processing</v>
      </c>
      <c r="DE61" s="4" t="s">
        <v>561</v>
      </c>
      <c r="DF61" s="44">
        <v>1</v>
      </c>
      <c r="DG61" s="42" t="s">
        <v>48</v>
      </c>
      <c r="DH61" s="42" t="s">
        <v>48</v>
      </c>
      <c r="DI61" s="40" t="s">
        <v>48</v>
      </c>
      <c r="DJ61" s="40" t="s">
        <v>48</v>
      </c>
      <c r="DK61" s="40" t="s">
        <v>48</v>
      </c>
      <c r="DL61" s="40" t="s">
        <v>48</v>
      </c>
      <c r="DM61" s="40" t="s">
        <v>48</v>
      </c>
      <c r="DN61" s="40" t="s">
        <v>48</v>
      </c>
      <c r="DO61" s="40" t="s">
        <v>48</v>
      </c>
      <c r="DP61" s="40" t="s">
        <v>48</v>
      </c>
      <c r="DQ61" s="40" t="s">
        <v>48</v>
      </c>
      <c r="DR61" s="40" t="s">
        <v>48</v>
      </c>
      <c r="DS61" s="40" t="s">
        <v>48</v>
      </c>
      <c r="DT61" s="40" t="s">
        <v>48</v>
      </c>
      <c r="DU61" s="40" t="s">
        <v>48</v>
      </c>
      <c r="DV61" s="40" t="s">
        <v>48</v>
      </c>
    </row>
    <row r="62" spans="1:126" x14ac:dyDescent="0.3">
      <c r="A62" s="12">
        <v>55</v>
      </c>
      <c r="B62" s="33"/>
      <c r="C62" s="38" t="str">
        <f>Notes!U63</f>
        <v xml:space="preserve">         Fats and oils</v>
      </c>
      <c r="D62" s="4" t="s">
        <v>563</v>
      </c>
      <c r="E62" s="44">
        <v>1</v>
      </c>
      <c r="F62" s="42">
        <v>1.5438384622923351E-3</v>
      </c>
      <c r="G62" s="42" t="s">
        <v>48</v>
      </c>
      <c r="H62" s="40" t="s">
        <v>48</v>
      </c>
      <c r="I62" s="40" t="s">
        <v>48</v>
      </c>
      <c r="J62" s="40" t="s">
        <v>48</v>
      </c>
      <c r="K62" s="40" t="s">
        <v>48</v>
      </c>
      <c r="L62" s="40" t="s">
        <v>48</v>
      </c>
      <c r="M62" s="40" t="s">
        <v>48</v>
      </c>
      <c r="N62" s="40" t="s">
        <v>48</v>
      </c>
      <c r="O62" s="40" t="s">
        <v>48</v>
      </c>
      <c r="P62" s="40" t="s">
        <v>48</v>
      </c>
      <c r="Q62" s="40" t="s">
        <v>48</v>
      </c>
      <c r="R62" s="40" t="s">
        <v>48</v>
      </c>
      <c r="S62" s="40" t="s">
        <v>48</v>
      </c>
      <c r="T62" s="40" t="s">
        <v>48</v>
      </c>
      <c r="U62" s="40" t="s">
        <v>48</v>
      </c>
      <c r="W62" s="33"/>
      <c r="X62" s="38" t="str">
        <f>Notes!U63</f>
        <v xml:space="preserve">         Fats and oils</v>
      </c>
      <c r="Y62" s="4" t="s">
        <v>563</v>
      </c>
      <c r="Z62" s="44">
        <v>1.7789667130581619</v>
      </c>
      <c r="AA62" s="42">
        <v>-1.2670879734577589E-2</v>
      </c>
      <c r="AB62" s="42" t="s">
        <v>48</v>
      </c>
      <c r="AC62" s="40" t="s">
        <v>48</v>
      </c>
      <c r="AD62" s="40" t="s">
        <v>48</v>
      </c>
      <c r="AE62" s="40" t="s">
        <v>48</v>
      </c>
      <c r="AF62" s="40" t="s">
        <v>48</v>
      </c>
      <c r="AG62" s="40" t="s">
        <v>48</v>
      </c>
      <c r="AH62" s="40" t="s">
        <v>48</v>
      </c>
      <c r="AI62" s="40" t="s">
        <v>48</v>
      </c>
      <c r="AJ62" s="40" t="s">
        <v>48</v>
      </c>
      <c r="AK62" s="40" t="s">
        <v>48</v>
      </c>
      <c r="AL62" s="40" t="s">
        <v>48</v>
      </c>
      <c r="AM62" s="40" t="s">
        <v>48</v>
      </c>
      <c r="AN62" s="40" t="s">
        <v>48</v>
      </c>
      <c r="AO62" s="40" t="s">
        <v>48</v>
      </c>
      <c r="AP62" s="40" t="s">
        <v>48</v>
      </c>
      <c r="AR62" s="33"/>
      <c r="AS62" s="38" t="str">
        <f>Notes!U63</f>
        <v xml:space="preserve">         Fats and oils</v>
      </c>
      <c r="AT62" s="4" t="s">
        <v>563</v>
      </c>
      <c r="AU62" s="44" t="s">
        <v>48</v>
      </c>
      <c r="AV62" s="42" t="s">
        <v>48</v>
      </c>
      <c r="AW62" s="42" t="s">
        <v>48</v>
      </c>
      <c r="AX62" s="40" t="s">
        <v>48</v>
      </c>
      <c r="AY62" s="40" t="s">
        <v>48</v>
      </c>
      <c r="AZ62" s="40" t="s">
        <v>48</v>
      </c>
      <c r="BA62" s="40" t="s">
        <v>48</v>
      </c>
      <c r="BB62" s="40" t="s">
        <v>48</v>
      </c>
      <c r="BC62" s="40" t="s">
        <v>48</v>
      </c>
      <c r="BD62" s="40" t="s">
        <v>48</v>
      </c>
      <c r="BE62" s="40" t="s">
        <v>48</v>
      </c>
      <c r="BF62" s="40" t="s">
        <v>48</v>
      </c>
      <c r="BG62" s="40" t="s">
        <v>48</v>
      </c>
      <c r="BH62" s="40" t="s">
        <v>48</v>
      </c>
      <c r="BI62" s="40" t="s">
        <v>48</v>
      </c>
      <c r="BJ62" s="40" t="s">
        <v>48</v>
      </c>
      <c r="BK62" s="40" t="s">
        <v>48</v>
      </c>
      <c r="BM62" s="33"/>
      <c r="BN62" s="38" t="str">
        <f>Notes!U63</f>
        <v xml:space="preserve">         Fats and oils</v>
      </c>
      <c r="BO62" s="4" t="s">
        <v>563</v>
      </c>
      <c r="BP62" s="44">
        <v>1.0605884861843642</v>
      </c>
      <c r="BQ62" s="42">
        <v>-1.7772690845885286E-2</v>
      </c>
      <c r="BR62" s="42" t="s">
        <v>48</v>
      </c>
      <c r="BS62" s="40" t="s">
        <v>48</v>
      </c>
      <c r="BT62" s="40" t="s">
        <v>48</v>
      </c>
      <c r="BU62" s="40" t="s">
        <v>48</v>
      </c>
      <c r="BV62" s="40" t="s">
        <v>48</v>
      </c>
      <c r="BW62" s="40" t="s">
        <v>48</v>
      </c>
      <c r="BX62" s="40" t="s">
        <v>48</v>
      </c>
      <c r="BY62" s="40" t="s">
        <v>48</v>
      </c>
      <c r="BZ62" s="40" t="s">
        <v>48</v>
      </c>
      <c r="CA62" s="40" t="s">
        <v>48</v>
      </c>
      <c r="CB62" s="40" t="s">
        <v>48</v>
      </c>
      <c r="CC62" s="40" t="s">
        <v>48</v>
      </c>
      <c r="CD62" s="40" t="s">
        <v>48</v>
      </c>
      <c r="CE62" s="40" t="s">
        <v>48</v>
      </c>
      <c r="CF62" s="40" t="s">
        <v>48</v>
      </c>
      <c r="CH62" s="33"/>
      <c r="CI62" s="38" t="str">
        <f>Notes!U63</f>
        <v xml:space="preserve">         Fats and oils</v>
      </c>
      <c r="CJ62" s="4" t="s">
        <v>563</v>
      </c>
      <c r="CK62" s="44" t="s">
        <v>48</v>
      </c>
      <c r="CL62" s="42" t="s">
        <v>48</v>
      </c>
      <c r="CM62" s="42" t="s">
        <v>48</v>
      </c>
      <c r="CN62" s="40" t="s">
        <v>48</v>
      </c>
      <c r="CO62" s="40" t="s">
        <v>48</v>
      </c>
      <c r="CP62" s="40" t="s">
        <v>48</v>
      </c>
      <c r="CQ62" s="40" t="s">
        <v>48</v>
      </c>
      <c r="CR62" s="40" t="s">
        <v>48</v>
      </c>
      <c r="CS62" s="40" t="s">
        <v>48</v>
      </c>
      <c r="CT62" s="40" t="s">
        <v>48</v>
      </c>
      <c r="CU62" s="40" t="s">
        <v>48</v>
      </c>
      <c r="CV62" s="40" t="s">
        <v>48</v>
      </c>
      <c r="CW62" s="40" t="s">
        <v>48</v>
      </c>
      <c r="CX62" s="40" t="s">
        <v>48</v>
      </c>
      <c r="CY62" s="40" t="s">
        <v>48</v>
      </c>
      <c r="CZ62" s="40" t="s">
        <v>48</v>
      </c>
      <c r="DA62" s="40" t="s">
        <v>48</v>
      </c>
      <c r="DC62" s="33"/>
      <c r="DD62" s="38" t="str">
        <f>Notes!U63</f>
        <v xml:space="preserve">         Fats and oils</v>
      </c>
      <c r="DE62" s="4" t="s">
        <v>563</v>
      </c>
      <c r="DF62" s="44">
        <v>0.89813021035752327</v>
      </c>
      <c r="DG62" s="42" t="s">
        <v>48</v>
      </c>
      <c r="DH62" s="42" t="s">
        <v>48</v>
      </c>
      <c r="DI62" s="40" t="s">
        <v>48</v>
      </c>
      <c r="DJ62" s="40" t="s">
        <v>48</v>
      </c>
      <c r="DK62" s="40" t="s">
        <v>48</v>
      </c>
      <c r="DL62" s="40" t="s">
        <v>48</v>
      </c>
      <c r="DM62" s="40" t="s">
        <v>48</v>
      </c>
      <c r="DN62" s="40" t="s">
        <v>48</v>
      </c>
      <c r="DO62" s="40" t="s">
        <v>48</v>
      </c>
      <c r="DP62" s="40" t="s">
        <v>48</v>
      </c>
      <c r="DQ62" s="40" t="s">
        <v>48</v>
      </c>
      <c r="DR62" s="40" t="s">
        <v>48</v>
      </c>
      <c r="DS62" s="40" t="s">
        <v>48</v>
      </c>
      <c r="DT62" s="40" t="s">
        <v>48</v>
      </c>
      <c r="DU62" s="40" t="s">
        <v>48</v>
      </c>
      <c r="DV62" s="40" t="s">
        <v>48</v>
      </c>
    </row>
    <row r="63" spans="1:126" x14ac:dyDescent="0.3">
      <c r="A63" s="12">
        <v>56</v>
      </c>
      <c r="B63" s="33"/>
      <c r="C63" s="38" t="str">
        <f>Notes!U64</f>
        <v xml:space="preserve">         Maize milling</v>
      </c>
      <c r="D63" s="4" t="s">
        <v>362</v>
      </c>
      <c r="E63" s="44">
        <v>1</v>
      </c>
      <c r="F63" s="42">
        <v>1.3752449362613994E-2</v>
      </c>
      <c r="G63" s="42" t="s">
        <v>48</v>
      </c>
      <c r="H63" s="40" t="s">
        <v>48</v>
      </c>
      <c r="I63" s="40" t="s">
        <v>48</v>
      </c>
      <c r="J63" s="40" t="s">
        <v>48</v>
      </c>
      <c r="K63" s="40" t="s">
        <v>48</v>
      </c>
      <c r="L63" s="40" t="s">
        <v>48</v>
      </c>
      <c r="M63" s="40" t="s">
        <v>48</v>
      </c>
      <c r="N63" s="40" t="s">
        <v>48</v>
      </c>
      <c r="O63" s="40" t="s">
        <v>48</v>
      </c>
      <c r="P63" s="40" t="s">
        <v>48</v>
      </c>
      <c r="Q63" s="40" t="s">
        <v>48</v>
      </c>
      <c r="R63" s="40" t="s">
        <v>48</v>
      </c>
      <c r="S63" s="40" t="s">
        <v>48</v>
      </c>
      <c r="T63" s="40" t="s">
        <v>48</v>
      </c>
      <c r="U63" s="40" t="s">
        <v>48</v>
      </c>
      <c r="W63" s="33"/>
      <c r="X63" s="38" t="str">
        <f>Notes!U64</f>
        <v xml:space="preserve">         Maize milling</v>
      </c>
      <c r="Y63" s="4" t="s">
        <v>362</v>
      </c>
      <c r="Z63" s="44">
        <v>1.1203846279049574</v>
      </c>
      <c r="AA63" s="42">
        <v>1.0367814254519381E-2</v>
      </c>
      <c r="AB63" s="42" t="s">
        <v>48</v>
      </c>
      <c r="AC63" s="40" t="s">
        <v>48</v>
      </c>
      <c r="AD63" s="40" t="s">
        <v>48</v>
      </c>
      <c r="AE63" s="40" t="s">
        <v>48</v>
      </c>
      <c r="AF63" s="40" t="s">
        <v>48</v>
      </c>
      <c r="AG63" s="40" t="s">
        <v>48</v>
      </c>
      <c r="AH63" s="40" t="s">
        <v>48</v>
      </c>
      <c r="AI63" s="40" t="s">
        <v>48</v>
      </c>
      <c r="AJ63" s="40" t="s">
        <v>48</v>
      </c>
      <c r="AK63" s="40" t="s">
        <v>48</v>
      </c>
      <c r="AL63" s="40" t="s">
        <v>48</v>
      </c>
      <c r="AM63" s="40" t="s">
        <v>48</v>
      </c>
      <c r="AN63" s="40" t="s">
        <v>48</v>
      </c>
      <c r="AO63" s="40" t="s">
        <v>48</v>
      </c>
      <c r="AP63" s="40" t="s">
        <v>48</v>
      </c>
      <c r="AR63" s="33"/>
      <c r="AS63" s="38" t="str">
        <f>Notes!U64</f>
        <v xml:space="preserve">         Maize milling</v>
      </c>
      <c r="AT63" s="4" t="s">
        <v>362</v>
      </c>
      <c r="AU63" s="44" t="s">
        <v>48</v>
      </c>
      <c r="AV63" s="42" t="s">
        <v>48</v>
      </c>
      <c r="AW63" s="42" t="s">
        <v>48</v>
      </c>
      <c r="AX63" s="40" t="s">
        <v>48</v>
      </c>
      <c r="AY63" s="40" t="s">
        <v>48</v>
      </c>
      <c r="AZ63" s="40" t="s">
        <v>48</v>
      </c>
      <c r="BA63" s="40" t="s">
        <v>48</v>
      </c>
      <c r="BB63" s="40" t="s">
        <v>48</v>
      </c>
      <c r="BC63" s="40" t="s">
        <v>48</v>
      </c>
      <c r="BD63" s="40" t="s">
        <v>48</v>
      </c>
      <c r="BE63" s="40" t="s">
        <v>48</v>
      </c>
      <c r="BF63" s="40" t="s">
        <v>48</v>
      </c>
      <c r="BG63" s="40" t="s">
        <v>48</v>
      </c>
      <c r="BH63" s="40" t="s">
        <v>48</v>
      </c>
      <c r="BI63" s="40" t="s">
        <v>48</v>
      </c>
      <c r="BJ63" s="40" t="s">
        <v>48</v>
      </c>
      <c r="BK63" s="40" t="s">
        <v>48</v>
      </c>
      <c r="BM63" s="33"/>
      <c r="BN63" s="38" t="str">
        <f>Notes!U64</f>
        <v xml:space="preserve">         Maize milling</v>
      </c>
      <c r="BO63" s="4" t="s">
        <v>362</v>
      </c>
      <c r="BP63" s="44">
        <v>1.1203846279049574</v>
      </c>
      <c r="BQ63" s="42">
        <v>-1.7560183659348638E-2</v>
      </c>
      <c r="BR63" s="42" t="s">
        <v>48</v>
      </c>
      <c r="BS63" s="40" t="s">
        <v>48</v>
      </c>
      <c r="BT63" s="40" t="s">
        <v>48</v>
      </c>
      <c r="BU63" s="40" t="s">
        <v>48</v>
      </c>
      <c r="BV63" s="40" t="s">
        <v>48</v>
      </c>
      <c r="BW63" s="40" t="s">
        <v>48</v>
      </c>
      <c r="BX63" s="40" t="s">
        <v>48</v>
      </c>
      <c r="BY63" s="40" t="s">
        <v>48</v>
      </c>
      <c r="BZ63" s="40" t="s">
        <v>48</v>
      </c>
      <c r="CA63" s="40" t="s">
        <v>48</v>
      </c>
      <c r="CB63" s="40" t="s">
        <v>48</v>
      </c>
      <c r="CC63" s="40" t="s">
        <v>48</v>
      </c>
      <c r="CD63" s="40" t="s">
        <v>48</v>
      </c>
      <c r="CE63" s="40" t="s">
        <v>48</v>
      </c>
      <c r="CF63" s="40" t="s">
        <v>48</v>
      </c>
      <c r="CH63" s="33"/>
      <c r="CI63" s="38" t="str">
        <f>Notes!U64</f>
        <v xml:space="preserve">         Maize milling</v>
      </c>
      <c r="CJ63" s="4" t="s">
        <v>362</v>
      </c>
      <c r="CK63" s="44" t="s">
        <v>48</v>
      </c>
      <c r="CL63" s="42" t="s">
        <v>48</v>
      </c>
      <c r="CM63" s="42" t="s">
        <v>48</v>
      </c>
      <c r="CN63" s="40" t="s">
        <v>48</v>
      </c>
      <c r="CO63" s="40" t="s">
        <v>48</v>
      </c>
      <c r="CP63" s="40" t="s">
        <v>48</v>
      </c>
      <c r="CQ63" s="40" t="s">
        <v>48</v>
      </c>
      <c r="CR63" s="40" t="s">
        <v>48</v>
      </c>
      <c r="CS63" s="40" t="s">
        <v>48</v>
      </c>
      <c r="CT63" s="40" t="s">
        <v>48</v>
      </c>
      <c r="CU63" s="40" t="s">
        <v>48</v>
      </c>
      <c r="CV63" s="40" t="s">
        <v>48</v>
      </c>
      <c r="CW63" s="40" t="s">
        <v>48</v>
      </c>
      <c r="CX63" s="40" t="s">
        <v>48</v>
      </c>
      <c r="CY63" s="40" t="s">
        <v>48</v>
      </c>
      <c r="CZ63" s="40" t="s">
        <v>48</v>
      </c>
      <c r="DA63" s="40" t="s">
        <v>48</v>
      </c>
      <c r="DC63" s="33"/>
      <c r="DD63" s="38" t="str">
        <f>Notes!U64</f>
        <v xml:space="preserve">         Maize milling</v>
      </c>
      <c r="DE63" s="4" t="s">
        <v>362</v>
      </c>
      <c r="DF63" s="44">
        <v>1</v>
      </c>
      <c r="DG63" s="42" t="s">
        <v>48</v>
      </c>
      <c r="DH63" s="42" t="s">
        <v>48</v>
      </c>
      <c r="DI63" s="40" t="s">
        <v>48</v>
      </c>
      <c r="DJ63" s="40" t="s">
        <v>48</v>
      </c>
      <c r="DK63" s="40" t="s">
        <v>48</v>
      </c>
      <c r="DL63" s="40" t="s">
        <v>48</v>
      </c>
      <c r="DM63" s="40" t="s">
        <v>48</v>
      </c>
      <c r="DN63" s="40" t="s">
        <v>48</v>
      </c>
      <c r="DO63" s="40" t="s">
        <v>48</v>
      </c>
      <c r="DP63" s="40" t="s">
        <v>48</v>
      </c>
      <c r="DQ63" s="40" t="s">
        <v>48</v>
      </c>
      <c r="DR63" s="40" t="s">
        <v>48</v>
      </c>
      <c r="DS63" s="40" t="s">
        <v>48</v>
      </c>
      <c r="DT63" s="40" t="s">
        <v>48</v>
      </c>
      <c r="DU63" s="40" t="s">
        <v>48</v>
      </c>
      <c r="DV63" s="40" t="s">
        <v>48</v>
      </c>
    </row>
    <row r="64" spans="1:126" x14ac:dyDescent="0.3">
      <c r="A64" s="12">
        <v>57</v>
      </c>
      <c r="B64" s="33"/>
      <c r="C64" s="38" t="str">
        <f>Notes!U65</f>
        <v xml:space="preserve">         Sorghum and millet milling</v>
      </c>
      <c r="D64" s="4" t="s">
        <v>363</v>
      </c>
      <c r="E64" s="44" t="s">
        <v>48</v>
      </c>
      <c r="F64" s="42" t="s">
        <v>48</v>
      </c>
      <c r="G64" s="42" t="s">
        <v>48</v>
      </c>
      <c r="H64" s="40" t="s">
        <v>48</v>
      </c>
      <c r="I64" s="40" t="s">
        <v>48</v>
      </c>
      <c r="J64" s="40" t="s">
        <v>48</v>
      </c>
      <c r="K64" s="40" t="s">
        <v>48</v>
      </c>
      <c r="L64" s="40" t="s">
        <v>48</v>
      </c>
      <c r="M64" s="40" t="s">
        <v>48</v>
      </c>
      <c r="N64" s="40" t="s">
        <v>48</v>
      </c>
      <c r="O64" s="40" t="s">
        <v>48</v>
      </c>
      <c r="P64" s="40" t="s">
        <v>48</v>
      </c>
      <c r="Q64" s="40" t="s">
        <v>48</v>
      </c>
      <c r="R64" s="40" t="s">
        <v>48</v>
      </c>
      <c r="S64" s="40" t="s">
        <v>48</v>
      </c>
      <c r="T64" s="40" t="s">
        <v>48</v>
      </c>
      <c r="U64" s="40" t="s">
        <v>48</v>
      </c>
      <c r="W64" s="33"/>
      <c r="X64" s="38" t="str">
        <f>Notes!U65</f>
        <v xml:space="preserve">         Sorghum and millet milling</v>
      </c>
      <c r="Y64" s="4" t="s">
        <v>363</v>
      </c>
      <c r="Z64" s="44" t="s">
        <v>48</v>
      </c>
      <c r="AA64" s="42" t="s">
        <v>48</v>
      </c>
      <c r="AB64" s="42" t="s">
        <v>48</v>
      </c>
      <c r="AC64" s="40" t="s">
        <v>48</v>
      </c>
      <c r="AD64" s="40" t="s">
        <v>48</v>
      </c>
      <c r="AE64" s="40" t="s">
        <v>48</v>
      </c>
      <c r="AF64" s="40" t="s">
        <v>48</v>
      </c>
      <c r="AG64" s="40" t="s">
        <v>48</v>
      </c>
      <c r="AH64" s="40" t="s">
        <v>48</v>
      </c>
      <c r="AI64" s="40" t="s">
        <v>48</v>
      </c>
      <c r="AJ64" s="40" t="s">
        <v>48</v>
      </c>
      <c r="AK64" s="40" t="s">
        <v>48</v>
      </c>
      <c r="AL64" s="40" t="s">
        <v>48</v>
      </c>
      <c r="AM64" s="40" t="s">
        <v>48</v>
      </c>
      <c r="AN64" s="40" t="s">
        <v>48</v>
      </c>
      <c r="AO64" s="40" t="s">
        <v>48</v>
      </c>
      <c r="AP64" s="40" t="s">
        <v>48</v>
      </c>
      <c r="AR64" s="33"/>
      <c r="AS64" s="38" t="str">
        <f>Notes!U65</f>
        <v xml:space="preserve">         Sorghum and millet milling</v>
      </c>
      <c r="AT64" s="4" t="s">
        <v>363</v>
      </c>
      <c r="AU64" s="44" t="s">
        <v>48</v>
      </c>
      <c r="AV64" s="42" t="s">
        <v>48</v>
      </c>
      <c r="AW64" s="42" t="s">
        <v>48</v>
      </c>
      <c r="AX64" s="40" t="s">
        <v>48</v>
      </c>
      <c r="AY64" s="40" t="s">
        <v>48</v>
      </c>
      <c r="AZ64" s="40" t="s">
        <v>48</v>
      </c>
      <c r="BA64" s="40" t="s">
        <v>48</v>
      </c>
      <c r="BB64" s="40" t="s">
        <v>48</v>
      </c>
      <c r="BC64" s="40" t="s">
        <v>48</v>
      </c>
      <c r="BD64" s="40" t="s">
        <v>48</v>
      </c>
      <c r="BE64" s="40" t="s">
        <v>48</v>
      </c>
      <c r="BF64" s="40" t="s">
        <v>48</v>
      </c>
      <c r="BG64" s="40" t="s">
        <v>48</v>
      </c>
      <c r="BH64" s="40" t="s">
        <v>48</v>
      </c>
      <c r="BI64" s="40" t="s">
        <v>48</v>
      </c>
      <c r="BJ64" s="40" t="s">
        <v>48</v>
      </c>
      <c r="BK64" s="40" t="s">
        <v>48</v>
      </c>
      <c r="BM64" s="33"/>
      <c r="BN64" s="38" t="str">
        <f>Notes!U65</f>
        <v xml:space="preserve">         Sorghum and millet milling</v>
      </c>
      <c r="BO64" s="4" t="s">
        <v>363</v>
      </c>
      <c r="BP64" s="44" t="s">
        <v>48</v>
      </c>
      <c r="BQ64" s="42" t="s">
        <v>48</v>
      </c>
      <c r="BR64" s="42" t="s">
        <v>48</v>
      </c>
      <c r="BS64" s="40" t="s">
        <v>48</v>
      </c>
      <c r="BT64" s="40" t="s">
        <v>48</v>
      </c>
      <c r="BU64" s="40" t="s">
        <v>48</v>
      </c>
      <c r="BV64" s="40" t="s">
        <v>48</v>
      </c>
      <c r="BW64" s="40" t="s">
        <v>48</v>
      </c>
      <c r="BX64" s="40" t="s">
        <v>48</v>
      </c>
      <c r="BY64" s="40" t="s">
        <v>48</v>
      </c>
      <c r="BZ64" s="40" t="s">
        <v>48</v>
      </c>
      <c r="CA64" s="40" t="s">
        <v>48</v>
      </c>
      <c r="CB64" s="40" t="s">
        <v>48</v>
      </c>
      <c r="CC64" s="40" t="s">
        <v>48</v>
      </c>
      <c r="CD64" s="40" t="s">
        <v>48</v>
      </c>
      <c r="CE64" s="40" t="s">
        <v>48</v>
      </c>
      <c r="CF64" s="40" t="s">
        <v>48</v>
      </c>
      <c r="CH64" s="33"/>
      <c r="CI64" s="38" t="str">
        <f>Notes!U65</f>
        <v xml:space="preserve">         Sorghum and millet milling</v>
      </c>
      <c r="CJ64" s="4" t="s">
        <v>363</v>
      </c>
      <c r="CK64" s="44" t="s">
        <v>48</v>
      </c>
      <c r="CL64" s="42" t="s">
        <v>48</v>
      </c>
      <c r="CM64" s="42" t="s">
        <v>48</v>
      </c>
      <c r="CN64" s="40" t="s">
        <v>48</v>
      </c>
      <c r="CO64" s="40" t="s">
        <v>48</v>
      </c>
      <c r="CP64" s="40" t="s">
        <v>48</v>
      </c>
      <c r="CQ64" s="40" t="s">
        <v>48</v>
      </c>
      <c r="CR64" s="40" t="s">
        <v>48</v>
      </c>
      <c r="CS64" s="40" t="s">
        <v>48</v>
      </c>
      <c r="CT64" s="40" t="s">
        <v>48</v>
      </c>
      <c r="CU64" s="40" t="s">
        <v>48</v>
      </c>
      <c r="CV64" s="40" t="s">
        <v>48</v>
      </c>
      <c r="CW64" s="40" t="s">
        <v>48</v>
      </c>
      <c r="CX64" s="40" t="s">
        <v>48</v>
      </c>
      <c r="CY64" s="40" t="s">
        <v>48</v>
      </c>
      <c r="CZ64" s="40" t="s">
        <v>48</v>
      </c>
      <c r="DA64" s="40" t="s">
        <v>48</v>
      </c>
      <c r="DC64" s="33"/>
      <c r="DD64" s="38" t="str">
        <f>Notes!U65</f>
        <v xml:space="preserve">         Sorghum and millet milling</v>
      </c>
      <c r="DE64" s="4" t="s">
        <v>363</v>
      </c>
      <c r="DF64" s="44" t="s">
        <v>48</v>
      </c>
      <c r="DG64" s="42" t="s">
        <v>48</v>
      </c>
      <c r="DH64" s="42" t="s">
        <v>48</v>
      </c>
      <c r="DI64" s="40" t="s">
        <v>48</v>
      </c>
      <c r="DJ64" s="40" t="s">
        <v>48</v>
      </c>
      <c r="DK64" s="40" t="s">
        <v>48</v>
      </c>
      <c r="DL64" s="40" t="s">
        <v>48</v>
      </c>
      <c r="DM64" s="40" t="s">
        <v>48</v>
      </c>
      <c r="DN64" s="40" t="s">
        <v>48</v>
      </c>
      <c r="DO64" s="40" t="s">
        <v>48</v>
      </c>
      <c r="DP64" s="40" t="s">
        <v>48</v>
      </c>
      <c r="DQ64" s="40" t="s">
        <v>48</v>
      </c>
      <c r="DR64" s="40" t="s">
        <v>48</v>
      </c>
      <c r="DS64" s="40" t="s">
        <v>48</v>
      </c>
      <c r="DT64" s="40" t="s">
        <v>48</v>
      </c>
      <c r="DU64" s="40" t="s">
        <v>48</v>
      </c>
      <c r="DV64" s="40" t="s">
        <v>48</v>
      </c>
    </row>
    <row r="65" spans="1:126" x14ac:dyDescent="0.3">
      <c r="A65" s="12">
        <v>58</v>
      </c>
      <c r="B65" s="33"/>
      <c r="C65" s="38" t="str">
        <f>Notes!U66</f>
        <v xml:space="preserve">         Rice milling</v>
      </c>
      <c r="D65" s="4" t="s">
        <v>364</v>
      </c>
      <c r="E65" s="44" t="s">
        <v>48</v>
      </c>
      <c r="F65" s="42" t="s">
        <v>48</v>
      </c>
      <c r="G65" s="42" t="s">
        <v>48</v>
      </c>
      <c r="H65" s="40" t="s">
        <v>48</v>
      </c>
      <c r="I65" s="40" t="s">
        <v>48</v>
      </c>
      <c r="J65" s="40" t="s">
        <v>48</v>
      </c>
      <c r="K65" s="40" t="s">
        <v>48</v>
      </c>
      <c r="L65" s="40" t="s">
        <v>48</v>
      </c>
      <c r="M65" s="40" t="s">
        <v>48</v>
      </c>
      <c r="N65" s="40" t="s">
        <v>48</v>
      </c>
      <c r="O65" s="40" t="s">
        <v>48</v>
      </c>
      <c r="P65" s="40" t="s">
        <v>48</v>
      </c>
      <c r="Q65" s="40" t="s">
        <v>48</v>
      </c>
      <c r="R65" s="40" t="s">
        <v>48</v>
      </c>
      <c r="S65" s="40" t="s">
        <v>48</v>
      </c>
      <c r="T65" s="40" t="s">
        <v>48</v>
      </c>
      <c r="U65" s="40" t="s">
        <v>48</v>
      </c>
      <c r="W65" s="33"/>
      <c r="X65" s="38" t="str">
        <f>Notes!U66</f>
        <v xml:space="preserve">         Rice milling</v>
      </c>
      <c r="Y65" s="4" t="s">
        <v>364</v>
      </c>
      <c r="Z65" s="44" t="s">
        <v>48</v>
      </c>
      <c r="AA65" s="42" t="s">
        <v>48</v>
      </c>
      <c r="AB65" s="42" t="s">
        <v>48</v>
      </c>
      <c r="AC65" s="40" t="s">
        <v>48</v>
      </c>
      <c r="AD65" s="40" t="s">
        <v>48</v>
      </c>
      <c r="AE65" s="40" t="s">
        <v>48</v>
      </c>
      <c r="AF65" s="40" t="s">
        <v>48</v>
      </c>
      <c r="AG65" s="40" t="s">
        <v>48</v>
      </c>
      <c r="AH65" s="40" t="s">
        <v>48</v>
      </c>
      <c r="AI65" s="40" t="s">
        <v>48</v>
      </c>
      <c r="AJ65" s="40" t="s">
        <v>48</v>
      </c>
      <c r="AK65" s="40" t="s">
        <v>48</v>
      </c>
      <c r="AL65" s="40" t="s">
        <v>48</v>
      </c>
      <c r="AM65" s="40" t="s">
        <v>48</v>
      </c>
      <c r="AN65" s="40" t="s">
        <v>48</v>
      </c>
      <c r="AO65" s="40" t="s">
        <v>48</v>
      </c>
      <c r="AP65" s="40" t="s">
        <v>48</v>
      </c>
      <c r="AR65" s="33"/>
      <c r="AS65" s="38" t="str">
        <f>Notes!U66</f>
        <v xml:space="preserve">         Rice milling</v>
      </c>
      <c r="AT65" s="4" t="s">
        <v>364</v>
      </c>
      <c r="AU65" s="44" t="s">
        <v>48</v>
      </c>
      <c r="AV65" s="42" t="s">
        <v>48</v>
      </c>
      <c r="AW65" s="42" t="s">
        <v>48</v>
      </c>
      <c r="AX65" s="40" t="s">
        <v>48</v>
      </c>
      <c r="AY65" s="40" t="s">
        <v>48</v>
      </c>
      <c r="AZ65" s="40" t="s">
        <v>48</v>
      </c>
      <c r="BA65" s="40" t="s">
        <v>48</v>
      </c>
      <c r="BB65" s="40" t="s">
        <v>48</v>
      </c>
      <c r="BC65" s="40" t="s">
        <v>48</v>
      </c>
      <c r="BD65" s="40" t="s">
        <v>48</v>
      </c>
      <c r="BE65" s="40" t="s">
        <v>48</v>
      </c>
      <c r="BF65" s="40" t="s">
        <v>48</v>
      </c>
      <c r="BG65" s="40" t="s">
        <v>48</v>
      </c>
      <c r="BH65" s="40" t="s">
        <v>48</v>
      </c>
      <c r="BI65" s="40" t="s">
        <v>48</v>
      </c>
      <c r="BJ65" s="40" t="s">
        <v>48</v>
      </c>
      <c r="BK65" s="40" t="s">
        <v>48</v>
      </c>
      <c r="BM65" s="33"/>
      <c r="BN65" s="38" t="str">
        <f>Notes!U66</f>
        <v xml:space="preserve">         Rice milling</v>
      </c>
      <c r="BO65" s="4" t="s">
        <v>364</v>
      </c>
      <c r="BP65" s="44" t="s">
        <v>48</v>
      </c>
      <c r="BQ65" s="42" t="s">
        <v>48</v>
      </c>
      <c r="BR65" s="42" t="s">
        <v>48</v>
      </c>
      <c r="BS65" s="40" t="s">
        <v>48</v>
      </c>
      <c r="BT65" s="40" t="s">
        <v>48</v>
      </c>
      <c r="BU65" s="40" t="s">
        <v>48</v>
      </c>
      <c r="BV65" s="40" t="s">
        <v>48</v>
      </c>
      <c r="BW65" s="40" t="s">
        <v>48</v>
      </c>
      <c r="BX65" s="40" t="s">
        <v>48</v>
      </c>
      <c r="BY65" s="40" t="s">
        <v>48</v>
      </c>
      <c r="BZ65" s="40" t="s">
        <v>48</v>
      </c>
      <c r="CA65" s="40" t="s">
        <v>48</v>
      </c>
      <c r="CB65" s="40" t="s">
        <v>48</v>
      </c>
      <c r="CC65" s="40" t="s">
        <v>48</v>
      </c>
      <c r="CD65" s="40" t="s">
        <v>48</v>
      </c>
      <c r="CE65" s="40" t="s">
        <v>48</v>
      </c>
      <c r="CF65" s="40" t="s">
        <v>48</v>
      </c>
      <c r="CH65" s="33"/>
      <c r="CI65" s="38" t="str">
        <f>Notes!U66</f>
        <v xml:space="preserve">         Rice milling</v>
      </c>
      <c r="CJ65" s="4" t="s">
        <v>364</v>
      </c>
      <c r="CK65" s="44" t="s">
        <v>48</v>
      </c>
      <c r="CL65" s="42" t="s">
        <v>48</v>
      </c>
      <c r="CM65" s="42" t="s">
        <v>48</v>
      </c>
      <c r="CN65" s="40" t="s">
        <v>48</v>
      </c>
      <c r="CO65" s="40" t="s">
        <v>48</v>
      </c>
      <c r="CP65" s="40" t="s">
        <v>48</v>
      </c>
      <c r="CQ65" s="40" t="s">
        <v>48</v>
      </c>
      <c r="CR65" s="40" t="s">
        <v>48</v>
      </c>
      <c r="CS65" s="40" t="s">
        <v>48</v>
      </c>
      <c r="CT65" s="40" t="s">
        <v>48</v>
      </c>
      <c r="CU65" s="40" t="s">
        <v>48</v>
      </c>
      <c r="CV65" s="40" t="s">
        <v>48</v>
      </c>
      <c r="CW65" s="40" t="s">
        <v>48</v>
      </c>
      <c r="CX65" s="40" t="s">
        <v>48</v>
      </c>
      <c r="CY65" s="40" t="s">
        <v>48</v>
      </c>
      <c r="CZ65" s="40" t="s">
        <v>48</v>
      </c>
      <c r="DA65" s="40" t="s">
        <v>48</v>
      </c>
      <c r="DC65" s="33"/>
      <c r="DD65" s="38" t="str">
        <f>Notes!U66</f>
        <v xml:space="preserve">         Rice milling</v>
      </c>
      <c r="DE65" s="4" t="s">
        <v>364</v>
      </c>
      <c r="DF65" s="44" t="s">
        <v>48</v>
      </c>
      <c r="DG65" s="42" t="s">
        <v>48</v>
      </c>
      <c r="DH65" s="42" t="s">
        <v>48</v>
      </c>
      <c r="DI65" s="40" t="s">
        <v>48</v>
      </c>
      <c r="DJ65" s="40" t="s">
        <v>48</v>
      </c>
      <c r="DK65" s="40" t="s">
        <v>48</v>
      </c>
      <c r="DL65" s="40" t="s">
        <v>48</v>
      </c>
      <c r="DM65" s="40" t="s">
        <v>48</v>
      </c>
      <c r="DN65" s="40" t="s">
        <v>48</v>
      </c>
      <c r="DO65" s="40" t="s">
        <v>48</v>
      </c>
      <c r="DP65" s="40" t="s">
        <v>48</v>
      </c>
      <c r="DQ65" s="40" t="s">
        <v>48</v>
      </c>
      <c r="DR65" s="40" t="s">
        <v>48</v>
      </c>
      <c r="DS65" s="40" t="s">
        <v>48</v>
      </c>
      <c r="DT65" s="40" t="s">
        <v>48</v>
      </c>
      <c r="DU65" s="40" t="s">
        <v>48</v>
      </c>
      <c r="DV65" s="40" t="s">
        <v>48</v>
      </c>
    </row>
    <row r="66" spans="1:126" x14ac:dyDescent="0.3">
      <c r="A66" s="12">
        <v>59</v>
      </c>
      <c r="B66" s="33"/>
      <c r="C66" s="38" t="str">
        <f>Notes!U67</f>
        <v xml:space="preserve">         Rice milling - coarse</v>
      </c>
      <c r="D66" s="4" t="s">
        <v>720</v>
      </c>
      <c r="E66" s="44">
        <v>1</v>
      </c>
      <c r="F66" s="42">
        <v>3.6816060082722757E-2</v>
      </c>
      <c r="G66" s="42" t="s">
        <v>48</v>
      </c>
      <c r="H66" s="40" t="s">
        <v>48</v>
      </c>
      <c r="I66" s="40" t="s">
        <v>48</v>
      </c>
      <c r="J66" s="40" t="s">
        <v>48</v>
      </c>
      <c r="K66" s="40" t="s">
        <v>48</v>
      </c>
      <c r="L66" s="40" t="s">
        <v>48</v>
      </c>
      <c r="M66" s="40" t="s">
        <v>48</v>
      </c>
      <c r="N66" s="40" t="s">
        <v>48</v>
      </c>
      <c r="O66" s="40" t="s">
        <v>48</v>
      </c>
      <c r="P66" s="40" t="s">
        <v>48</v>
      </c>
      <c r="Q66" s="40" t="s">
        <v>48</v>
      </c>
      <c r="R66" s="40" t="s">
        <v>48</v>
      </c>
      <c r="S66" s="40" t="s">
        <v>48</v>
      </c>
      <c r="T66" s="40" t="s">
        <v>48</v>
      </c>
      <c r="U66" s="40" t="s">
        <v>48</v>
      </c>
      <c r="W66" s="33"/>
      <c r="X66" s="38" t="str">
        <f>Notes!U67</f>
        <v xml:space="preserve">         Rice milling - coarse</v>
      </c>
      <c r="Y66" s="4" t="s">
        <v>720</v>
      </c>
      <c r="Z66" s="44">
        <v>1.1055014248549664</v>
      </c>
      <c r="AA66" s="42">
        <v>3.1993054755385941E-2</v>
      </c>
      <c r="AB66" s="42" t="s">
        <v>48</v>
      </c>
      <c r="AC66" s="40" t="s">
        <v>48</v>
      </c>
      <c r="AD66" s="40" t="s">
        <v>48</v>
      </c>
      <c r="AE66" s="40" t="s">
        <v>48</v>
      </c>
      <c r="AF66" s="40" t="s">
        <v>48</v>
      </c>
      <c r="AG66" s="40" t="s">
        <v>48</v>
      </c>
      <c r="AH66" s="40" t="s">
        <v>48</v>
      </c>
      <c r="AI66" s="40" t="s">
        <v>48</v>
      </c>
      <c r="AJ66" s="40" t="s">
        <v>48</v>
      </c>
      <c r="AK66" s="40" t="s">
        <v>48</v>
      </c>
      <c r="AL66" s="40" t="s">
        <v>48</v>
      </c>
      <c r="AM66" s="40" t="s">
        <v>48</v>
      </c>
      <c r="AN66" s="40" t="s">
        <v>48</v>
      </c>
      <c r="AO66" s="40" t="s">
        <v>48</v>
      </c>
      <c r="AP66" s="40" t="s">
        <v>48</v>
      </c>
      <c r="AR66" s="33"/>
      <c r="AS66" s="38" t="str">
        <f>Notes!U67</f>
        <v xml:space="preserve">         Rice milling - coarse</v>
      </c>
      <c r="AT66" s="4" t="s">
        <v>720</v>
      </c>
      <c r="AU66" s="44" t="s">
        <v>48</v>
      </c>
      <c r="AV66" s="42" t="s">
        <v>48</v>
      </c>
      <c r="AW66" s="42" t="s">
        <v>48</v>
      </c>
      <c r="AX66" s="40" t="s">
        <v>48</v>
      </c>
      <c r="AY66" s="40" t="s">
        <v>48</v>
      </c>
      <c r="AZ66" s="40" t="s">
        <v>48</v>
      </c>
      <c r="BA66" s="40" t="s">
        <v>48</v>
      </c>
      <c r="BB66" s="40" t="s">
        <v>48</v>
      </c>
      <c r="BC66" s="40" t="s">
        <v>48</v>
      </c>
      <c r="BD66" s="40" t="s">
        <v>48</v>
      </c>
      <c r="BE66" s="40" t="s">
        <v>48</v>
      </c>
      <c r="BF66" s="40" t="s">
        <v>48</v>
      </c>
      <c r="BG66" s="40" t="s">
        <v>48</v>
      </c>
      <c r="BH66" s="40" t="s">
        <v>48</v>
      </c>
      <c r="BI66" s="40" t="s">
        <v>48</v>
      </c>
      <c r="BJ66" s="40" t="s">
        <v>48</v>
      </c>
      <c r="BK66" s="40" t="s">
        <v>48</v>
      </c>
      <c r="BM66" s="33"/>
      <c r="BN66" s="38" t="str">
        <f>Notes!U67</f>
        <v xml:space="preserve">         Rice milling - coarse</v>
      </c>
      <c r="BO66" s="4" t="s">
        <v>720</v>
      </c>
      <c r="BP66" s="44" t="s">
        <v>48</v>
      </c>
      <c r="BQ66" s="42" t="s">
        <v>48</v>
      </c>
      <c r="BR66" s="42" t="s">
        <v>48</v>
      </c>
      <c r="BS66" s="40" t="s">
        <v>48</v>
      </c>
      <c r="BT66" s="40" t="s">
        <v>48</v>
      </c>
      <c r="BU66" s="40" t="s">
        <v>48</v>
      </c>
      <c r="BV66" s="40" t="s">
        <v>48</v>
      </c>
      <c r="BW66" s="40" t="s">
        <v>48</v>
      </c>
      <c r="BX66" s="40" t="s">
        <v>48</v>
      </c>
      <c r="BY66" s="40" t="s">
        <v>48</v>
      </c>
      <c r="BZ66" s="40" t="s">
        <v>48</v>
      </c>
      <c r="CA66" s="40" t="s">
        <v>48</v>
      </c>
      <c r="CB66" s="40" t="s">
        <v>48</v>
      </c>
      <c r="CC66" s="40" t="s">
        <v>48</v>
      </c>
      <c r="CD66" s="40" t="s">
        <v>48</v>
      </c>
      <c r="CE66" s="40" t="s">
        <v>48</v>
      </c>
      <c r="CF66" s="40" t="s">
        <v>48</v>
      </c>
      <c r="CH66" s="33"/>
      <c r="CI66" s="38" t="str">
        <f>Notes!U67</f>
        <v xml:space="preserve">         Rice milling - coarse</v>
      </c>
      <c r="CJ66" s="4" t="s">
        <v>720</v>
      </c>
      <c r="CK66" s="44" t="s">
        <v>48</v>
      </c>
      <c r="CL66" s="42" t="s">
        <v>48</v>
      </c>
      <c r="CM66" s="42" t="s">
        <v>48</v>
      </c>
      <c r="CN66" s="40" t="s">
        <v>48</v>
      </c>
      <c r="CO66" s="40" t="s">
        <v>48</v>
      </c>
      <c r="CP66" s="40" t="s">
        <v>48</v>
      </c>
      <c r="CQ66" s="40" t="s">
        <v>48</v>
      </c>
      <c r="CR66" s="40" t="s">
        <v>48</v>
      </c>
      <c r="CS66" s="40" t="s">
        <v>48</v>
      </c>
      <c r="CT66" s="40" t="s">
        <v>48</v>
      </c>
      <c r="CU66" s="40" t="s">
        <v>48</v>
      </c>
      <c r="CV66" s="40" t="s">
        <v>48</v>
      </c>
      <c r="CW66" s="40" t="s">
        <v>48</v>
      </c>
      <c r="CX66" s="40" t="s">
        <v>48</v>
      </c>
      <c r="CY66" s="40" t="s">
        <v>48</v>
      </c>
      <c r="CZ66" s="40" t="s">
        <v>48</v>
      </c>
      <c r="DA66" s="40" t="s">
        <v>48</v>
      </c>
      <c r="DC66" s="33"/>
      <c r="DD66" s="38" t="str">
        <f>Notes!U67</f>
        <v xml:space="preserve">         Rice milling - coarse</v>
      </c>
      <c r="DE66" s="4" t="s">
        <v>720</v>
      </c>
      <c r="DF66" s="44" t="s">
        <v>48</v>
      </c>
      <c r="DG66" s="42" t="s">
        <v>48</v>
      </c>
      <c r="DH66" s="42" t="s">
        <v>48</v>
      </c>
      <c r="DI66" s="40" t="s">
        <v>48</v>
      </c>
      <c r="DJ66" s="40" t="s">
        <v>48</v>
      </c>
      <c r="DK66" s="40" t="s">
        <v>48</v>
      </c>
      <c r="DL66" s="40" t="s">
        <v>48</v>
      </c>
      <c r="DM66" s="40" t="s">
        <v>48</v>
      </c>
      <c r="DN66" s="40" t="s">
        <v>48</v>
      </c>
      <c r="DO66" s="40" t="s">
        <v>48</v>
      </c>
      <c r="DP66" s="40" t="s">
        <v>48</v>
      </c>
      <c r="DQ66" s="40" t="s">
        <v>48</v>
      </c>
      <c r="DR66" s="40" t="s">
        <v>48</v>
      </c>
      <c r="DS66" s="40" t="s">
        <v>48</v>
      </c>
      <c r="DT66" s="40" t="s">
        <v>48</v>
      </c>
      <c r="DU66" s="40" t="s">
        <v>48</v>
      </c>
      <c r="DV66" s="40" t="s">
        <v>48</v>
      </c>
    </row>
    <row r="67" spans="1:126" x14ac:dyDescent="0.3">
      <c r="A67" s="12">
        <v>60</v>
      </c>
      <c r="B67" s="33"/>
      <c r="C67" s="38" t="str">
        <f>Notes!U68</f>
        <v xml:space="preserve">         Rice milling - other</v>
      </c>
      <c r="D67" s="4" t="s">
        <v>722</v>
      </c>
      <c r="E67" s="44">
        <v>1</v>
      </c>
      <c r="F67" s="42">
        <v>3.6080551018358165E-2</v>
      </c>
      <c r="G67" s="42" t="s">
        <v>48</v>
      </c>
      <c r="H67" s="40" t="s">
        <v>48</v>
      </c>
      <c r="I67" s="40" t="s">
        <v>48</v>
      </c>
      <c r="J67" s="40" t="s">
        <v>48</v>
      </c>
      <c r="K67" s="40" t="s">
        <v>48</v>
      </c>
      <c r="L67" s="40" t="s">
        <v>48</v>
      </c>
      <c r="M67" s="40" t="s">
        <v>48</v>
      </c>
      <c r="N67" s="40" t="s">
        <v>48</v>
      </c>
      <c r="O67" s="40" t="s">
        <v>48</v>
      </c>
      <c r="P67" s="40" t="s">
        <v>48</v>
      </c>
      <c r="Q67" s="40" t="s">
        <v>48</v>
      </c>
      <c r="R67" s="40" t="s">
        <v>48</v>
      </c>
      <c r="S67" s="40" t="s">
        <v>48</v>
      </c>
      <c r="T67" s="40" t="s">
        <v>48</v>
      </c>
      <c r="U67" s="40" t="s">
        <v>48</v>
      </c>
      <c r="W67" s="33"/>
      <c r="X67" s="38" t="str">
        <f>Notes!U68</f>
        <v xml:space="preserve">         Rice milling - other</v>
      </c>
      <c r="Y67" s="4" t="s">
        <v>722</v>
      </c>
      <c r="Z67" s="44">
        <v>1.1406922035190545</v>
      </c>
      <c r="AA67" s="42">
        <v>2.993743282129202E-2</v>
      </c>
      <c r="AB67" s="42" t="s">
        <v>48</v>
      </c>
      <c r="AC67" s="40" t="s">
        <v>48</v>
      </c>
      <c r="AD67" s="40" t="s">
        <v>48</v>
      </c>
      <c r="AE67" s="40" t="s">
        <v>48</v>
      </c>
      <c r="AF67" s="40" t="s">
        <v>48</v>
      </c>
      <c r="AG67" s="40" t="s">
        <v>48</v>
      </c>
      <c r="AH67" s="40" t="s">
        <v>48</v>
      </c>
      <c r="AI67" s="40" t="s">
        <v>48</v>
      </c>
      <c r="AJ67" s="40" t="s">
        <v>48</v>
      </c>
      <c r="AK67" s="40" t="s">
        <v>48</v>
      </c>
      <c r="AL67" s="40" t="s">
        <v>48</v>
      </c>
      <c r="AM67" s="40" t="s">
        <v>48</v>
      </c>
      <c r="AN67" s="40" t="s">
        <v>48</v>
      </c>
      <c r="AO67" s="40" t="s">
        <v>48</v>
      </c>
      <c r="AP67" s="40" t="s">
        <v>48</v>
      </c>
      <c r="AR67" s="33"/>
      <c r="AS67" s="38" t="str">
        <f>Notes!U68</f>
        <v xml:space="preserve">         Rice milling - other</v>
      </c>
      <c r="AT67" s="4" t="s">
        <v>722</v>
      </c>
      <c r="AU67" s="44" t="s">
        <v>48</v>
      </c>
      <c r="AV67" s="42" t="s">
        <v>48</v>
      </c>
      <c r="AW67" s="42" t="s">
        <v>48</v>
      </c>
      <c r="AX67" s="40" t="s">
        <v>48</v>
      </c>
      <c r="AY67" s="40" t="s">
        <v>48</v>
      </c>
      <c r="AZ67" s="40" t="s">
        <v>48</v>
      </c>
      <c r="BA67" s="40" t="s">
        <v>48</v>
      </c>
      <c r="BB67" s="40" t="s">
        <v>48</v>
      </c>
      <c r="BC67" s="40" t="s">
        <v>48</v>
      </c>
      <c r="BD67" s="40" t="s">
        <v>48</v>
      </c>
      <c r="BE67" s="40" t="s">
        <v>48</v>
      </c>
      <c r="BF67" s="40" t="s">
        <v>48</v>
      </c>
      <c r="BG67" s="40" t="s">
        <v>48</v>
      </c>
      <c r="BH67" s="40" t="s">
        <v>48</v>
      </c>
      <c r="BI67" s="40" t="s">
        <v>48</v>
      </c>
      <c r="BJ67" s="40" t="s">
        <v>48</v>
      </c>
      <c r="BK67" s="40" t="s">
        <v>48</v>
      </c>
      <c r="BM67" s="33"/>
      <c r="BN67" s="38" t="str">
        <f>Notes!U68</f>
        <v xml:space="preserve">         Rice milling - other</v>
      </c>
      <c r="BO67" s="4" t="s">
        <v>722</v>
      </c>
      <c r="BP67" s="44" t="s">
        <v>48</v>
      </c>
      <c r="BQ67" s="42" t="s">
        <v>48</v>
      </c>
      <c r="BR67" s="42" t="s">
        <v>48</v>
      </c>
      <c r="BS67" s="40" t="s">
        <v>48</v>
      </c>
      <c r="BT67" s="40" t="s">
        <v>48</v>
      </c>
      <c r="BU67" s="40" t="s">
        <v>48</v>
      </c>
      <c r="BV67" s="40" t="s">
        <v>48</v>
      </c>
      <c r="BW67" s="40" t="s">
        <v>48</v>
      </c>
      <c r="BX67" s="40" t="s">
        <v>48</v>
      </c>
      <c r="BY67" s="40" t="s">
        <v>48</v>
      </c>
      <c r="BZ67" s="40" t="s">
        <v>48</v>
      </c>
      <c r="CA67" s="40" t="s">
        <v>48</v>
      </c>
      <c r="CB67" s="40" t="s">
        <v>48</v>
      </c>
      <c r="CC67" s="40" t="s">
        <v>48</v>
      </c>
      <c r="CD67" s="40" t="s">
        <v>48</v>
      </c>
      <c r="CE67" s="40" t="s">
        <v>48</v>
      </c>
      <c r="CF67" s="40" t="s">
        <v>48</v>
      </c>
      <c r="CH67" s="33"/>
      <c r="CI67" s="38" t="str">
        <f>Notes!U68</f>
        <v xml:space="preserve">         Rice milling - other</v>
      </c>
      <c r="CJ67" s="4" t="s">
        <v>722</v>
      </c>
      <c r="CK67" s="44" t="s">
        <v>48</v>
      </c>
      <c r="CL67" s="42" t="s">
        <v>48</v>
      </c>
      <c r="CM67" s="42" t="s">
        <v>48</v>
      </c>
      <c r="CN67" s="40" t="s">
        <v>48</v>
      </c>
      <c r="CO67" s="40" t="s">
        <v>48</v>
      </c>
      <c r="CP67" s="40" t="s">
        <v>48</v>
      </c>
      <c r="CQ67" s="40" t="s">
        <v>48</v>
      </c>
      <c r="CR67" s="40" t="s">
        <v>48</v>
      </c>
      <c r="CS67" s="40" t="s">
        <v>48</v>
      </c>
      <c r="CT67" s="40" t="s">
        <v>48</v>
      </c>
      <c r="CU67" s="40" t="s">
        <v>48</v>
      </c>
      <c r="CV67" s="40" t="s">
        <v>48</v>
      </c>
      <c r="CW67" s="40" t="s">
        <v>48</v>
      </c>
      <c r="CX67" s="40" t="s">
        <v>48</v>
      </c>
      <c r="CY67" s="40" t="s">
        <v>48</v>
      </c>
      <c r="CZ67" s="40" t="s">
        <v>48</v>
      </c>
      <c r="DA67" s="40" t="s">
        <v>48</v>
      </c>
      <c r="DC67" s="33"/>
      <c r="DD67" s="38" t="str">
        <f>Notes!U68</f>
        <v xml:space="preserve">         Rice milling - other</v>
      </c>
      <c r="DE67" s="4" t="s">
        <v>722</v>
      </c>
      <c r="DF67" s="44" t="s">
        <v>48</v>
      </c>
      <c r="DG67" s="42" t="s">
        <v>48</v>
      </c>
      <c r="DH67" s="42" t="s">
        <v>48</v>
      </c>
      <c r="DI67" s="40" t="s">
        <v>48</v>
      </c>
      <c r="DJ67" s="40" t="s">
        <v>48</v>
      </c>
      <c r="DK67" s="40" t="s">
        <v>48</v>
      </c>
      <c r="DL67" s="40" t="s">
        <v>48</v>
      </c>
      <c r="DM67" s="40" t="s">
        <v>48</v>
      </c>
      <c r="DN67" s="40" t="s">
        <v>48</v>
      </c>
      <c r="DO67" s="40" t="s">
        <v>48</v>
      </c>
      <c r="DP67" s="40" t="s">
        <v>48</v>
      </c>
      <c r="DQ67" s="40" t="s">
        <v>48</v>
      </c>
      <c r="DR67" s="40" t="s">
        <v>48</v>
      </c>
      <c r="DS67" s="40" t="s">
        <v>48</v>
      </c>
      <c r="DT67" s="40" t="s">
        <v>48</v>
      </c>
      <c r="DU67" s="40" t="s">
        <v>48</v>
      </c>
      <c r="DV67" s="40" t="s">
        <v>48</v>
      </c>
    </row>
    <row r="68" spans="1:126" x14ac:dyDescent="0.3">
      <c r="A68" s="12">
        <v>61</v>
      </c>
      <c r="B68" s="33"/>
      <c r="C68" s="38" t="str">
        <f>Notes!U69</f>
        <v xml:space="preserve">         Wheat and barley milling</v>
      </c>
      <c r="D68" s="4" t="s">
        <v>365</v>
      </c>
      <c r="E68" s="44">
        <v>1</v>
      </c>
      <c r="F68" s="42">
        <v>-8.8066935164388127E-3</v>
      </c>
      <c r="G68" s="42" t="s">
        <v>48</v>
      </c>
      <c r="H68" s="40" t="s">
        <v>48</v>
      </c>
      <c r="I68" s="40" t="s">
        <v>48</v>
      </c>
      <c r="J68" s="40" t="s">
        <v>48</v>
      </c>
      <c r="K68" s="40" t="s">
        <v>48</v>
      </c>
      <c r="L68" s="40" t="s">
        <v>48</v>
      </c>
      <c r="M68" s="40" t="s">
        <v>48</v>
      </c>
      <c r="N68" s="40" t="s">
        <v>48</v>
      </c>
      <c r="O68" s="40" t="s">
        <v>48</v>
      </c>
      <c r="P68" s="40" t="s">
        <v>48</v>
      </c>
      <c r="Q68" s="40" t="s">
        <v>48</v>
      </c>
      <c r="R68" s="40" t="s">
        <v>48</v>
      </c>
      <c r="S68" s="40" t="s">
        <v>48</v>
      </c>
      <c r="T68" s="40" t="s">
        <v>48</v>
      </c>
      <c r="U68" s="40" t="s">
        <v>48</v>
      </c>
      <c r="W68" s="33"/>
      <c r="X68" s="38" t="str">
        <f>Notes!U69</f>
        <v xml:space="preserve">         Wheat and barley milling</v>
      </c>
      <c r="Y68" s="4" t="s">
        <v>365</v>
      </c>
      <c r="Z68" s="44">
        <v>1.1340091736371571</v>
      </c>
      <c r="AA68" s="42">
        <v>-9.3956790141014324E-3</v>
      </c>
      <c r="AB68" s="42" t="s">
        <v>48</v>
      </c>
      <c r="AC68" s="40" t="s">
        <v>48</v>
      </c>
      <c r="AD68" s="40" t="s">
        <v>48</v>
      </c>
      <c r="AE68" s="40" t="s">
        <v>48</v>
      </c>
      <c r="AF68" s="40" t="s">
        <v>48</v>
      </c>
      <c r="AG68" s="40" t="s">
        <v>48</v>
      </c>
      <c r="AH68" s="40" t="s">
        <v>48</v>
      </c>
      <c r="AI68" s="40" t="s">
        <v>48</v>
      </c>
      <c r="AJ68" s="40" t="s">
        <v>48</v>
      </c>
      <c r="AK68" s="40" t="s">
        <v>48</v>
      </c>
      <c r="AL68" s="40" t="s">
        <v>48</v>
      </c>
      <c r="AM68" s="40" t="s">
        <v>48</v>
      </c>
      <c r="AN68" s="40" t="s">
        <v>48</v>
      </c>
      <c r="AO68" s="40" t="s">
        <v>48</v>
      </c>
      <c r="AP68" s="40" t="s">
        <v>48</v>
      </c>
      <c r="AR68" s="33"/>
      <c r="AS68" s="38" t="str">
        <f>Notes!U69</f>
        <v xml:space="preserve">         Wheat and barley milling</v>
      </c>
      <c r="AT68" s="4" t="s">
        <v>365</v>
      </c>
      <c r="AU68" s="44" t="s">
        <v>48</v>
      </c>
      <c r="AV68" s="42" t="s">
        <v>48</v>
      </c>
      <c r="AW68" s="42" t="s">
        <v>48</v>
      </c>
      <c r="AX68" s="40" t="s">
        <v>48</v>
      </c>
      <c r="AY68" s="40" t="s">
        <v>48</v>
      </c>
      <c r="AZ68" s="40" t="s">
        <v>48</v>
      </c>
      <c r="BA68" s="40" t="s">
        <v>48</v>
      </c>
      <c r="BB68" s="40" t="s">
        <v>48</v>
      </c>
      <c r="BC68" s="40" t="s">
        <v>48</v>
      </c>
      <c r="BD68" s="40" t="s">
        <v>48</v>
      </c>
      <c r="BE68" s="40" t="s">
        <v>48</v>
      </c>
      <c r="BF68" s="40" t="s">
        <v>48</v>
      </c>
      <c r="BG68" s="40" t="s">
        <v>48</v>
      </c>
      <c r="BH68" s="40" t="s">
        <v>48</v>
      </c>
      <c r="BI68" s="40" t="s">
        <v>48</v>
      </c>
      <c r="BJ68" s="40" t="s">
        <v>48</v>
      </c>
      <c r="BK68" s="40" t="s">
        <v>48</v>
      </c>
      <c r="BM68" s="33"/>
      <c r="BN68" s="38" t="str">
        <f>Notes!U69</f>
        <v xml:space="preserve">         Wheat and barley milling</v>
      </c>
      <c r="BO68" s="4" t="s">
        <v>365</v>
      </c>
      <c r="BP68" s="44" t="s">
        <v>48</v>
      </c>
      <c r="BQ68" s="42" t="s">
        <v>48</v>
      </c>
      <c r="BR68" s="42" t="s">
        <v>48</v>
      </c>
      <c r="BS68" s="40" t="s">
        <v>48</v>
      </c>
      <c r="BT68" s="40" t="s">
        <v>48</v>
      </c>
      <c r="BU68" s="40" t="s">
        <v>48</v>
      </c>
      <c r="BV68" s="40" t="s">
        <v>48</v>
      </c>
      <c r="BW68" s="40" t="s">
        <v>48</v>
      </c>
      <c r="BX68" s="40" t="s">
        <v>48</v>
      </c>
      <c r="BY68" s="40" t="s">
        <v>48</v>
      </c>
      <c r="BZ68" s="40" t="s">
        <v>48</v>
      </c>
      <c r="CA68" s="40" t="s">
        <v>48</v>
      </c>
      <c r="CB68" s="40" t="s">
        <v>48</v>
      </c>
      <c r="CC68" s="40" t="s">
        <v>48</v>
      </c>
      <c r="CD68" s="40" t="s">
        <v>48</v>
      </c>
      <c r="CE68" s="40" t="s">
        <v>48</v>
      </c>
      <c r="CF68" s="40" t="s">
        <v>48</v>
      </c>
      <c r="CH68" s="33"/>
      <c r="CI68" s="38" t="str">
        <f>Notes!U69</f>
        <v xml:space="preserve">         Wheat and barley milling</v>
      </c>
      <c r="CJ68" s="4" t="s">
        <v>365</v>
      </c>
      <c r="CK68" s="44" t="s">
        <v>48</v>
      </c>
      <c r="CL68" s="42" t="s">
        <v>48</v>
      </c>
      <c r="CM68" s="42" t="s">
        <v>48</v>
      </c>
      <c r="CN68" s="40" t="s">
        <v>48</v>
      </c>
      <c r="CO68" s="40" t="s">
        <v>48</v>
      </c>
      <c r="CP68" s="40" t="s">
        <v>48</v>
      </c>
      <c r="CQ68" s="40" t="s">
        <v>48</v>
      </c>
      <c r="CR68" s="40" t="s">
        <v>48</v>
      </c>
      <c r="CS68" s="40" t="s">
        <v>48</v>
      </c>
      <c r="CT68" s="40" t="s">
        <v>48</v>
      </c>
      <c r="CU68" s="40" t="s">
        <v>48</v>
      </c>
      <c r="CV68" s="40" t="s">
        <v>48</v>
      </c>
      <c r="CW68" s="40" t="s">
        <v>48</v>
      </c>
      <c r="CX68" s="40" t="s">
        <v>48</v>
      </c>
      <c r="CY68" s="40" t="s">
        <v>48</v>
      </c>
      <c r="CZ68" s="40" t="s">
        <v>48</v>
      </c>
      <c r="DA68" s="40" t="s">
        <v>48</v>
      </c>
      <c r="DC68" s="33"/>
      <c r="DD68" s="38" t="str">
        <f>Notes!U69</f>
        <v xml:space="preserve">         Wheat and barley milling</v>
      </c>
      <c r="DE68" s="4" t="s">
        <v>365</v>
      </c>
      <c r="DF68" s="44" t="s">
        <v>48</v>
      </c>
      <c r="DG68" s="42" t="s">
        <v>48</v>
      </c>
      <c r="DH68" s="42" t="s">
        <v>48</v>
      </c>
      <c r="DI68" s="40" t="s">
        <v>48</v>
      </c>
      <c r="DJ68" s="40" t="s">
        <v>48</v>
      </c>
      <c r="DK68" s="40" t="s">
        <v>48</v>
      </c>
      <c r="DL68" s="40" t="s">
        <v>48</v>
      </c>
      <c r="DM68" s="40" t="s">
        <v>48</v>
      </c>
      <c r="DN68" s="40" t="s">
        <v>48</v>
      </c>
      <c r="DO68" s="40" t="s">
        <v>48</v>
      </c>
      <c r="DP68" s="40" t="s">
        <v>48</v>
      </c>
      <c r="DQ68" s="40" t="s">
        <v>48</v>
      </c>
      <c r="DR68" s="40" t="s">
        <v>48</v>
      </c>
      <c r="DS68" s="40" t="s">
        <v>48</v>
      </c>
      <c r="DT68" s="40" t="s">
        <v>48</v>
      </c>
      <c r="DU68" s="40" t="s">
        <v>48</v>
      </c>
      <c r="DV68" s="40" t="s">
        <v>48</v>
      </c>
    </row>
    <row r="69" spans="1:126" x14ac:dyDescent="0.3">
      <c r="A69" s="12">
        <v>62</v>
      </c>
      <c r="B69" s="33"/>
      <c r="C69" s="38" t="str">
        <f>Notes!U70</f>
        <v xml:space="preserve">         Other grain milling</v>
      </c>
      <c r="D69" s="4" t="s">
        <v>366</v>
      </c>
      <c r="E69" s="44">
        <v>1</v>
      </c>
      <c r="F69" s="42">
        <v>-9.3738481694916054E-3</v>
      </c>
      <c r="G69" s="42" t="s">
        <v>48</v>
      </c>
      <c r="H69" s="40" t="s">
        <v>48</v>
      </c>
      <c r="I69" s="40" t="s">
        <v>48</v>
      </c>
      <c r="J69" s="40" t="s">
        <v>48</v>
      </c>
      <c r="K69" s="40" t="s">
        <v>48</v>
      </c>
      <c r="L69" s="40" t="s">
        <v>48</v>
      </c>
      <c r="M69" s="40" t="s">
        <v>48</v>
      </c>
      <c r="N69" s="40" t="s">
        <v>48</v>
      </c>
      <c r="O69" s="40" t="s">
        <v>48</v>
      </c>
      <c r="P69" s="40" t="s">
        <v>48</v>
      </c>
      <c r="Q69" s="40" t="s">
        <v>48</v>
      </c>
      <c r="R69" s="40" t="s">
        <v>48</v>
      </c>
      <c r="S69" s="40" t="s">
        <v>48</v>
      </c>
      <c r="T69" s="40" t="s">
        <v>48</v>
      </c>
      <c r="U69" s="40" t="s">
        <v>48</v>
      </c>
      <c r="W69" s="33"/>
      <c r="X69" s="38" t="str">
        <f>Notes!U70</f>
        <v xml:space="preserve">         Other grain milling</v>
      </c>
      <c r="Y69" s="4" t="s">
        <v>366</v>
      </c>
      <c r="Z69" s="44">
        <v>1.1225687717365687</v>
      </c>
      <c r="AA69" s="42">
        <v>-9.8561313711220677E-3</v>
      </c>
      <c r="AB69" s="42" t="s">
        <v>48</v>
      </c>
      <c r="AC69" s="40" t="s">
        <v>48</v>
      </c>
      <c r="AD69" s="40" t="s">
        <v>48</v>
      </c>
      <c r="AE69" s="40" t="s">
        <v>48</v>
      </c>
      <c r="AF69" s="40" t="s">
        <v>48</v>
      </c>
      <c r="AG69" s="40" t="s">
        <v>48</v>
      </c>
      <c r="AH69" s="40" t="s">
        <v>48</v>
      </c>
      <c r="AI69" s="40" t="s">
        <v>48</v>
      </c>
      <c r="AJ69" s="40" t="s">
        <v>48</v>
      </c>
      <c r="AK69" s="40" t="s">
        <v>48</v>
      </c>
      <c r="AL69" s="40" t="s">
        <v>48</v>
      </c>
      <c r="AM69" s="40" t="s">
        <v>48</v>
      </c>
      <c r="AN69" s="40" t="s">
        <v>48</v>
      </c>
      <c r="AO69" s="40" t="s">
        <v>48</v>
      </c>
      <c r="AP69" s="40" t="s">
        <v>48</v>
      </c>
      <c r="AR69" s="33"/>
      <c r="AS69" s="38" t="str">
        <f>Notes!U70</f>
        <v xml:space="preserve">         Other grain milling</v>
      </c>
      <c r="AT69" s="4" t="s">
        <v>366</v>
      </c>
      <c r="AU69" s="44" t="s">
        <v>48</v>
      </c>
      <c r="AV69" s="42" t="s">
        <v>48</v>
      </c>
      <c r="AW69" s="42" t="s">
        <v>48</v>
      </c>
      <c r="AX69" s="40" t="s">
        <v>48</v>
      </c>
      <c r="AY69" s="40" t="s">
        <v>48</v>
      </c>
      <c r="AZ69" s="40" t="s">
        <v>48</v>
      </c>
      <c r="BA69" s="40" t="s">
        <v>48</v>
      </c>
      <c r="BB69" s="40" t="s">
        <v>48</v>
      </c>
      <c r="BC69" s="40" t="s">
        <v>48</v>
      </c>
      <c r="BD69" s="40" t="s">
        <v>48</v>
      </c>
      <c r="BE69" s="40" t="s">
        <v>48</v>
      </c>
      <c r="BF69" s="40" t="s">
        <v>48</v>
      </c>
      <c r="BG69" s="40" t="s">
        <v>48</v>
      </c>
      <c r="BH69" s="40" t="s">
        <v>48</v>
      </c>
      <c r="BI69" s="40" t="s">
        <v>48</v>
      </c>
      <c r="BJ69" s="40" t="s">
        <v>48</v>
      </c>
      <c r="BK69" s="40" t="s">
        <v>48</v>
      </c>
      <c r="BM69" s="33"/>
      <c r="BN69" s="38" t="str">
        <f>Notes!U70</f>
        <v xml:space="preserve">         Other grain milling</v>
      </c>
      <c r="BO69" s="4" t="s">
        <v>366</v>
      </c>
      <c r="BP69" s="44" t="s">
        <v>48</v>
      </c>
      <c r="BQ69" s="42" t="s">
        <v>48</v>
      </c>
      <c r="BR69" s="42" t="s">
        <v>48</v>
      </c>
      <c r="BS69" s="40" t="s">
        <v>48</v>
      </c>
      <c r="BT69" s="40" t="s">
        <v>48</v>
      </c>
      <c r="BU69" s="40" t="s">
        <v>48</v>
      </c>
      <c r="BV69" s="40" t="s">
        <v>48</v>
      </c>
      <c r="BW69" s="40" t="s">
        <v>48</v>
      </c>
      <c r="BX69" s="40" t="s">
        <v>48</v>
      </c>
      <c r="BY69" s="40" t="s">
        <v>48</v>
      </c>
      <c r="BZ69" s="40" t="s">
        <v>48</v>
      </c>
      <c r="CA69" s="40" t="s">
        <v>48</v>
      </c>
      <c r="CB69" s="40" t="s">
        <v>48</v>
      </c>
      <c r="CC69" s="40" t="s">
        <v>48</v>
      </c>
      <c r="CD69" s="40" t="s">
        <v>48</v>
      </c>
      <c r="CE69" s="40" t="s">
        <v>48</v>
      </c>
      <c r="CF69" s="40" t="s">
        <v>48</v>
      </c>
      <c r="CH69" s="33"/>
      <c r="CI69" s="38" t="str">
        <f>Notes!U70</f>
        <v xml:space="preserve">         Other grain milling</v>
      </c>
      <c r="CJ69" s="4" t="s">
        <v>366</v>
      </c>
      <c r="CK69" s="44" t="s">
        <v>48</v>
      </c>
      <c r="CL69" s="42" t="s">
        <v>48</v>
      </c>
      <c r="CM69" s="42" t="s">
        <v>48</v>
      </c>
      <c r="CN69" s="40" t="s">
        <v>48</v>
      </c>
      <c r="CO69" s="40" t="s">
        <v>48</v>
      </c>
      <c r="CP69" s="40" t="s">
        <v>48</v>
      </c>
      <c r="CQ69" s="40" t="s">
        <v>48</v>
      </c>
      <c r="CR69" s="40" t="s">
        <v>48</v>
      </c>
      <c r="CS69" s="40" t="s">
        <v>48</v>
      </c>
      <c r="CT69" s="40" t="s">
        <v>48</v>
      </c>
      <c r="CU69" s="40" t="s">
        <v>48</v>
      </c>
      <c r="CV69" s="40" t="s">
        <v>48</v>
      </c>
      <c r="CW69" s="40" t="s">
        <v>48</v>
      </c>
      <c r="CX69" s="40" t="s">
        <v>48</v>
      </c>
      <c r="CY69" s="40" t="s">
        <v>48</v>
      </c>
      <c r="CZ69" s="40" t="s">
        <v>48</v>
      </c>
      <c r="DA69" s="40" t="s">
        <v>48</v>
      </c>
      <c r="DC69" s="33"/>
      <c r="DD69" s="38" t="str">
        <f>Notes!U70</f>
        <v xml:space="preserve">         Other grain milling</v>
      </c>
      <c r="DE69" s="4" t="s">
        <v>366</v>
      </c>
      <c r="DF69" s="44" t="s">
        <v>48</v>
      </c>
      <c r="DG69" s="42" t="s">
        <v>48</v>
      </c>
      <c r="DH69" s="42" t="s">
        <v>48</v>
      </c>
      <c r="DI69" s="40" t="s">
        <v>48</v>
      </c>
      <c r="DJ69" s="40" t="s">
        <v>48</v>
      </c>
      <c r="DK69" s="40" t="s">
        <v>48</v>
      </c>
      <c r="DL69" s="40" t="s">
        <v>48</v>
      </c>
      <c r="DM69" s="40" t="s">
        <v>48</v>
      </c>
      <c r="DN69" s="40" t="s">
        <v>48</v>
      </c>
      <c r="DO69" s="40" t="s">
        <v>48</v>
      </c>
      <c r="DP69" s="40" t="s">
        <v>48</v>
      </c>
      <c r="DQ69" s="40" t="s">
        <v>48</v>
      </c>
      <c r="DR69" s="40" t="s">
        <v>48</v>
      </c>
      <c r="DS69" s="40" t="s">
        <v>48</v>
      </c>
      <c r="DT69" s="40" t="s">
        <v>48</v>
      </c>
      <c r="DU69" s="40" t="s">
        <v>48</v>
      </c>
      <c r="DV69" s="40" t="s">
        <v>48</v>
      </c>
    </row>
    <row r="70" spans="1:126" x14ac:dyDescent="0.3">
      <c r="A70" s="12">
        <v>63</v>
      </c>
      <c r="B70" s="33"/>
      <c r="C70" s="38" t="str">
        <f>Notes!U71</f>
        <v xml:space="preserve">         Sugar refining</v>
      </c>
      <c r="D70" s="4" t="s">
        <v>367</v>
      </c>
      <c r="E70" s="44">
        <v>1</v>
      </c>
      <c r="F70" s="42">
        <v>1.2405316823405066E-2</v>
      </c>
      <c r="G70" s="42" t="s">
        <v>48</v>
      </c>
      <c r="H70" s="40" t="s">
        <v>48</v>
      </c>
      <c r="I70" s="40" t="s">
        <v>48</v>
      </c>
      <c r="J70" s="40" t="s">
        <v>48</v>
      </c>
      <c r="K70" s="40" t="s">
        <v>48</v>
      </c>
      <c r="L70" s="40" t="s">
        <v>48</v>
      </c>
      <c r="M70" s="40" t="s">
        <v>48</v>
      </c>
      <c r="N70" s="40" t="s">
        <v>48</v>
      </c>
      <c r="O70" s="40" t="s">
        <v>48</v>
      </c>
      <c r="P70" s="40" t="s">
        <v>48</v>
      </c>
      <c r="Q70" s="40" t="s">
        <v>48</v>
      </c>
      <c r="R70" s="40" t="s">
        <v>48</v>
      </c>
      <c r="S70" s="40" t="s">
        <v>48</v>
      </c>
      <c r="T70" s="40" t="s">
        <v>48</v>
      </c>
      <c r="U70" s="40" t="s">
        <v>48</v>
      </c>
      <c r="W70" s="33"/>
      <c r="X70" s="38" t="str">
        <f>Notes!U71</f>
        <v xml:space="preserve">         Sugar refining</v>
      </c>
      <c r="Y70" s="4" t="s">
        <v>367</v>
      </c>
      <c r="Z70" s="44">
        <v>1.5011793457313394</v>
      </c>
      <c r="AA70" s="42">
        <v>-8.4218378130440641E-3</v>
      </c>
      <c r="AB70" s="42" t="s">
        <v>48</v>
      </c>
      <c r="AC70" s="40" t="s">
        <v>48</v>
      </c>
      <c r="AD70" s="40" t="s">
        <v>48</v>
      </c>
      <c r="AE70" s="40" t="s">
        <v>48</v>
      </c>
      <c r="AF70" s="40" t="s">
        <v>48</v>
      </c>
      <c r="AG70" s="40" t="s">
        <v>48</v>
      </c>
      <c r="AH70" s="40" t="s">
        <v>48</v>
      </c>
      <c r="AI70" s="40" t="s">
        <v>48</v>
      </c>
      <c r="AJ70" s="40" t="s">
        <v>48</v>
      </c>
      <c r="AK70" s="40" t="s">
        <v>48</v>
      </c>
      <c r="AL70" s="40" t="s">
        <v>48</v>
      </c>
      <c r="AM70" s="40" t="s">
        <v>48</v>
      </c>
      <c r="AN70" s="40" t="s">
        <v>48</v>
      </c>
      <c r="AO70" s="40" t="s">
        <v>48</v>
      </c>
      <c r="AP70" s="40" t="s">
        <v>48</v>
      </c>
      <c r="AR70" s="33"/>
      <c r="AS70" s="38" t="str">
        <f>Notes!U71</f>
        <v xml:space="preserve">         Sugar refining</v>
      </c>
      <c r="AT70" s="4" t="s">
        <v>367</v>
      </c>
      <c r="AU70" s="44" t="s">
        <v>48</v>
      </c>
      <c r="AV70" s="42" t="s">
        <v>48</v>
      </c>
      <c r="AW70" s="42" t="s">
        <v>48</v>
      </c>
      <c r="AX70" s="40" t="s">
        <v>48</v>
      </c>
      <c r="AY70" s="40" t="s">
        <v>48</v>
      </c>
      <c r="AZ70" s="40" t="s">
        <v>48</v>
      </c>
      <c r="BA70" s="40" t="s">
        <v>48</v>
      </c>
      <c r="BB70" s="40" t="s">
        <v>48</v>
      </c>
      <c r="BC70" s="40" t="s">
        <v>48</v>
      </c>
      <c r="BD70" s="40" t="s">
        <v>48</v>
      </c>
      <c r="BE70" s="40" t="s">
        <v>48</v>
      </c>
      <c r="BF70" s="40" t="s">
        <v>48</v>
      </c>
      <c r="BG70" s="40" t="s">
        <v>48</v>
      </c>
      <c r="BH70" s="40" t="s">
        <v>48</v>
      </c>
      <c r="BI70" s="40" t="s">
        <v>48</v>
      </c>
      <c r="BJ70" s="40" t="s">
        <v>48</v>
      </c>
      <c r="BK70" s="40" t="s">
        <v>48</v>
      </c>
      <c r="BM70" s="33"/>
      <c r="BN70" s="38" t="str">
        <f>Notes!U71</f>
        <v xml:space="preserve">         Sugar refining</v>
      </c>
      <c r="BO70" s="4" t="s">
        <v>367</v>
      </c>
      <c r="BP70" s="44">
        <v>1.0814813542093871</v>
      </c>
      <c r="BQ70" s="42">
        <v>-1.7695769231207414E-2</v>
      </c>
      <c r="BR70" s="42" t="s">
        <v>48</v>
      </c>
      <c r="BS70" s="40" t="s">
        <v>48</v>
      </c>
      <c r="BT70" s="40" t="s">
        <v>48</v>
      </c>
      <c r="BU70" s="40" t="s">
        <v>48</v>
      </c>
      <c r="BV70" s="40" t="s">
        <v>48</v>
      </c>
      <c r="BW70" s="40" t="s">
        <v>48</v>
      </c>
      <c r="BX70" s="40" t="s">
        <v>48</v>
      </c>
      <c r="BY70" s="40" t="s">
        <v>48</v>
      </c>
      <c r="BZ70" s="40" t="s">
        <v>48</v>
      </c>
      <c r="CA70" s="40" t="s">
        <v>48</v>
      </c>
      <c r="CB70" s="40" t="s">
        <v>48</v>
      </c>
      <c r="CC70" s="40" t="s">
        <v>48</v>
      </c>
      <c r="CD70" s="40" t="s">
        <v>48</v>
      </c>
      <c r="CE70" s="40" t="s">
        <v>48</v>
      </c>
      <c r="CF70" s="40" t="s">
        <v>48</v>
      </c>
      <c r="CH70" s="33"/>
      <c r="CI70" s="38" t="str">
        <f>Notes!U71</f>
        <v xml:space="preserve">         Sugar refining</v>
      </c>
      <c r="CJ70" s="4" t="s">
        <v>367</v>
      </c>
      <c r="CK70" s="44" t="s">
        <v>48</v>
      </c>
      <c r="CL70" s="42" t="s">
        <v>48</v>
      </c>
      <c r="CM70" s="42" t="s">
        <v>48</v>
      </c>
      <c r="CN70" s="40" t="s">
        <v>48</v>
      </c>
      <c r="CO70" s="40" t="s">
        <v>48</v>
      </c>
      <c r="CP70" s="40" t="s">
        <v>48</v>
      </c>
      <c r="CQ70" s="40" t="s">
        <v>48</v>
      </c>
      <c r="CR70" s="40" t="s">
        <v>48</v>
      </c>
      <c r="CS70" s="40" t="s">
        <v>48</v>
      </c>
      <c r="CT70" s="40" t="s">
        <v>48</v>
      </c>
      <c r="CU70" s="40" t="s">
        <v>48</v>
      </c>
      <c r="CV70" s="40" t="s">
        <v>48</v>
      </c>
      <c r="CW70" s="40" t="s">
        <v>48</v>
      </c>
      <c r="CX70" s="40" t="s">
        <v>48</v>
      </c>
      <c r="CY70" s="40" t="s">
        <v>48</v>
      </c>
      <c r="CZ70" s="40" t="s">
        <v>48</v>
      </c>
      <c r="DA70" s="40" t="s">
        <v>48</v>
      </c>
      <c r="DC70" s="33"/>
      <c r="DD70" s="38" t="str">
        <f>Notes!U71</f>
        <v xml:space="preserve">         Sugar refining</v>
      </c>
      <c r="DE70" s="4" t="s">
        <v>367</v>
      </c>
      <c r="DF70" s="44">
        <v>0.97733462426691853</v>
      </c>
      <c r="DG70" s="42" t="s">
        <v>48</v>
      </c>
      <c r="DH70" s="42" t="s">
        <v>48</v>
      </c>
      <c r="DI70" s="40" t="s">
        <v>48</v>
      </c>
      <c r="DJ70" s="40" t="s">
        <v>48</v>
      </c>
      <c r="DK70" s="40" t="s">
        <v>48</v>
      </c>
      <c r="DL70" s="40" t="s">
        <v>48</v>
      </c>
      <c r="DM70" s="40" t="s">
        <v>48</v>
      </c>
      <c r="DN70" s="40" t="s">
        <v>48</v>
      </c>
      <c r="DO70" s="40" t="s">
        <v>48</v>
      </c>
      <c r="DP70" s="40" t="s">
        <v>48</v>
      </c>
      <c r="DQ70" s="40" t="s">
        <v>48</v>
      </c>
      <c r="DR70" s="40" t="s">
        <v>48</v>
      </c>
      <c r="DS70" s="40" t="s">
        <v>48</v>
      </c>
      <c r="DT70" s="40" t="s">
        <v>48</v>
      </c>
      <c r="DU70" s="40" t="s">
        <v>48</v>
      </c>
      <c r="DV70" s="40" t="s">
        <v>48</v>
      </c>
    </row>
    <row r="71" spans="1:126" x14ac:dyDescent="0.3">
      <c r="A71" s="12">
        <v>64</v>
      </c>
      <c r="B71" s="33"/>
      <c r="C71" s="38" t="str">
        <f>Notes!U72</f>
        <v xml:space="preserve">         Coffee processing</v>
      </c>
      <c r="D71" s="4" t="s">
        <v>368</v>
      </c>
      <c r="E71" s="44" t="s">
        <v>48</v>
      </c>
      <c r="F71" s="42" t="s">
        <v>48</v>
      </c>
      <c r="G71" s="42" t="s">
        <v>48</v>
      </c>
      <c r="H71" s="40" t="s">
        <v>48</v>
      </c>
      <c r="I71" s="40" t="s">
        <v>48</v>
      </c>
      <c r="J71" s="40" t="s">
        <v>48</v>
      </c>
      <c r="K71" s="40" t="s">
        <v>48</v>
      </c>
      <c r="L71" s="40" t="s">
        <v>48</v>
      </c>
      <c r="M71" s="40" t="s">
        <v>48</v>
      </c>
      <c r="N71" s="40" t="s">
        <v>48</v>
      </c>
      <c r="O71" s="40" t="s">
        <v>48</v>
      </c>
      <c r="P71" s="40" t="s">
        <v>48</v>
      </c>
      <c r="Q71" s="40" t="s">
        <v>48</v>
      </c>
      <c r="R71" s="40" t="s">
        <v>48</v>
      </c>
      <c r="S71" s="40" t="s">
        <v>48</v>
      </c>
      <c r="T71" s="40" t="s">
        <v>48</v>
      </c>
      <c r="U71" s="40" t="s">
        <v>48</v>
      </c>
      <c r="W71" s="33"/>
      <c r="X71" s="38" t="str">
        <f>Notes!U72</f>
        <v xml:space="preserve">         Coffee processing</v>
      </c>
      <c r="Y71" s="4" t="s">
        <v>368</v>
      </c>
      <c r="Z71" s="44" t="s">
        <v>48</v>
      </c>
      <c r="AA71" s="42" t="s">
        <v>48</v>
      </c>
      <c r="AB71" s="42" t="s">
        <v>48</v>
      </c>
      <c r="AC71" s="40" t="s">
        <v>48</v>
      </c>
      <c r="AD71" s="40" t="s">
        <v>48</v>
      </c>
      <c r="AE71" s="40" t="s">
        <v>48</v>
      </c>
      <c r="AF71" s="40" t="s">
        <v>48</v>
      </c>
      <c r="AG71" s="40" t="s">
        <v>48</v>
      </c>
      <c r="AH71" s="40" t="s">
        <v>48</v>
      </c>
      <c r="AI71" s="40" t="s">
        <v>48</v>
      </c>
      <c r="AJ71" s="40" t="s">
        <v>48</v>
      </c>
      <c r="AK71" s="40" t="s">
        <v>48</v>
      </c>
      <c r="AL71" s="40" t="s">
        <v>48</v>
      </c>
      <c r="AM71" s="40" t="s">
        <v>48</v>
      </c>
      <c r="AN71" s="40" t="s">
        <v>48</v>
      </c>
      <c r="AO71" s="40" t="s">
        <v>48</v>
      </c>
      <c r="AP71" s="40" t="s">
        <v>48</v>
      </c>
      <c r="AR71" s="33"/>
      <c r="AS71" s="38" t="str">
        <f>Notes!U72</f>
        <v xml:space="preserve">         Coffee processing</v>
      </c>
      <c r="AT71" s="4" t="s">
        <v>368</v>
      </c>
      <c r="AU71" s="44" t="s">
        <v>48</v>
      </c>
      <c r="AV71" s="42" t="s">
        <v>48</v>
      </c>
      <c r="AW71" s="42" t="s">
        <v>48</v>
      </c>
      <c r="AX71" s="40" t="s">
        <v>48</v>
      </c>
      <c r="AY71" s="40" t="s">
        <v>48</v>
      </c>
      <c r="AZ71" s="40" t="s">
        <v>48</v>
      </c>
      <c r="BA71" s="40" t="s">
        <v>48</v>
      </c>
      <c r="BB71" s="40" t="s">
        <v>48</v>
      </c>
      <c r="BC71" s="40" t="s">
        <v>48</v>
      </c>
      <c r="BD71" s="40" t="s">
        <v>48</v>
      </c>
      <c r="BE71" s="40" t="s">
        <v>48</v>
      </c>
      <c r="BF71" s="40" t="s">
        <v>48</v>
      </c>
      <c r="BG71" s="40" t="s">
        <v>48</v>
      </c>
      <c r="BH71" s="40" t="s">
        <v>48</v>
      </c>
      <c r="BI71" s="40" t="s">
        <v>48</v>
      </c>
      <c r="BJ71" s="40" t="s">
        <v>48</v>
      </c>
      <c r="BK71" s="40" t="s">
        <v>48</v>
      </c>
      <c r="BM71" s="33"/>
      <c r="BN71" s="38" t="str">
        <f>Notes!U72</f>
        <v xml:space="preserve">         Coffee processing</v>
      </c>
      <c r="BO71" s="4" t="s">
        <v>368</v>
      </c>
      <c r="BP71" s="44" t="s">
        <v>48</v>
      </c>
      <c r="BQ71" s="42" t="s">
        <v>48</v>
      </c>
      <c r="BR71" s="42" t="s">
        <v>48</v>
      </c>
      <c r="BS71" s="40" t="s">
        <v>48</v>
      </c>
      <c r="BT71" s="40" t="s">
        <v>48</v>
      </c>
      <c r="BU71" s="40" t="s">
        <v>48</v>
      </c>
      <c r="BV71" s="40" t="s">
        <v>48</v>
      </c>
      <c r="BW71" s="40" t="s">
        <v>48</v>
      </c>
      <c r="BX71" s="40" t="s">
        <v>48</v>
      </c>
      <c r="BY71" s="40" t="s">
        <v>48</v>
      </c>
      <c r="BZ71" s="40" t="s">
        <v>48</v>
      </c>
      <c r="CA71" s="40" t="s">
        <v>48</v>
      </c>
      <c r="CB71" s="40" t="s">
        <v>48</v>
      </c>
      <c r="CC71" s="40" t="s">
        <v>48</v>
      </c>
      <c r="CD71" s="40" t="s">
        <v>48</v>
      </c>
      <c r="CE71" s="40" t="s">
        <v>48</v>
      </c>
      <c r="CF71" s="40" t="s">
        <v>48</v>
      </c>
      <c r="CH71" s="33"/>
      <c r="CI71" s="38" t="str">
        <f>Notes!U72</f>
        <v xml:space="preserve">         Coffee processing</v>
      </c>
      <c r="CJ71" s="4" t="s">
        <v>368</v>
      </c>
      <c r="CK71" s="44" t="s">
        <v>48</v>
      </c>
      <c r="CL71" s="42" t="s">
        <v>48</v>
      </c>
      <c r="CM71" s="42" t="s">
        <v>48</v>
      </c>
      <c r="CN71" s="40" t="s">
        <v>48</v>
      </c>
      <c r="CO71" s="40" t="s">
        <v>48</v>
      </c>
      <c r="CP71" s="40" t="s">
        <v>48</v>
      </c>
      <c r="CQ71" s="40" t="s">
        <v>48</v>
      </c>
      <c r="CR71" s="40" t="s">
        <v>48</v>
      </c>
      <c r="CS71" s="40" t="s">
        <v>48</v>
      </c>
      <c r="CT71" s="40" t="s">
        <v>48</v>
      </c>
      <c r="CU71" s="40" t="s">
        <v>48</v>
      </c>
      <c r="CV71" s="40" t="s">
        <v>48</v>
      </c>
      <c r="CW71" s="40" t="s">
        <v>48</v>
      </c>
      <c r="CX71" s="40" t="s">
        <v>48</v>
      </c>
      <c r="CY71" s="40" t="s">
        <v>48</v>
      </c>
      <c r="CZ71" s="40" t="s">
        <v>48</v>
      </c>
      <c r="DA71" s="40" t="s">
        <v>48</v>
      </c>
      <c r="DC71" s="33"/>
      <c r="DD71" s="38" t="str">
        <f>Notes!U72</f>
        <v xml:space="preserve">         Coffee processing</v>
      </c>
      <c r="DE71" s="4" t="s">
        <v>368</v>
      </c>
      <c r="DF71" s="44" t="s">
        <v>48</v>
      </c>
      <c r="DG71" s="42" t="s">
        <v>48</v>
      </c>
      <c r="DH71" s="42" t="s">
        <v>48</v>
      </c>
      <c r="DI71" s="40" t="s">
        <v>48</v>
      </c>
      <c r="DJ71" s="40" t="s">
        <v>48</v>
      </c>
      <c r="DK71" s="40" t="s">
        <v>48</v>
      </c>
      <c r="DL71" s="40" t="s">
        <v>48</v>
      </c>
      <c r="DM71" s="40" t="s">
        <v>48</v>
      </c>
      <c r="DN71" s="40" t="s">
        <v>48</v>
      </c>
      <c r="DO71" s="40" t="s">
        <v>48</v>
      </c>
      <c r="DP71" s="40" t="s">
        <v>48</v>
      </c>
      <c r="DQ71" s="40" t="s">
        <v>48</v>
      </c>
      <c r="DR71" s="40" t="s">
        <v>48</v>
      </c>
      <c r="DS71" s="40" t="s">
        <v>48</v>
      </c>
      <c r="DT71" s="40" t="s">
        <v>48</v>
      </c>
      <c r="DU71" s="40" t="s">
        <v>48</v>
      </c>
      <c r="DV71" s="40" t="s">
        <v>48</v>
      </c>
    </row>
    <row r="72" spans="1:126" x14ac:dyDescent="0.3">
      <c r="A72" s="12">
        <v>65</v>
      </c>
      <c r="B72" s="33"/>
      <c r="C72" s="38" t="str">
        <f>Notes!U73</f>
        <v xml:space="preserve">         Tea processing</v>
      </c>
      <c r="D72" s="4" t="s">
        <v>369</v>
      </c>
      <c r="E72" s="44" t="s">
        <v>48</v>
      </c>
      <c r="F72" s="42" t="s">
        <v>48</v>
      </c>
      <c r="G72" s="42" t="s">
        <v>48</v>
      </c>
      <c r="H72" s="40" t="s">
        <v>48</v>
      </c>
      <c r="I72" s="40" t="s">
        <v>48</v>
      </c>
      <c r="J72" s="40" t="s">
        <v>48</v>
      </c>
      <c r="K72" s="40" t="s">
        <v>48</v>
      </c>
      <c r="L72" s="40" t="s">
        <v>48</v>
      </c>
      <c r="M72" s="40" t="s">
        <v>48</v>
      </c>
      <c r="N72" s="40" t="s">
        <v>48</v>
      </c>
      <c r="O72" s="40" t="s">
        <v>48</v>
      </c>
      <c r="P72" s="40" t="s">
        <v>48</v>
      </c>
      <c r="Q72" s="40" t="s">
        <v>48</v>
      </c>
      <c r="R72" s="40" t="s">
        <v>48</v>
      </c>
      <c r="S72" s="40" t="s">
        <v>48</v>
      </c>
      <c r="T72" s="40" t="s">
        <v>48</v>
      </c>
      <c r="U72" s="40" t="s">
        <v>48</v>
      </c>
      <c r="W72" s="33"/>
      <c r="X72" s="38" t="str">
        <f>Notes!U73</f>
        <v xml:space="preserve">         Tea processing</v>
      </c>
      <c r="Y72" s="4" t="s">
        <v>369</v>
      </c>
      <c r="Z72" s="44" t="s">
        <v>48</v>
      </c>
      <c r="AA72" s="42" t="s">
        <v>48</v>
      </c>
      <c r="AB72" s="42" t="s">
        <v>48</v>
      </c>
      <c r="AC72" s="40" t="s">
        <v>48</v>
      </c>
      <c r="AD72" s="40" t="s">
        <v>48</v>
      </c>
      <c r="AE72" s="40" t="s">
        <v>48</v>
      </c>
      <c r="AF72" s="40" t="s">
        <v>48</v>
      </c>
      <c r="AG72" s="40" t="s">
        <v>48</v>
      </c>
      <c r="AH72" s="40" t="s">
        <v>48</v>
      </c>
      <c r="AI72" s="40" t="s">
        <v>48</v>
      </c>
      <c r="AJ72" s="40" t="s">
        <v>48</v>
      </c>
      <c r="AK72" s="40" t="s">
        <v>48</v>
      </c>
      <c r="AL72" s="40" t="s">
        <v>48</v>
      </c>
      <c r="AM72" s="40" t="s">
        <v>48</v>
      </c>
      <c r="AN72" s="40" t="s">
        <v>48</v>
      </c>
      <c r="AO72" s="40" t="s">
        <v>48</v>
      </c>
      <c r="AP72" s="40" t="s">
        <v>48</v>
      </c>
      <c r="AR72" s="33"/>
      <c r="AS72" s="38" t="str">
        <f>Notes!U73</f>
        <v xml:space="preserve">         Tea processing</v>
      </c>
      <c r="AT72" s="4" t="s">
        <v>369</v>
      </c>
      <c r="AU72" s="44" t="s">
        <v>48</v>
      </c>
      <c r="AV72" s="42" t="s">
        <v>48</v>
      </c>
      <c r="AW72" s="42" t="s">
        <v>48</v>
      </c>
      <c r="AX72" s="40" t="s">
        <v>48</v>
      </c>
      <c r="AY72" s="40" t="s">
        <v>48</v>
      </c>
      <c r="AZ72" s="40" t="s">
        <v>48</v>
      </c>
      <c r="BA72" s="40" t="s">
        <v>48</v>
      </c>
      <c r="BB72" s="40" t="s">
        <v>48</v>
      </c>
      <c r="BC72" s="40" t="s">
        <v>48</v>
      </c>
      <c r="BD72" s="40" t="s">
        <v>48</v>
      </c>
      <c r="BE72" s="40" t="s">
        <v>48</v>
      </c>
      <c r="BF72" s="40" t="s">
        <v>48</v>
      </c>
      <c r="BG72" s="40" t="s">
        <v>48</v>
      </c>
      <c r="BH72" s="40" t="s">
        <v>48</v>
      </c>
      <c r="BI72" s="40" t="s">
        <v>48</v>
      </c>
      <c r="BJ72" s="40" t="s">
        <v>48</v>
      </c>
      <c r="BK72" s="40" t="s">
        <v>48</v>
      </c>
      <c r="BM72" s="33"/>
      <c r="BN72" s="38" t="str">
        <f>Notes!U73</f>
        <v xml:space="preserve">         Tea processing</v>
      </c>
      <c r="BO72" s="4" t="s">
        <v>369</v>
      </c>
      <c r="BP72" s="44" t="s">
        <v>48</v>
      </c>
      <c r="BQ72" s="42" t="s">
        <v>48</v>
      </c>
      <c r="BR72" s="42" t="s">
        <v>48</v>
      </c>
      <c r="BS72" s="40" t="s">
        <v>48</v>
      </c>
      <c r="BT72" s="40" t="s">
        <v>48</v>
      </c>
      <c r="BU72" s="40" t="s">
        <v>48</v>
      </c>
      <c r="BV72" s="40" t="s">
        <v>48</v>
      </c>
      <c r="BW72" s="40" t="s">
        <v>48</v>
      </c>
      <c r="BX72" s="40" t="s">
        <v>48</v>
      </c>
      <c r="BY72" s="40" t="s">
        <v>48</v>
      </c>
      <c r="BZ72" s="40" t="s">
        <v>48</v>
      </c>
      <c r="CA72" s="40" t="s">
        <v>48</v>
      </c>
      <c r="CB72" s="40" t="s">
        <v>48</v>
      </c>
      <c r="CC72" s="40" t="s">
        <v>48</v>
      </c>
      <c r="CD72" s="40" t="s">
        <v>48</v>
      </c>
      <c r="CE72" s="40" t="s">
        <v>48</v>
      </c>
      <c r="CF72" s="40" t="s">
        <v>48</v>
      </c>
      <c r="CH72" s="33"/>
      <c r="CI72" s="38" t="str">
        <f>Notes!U73</f>
        <v xml:space="preserve">         Tea processing</v>
      </c>
      <c r="CJ72" s="4" t="s">
        <v>369</v>
      </c>
      <c r="CK72" s="44" t="s">
        <v>48</v>
      </c>
      <c r="CL72" s="42" t="s">
        <v>48</v>
      </c>
      <c r="CM72" s="42" t="s">
        <v>48</v>
      </c>
      <c r="CN72" s="40" t="s">
        <v>48</v>
      </c>
      <c r="CO72" s="40" t="s">
        <v>48</v>
      </c>
      <c r="CP72" s="40" t="s">
        <v>48</v>
      </c>
      <c r="CQ72" s="40" t="s">
        <v>48</v>
      </c>
      <c r="CR72" s="40" t="s">
        <v>48</v>
      </c>
      <c r="CS72" s="40" t="s">
        <v>48</v>
      </c>
      <c r="CT72" s="40" t="s">
        <v>48</v>
      </c>
      <c r="CU72" s="40" t="s">
        <v>48</v>
      </c>
      <c r="CV72" s="40" t="s">
        <v>48</v>
      </c>
      <c r="CW72" s="40" t="s">
        <v>48</v>
      </c>
      <c r="CX72" s="40" t="s">
        <v>48</v>
      </c>
      <c r="CY72" s="40" t="s">
        <v>48</v>
      </c>
      <c r="CZ72" s="40" t="s">
        <v>48</v>
      </c>
      <c r="DA72" s="40" t="s">
        <v>48</v>
      </c>
      <c r="DC72" s="33"/>
      <c r="DD72" s="38" t="str">
        <f>Notes!U73</f>
        <v xml:space="preserve">         Tea processing</v>
      </c>
      <c r="DE72" s="4" t="s">
        <v>369</v>
      </c>
      <c r="DF72" s="44" t="s">
        <v>48</v>
      </c>
      <c r="DG72" s="42" t="s">
        <v>48</v>
      </c>
      <c r="DH72" s="42" t="s">
        <v>48</v>
      </c>
      <c r="DI72" s="40" t="s">
        <v>48</v>
      </c>
      <c r="DJ72" s="40" t="s">
        <v>48</v>
      </c>
      <c r="DK72" s="40" t="s">
        <v>48</v>
      </c>
      <c r="DL72" s="40" t="s">
        <v>48</v>
      </c>
      <c r="DM72" s="40" t="s">
        <v>48</v>
      </c>
      <c r="DN72" s="40" t="s">
        <v>48</v>
      </c>
      <c r="DO72" s="40" t="s">
        <v>48</v>
      </c>
      <c r="DP72" s="40" t="s">
        <v>48</v>
      </c>
      <c r="DQ72" s="40" t="s">
        <v>48</v>
      </c>
      <c r="DR72" s="40" t="s">
        <v>48</v>
      </c>
      <c r="DS72" s="40" t="s">
        <v>48</v>
      </c>
      <c r="DT72" s="40" t="s">
        <v>48</v>
      </c>
      <c r="DU72" s="40" t="s">
        <v>48</v>
      </c>
      <c r="DV72" s="40" t="s">
        <v>48</v>
      </c>
    </row>
    <row r="73" spans="1:126" x14ac:dyDescent="0.3">
      <c r="A73" s="12">
        <v>66</v>
      </c>
      <c r="B73" s="33"/>
      <c r="C73" s="38" t="str">
        <f>Notes!U74</f>
        <v xml:space="preserve">         Other foods</v>
      </c>
      <c r="D73" s="4" t="s">
        <v>370</v>
      </c>
      <c r="E73" s="44">
        <v>1</v>
      </c>
      <c r="F73" s="42">
        <v>9.4352627014071544E-3</v>
      </c>
      <c r="G73" s="42" t="s">
        <v>48</v>
      </c>
      <c r="H73" s="40" t="s">
        <v>48</v>
      </c>
      <c r="I73" s="40" t="s">
        <v>48</v>
      </c>
      <c r="J73" s="40" t="s">
        <v>48</v>
      </c>
      <c r="K73" s="40" t="s">
        <v>48</v>
      </c>
      <c r="L73" s="40" t="s">
        <v>48</v>
      </c>
      <c r="M73" s="40" t="s">
        <v>48</v>
      </c>
      <c r="N73" s="40" t="s">
        <v>48</v>
      </c>
      <c r="O73" s="40" t="s">
        <v>48</v>
      </c>
      <c r="P73" s="40" t="s">
        <v>48</v>
      </c>
      <c r="Q73" s="40" t="s">
        <v>48</v>
      </c>
      <c r="R73" s="40" t="s">
        <v>48</v>
      </c>
      <c r="S73" s="40" t="s">
        <v>48</v>
      </c>
      <c r="T73" s="40" t="s">
        <v>48</v>
      </c>
      <c r="U73" s="40" t="s">
        <v>48</v>
      </c>
      <c r="W73" s="33"/>
      <c r="X73" s="38" t="str">
        <f>Notes!U74</f>
        <v xml:space="preserve">         Other foods</v>
      </c>
      <c r="Y73" s="4" t="s">
        <v>370</v>
      </c>
      <c r="Z73" s="44">
        <v>1.145674103567383</v>
      </c>
      <c r="AA73" s="42">
        <v>6.9213155315273056E-3</v>
      </c>
      <c r="AB73" s="42" t="s">
        <v>48</v>
      </c>
      <c r="AC73" s="40" t="s">
        <v>48</v>
      </c>
      <c r="AD73" s="40" t="s">
        <v>48</v>
      </c>
      <c r="AE73" s="40" t="s">
        <v>48</v>
      </c>
      <c r="AF73" s="40" t="s">
        <v>48</v>
      </c>
      <c r="AG73" s="40" t="s">
        <v>48</v>
      </c>
      <c r="AH73" s="40" t="s">
        <v>48</v>
      </c>
      <c r="AI73" s="40" t="s">
        <v>48</v>
      </c>
      <c r="AJ73" s="40" t="s">
        <v>48</v>
      </c>
      <c r="AK73" s="40" t="s">
        <v>48</v>
      </c>
      <c r="AL73" s="40" t="s">
        <v>48</v>
      </c>
      <c r="AM73" s="40" t="s">
        <v>48</v>
      </c>
      <c r="AN73" s="40" t="s">
        <v>48</v>
      </c>
      <c r="AO73" s="40" t="s">
        <v>48</v>
      </c>
      <c r="AP73" s="40" t="s">
        <v>48</v>
      </c>
      <c r="AR73" s="33"/>
      <c r="AS73" s="38" t="str">
        <f>Notes!U74</f>
        <v xml:space="preserve">         Other foods</v>
      </c>
      <c r="AT73" s="4" t="s">
        <v>370</v>
      </c>
      <c r="AU73" s="44">
        <v>1</v>
      </c>
      <c r="AV73" s="42">
        <v>-1.8357111592892661E-2</v>
      </c>
      <c r="AW73" s="42" t="s">
        <v>48</v>
      </c>
      <c r="AX73" s="40" t="s">
        <v>48</v>
      </c>
      <c r="AY73" s="40" t="s">
        <v>48</v>
      </c>
      <c r="AZ73" s="40" t="s">
        <v>48</v>
      </c>
      <c r="BA73" s="40" t="s">
        <v>48</v>
      </c>
      <c r="BB73" s="40" t="s">
        <v>48</v>
      </c>
      <c r="BC73" s="40" t="s">
        <v>48</v>
      </c>
      <c r="BD73" s="40" t="s">
        <v>48</v>
      </c>
      <c r="BE73" s="40" t="s">
        <v>48</v>
      </c>
      <c r="BF73" s="40" t="s">
        <v>48</v>
      </c>
      <c r="BG73" s="40" t="s">
        <v>48</v>
      </c>
      <c r="BH73" s="40" t="s">
        <v>48</v>
      </c>
      <c r="BI73" s="40" t="s">
        <v>48</v>
      </c>
      <c r="BJ73" s="40" t="s">
        <v>48</v>
      </c>
      <c r="BK73" s="40" t="s">
        <v>48</v>
      </c>
      <c r="BM73" s="33"/>
      <c r="BN73" s="38" t="str">
        <f>Notes!U74</f>
        <v xml:space="preserve">         Other foods</v>
      </c>
      <c r="BO73" s="4" t="s">
        <v>370</v>
      </c>
      <c r="BP73" s="44">
        <v>1.0812614988754123</v>
      </c>
      <c r="BQ73" s="42">
        <v>-1.7696563198321691E-2</v>
      </c>
      <c r="BR73" s="42" t="s">
        <v>48</v>
      </c>
      <c r="BS73" s="40" t="s">
        <v>48</v>
      </c>
      <c r="BT73" s="40" t="s">
        <v>48</v>
      </c>
      <c r="BU73" s="40" t="s">
        <v>48</v>
      </c>
      <c r="BV73" s="40" t="s">
        <v>48</v>
      </c>
      <c r="BW73" s="40" t="s">
        <v>48</v>
      </c>
      <c r="BX73" s="40" t="s">
        <v>48</v>
      </c>
      <c r="BY73" s="40" t="s">
        <v>48</v>
      </c>
      <c r="BZ73" s="40" t="s">
        <v>48</v>
      </c>
      <c r="CA73" s="40" t="s">
        <v>48</v>
      </c>
      <c r="CB73" s="40" t="s">
        <v>48</v>
      </c>
      <c r="CC73" s="40" t="s">
        <v>48</v>
      </c>
      <c r="CD73" s="40" t="s">
        <v>48</v>
      </c>
      <c r="CE73" s="40" t="s">
        <v>48</v>
      </c>
      <c r="CF73" s="40" t="s">
        <v>48</v>
      </c>
      <c r="CH73" s="33"/>
      <c r="CI73" s="38" t="str">
        <f>Notes!U74</f>
        <v xml:space="preserve">         Other foods</v>
      </c>
      <c r="CJ73" s="4" t="s">
        <v>370</v>
      </c>
      <c r="CK73" s="44">
        <v>1.0812614988754123</v>
      </c>
      <c r="CL73" s="42" t="s">
        <v>48</v>
      </c>
      <c r="CM73" s="42" t="s">
        <v>48</v>
      </c>
      <c r="CN73" s="40" t="s">
        <v>48</v>
      </c>
      <c r="CO73" s="40" t="s">
        <v>48</v>
      </c>
      <c r="CP73" s="40" t="s">
        <v>48</v>
      </c>
      <c r="CQ73" s="40" t="s">
        <v>48</v>
      </c>
      <c r="CR73" s="40" t="s">
        <v>48</v>
      </c>
      <c r="CS73" s="40" t="s">
        <v>48</v>
      </c>
      <c r="CT73" s="40" t="s">
        <v>48</v>
      </c>
      <c r="CU73" s="40" t="s">
        <v>48</v>
      </c>
      <c r="CV73" s="40" t="s">
        <v>48</v>
      </c>
      <c r="CW73" s="40" t="s">
        <v>48</v>
      </c>
      <c r="CX73" s="40" t="s">
        <v>48</v>
      </c>
      <c r="CY73" s="40" t="s">
        <v>48</v>
      </c>
      <c r="CZ73" s="40" t="s">
        <v>48</v>
      </c>
      <c r="DA73" s="40" t="s">
        <v>48</v>
      </c>
      <c r="DC73" s="33"/>
      <c r="DD73" s="38" t="str">
        <f>Notes!U74</f>
        <v xml:space="preserve">         Other foods</v>
      </c>
      <c r="DE73" s="4" t="s">
        <v>370</v>
      </c>
      <c r="DF73" s="44">
        <v>0.98269711192942744</v>
      </c>
      <c r="DG73" s="42" t="s">
        <v>48</v>
      </c>
      <c r="DH73" s="42" t="s">
        <v>48</v>
      </c>
      <c r="DI73" s="40" t="s">
        <v>48</v>
      </c>
      <c r="DJ73" s="40" t="s">
        <v>48</v>
      </c>
      <c r="DK73" s="40" t="s">
        <v>48</v>
      </c>
      <c r="DL73" s="40" t="s">
        <v>48</v>
      </c>
      <c r="DM73" s="40" t="s">
        <v>48</v>
      </c>
      <c r="DN73" s="40" t="s">
        <v>48</v>
      </c>
      <c r="DO73" s="40" t="s">
        <v>48</v>
      </c>
      <c r="DP73" s="40" t="s">
        <v>48</v>
      </c>
      <c r="DQ73" s="40" t="s">
        <v>48</v>
      </c>
      <c r="DR73" s="40" t="s">
        <v>48</v>
      </c>
      <c r="DS73" s="40" t="s">
        <v>48</v>
      </c>
      <c r="DT73" s="40" t="s">
        <v>48</v>
      </c>
      <c r="DU73" s="40" t="s">
        <v>48</v>
      </c>
      <c r="DV73" s="40" t="s">
        <v>48</v>
      </c>
    </row>
    <row r="74" spans="1:126" x14ac:dyDescent="0.3">
      <c r="A74" s="12">
        <v>67</v>
      </c>
      <c r="B74" s="33"/>
      <c r="C74" s="38" t="str">
        <f>Notes!U75</f>
        <v xml:space="preserve">         Animal feed</v>
      </c>
      <c r="D74" s="4" t="s">
        <v>371</v>
      </c>
      <c r="E74" s="44">
        <v>1</v>
      </c>
      <c r="F74" s="42">
        <v>3.4748570751075292E-2</v>
      </c>
      <c r="G74" s="42" t="s">
        <v>48</v>
      </c>
      <c r="H74" s="40" t="s">
        <v>48</v>
      </c>
      <c r="I74" s="40" t="s">
        <v>48</v>
      </c>
      <c r="J74" s="40" t="s">
        <v>48</v>
      </c>
      <c r="K74" s="40" t="s">
        <v>48</v>
      </c>
      <c r="L74" s="40" t="s">
        <v>48</v>
      </c>
      <c r="M74" s="40" t="s">
        <v>48</v>
      </c>
      <c r="N74" s="40" t="s">
        <v>48</v>
      </c>
      <c r="O74" s="40" t="s">
        <v>48</v>
      </c>
      <c r="P74" s="40" t="s">
        <v>48</v>
      </c>
      <c r="Q74" s="40" t="s">
        <v>48</v>
      </c>
      <c r="R74" s="40" t="s">
        <v>48</v>
      </c>
      <c r="S74" s="40" t="s">
        <v>48</v>
      </c>
      <c r="T74" s="40" t="s">
        <v>48</v>
      </c>
      <c r="U74" s="40" t="s">
        <v>48</v>
      </c>
      <c r="W74" s="33"/>
      <c r="X74" s="38" t="str">
        <f>Notes!U75</f>
        <v xml:space="preserve">         Animal feed</v>
      </c>
      <c r="Y74" s="4" t="s">
        <v>371</v>
      </c>
      <c r="Z74" s="44">
        <v>1.0502107163449961</v>
      </c>
      <c r="AA74" s="42">
        <v>2.4784916965292503E-2</v>
      </c>
      <c r="AB74" s="42" t="s">
        <v>48</v>
      </c>
      <c r="AC74" s="40" t="s">
        <v>48</v>
      </c>
      <c r="AD74" s="40" t="s">
        <v>48</v>
      </c>
      <c r="AE74" s="40" t="s">
        <v>48</v>
      </c>
      <c r="AF74" s="40" t="s">
        <v>48</v>
      </c>
      <c r="AG74" s="40" t="s">
        <v>48</v>
      </c>
      <c r="AH74" s="40" t="s">
        <v>48</v>
      </c>
      <c r="AI74" s="40" t="s">
        <v>48</v>
      </c>
      <c r="AJ74" s="40" t="s">
        <v>48</v>
      </c>
      <c r="AK74" s="40" t="s">
        <v>48</v>
      </c>
      <c r="AL74" s="40" t="s">
        <v>48</v>
      </c>
      <c r="AM74" s="40" t="s">
        <v>48</v>
      </c>
      <c r="AN74" s="40" t="s">
        <v>48</v>
      </c>
      <c r="AO74" s="40" t="s">
        <v>48</v>
      </c>
      <c r="AP74" s="40" t="s">
        <v>48</v>
      </c>
      <c r="AR74" s="33"/>
      <c r="AS74" s="38" t="str">
        <f>Notes!U75</f>
        <v xml:space="preserve">         Animal feed</v>
      </c>
      <c r="AT74" s="4" t="s">
        <v>371</v>
      </c>
      <c r="AU74" s="44" t="s">
        <v>48</v>
      </c>
      <c r="AV74" s="42" t="s">
        <v>48</v>
      </c>
      <c r="AW74" s="42" t="s">
        <v>48</v>
      </c>
      <c r="AX74" s="40" t="s">
        <v>48</v>
      </c>
      <c r="AY74" s="40" t="s">
        <v>48</v>
      </c>
      <c r="AZ74" s="40" t="s">
        <v>48</v>
      </c>
      <c r="BA74" s="40" t="s">
        <v>48</v>
      </c>
      <c r="BB74" s="40" t="s">
        <v>48</v>
      </c>
      <c r="BC74" s="40" t="s">
        <v>48</v>
      </c>
      <c r="BD74" s="40" t="s">
        <v>48</v>
      </c>
      <c r="BE74" s="40" t="s">
        <v>48</v>
      </c>
      <c r="BF74" s="40" t="s">
        <v>48</v>
      </c>
      <c r="BG74" s="40" t="s">
        <v>48</v>
      </c>
      <c r="BH74" s="40" t="s">
        <v>48</v>
      </c>
      <c r="BI74" s="40" t="s">
        <v>48</v>
      </c>
      <c r="BJ74" s="40" t="s">
        <v>48</v>
      </c>
      <c r="BK74" s="40" t="s">
        <v>48</v>
      </c>
      <c r="BM74" s="33"/>
      <c r="BN74" s="38" t="str">
        <f>Notes!U75</f>
        <v xml:space="preserve">         Animal feed</v>
      </c>
      <c r="BO74" s="4" t="s">
        <v>371</v>
      </c>
      <c r="BP74" s="44">
        <v>1.0502107163449961</v>
      </c>
      <c r="BQ74" s="42">
        <v>-1.7812036654196728E-2</v>
      </c>
      <c r="BR74" s="42" t="s">
        <v>48</v>
      </c>
      <c r="BS74" s="40" t="s">
        <v>48</v>
      </c>
      <c r="BT74" s="40" t="s">
        <v>48</v>
      </c>
      <c r="BU74" s="40" t="s">
        <v>48</v>
      </c>
      <c r="BV74" s="40" t="s">
        <v>48</v>
      </c>
      <c r="BW74" s="40" t="s">
        <v>48</v>
      </c>
      <c r="BX74" s="40" t="s">
        <v>48</v>
      </c>
      <c r="BY74" s="40" t="s">
        <v>48</v>
      </c>
      <c r="BZ74" s="40" t="s">
        <v>48</v>
      </c>
      <c r="CA74" s="40" t="s">
        <v>48</v>
      </c>
      <c r="CB74" s="40" t="s">
        <v>48</v>
      </c>
      <c r="CC74" s="40" t="s">
        <v>48</v>
      </c>
      <c r="CD74" s="40" t="s">
        <v>48</v>
      </c>
      <c r="CE74" s="40" t="s">
        <v>48</v>
      </c>
      <c r="CF74" s="40" t="s">
        <v>48</v>
      </c>
      <c r="CH74" s="33"/>
      <c r="CI74" s="38" t="str">
        <f>Notes!U75</f>
        <v xml:space="preserve">         Animal feed</v>
      </c>
      <c r="CJ74" s="4" t="s">
        <v>371</v>
      </c>
      <c r="CK74" s="44" t="s">
        <v>48</v>
      </c>
      <c r="CL74" s="42" t="s">
        <v>48</v>
      </c>
      <c r="CM74" s="42" t="s">
        <v>48</v>
      </c>
      <c r="CN74" s="40" t="s">
        <v>48</v>
      </c>
      <c r="CO74" s="40" t="s">
        <v>48</v>
      </c>
      <c r="CP74" s="40" t="s">
        <v>48</v>
      </c>
      <c r="CQ74" s="40" t="s">
        <v>48</v>
      </c>
      <c r="CR74" s="40" t="s">
        <v>48</v>
      </c>
      <c r="CS74" s="40" t="s">
        <v>48</v>
      </c>
      <c r="CT74" s="40" t="s">
        <v>48</v>
      </c>
      <c r="CU74" s="40" t="s">
        <v>48</v>
      </c>
      <c r="CV74" s="40" t="s">
        <v>48</v>
      </c>
      <c r="CW74" s="40" t="s">
        <v>48</v>
      </c>
      <c r="CX74" s="40" t="s">
        <v>48</v>
      </c>
      <c r="CY74" s="40" t="s">
        <v>48</v>
      </c>
      <c r="CZ74" s="40" t="s">
        <v>48</v>
      </c>
      <c r="DA74" s="40" t="s">
        <v>48</v>
      </c>
      <c r="DC74" s="33"/>
      <c r="DD74" s="38" t="str">
        <f>Notes!U75</f>
        <v xml:space="preserve">         Animal feed</v>
      </c>
      <c r="DE74" s="4" t="s">
        <v>371</v>
      </c>
      <c r="DF74" s="44">
        <v>1</v>
      </c>
      <c r="DG74" s="42" t="s">
        <v>48</v>
      </c>
      <c r="DH74" s="42" t="s">
        <v>48</v>
      </c>
      <c r="DI74" s="40" t="s">
        <v>48</v>
      </c>
      <c r="DJ74" s="40" t="s">
        <v>48</v>
      </c>
      <c r="DK74" s="40" t="s">
        <v>48</v>
      </c>
      <c r="DL74" s="40" t="s">
        <v>48</v>
      </c>
      <c r="DM74" s="40" t="s">
        <v>48</v>
      </c>
      <c r="DN74" s="40" t="s">
        <v>48</v>
      </c>
      <c r="DO74" s="40" t="s">
        <v>48</v>
      </c>
      <c r="DP74" s="40" t="s">
        <v>48</v>
      </c>
      <c r="DQ74" s="40" t="s">
        <v>48</v>
      </c>
      <c r="DR74" s="40" t="s">
        <v>48</v>
      </c>
      <c r="DS74" s="40" t="s">
        <v>48</v>
      </c>
      <c r="DT74" s="40" t="s">
        <v>48</v>
      </c>
      <c r="DU74" s="40" t="s">
        <v>48</v>
      </c>
      <c r="DV74" s="40" t="s">
        <v>48</v>
      </c>
    </row>
    <row r="75" spans="1:126" x14ac:dyDescent="0.3">
      <c r="A75" s="12">
        <v>68</v>
      </c>
      <c r="B75" s="33"/>
      <c r="C75" s="38" t="str">
        <f>Notes!U76</f>
        <v xml:space="preserve">      Beverages and tobacco</v>
      </c>
      <c r="D75" s="4" t="s">
        <v>570</v>
      </c>
      <c r="E75" s="44">
        <v>1</v>
      </c>
      <c r="F75" s="42">
        <v>8.1651510108526892E-3</v>
      </c>
      <c r="G75" s="42" t="s">
        <v>48</v>
      </c>
      <c r="H75" s="40" t="s">
        <v>48</v>
      </c>
      <c r="I75" s="40" t="s">
        <v>48</v>
      </c>
      <c r="J75" s="40" t="s">
        <v>48</v>
      </c>
      <c r="K75" s="40" t="s">
        <v>48</v>
      </c>
      <c r="L75" s="40" t="s">
        <v>48</v>
      </c>
      <c r="M75" s="40" t="s">
        <v>48</v>
      </c>
      <c r="N75" s="40" t="s">
        <v>48</v>
      </c>
      <c r="O75" s="40" t="s">
        <v>48</v>
      </c>
      <c r="P75" s="40" t="s">
        <v>48</v>
      </c>
      <c r="Q75" s="40" t="s">
        <v>48</v>
      </c>
      <c r="R75" s="40" t="s">
        <v>48</v>
      </c>
      <c r="S75" s="40" t="s">
        <v>48</v>
      </c>
      <c r="T75" s="40" t="s">
        <v>48</v>
      </c>
      <c r="U75" s="40" t="s">
        <v>48</v>
      </c>
      <c r="W75" s="33"/>
      <c r="X75" s="38" t="str">
        <f>Notes!U76</f>
        <v xml:space="preserve">      Beverages and tobacco</v>
      </c>
      <c r="Y75" s="4" t="s">
        <v>570</v>
      </c>
      <c r="Z75" s="44">
        <v>1.251227579875577</v>
      </c>
      <c r="AA75" s="42">
        <v>4.9404135443742447E-3</v>
      </c>
      <c r="AB75" s="42" t="s">
        <v>48</v>
      </c>
      <c r="AC75" s="40" t="s">
        <v>48</v>
      </c>
      <c r="AD75" s="40" t="s">
        <v>48</v>
      </c>
      <c r="AE75" s="40" t="s">
        <v>48</v>
      </c>
      <c r="AF75" s="40" t="s">
        <v>48</v>
      </c>
      <c r="AG75" s="40" t="s">
        <v>48</v>
      </c>
      <c r="AH75" s="40" t="s">
        <v>48</v>
      </c>
      <c r="AI75" s="40" t="s">
        <v>48</v>
      </c>
      <c r="AJ75" s="40" t="s">
        <v>48</v>
      </c>
      <c r="AK75" s="40" t="s">
        <v>48</v>
      </c>
      <c r="AL75" s="40" t="s">
        <v>48</v>
      </c>
      <c r="AM75" s="40" t="s">
        <v>48</v>
      </c>
      <c r="AN75" s="40" t="s">
        <v>48</v>
      </c>
      <c r="AO75" s="40" t="s">
        <v>48</v>
      </c>
      <c r="AP75" s="40" t="s">
        <v>48</v>
      </c>
      <c r="AR75" s="33"/>
      <c r="AS75" s="38" t="str">
        <f>Notes!U76</f>
        <v xml:space="preserve">      Beverages and tobacco</v>
      </c>
      <c r="AT75" s="4" t="s">
        <v>570</v>
      </c>
      <c r="AU75" s="44">
        <v>1</v>
      </c>
      <c r="AV75" s="42">
        <v>-1.8346465634122566E-2</v>
      </c>
      <c r="AW75" s="42" t="s">
        <v>48</v>
      </c>
      <c r="AX75" s="40" t="s">
        <v>48</v>
      </c>
      <c r="AY75" s="40" t="s">
        <v>48</v>
      </c>
      <c r="AZ75" s="40" t="s">
        <v>48</v>
      </c>
      <c r="BA75" s="40" t="s">
        <v>48</v>
      </c>
      <c r="BB75" s="40" t="s">
        <v>48</v>
      </c>
      <c r="BC75" s="40" t="s">
        <v>48</v>
      </c>
      <c r="BD75" s="40" t="s">
        <v>48</v>
      </c>
      <c r="BE75" s="40" t="s">
        <v>48</v>
      </c>
      <c r="BF75" s="40" t="s">
        <v>48</v>
      </c>
      <c r="BG75" s="40" t="s">
        <v>48</v>
      </c>
      <c r="BH75" s="40" t="s">
        <v>48</v>
      </c>
      <c r="BI75" s="40" t="s">
        <v>48</v>
      </c>
      <c r="BJ75" s="40" t="s">
        <v>48</v>
      </c>
      <c r="BK75" s="40" t="s">
        <v>48</v>
      </c>
      <c r="BM75" s="33"/>
      <c r="BN75" s="38" t="str">
        <f>Notes!U76</f>
        <v xml:space="preserve">      Beverages and tobacco</v>
      </c>
      <c r="BO75" s="4" t="s">
        <v>570</v>
      </c>
      <c r="BP75" s="44">
        <v>1.0787406175044707</v>
      </c>
      <c r="BQ75" s="42">
        <v>-1.7705690030200838E-2</v>
      </c>
      <c r="BR75" s="42" t="s">
        <v>48</v>
      </c>
      <c r="BS75" s="40" t="s">
        <v>48</v>
      </c>
      <c r="BT75" s="40" t="s">
        <v>48</v>
      </c>
      <c r="BU75" s="40" t="s">
        <v>48</v>
      </c>
      <c r="BV75" s="40" t="s">
        <v>48</v>
      </c>
      <c r="BW75" s="40" t="s">
        <v>48</v>
      </c>
      <c r="BX75" s="40" t="s">
        <v>48</v>
      </c>
      <c r="BY75" s="40" t="s">
        <v>48</v>
      </c>
      <c r="BZ75" s="40" t="s">
        <v>48</v>
      </c>
      <c r="CA75" s="40" t="s">
        <v>48</v>
      </c>
      <c r="CB75" s="40" t="s">
        <v>48</v>
      </c>
      <c r="CC75" s="40" t="s">
        <v>48</v>
      </c>
      <c r="CD75" s="40" t="s">
        <v>48</v>
      </c>
      <c r="CE75" s="40" t="s">
        <v>48</v>
      </c>
      <c r="CF75" s="40" t="s">
        <v>48</v>
      </c>
      <c r="CH75" s="33"/>
      <c r="CI75" s="38" t="str">
        <f>Notes!U76</f>
        <v xml:space="preserve">      Beverages and tobacco</v>
      </c>
      <c r="CJ75" s="4" t="s">
        <v>570</v>
      </c>
      <c r="CK75" s="44">
        <v>1.0787406175044707</v>
      </c>
      <c r="CL75" s="42" t="s">
        <v>48</v>
      </c>
      <c r="CM75" s="42" t="s">
        <v>48</v>
      </c>
      <c r="CN75" s="40" t="s">
        <v>48</v>
      </c>
      <c r="CO75" s="40" t="s">
        <v>48</v>
      </c>
      <c r="CP75" s="40" t="s">
        <v>48</v>
      </c>
      <c r="CQ75" s="40" t="s">
        <v>48</v>
      </c>
      <c r="CR75" s="40" t="s">
        <v>48</v>
      </c>
      <c r="CS75" s="40" t="s">
        <v>48</v>
      </c>
      <c r="CT75" s="40" t="s">
        <v>48</v>
      </c>
      <c r="CU75" s="40" t="s">
        <v>48</v>
      </c>
      <c r="CV75" s="40" t="s">
        <v>48</v>
      </c>
      <c r="CW75" s="40" t="s">
        <v>48</v>
      </c>
      <c r="CX75" s="40" t="s">
        <v>48</v>
      </c>
      <c r="CY75" s="40" t="s">
        <v>48</v>
      </c>
      <c r="CZ75" s="40" t="s">
        <v>48</v>
      </c>
      <c r="DA75" s="40" t="s">
        <v>48</v>
      </c>
      <c r="DC75" s="33"/>
      <c r="DD75" s="38" t="str">
        <f>Notes!U76</f>
        <v xml:space="preserve">      Beverages and tobacco</v>
      </c>
      <c r="DE75" s="4" t="s">
        <v>570</v>
      </c>
      <c r="DF75" s="44">
        <v>1</v>
      </c>
      <c r="DG75" s="42" t="s">
        <v>48</v>
      </c>
      <c r="DH75" s="42" t="s">
        <v>48</v>
      </c>
      <c r="DI75" s="40" t="s">
        <v>48</v>
      </c>
      <c r="DJ75" s="40" t="s">
        <v>48</v>
      </c>
      <c r="DK75" s="40" t="s">
        <v>48</v>
      </c>
      <c r="DL75" s="40" t="s">
        <v>48</v>
      </c>
      <c r="DM75" s="40" t="s">
        <v>48</v>
      </c>
      <c r="DN75" s="40" t="s">
        <v>48</v>
      </c>
      <c r="DO75" s="40" t="s">
        <v>48</v>
      </c>
      <c r="DP75" s="40" t="s">
        <v>48</v>
      </c>
      <c r="DQ75" s="40" t="s">
        <v>48</v>
      </c>
      <c r="DR75" s="40" t="s">
        <v>48</v>
      </c>
      <c r="DS75" s="40" t="s">
        <v>48</v>
      </c>
      <c r="DT75" s="40" t="s">
        <v>48</v>
      </c>
      <c r="DU75" s="40" t="s">
        <v>48</v>
      </c>
      <c r="DV75" s="40" t="s">
        <v>48</v>
      </c>
    </row>
    <row r="76" spans="1:126" x14ac:dyDescent="0.3">
      <c r="A76" s="12">
        <v>69</v>
      </c>
      <c r="B76" s="33"/>
      <c r="C76" s="38" t="str">
        <f>Notes!U77</f>
        <v xml:space="preserve">         Beverages</v>
      </c>
      <c r="D76" s="4" t="s">
        <v>372</v>
      </c>
      <c r="E76" s="44">
        <v>1</v>
      </c>
      <c r="F76" s="42">
        <v>-6.6105980759068039E-3</v>
      </c>
      <c r="G76" s="42" t="s">
        <v>48</v>
      </c>
      <c r="H76" s="40" t="s">
        <v>48</v>
      </c>
      <c r="I76" s="40" t="s">
        <v>48</v>
      </c>
      <c r="J76" s="40" t="s">
        <v>48</v>
      </c>
      <c r="K76" s="40" t="s">
        <v>48</v>
      </c>
      <c r="L76" s="40" t="s">
        <v>48</v>
      </c>
      <c r="M76" s="40" t="s">
        <v>48</v>
      </c>
      <c r="N76" s="40" t="s">
        <v>48</v>
      </c>
      <c r="O76" s="40" t="s">
        <v>48</v>
      </c>
      <c r="P76" s="40" t="s">
        <v>48</v>
      </c>
      <c r="Q76" s="40" t="s">
        <v>48</v>
      </c>
      <c r="R76" s="40" t="s">
        <v>48</v>
      </c>
      <c r="S76" s="40" t="s">
        <v>48</v>
      </c>
      <c r="T76" s="40" t="s">
        <v>48</v>
      </c>
      <c r="U76" s="40" t="s">
        <v>48</v>
      </c>
      <c r="W76" s="33"/>
      <c r="X76" s="38" t="str">
        <f>Notes!U77</f>
        <v xml:space="preserve">         Beverages</v>
      </c>
      <c r="Y76" s="4" t="s">
        <v>372</v>
      </c>
      <c r="Z76" s="44">
        <v>1.0787406175044709</v>
      </c>
      <c r="AA76" s="42">
        <v>-6.9699757184515931E-3</v>
      </c>
      <c r="AB76" s="42" t="s">
        <v>48</v>
      </c>
      <c r="AC76" s="40" t="s">
        <v>48</v>
      </c>
      <c r="AD76" s="40" t="s">
        <v>48</v>
      </c>
      <c r="AE76" s="40" t="s">
        <v>48</v>
      </c>
      <c r="AF76" s="40" t="s">
        <v>48</v>
      </c>
      <c r="AG76" s="40" t="s">
        <v>48</v>
      </c>
      <c r="AH76" s="40" t="s">
        <v>48</v>
      </c>
      <c r="AI76" s="40" t="s">
        <v>48</v>
      </c>
      <c r="AJ76" s="40" t="s">
        <v>48</v>
      </c>
      <c r="AK76" s="40" t="s">
        <v>48</v>
      </c>
      <c r="AL76" s="40" t="s">
        <v>48</v>
      </c>
      <c r="AM76" s="40" t="s">
        <v>48</v>
      </c>
      <c r="AN76" s="40" t="s">
        <v>48</v>
      </c>
      <c r="AO76" s="40" t="s">
        <v>48</v>
      </c>
      <c r="AP76" s="40" t="s">
        <v>48</v>
      </c>
      <c r="AR76" s="33"/>
      <c r="AS76" s="38" t="str">
        <f>Notes!U77</f>
        <v xml:space="preserve">         Beverages</v>
      </c>
      <c r="AT76" s="4" t="s">
        <v>372</v>
      </c>
      <c r="AU76" s="44">
        <v>1</v>
      </c>
      <c r="AV76" s="42">
        <v>-1.8346465634122566E-2</v>
      </c>
      <c r="AW76" s="42" t="s">
        <v>48</v>
      </c>
      <c r="AX76" s="40" t="s">
        <v>48</v>
      </c>
      <c r="AY76" s="40" t="s">
        <v>48</v>
      </c>
      <c r="AZ76" s="40" t="s">
        <v>48</v>
      </c>
      <c r="BA76" s="40" t="s">
        <v>48</v>
      </c>
      <c r="BB76" s="40" t="s">
        <v>48</v>
      </c>
      <c r="BC76" s="40" t="s">
        <v>48</v>
      </c>
      <c r="BD76" s="40" t="s">
        <v>48</v>
      </c>
      <c r="BE76" s="40" t="s">
        <v>48</v>
      </c>
      <c r="BF76" s="40" t="s">
        <v>48</v>
      </c>
      <c r="BG76" s="40" t="s">
        <v>48</v>
      </c>
      <c r="BH76" s="40" t="s">
        <v>48</v>
      </c>
      <c r="BI76" s="40" t="s">
        <v>48</v>
      </c>
      <c r="BJ76" s="40" t="s">
        <v>48</v>
      </c>
      <c r="BK76" s="40" t="s">
        <v>48</v>
      </c>
      <c r="BM76" s="33"/>
      <c r="BN76" s="38" t="str">
        <f>Notes!U77</f>
        <v xml:space="preserve">         Beverages</v>
      </c>
      <c r="BO76" s="4" t="s">
        <v>372</v>
      </c>
      <c r="BP76" s="44">
        <v>1.0787406175044707</v>
      </c>
      <c r="BQ76" s="42">
        <v>-1.7705690030200838E-2</v>
      </c>
      <c r="BR76" s="42" t="s">
        <v>48</v>
      </c>
      <c r="BS76" s="40" t="s">
        <v>48</v>
      </c>
      <c r="BT76" s="40" t="s">
        <v>48</v>
      </c>
      <c r="BU76" s="40" t="s">
        <v>48</v>
      </c>
      <c r="BV76" s="40" t="s">
        <v>48</v>
      </c>
      <c r="BW76" s="40" t="s">
        <v>48</v>
      </c>
      <c r="BX76" s="40" t="s">
        <v>48</v>
      </c>
      <c r="BY76" s="40" t="s">
        <v>48</v>
      </c>
      <c r="BZ76" s="40" t="s">
        <v>48</v>
      </c>
      <c r="CA76" s="40" t="s">
        <v>48</v>
      </c>
      <c r="CB76" s="40" t="s">
        <v>48</v>
      </c>
      <c r="CC76" s="40" t="s">
        <v>48</v>
      </c>
      <c r="CD76" s="40" t="s">
        <v>48</v>
      </c>
      <c r="CE76" s="40" t="s">
        <v>48</v>
      </c>
      <c r="CF76" s="40" t="s">
        <v>48</v>
      </c>
      <c r="CH76" s="33"/>
      <c r="CI76" s="38" t="str">
        <f>Notes!U77</f>
        <v xml:space="preserve">         Beverages</v>
      </c>
      <c r="CJ76" s="4" t="s">
        <v>372</v>
      </c>
      <c r="CK76" s="44">
        <v>1.0787406175044707</v>
      </c>
      <c r="CL76" s="42" t="s">
        <v>48</v>
      </c>
      <c r="CM76" s="42" t="s">
        <v>48</v>
      </c>
      <c r="CN76" s="40" t="s">
        <v>48</v>
      </c>
      <c r="CO76" s="40" t="s">
        <v>48</v>
      </c>
      <c r="CP76" s="40" t="s">
        <v>48</v>
      </c>
      <c r="CQ76" s="40" t="s">
        <v>48</v>
      </c>
      <c r="CR76" s="40" t="s">
        <v>48</v>
      </c>
      <c r="CS76" s="40" t="s">
        <v>48</v>
      </c>
      <c r="CT76" s="40" t="s">
        <v>48</v>
      </c>
      <c r="CU76" s="40" t="s">
        <v>48</v>
      </c>
      <c r="CV76" s="40" t="s">
        <v>48</v>
      </c>
      <c r="CW76" s="40" t="s">
        <v>48</v>
      </c>
      <c r="CX76" s="40" t="s">
        <v>48</v>
      </c>
      <c r="CY76" s="40" t="s">
        <v>48</v>
      </c>
      <c r="CZ76" s="40" t="s">
        <v>48</v>
      </c>
      <c r="DA76" s="40" t="s">
        <v>48</v>
      </c>
      <c r="DC76" s="33"/>
      <c r="DD76" s="38" t="str">
        <f>Notes!U77</f>
        <v xml:space="preserve">         Beverages</v>
      </c>
      <c r="DE76" s="4" t="s">
        <v>372</v>
      </c>
      <c r="DF76" s="44">
        <v>1</v>
      </c>
      <c r="DG76" s="42" t="s">
        <v>48</v>
      </c>
      <c r="DH76" s="42" t="s">
        <v>48</v>
      </c>
      <c r="DI76" s="40" t="s">
        <v>48</v>
      </c>
      <c r="DJ76" s="40" t="s">
        <v>48</v>
      </c>
      <c r="DK76" s="40" t="s">
        <v>48</v>
      </c>
      <c r="DL76" s="40" t="s">
        <v>48</v>
      </c>
      <c r="DM76" s="40" t="s">
        <v>48</v>
      </c>
      <c r="DN76" s="40" t="s">
        <v>48</v>
      </c>
      <c r="DO76" s="40" t="s">
        <v>48</v>
      </c>
      <c r="DP76" s="40" t="s">
        <v>48</v>
      </c>
      <c r="DQ76" s="40" t="s">
        <v>48</v>
      </c>
      <c r="DR76" s="40" t="s">
        <v>48</v>
      </c>
      <c r="DS76" s="40" t="s">
        <v>48</v>
      </c>
      <c r="DT76" s="40" t="s">
        <v>48</v>
      </c>
      <c r="DU76" s="40" t="s">
        <v>48</v>
      </c>
      <c r="DV76" s="40" t="s">
        <v>48</v>
      </c>
    </row>
    <row r="77" spans="1:126" x14ac:dyDescent="0.3">
      <c r="A77" s="12">
        <v>70</v>
      </c>
      <c r="B77" s="33"/>
      <c r="C77" s="38" t="str">
        <f>Notes!U78</f>
        <v xml:space="preserve">         Tobacco processing</v>
      </c>
      <c r="D77" s="4" t="s">
        <v>373</v>
      </c>
      <c r="E77" s="44">
        <v>1</v>
      </c>
      <c r="F77" s="42">
        <v>1.8607421051330952E-2</v>
      </c>
      <c r="G77" s="42" t="s">
        <v>48</v>
      </c>
      <c r="H77" s="40" t="s">
        <v>48</v>
      </c>
      <c r="I77" s="40" t="s">
        <v>48</v>
      </c>
      <c r="J77" s="40" t="s">
        <v>48</v>
      </c>
      <c r="K77" s="40" t="s">
        <v>48</v>
      </c>
      <c r="L77" s="40" t="s">
        <v>48</v>
      </c>
      <c r="M77" s="40" t="s">
        <v>48</v>
      </c>
      <c r="N77" s="40" t="s">
        <v>48</v>
      </c>
      <c r="O77" s="40" t="s">
        <v>48</v>
      </c>
      <c r="P77" s="40" t="s">
        <v>48</v>
      </c>
      <c r="Q77" s="40" t="s">
        <v>48</v>
      </c>
      <c r="R77" s="40" t="s">
        <v>48</v>
      </c>
      <c r="S77" s="40" t="s">
        <v>48</v>
      </c>
      <c r="T77" s="40" t="s">
        <v>48</v>
      </c>
      <c r="U77" s="40" t="s">
        <v>48</v>
      </c>
      <c r="W77" s="33"/>
      <c r="X77" s="38" t="str">
        <f>Notes!U78</f>
        <v xml:space="preserve">         Tobacco processing</v>
      </c>
      <c r="Y77" s="4" t="s">
        <v>373</v>
      </c>
      <c r="Z77" s="44">
        <v>1.3474824148196702</v>
      </c>
      <c r="AA77" s="42">
        <v>1.0258577301902605E-2</v>
      </c>
      <c r="AB77" s="42" t="s">
        <v>48</v>
      </c>
      <c r="AC77" s="40" t="s">
        <v>48</v>
      </c>
      <c r="AD77" s="40" t="s">
        <v>48</v>
      </c>
      <c r="AE77" s="40" t="s">
        <v>48</v>
      </c>
      <c r="AF77" s="40" t="s">
        <v>48</v>
      </c>
      <c r="AG77" s="40" t="s">
        <v>48</v>
      </c>
      <c r="AH77" s="40" t="s">
        <v>48</v>
      </c>
      <c r="AI77" s="40" t="s">
        <v>48</v>
      </c>
      <c r="AJ77" s="40" t="s">
        <v>48</v>
      </c>
      <c r="AK77" s="40" t="s">
        <v>48</v>
      </c>
      <c r="AL77" s="40" t="s">
        <v>48</v>
      </c>
      <c r="AM77" s="40" t="s">
        <v>48</v>
      </c>
      <c r="AN77" s="40" t="s">
        <v>48</v>
      </c>
      <c r="AO77" s="40" t="s">
        <v>48</v>
      </c>
      <c r="AP77" s="40" t="s">
        <v>48</v>
      </c>
      <c r="AR77" s="33"/>
      <c r="AS77" s="38" t="str">
        <f>Notes!U78</f>
        <v xml:space="preserve">         Tobacco processing</v>
      </c>
      <c r="AT77" s="4" t="s">
        <v>373</v>
      </c>
      <c r="AU77" s="44" t="s">
        <v>48</v>
      </c>
      <c r="AV77" s="42" t="s">
        <v>48</v>
      </c>
      <c r="AW77" s="42" t="s">
        <v>48</v>
      </c>
      <c r="AX77" s="40" t="s">
        <v>48</v>
      </c>
      <c r="AY77" s="40" t="s">
        <v>48</v>
      </c>
      <c r="AZ77" s="40" t="s">
        <v>48</v>
      </c>
      <c r="BA77" s="40" t="s">
        <v>48</v>
      </c>
      <c r="BB77" s="40" t="s">
        <v>48</v>
      </c>
      <c r="BC77" s="40" t="s">
        <v>48</v>
      </c>
      <c r="BD77" s="40" t="s">
        <v>48</v>
      </c>
      <c r="BE77" s="40" t="s">
        <v>48</v>
      </c>
      <c r="BF77" s="40" t="s">
        <v>48</v>
      </c>
      <c r="BG77" s="40" t="s">
        <v>48</v>
      </c>
      <c r="BH77" s="40" t="s">
        <v>48</v>
      </c>
      <c r="BI77" s="40" t="s">
        <v>48</v>
      </c>
      <c r="BJ77" s="40" t="s">
        <v>48</v>
      </c>
      <c r="BK77" s="40" t="s">
        <v>48</v>
      </c>
      <c r="BM77" s="33"/>
      <c r="BN77" s="38" t="str">
        <f>Notes!U78</f>
        <v xml:space="preserve">         Tobacco processing</v>
      </c>
      <c r="BO77" s="4" t="s">
        <v>373</v>
      </c>
      <c r="BP77" s="44" t="s">
        <v>48</v>
      </c>
      <c r="BQ77" s="42" t="s">
        <v>48</v>
      </c>
      <c r="BR77" s="42" t="s">
        <v>48</v>
      </c>
      <c r="BS77" s="40" t="s">
        <v>48</v>
      </c>
      <c r="BT77" s="40" t="s">
        <v>48</v>
      </c>
      <c r="BU77" s="40" t="s">
        <v>48</v>
      </c>
      <c r="BV77" s="40" t="s">
        <v>48</v>
      </c>
      <c r="BW77" s="40" t="s">
        <v>48</v>
      </c>
      <c r="BX77" s="40" t="s">
        <v>48</v>
      </c>
      <c r="BY77" s="40" t="s">
        <v>48</v>
      </c>
      <c r="BZ77" s="40" t="s">
        <v>48</v>
      </c>
      <c r="CA77" s="40" t="s">
        <v>48</v>
      </c>
      <c r="CB77" s="40" t="s">
        <v>48</v>
      </c>
      <c r="CC77" s="40" t="s">
        <v>48</v>
      </c>
      <c r="CD77" s="40" t="s">
        <v>48</v>
      </c>
      <c r="CE77" s="40" t="s">
        <v>48</v>
      </c>
      <c r="CF77" s="40" t="s">
        <v>48</v>
      </c>
      <c r="CH77" s="33"/>
      <c r="CI77" s="38" t="str">
        <f>Notes!U78</f>
        <v xml:space="preserve">         Tobacco processing</v>
      </c>
      <c r="CJ77" s="4" t="s">
        <v>373</v>
      </c>
      <c r="CK77" s="44" t="s">
        <v>48</v>
      </c>
      <c r="CL77" s="42" t="s">
        <v>48</v>
      </c>
      <c r="CM77" s="42" t="s">
        <v>48</v>
      </c>
      <c r="CN77" s="40" t="s">
        <v>48</v>
      </c>
      <c r="CO77" s="40" t="s">
        <v>48</v>
      </c>
      <c r="CP77" s="40" t="s">
        <v>48</v>
      </c>
      <c r="CQ77" s="40" t="s">
        <v>48</v>
      </c>
      <c r="CR77" s="40" t="s">
        <v>48</v>
      </c>
      <c r="CS77" s="40" t="s">
        <v>48</v>
      </c>
      <c r="CT77" s="40" t="s">
        <v>48</v>
      </c>
      <c r="CU77" s="40" t="s">
        <v>48</v>
      </c>
      <c r="CV77" s="40" t="s">
        <v>48</v>
      </c>
      <c r="CW77" s="40" t="s">
        <v>48</v>
      </c>
      <c r="CX77" s="40" t="s">
        <v>48</v>
      </c>
      <c r="CY77" s="40" t="s">
        <v>48</v>
      </c>
      <c r="CZ77" s="40" t="s">
        <v>48</v>
      </c>
      <c r="DA77" s="40" t="s">
        <v>48</v>
      </c>
      <c r="DC77" s="33"/>
      <c r="DD77" s="38" t="str">
        <f>Notes!U78</f>
        <v xml:space="preserve">         Tobacco processing</v>
      </c>
      <c r="DE77" s="4" t="s">
        <v>373</v>
      </c>
      <c r="DF77" s="44" t="s">
        <v>48</v>
      </c>
      <c r="DG77" s="42" t="s">
        <v>48</v>
      </c>
      <c r="DH77" s="42" t="s">
        <v>48</v>
      </c>
      <c r="DI77" s="40" t="s">
        <v>48</v>
      </c>
      <c r="DJ77" s="40" t="s">
        <v>48</v>
      </c>
      <c r="DK77" s="40" t="s">
        <v>48</v>
      </c>
      <c r="DL77" s="40" t="s">
        <v>48</v>
      </c>
      <c r="DM77" s="40" t="s">
        <v>48</v>
      </c>
      <c r="DN77" s="40" t="s">
        <v>48</v>
      </c>
      <c r="DO77" s="40" t="s">
        <v>48</v>
      </c>
      <c r="DP77" s="40" t="s">
        <v>48</v>
      </c>
      <c r="DQ77" s="40" t="s">
        <v>48</v>
      </c>
      <c r="DR77" s="40" t="s">
        <v>48</v>
      </c>
      <c r="DS77" s="40" t="s">
        <v>48</v>
      </c>
      <c r="DT77" s="40" t="s">
        <v>48</v>
      </c>
      <c r="DU77" s="40" t="s">
        <v>48</v>
      </c>
      <c r="DV77" s="40" t="s">
        <v>48</v>
      </c>
    </row>
    <row r="78" spans="1:126" x14ac:dyDescent="0.3">
      <c r="A78" s="12">
        <v>71</v>
      </c>
      <c r="B78" s="33"/>
      <c r="C78" s="38" t="str">
        <f>Notes!U79</f>
        <v xml:space="preserve">      Textiles, clothing and leather</v>
      </c>
      <c r="D78" s="4" t="s">
        <v>374</v>
      </c>
      <c r="E78" s="44">
        <v>1</v>
      </c>
      <c r="F78" s="42">
        <v>4.797619092888894E-4</v>
      </c>
      <c r="G78" s="42" t="s">
        <v>48</v>
      </c>
      <c r="H78" s="40" t="s">
        <v>48</v>
      </c>
      <c r="I78" s="40" t="s">
        <v>48</v>
      </c>
      <c r="J78" s="40" t="s">
        <v>48</v>
      </c>
      <c r="K78" s="40" t="s">
        <v>48</v>
      </c>
      <c r="L78" s="40" t="s">
        <v>48</v>
      </c>
      <c r="M78" s="40" t="s">
        <v>48</v>
      </c>
      <c r="N78" s="40" t="s">
        <v>48</v>
      </c>
      <c r="O78" s="40" t="s">
        <v>48</v>
      </c>
      <c r="P78" s="40" t="s">
        <v>48</v>
      </c>
      <c r="Q78" s="40" t="s">
        <v>48</v>
      </c>
      <c r="R78" s="40" t="s">
        <v>48</v>
      </c>
      <c r="S78" s="40" t="s">
        <v>48</v>
      </c>
      <c r="T78" s="40" t="s">
        <v>48</v>
      </c>
      <c r="U78" s="40" t="s">
        <v>48</v>
      </c>
      <c r="W78" s="33"/>
      <c r="X78" s="38" t="str">
        <f>Notes!U79</f>
        <v xml:space="preserve">      Textiles, clothing and leather</v>
      </c>
      <c r="Y78" s="4" t="s">
        <v>374</v>
      </c>
      <c r="Z78" s="44">
        <v>1.1213529220912579</v>
      </c>
      <c r="AA78" s="42">
        <v>3.4670720197471638E-3</v>
      </c>
      <c r="AB78" s="42" t="s">
        <v>48</v>
      </c>
      <c r="AC78" s="40" t="s">
        <v>48</v>
      </c>
      <c r="AD78" s="40" t="s">
        <v>48</v>
      </c>
      <c r="AE78" s="40" t="s">
        <v>48</v>
      </c>
      <c r="AF78" s="40" t="s">
        <v>48</v>
      </c>
      <c r="AG78" s="40" t="s">
        <v>48</v>
      </c>
      <c r="AH78" s="40" t="s">
        <v>48</v>
      </c>
      <c r="AI78" s="40" t="s">
        <v>48</v>
      </c>
      <c r="AJ78" s="40" t="s">
        <v>48</v>
      </c>
      <c r="AK78" s="40" t="s">
        <v>48</v>
      </c>
      <c r="AL78" s="40" t="s">
        <v>48</v>
      </c>
      <c r="AM78" s="40" t="s">
        <v>48</v>
      </c>
      <c r="AN78" s="40" t="s">
        <v>48</v>
      </c>
      <c r="AO78" s="40" t="s">
        <v>48</v>
      </c>
      <c r="AP78" s="40" t="s">
        <v>48</v>
      </c>
      <c r="AR78" s="33"/>
      <c r="AS78" s="38" t="str">
        <f>Notes!U79</f>
        <v xml:space="preserve">      Textiles, clothing and leather</v>
      </c>
      <c r="AT78" s="4" t="s">
        <v>374</v>
      </c>
      <c r="AU78" s="44">
        <v>1</v>
      </c>
      <c r="AV78" s="42">
        <v>-1.8424641515946139E-2</v>
      </c>
      <c r="AW78" s="42" t="s">
        <v>48</v>
      </c>
      <c r="AX78" s="40" t="s">
        <v>48</v>
      </c>
      <c r="AY78" s="40" t="s">
        <v>48</v>
      </c>
      <c r="AZ78" s="40" t="s">
        <v>48</v>
      </c>
      <c r="BA78" s="40" t="s">
        <v>48</v>
      </c>
      <c r="BB78" s="40" t="s">
        <v>48</v>
      </c>
      <c r="BC78" s="40" t="s">
        <v>48</v>
      </c>
      <c r="BD78" s="40" t="s">
        <v>48</v>
      </c>
      <c r="BE78" s="40" t="s">
        <v>48</v>
      </c>
      <c r="BF78" s="40" t="s">
        <v>48</v>
      </c>
      <c r="BG78" s="40" t="s">
        <v>48</v>
      </c>
      <c r="BH78" s="40" t="s">
        <v>48</v>
      </c>
      <c r="BI78" s="40" t="s">
        <v>48</v>
      </c>
      <c r="BJ78" s="40" t="s">
        <v>48</v>
      </c>
      <c r="BK78" s="40" t="s">
        <v>48</v>
      </c>
      <c r="BM78" s="33"/>
      <c r="BN78" s="38" t="str">
        <f>Notes!U79</f>
        <v xml:space="preserve">      Textiles, clothing and leather</v>
      </c>
      <c r="BO78" s="4" t="s">
        <v>374</v>
      </c>
      <c r="BP78" s="44">
        <v>1.112195615391258</v>
      </c>
      <c r="BQ78" s="42">
        <v>-1.7587935725094095E-2</v>
      </c>
      <c r="BR78" s="42" t="s">
        <v>48</v>
      </c>
      <c r="BS78" s="40" t="s">
        <v>48</v>
      </c>
      <c r="BT78" s="40" t="s">
        <v>48</v>
      </c>
      <c r="BU78" s="40" t="s">
        <v>48</v>
      </c>
      <c r="BV78" s="40" t="s">
        <v>48</v>
      </c>
      <c r="BW78" s="40" t="s">
        <v>48</v>
      </c>
      <c r="BX78" s="40" t="s">
        <v>48</v>
      </c>
      <c r="BY78" s="40" t="s">
        <v>48</v>
      </c>
      <c r="BZ78" s="40" t="s">
        <v>48</v>
      </c>
      <c r="CA78" s="40" t="s">
        <v>48</v>
      </c>
      <c r="CB78" s="40" t="s">
        <v>48</v>
      </c>
      <c r="CC78" s="40" t="s">
        <v>48</v>
      </c>
      <c r="CD78" s="40" t="s">
        <v>48</v>
      </c>
      <c r="CE78" s="40" t="s">
        <v>48</v>
      </c>
      <c r="CF78" s="40" t="s">
        <v>48</v>
      </c>
      <c r="CH78" s="33"/>
      <c r="CI78" s="38" t="str">
        <f>Notes!U79</f>
        <v xml:space="preserve">      Textiles, clothing and leather</v>
      </c>
      <c r="CJ78" s="4" t="s">
        <v>374</v>
      </c>
      <c r="CK78" s="44">
        <v>1.0975561369011326</v>
      </c>
      <c r="CL78" s="42" t="s">
        <v>48</v>
      </c>
      <c r="CM78" s="42" t="s">
        <v>48</v>
      </c>
      <c r="CN78" s="40" t="s">
        <v>48</v>
      </c>
      <c r="CO78" s="40" t="s">
        <v>48</v>
      </c>
      <c r="CP78" s="40" t="s">
        <v>48</v>
      </c>
      <c r="CQ78" s="40" t="s">
        <v>48</v>
      </c>
      <c r="CR78" s="40" t="s">
        <v>48</v>
      </c>
      <c r="CS78" s="40" t="s">
        <v>48</v>
      </c>
      <c r="CT78" s="40" t="s">
        <v>48</v>
      </c>
      <c r="CU78" s="40" t="s">
        <v>48</v>
      </c>
      <c r="CV78" s="40" t="s">
        <v>48</v>
      </c>
      <c r="CW78" s="40" t="s">
        <v>48</v>
      </c>
      <c r="CX78" s="40" t="s">
        <v>48</v>
      </c>
      <c r="CY78" s="40" t="s">
        <v>48</v>
      </c>
      <c r="CZ78" s="40" t="s">
        <v>48</v>
      </c>
      <c r="DA78" s="40" t="s">
        <v>48</v>
      </c>
      <c r="DC78" s="33"/>
      <c r="DD78" s="38" t="str">
        <f>Notes!U79</f>
        <v xml:space="preserve">      Textiles, clothing and leather</v>
      </c>
      <c r="DE78" s="4" t="s">
        <v>374</v>
      </c>
      <c r="DF78" s="44">
        <v>0.99281948874632442</v>
      </c>
      <c r="DG78" s="42" t="s">
        <v>48</v>
      </c>
      <c r="DH78" s="42" t="s">
        <v>48</v>
      </c>
      <c r="DI78" s="40" t="s">
        <v>48</v>
      </c>
      <c r="DJ78" s="40" t="s">
        <v>48</v>
      </c>
      <c r="DK78" s="40" t="s">
        <v>48</v>
      </c>
      <c r="DL78" s="40" t="s">
        <v>48</v>
      </c>
      <c r="DM78" s="40" t="s">
        <v>48</v>
      </c>
      <c r="DN78" s="40" t="s">
        <v>48</v>
      </c>
      <c r="DO78" s="40" t="s">
        <v>48</v>
      </c>
      <c r="DP78" s="40" t="s">
        <v>48</v>
      </c>
      <c r="DQ78" s="40" t="s">
        <v>48</v>
      </c>
      <c r="DR78" s="40" t="s">
        <v>48</v>
      </c>
      <c r="DS78" s="40" t="s">
        <v>48</v>
      </c>
      <c r="DT78" s="40" t="s">
        <v>48</v>
      </c>
      <c r="DU78" s="40" t="s">
        <v>48</v>
      </c>
      <c r="DV78" s="40" t="s">
        <v>48</v>
      </c>
    </row>
    <row r="79" spans="1:126" x14ac:dyDescent="0.3">
      <c r="A79" s="12">
        <v>72</v>
      </c>
      <c r="B79" s="33"/>
      <c r="C79" s="38" t="str">
        <f>Notes!U80</f>
        <v xml:space="preserve">         Jute baling</v>
      </c>
      <c r="D79" s="4" t="s">
        <v>726</v>
      </c>
      <c r="E79" s="44">
        <v>1</v>
      </c>
      <c r="F79" s="42">
        <v>-1.790755712451908E-2</v>
      </c>
      <c r="G79" s="42" t="s">
        <v>48</v>
      </c>
      <c r="H79" s="40" t="s">
        <v>48</v>
      </c>
      <c r="I79" s="40" t="s">
        <v>48</v>
      </c>
      <c r="J79" s="40" t="s">
        <v>48</v>
      </c>
      <c r="K79" s="40" t="s">
        <v>48</v>
      </c>
      <c r="L79" s="40" t="s">
        <v>48</v>
      </c>
      <c r="M79" s="40" t="s">
        <v>48</v>
      </c>
      <c r="N79" s="40" t="s">
        <v>48</v>
      </c>
      <c r="O79" s="40" t="s">
        <v>48</v>
      </c>
      <c r="P79" s="40" t="s">
        <v>48</v>
      </c>
      <c r="Q79" s="40" t="s">
        <v>48</v>
      </c>
      <c r="R79" s="40" t="s">
        <v>48</v>
      </c>
      <c r="S79" s="40" t="s">
        <v>48</v>
      </c>
      <c r="T79" s="40" t="s">
        <v>48</v>
      </c>
      <c r="U79" s="40" t="s">
        <v>48</v>
      </c>
      <c r="W79" s="33"/>
      <c r="X79" s="38" t="str">
        <f>Notes!U80</f>
        <v xml:space="preserve">         Jute baling</v>
      </c>
      <c r="Y79" s="4" t="s">
        <v>726</v>
      </c>
      <c r="Z79" s="44">
        <v>1.0400383949951539</v>
      </c>
      <c r="AA79" s="42">
        <v>-1.2443322205590857E-2</v>
      </c>
      <c r="AB79" s="42" t="s">
        <v>48</v>
      </c>
      <c r="AC79" s="40" t="s">
        <v>48</v>
      </c>
      <c r="AD79" s="40" t="s">
        <v>48</v>
      </c>
      <c r="AE79" s="40" t="s">
        <v>48</v>
      </c>
      <c r="AF79" s="40" t="s">
        <v>48</v>
      </c>
      <c r="AG79" s="40" t="s">
        <v>48</v>
      </c>
      <c r="AH79" s="40" t="s">
        <v>48</v>
      </c>
      <c r="AI79" s="40" t="s">
        <v>48</v>
      </c>
      <c r="AJ79" s="40" t="s">
        <v>48</v>
      </c>
      <c r="AK79" s="40" t="s">
        <v>48</v>
      </c>
      <c r="AL79" s="40" t="s">
        <v>48</v>
      </c>
      <c r="AM79" s="40" t="s">
        <v>48</v>
      </c>
      <c r="AN79" s="40" t="s">
        <v>48</v>
      </c>
      <c r="AO79" s="40" t="s">
        <v>48</v>
      </c>
      <c r="AP79" s="40" t="s">
        <v>48</v>
      </c>
      <c r="AR79" s="33"/>
      <c r="AS79" s="38" t="str">
        <f>Notes!U80</f>
        <v xml:space="preserve">         Jute baling</v>
      </c>
      <c r="AT79" s="4" t="s">
        <v>726</v>
      </c>
      <c r="AU79" s="44">
        <v>1</v>
      </c>
      <c r="AV79" s="42">
        <v>-1.8183022753726075E-2</v>
      </c>
      <c r="AW79" s="42" t="s">
        <v>48</v>
      </c>
      <c r="AX79" s="40" t="s">
        <v>48</v>
      </c>
      <c r="AY79" s="40" t="s">
        <v>48</v>
      </c>
      <c r="AZ79" s="40" t="s">
        <v>48</v>
      </c>
      <c r="BA79" s="40" t="s">
        <v>48</v>
      </c>
      <c r="BB79" s="40" t="s">
        <v>48</v>
      </c>
      <c r="BC79" s="40" t="s">
        <v>48</v>
      </c>
      <c r="BD79" s="40" t="s">
        <v>48</v>
      </c>
      <c r="BE79" s="40" t="s">
        <v>48</v>
      </c>
      <c r="BF79" s="40" t="s">
        <v>48</v>
      </c>
      <c r="BG79" s="40" t="s">
        <v>48</v>
      </c>
      <c r="BH79" s="40" t="s">
        <v>48</v>
      </c>
      <c r="BI79" s="40" t="s">
        <v>48</v>
      </c>
      <c r="BJ79" s="40" t="s">
        <v>48</v>
      </c>
      <c r="BK79" s="40" t="s">
        <v>48</v>
      </c>
      <c r="BM79" s="33"/>
      <c r="BN79" s="38" t="str">
        <f>Notes!U80</f>
        <v xml:space="preserve">         Jute baling</v>
      </c>
      <c r="BO79" s="4" t="s">
        <v>726</v>
      </c>
      <c r="BP79" s="44" t="s">
        <v>48</v>
      </c>
      <c r="BQ79" s="42" t="s">
        <v>48</v>
      </c>
      <c r="BR79" s="42" t="s">
        <v>48</v>
      </c>
      <c r="BS79" s="40" t="s">
        <v>48</v>
      </c>
      <c r="BT79" s="40" t="s">
        <v>48</v>
      </c>
      <c r="BU79" s="40" t="s">
        <v>48</v>
      </c>
      <c r="BV79" s="40" t="s">
        <v>48</v>
      </c>
      <c r="BW79" s="40" t="s">
        <v>48</v>
      </c>
      <c r="BX79" s="40" t="s">
        <v>48</v>
      </c>
      <c r="BY79" s="40" t="s">
        <v>48</v>
      </c>
      <c r="BZ79" s="40" t="s">
        <v>48</v>
      </c>
      <c r="CA79" s="40" t="s">
        <v>48</v>
      </c>
      <c r="CB79" s="40" t="s">
        <v>48</v>
      </c>
      <c r="CC79" s="40" t="s">
        <v>48</v>
      </c>
      <c r="CD79" s="40" t="s">
        <v>48</v>
      </c>
      <c r="CE79" s="40" t="s">
        <v>48</v>
      </c>
      <c r="CF79" s="40" t="s">
        <v>48</v>
      </c>
      <c r="CH79" s="33"/>
      <c r="CI79" s="38" t="str">
        <f>Notes!U80</f>
        <v xml:space="preserve">         Jute baling</v>
      </c>
      <c r="CJ79" s="4" t="s">
        <v>726</v>
      </c>
      <c r="CK79" s="44">
        <v>1.0400383949951937</v>
      </c>
      <c r="CL79" s="42" t="s">
        <v>48</v>
      </c>
      <c r="CM79" s="42" t="s">
        <v>48</v>
      </c>
      <c r="CN79" s="40" t="s">
        <v>48</v>
      </c>
      <c r="CO79" s="40" t="s">
        <v>48</v>
      </c>
      <c r="CP79" s="40" t="s">
        <v>48</v>
      </c>
      <c r="CQ79" s="40" t="s">
        <v>48</v>
      </c>
      <c r="CR79" s="40" t="s">
        <v>48</v>
      </c>
      <c r="CS79" s="40" t="s">
        <v>48</v>
      </c>
      <c r="CT79" s="40" t="s">
        <v>48</v>
      </c>
      <c r="CU79" s="40" t="s">
        <v>48</v>
      </c>
      <c r="CV79" s="40" t="s">
        <v>48</v>
      </c>
      <c r="CW79" s="40" t="s">
        <v>48</v>
      </c>
      <c r="CX79" s="40" t="s">
        <v>48</v>
      </c>
      <c r="CY79" s="40" t="s">
        <v>48</v>
      </c>
      <c r="CZ79" s="40" t="s">
        <v>48</v>
      </c>
      <c r="DA79" s="40" t="s">
        <v>48</v>
      </c>
      <c r="DC79" s="33"/>
      <c r="DD79" s="38" t="str">
        <f>Notes!U80</f>
        <v xml:space="preserve">         Jute baling</v>
      </c>
      <c r="DE79" s="4" t="s">
        <v>726</v>
      </c>
      <c r="DF79" s="44" t="s">
        <v>48</v>
      </c>
      <c r="DG79" s="42" t="s">
        <v>48</v>
      </c>
      <c r="DH79" s="42" t="s">
        <v>48</v>
      </c>
      <c r="DI79" s="40" t="s">
        <v>48</v>
      </c>
      <c r="DJ79" s="40" t="s">
        <v>48</v>
      </c>
      <c r="DK79" s="40" t="s">
        <v>48</v>
      </c>
      <c r="DL79" s="40" t="s">
        <v>48</v>
      </c>
      <c r="DM79" s="40" t="s">
        <v>48</v>
      </c>
      <c r="DN79" s="40" t="s">
        <v>48</v>
      </c>
      <c r="DO79" s="40" t="s">
        <v>48</v>
      </c>
      <c r="DP79" s="40" t="s">
        <v>48</v>
      </c>
      <c r="DQ79" s="40" t="s">
        <v>48</v>
      </c>
      <c r="DR79" s="40" t="s">
        <v>48</v>
      </c>
      <c r="DS79" s="40" t="s">
        <v>48</v>
      </c>
      <c r="DT79" s="40" t="s">
        <v>48</v>
      </c>
      <c r="DU79" s="40" t="s">
        <v>48</v>
      </c>
      <c r="DV79" s="40" t="s">
        <v>48</v>
      </c>
    </row>
    <row r="80" spans="1:126" x14ac:dyDescent="0.3">
      <c r="A80" s="12">
        <v>73</v>
      </c>
      <c r="B80" s="33"/>
      <c r="C80" s="38" t="str">
        <f>Notes!U81</f>
        <v xml:space="preserve">         Jute fabrication</v>
      </c>
      <c r="D80" s="4" t="s">
        <v>728</v>
      </c>
      <c r="E80" s="44">
        <v>1</v>
      </c>
      <c r="F80" s="42">
        <v>9.3874719657494055E-3</v>
      </c>
      <c r="G80" s="42" t="s">
        <v>48</v>
      </c>
      <c r="H80" s="40" t="s">
        <v>48</v>
      </c>
      <c r="I80" s="40" t="s">
        <v>48</v>
      </c>
      <c r="J80" s="40" t="s">
        <v>48</v>
      </c>
      <c r="K80" s="40" t="s">
        <v>48</v>
      </c>
      <c r="L80" s="40" t="s">
        <v>48</v>
      </c>
      <c r="M80" s="40" t="s">
        <v>48</v>
      </c>
      <c r="N80" s="40" t="s">
        <v>48</v>
      </c>
      <c r="O80" s="40" t="s">
        <v>48</v>
      </c>
      <c r="P80" s="40" t="s">
        <v>48</v>
      </c>
      <c r="Q80" s="40" t="s">
        <v>48</v>
      </c>
      <c r="R80" s="40" t="s">
        <v>48</v>
      </c>
      <c r="S80" s="40" t="s">
        <v>48</v>
      </c>
      <c r="T80" s="40" t="s">
        <v>48</v>
      </c>
      <c r="U80" s="40" t="s">
        <v>48</v>
      </c>
      <c r="W80" s="33"/>
      <c r="X80" s="38" t="str">
        <f>Notes!U81</f>
        <v xml:space="preserve">         Jute fabrication</v>
      </c>
      <c r="Y80" s="4" t="s">
        <v>728</v>
      </c>
      <c r="Z80" s="44">
        <v>1.0390336727540377</v>
      </c>
      <c r="AA80" s="42">
        <v>8.5172853413695293E-3</v>
      </c>
      <c r="AB80" s="42" t="s">
        <v>48</v>
      </c>
      <c r="AC80" s="40" t="s">
        <v>48</v>
      </c>
      <c r="AD80" s="40" t="s">
        <v>48</v>
      </c>
      <c r="AE80" s="40" t="s">
        <v>48</v>
      </c>
      <c r="AF80" s="40" t="s">
        <v>48</v>
      </c>
      <c r="AG80" s="40" t="s">
        <v>48</v>
      </c>
      <c r="AH80" s="40" t="s">
        <v>48</v>
      </c>
      <c r="AI80" s="40" t="s">
        <v>48</v>
      </c>
      <c r="AJ80" s="40" t="s">
        <v>48</v>
      </c>
      <c r="AK80" s="40" t="s">
        <v>48</v>
      </c>
      <c r="AL80" s="40" t="s">
        <v>48</v>
      </c>
      <c r="AM80" s="40" t="s">
        <v>48</v>
      </c>
      <c r="AN80" s="40" t="s">
        <v>48</v>
      </c>
      <c r="AO80" s="40" t="s">
        <v>48</v>
      </c>
      <c r="AP80" s="40" t="s">
        <v>48</v>
      </c>
      <c r="AR80" s="33"/>
      <c r="AS80" s="38" t="str">
        <f>Notes!U81</f>
        <v xml:space="preserve">         Jute fabrication</v>
      </c>
      <c r="AT80" s="4" t="s">
        <v>728</v>
      </c>
      <c r="AU80" s="44" t="s">
        <v>48</v>
      </c>
      <c r="AV80" s="42" t="s">
        <v>48</v>
      </c>
      <c r="AW80" s="42" t="s">
        <v>48</v>
      </c>
      <c r="AX80" s="40" t="s">
        <v>48</v>
      </c>
      <c r="AY80" s="40" t="s">
        <v>48</v>
      </c>
      <c r="AZ80" s="40" t="s">
        <v>48</v>
      </c>
      <c r="BA80" s="40" t="s">
        <v>48</v>
      </c>
      <c r="BB80" s="40" t="s">
        <v>48</v>
      </c>
      <c r="BC80" s="40" t="s">
        <v>48</v>
      </c>
      <c r="BD80" s="40" t="s">
        <v>48</v>
      </c>
      <c r="BE80" s="40" t="s">
        <v>48</v>
      </c>
      <c r="BF80" s="40" t="s">
        <v>48</v>
      </c>
      <c r="BG80" s="40" t="s">
        <v>48</v>
      </c>
      <c r="BH80" s="40" t="s">
        <v>48</v>
      </c>
      <c r="BI80" s="40" t="s">
        <v>48</v>
      </c>
      <c r="BJ80" s="40" t="s">
        <v>48</v>
      </c>
      <c r="BK80" s="40" t="s">
        <v>48</v>
      </c>
      <c r="BM80" s="33"/>
      <c r="BN80" s="38" t="str">
        <f>Notes!U81</f>
        <v xml:space="preserve">         Jute fabrication</v>
      </c>
      <c r="BO80" s="4" t="s">
        <v>728</v>
      </c>
      <c r="BP80" s="44" t="s">
        <v>48</v>
      </c>
      <c r="BQ80" s="42" t="s">
        <v>48</v>
      </c>
      <c r="BR80" s="42" t="s">
        <v>48</v>
      </c>
      <c r="BS80" s="40" t="s">
        <v>48</v>
      </c>
      <c r="BT80" s="40" t="s">
        <v>48</v>
      </c>
      <c r="BU80" s="40" t="s">
        <v>48</v>
      </c>
      <c r="BV80" s="40" t="s">
        <v>48</v>
      </c>
      <c r="BW80" s="40" t="s">
        <v>48</v>
      </c>
      <c r="BX80" s="40" t="s">
        <v>48</v>
      </c>
      <c r="BY80" s="40" t="s">
        <v>48</v>
      </c>
      <c r="BZ80" s="40" t="s">
        <v>48</v>
      </c>
      <c r="CA80" s="40" t="s">
        <v>48</v>
      </c>
      <c r="CB80" s="40" t="s">
        <v>48</v>
      </c>
      <c r="CC80" s="40" t="s">
        <v>48</v>
      </c>
      <c r="CD80" s="40" t="s">
        <v>48</v>
      </c>
      <c r="CE80" s="40" t="s">
        <v>48</v>
      </c>
      <c r="CF80" s="40" t="s">
        <v>48</v>
      </c>
      <c r="CH80" s="33"/>
      <c r="CI80" s="38" t="str">
        <f>Notes!U81</f>
        <v xml:space="preserve">         Jute fabrication</v>
      </c>
      <c r="CJ80" s="4" t="s">
        <v>728</v>
      </c>
      <c r="CK80" s="44" t="s">
        <v>48</v>
      </c>
      <c r="CL80" s="42" t="s">
        <v>48</v>
      </c>
      <c r="CM80" s="42" t="s">
        <v>48</v>
      </c>
      <c r="CN80" s="40" t="s">
        <v>48</v>
      </c>
      <c r="CO80" s="40" t="s">
        <v>48</v>
      </c>
      <c r="CP80" s="40" t="s">
        <v>48</v>
      </c>
      <c r="CQ80" s="40" t="s">
        <v>48</v>
      </c>
      <c r="CR80" s="40" t="s">
        <v>48</v>
      </c>
      <c r="CS80" s="40" t="s">
        <v>48</v>
      </c>
      <c r="CT80" s="40" t="s">
        <v>48</v>
      </c>
      <c r="CU80" s="40" t="s">
        <v>48</v>
      </c>
      <c r="CV80" s="40" t="s">
        <v>48</v>
      </c>
      <c r="CW80" s="40" t="s">
        <v>48</v>
      </c>
      <c r="CX80" s="40" t="s">
        <v>48</v>
      </c>
      <c r="CY80" s="40" t="s">
        <v>48</v>
      </c>
      <c r="CZ80" s="40" t="s">
        <v>48</v>
      </c>
      <c r="DA80" s="40" t="s">
        <v>48</v>
      </c>
      <c r="DC80" s="33"/>
      <c r="DD80" s="38" t="str">
        <f>Notes!U81</f>
        <v xml:space="preserve">         Jute fabrication</v>
      </c>
      <c r="DE80" s="4" t="s">
        <v>728</v>
      </c>
      <c r="DF80" s="44" t="s">
        <v>48</v>
      </c>
      <c r="DG80" s="42" t="s">
        <v>48</v>
      </c>
      <c r="DH80" s="42" t="s">
        <v>48</v>
      </c>
      <c r="DI80" s="40" t="s">
        <v>48</v>
      </c>
      <c r="DJ80" s="40" t="s">
        <v>48</v>
      </c>
      <c r="DK80" s="40" t="s">
        <v>48</v>
      </c>
      <c r="DL80" s="40" t="s">
        <v>48</v>
      </c>
      <c r="DM80" s="40" t="s">
        <v>48</v>
      </c>
      <c r="DN80" s="40" t="s">
        <v>48</v>
      </c>
      <c r="DO80" s="40" t="s">
        <v>48</v>
      </c>
      <c r="DP80" s="40" t="s">
        <v>48</v>
      </c>
      <c r="DQ80" s="40" t="s">
        <v>48</v>
      </c>
      <c r="DR80" s="40" t="s">
        <v>48</v>
      </c>
      <c r="DS80" s="40" t="s">
        <v>48</v>
      </c>
      <c r="DT80" s="40" t="s">
        <v>48</v>
      </c>
      <c r="DU80" s="40" t="s">
        <v>48</v>
      </c>
      <c r="DV80" s="40" t="s">
        <v>48</v>
      </c>
    </row>
    <row r="81" spans="1:126" x14ac:dyDescent="0.3">
      <c r="A81" s="12">
        <v>74</v>
      </c>
      <c r="B81" s="33"/>
      <c r="C81" s="38" t="str">
        <f>Notes!U82</f>
        <v xml:space="preserve">         Cotton yarn</v>
      </c>
      <c r="D81" s="4" t="s">
        <v>730</v>
      </c>
      <c r="E81" s="44">
        <v>1</v>
      </c>
      <c r="F81" s="42">
        <v>2.2105931984262028E-3</v>
      </c>
      <c r="G81" s="42" t="s">
        <v>48</v>
      </c>
      <c r="H81" s="40" t="s">
        <v>48</v>
      </c>
      <c r="I81" s="40" t="s">
        <v>48</v>
      </c>
      <c r="J81" s="40" t="s">
        <v>48</v>
      </c>
      <c r="K81" s="40" t="s">
        <v>48</v>
      </c>
      <c r="L81" s="40" t="s">
        <v>48</v>
      </c>
      <c r="M81" s="40" t="s">
        <v>48</v>
      </c>
      <c r="N81" s="40" t="s">
        <v>48</v>
      </c>
      <c r="O81" s="40" t="s">
        <v>48</v>
      </c>
      <c r="P81" s="40" t="s">
        <v>48</v>
      </c>
      <c r="Q81" s="40" t="s">
        <v>48</v>
      </c>
      <c r="R81" s="40" t="s">
        <v>48</v>
      </c>
      <c r="S81" s="40" t="s">
        <v>48</v>
      </c>
      <c r="T81" s="40" t="s">
        <v>48</v>
      </c>
      <c r="U81" s="40" t="s">
        <v>48</v>
      </c>
      <c r="W81" s="33"/>
      <c r="X81" s="38" t="str">
        <f>Notes!U82</f>
        <v xml:space="preserve">         Cotton yarn</v>
      </c>
      <c r="Y81" s="4" t="s">
        <v>730</v>
      </c>
      <c r="Z81" s="44">
        <v>1.1383879181262098</v>
      </c>
      <c r="AA81" s="42">
        <v>-1.2929200245348493E-2</v>
      </c>
      <c r="AB81" s="42" t="s">
        <v>48</v>
      </c>
      <c r="AC81" s="40" t="s">
        <v>48</v>
      </c>
      <c r="AD81" s="40" t="s">
        <v>48</v>
      </c>
      <c r="AE81" s="40" t="s">
        <v>48</v>
      </c>
      <c r="AF81" s="40" t="s">
        <v>48</v>
      </c>
      <c r="AG81" s="40" t="s">
        <v>48</v>
      </c>
      <c r="AH81" s="40" t="s">
        <v>48</v>
      </c>
      <c r="AI81" s="40" t="s">
        <v>48</v>
      </c>
      <c r="AJ81" s="40" t="s">
        <v>48</v>
      </c>
      <c r="AK81" s="40" t="s">
        <v>48</v>
      </c>
      <c r="AL81" s="40" t="s">
        <v>48</v>
      </c>
      <c r="AM81" s="40" t="s">
        <v>48</v>
      </c>
      <c r="AN81" s="40" t="s">
        <v>48</v>
      </c>
      <c r="AO81" s="40" t="s">
        <v>48</v>
      </c>
      <c r="AP81" s="40" t="s">
        <v>48</v>
      </c>
      <c r="AR81" s="33"/>
      <c r="AS81" s="38" t="str">
        <f>Notes!U82</f>
        <v xml:space="preserve">         Cotton yarn</v>
      </c>
      <c r="AT81" s="4" t="s">
        <v>730</v>
      </c>
      <c r="AU81" s="44" t="s">
        <v>48</v>
      </c>
      <c r="AV81" s="42" t="s">
        <v>48</v>
      </c>
      <c r="AW81" s="42" t="s">
        <v>48</v>
      </c>
      <c r="AX81" s="40" t="s">
        <v>48</v>
      </c>
      <c r="AY81" s="40" t="s">
        <v>48</v>
      </c>
      <c r="AZ81" s="40" t="s">
        <v>48</v>
      </c>
      <c r="BA81" s="40" t="s">
        <v>48</v>
      </c>
      <c r="BB81" s="40" t="s">
        <v>48</v>
      </c>
      <c r="BC81" s="40" t="s">
        <v>48</v>
      </c>
      <c r="BD81" s="40" t="s">
        <v>48</v>
      </c>
      <c r="BE81" s="40" t="s">
        <v>48</v>
      </c>
      <c r="BF81" s="40" t="s">
        <v>48</v>
      </c>
      <c r="BG81" s="40" t="s">
        <v>48</v>
      </c>
      <c r="BH81" s="40" t="s">
        <v>48</v>
      </c>
      <c r="BI81" s="40" t="s">
        <v>48</v>
      </c>
      <c r="BJ81" s="40" t="s">
        <v>48</v>
      </c>
      <c r="BK81" s="40" t="s">
        <v>48</v>
      </c>
      <c r="BM81" s="33"/>
      <c r="BN81" s="38" t="str">
        <f>Notes!U82</f>
        <v xml:space="preserve">         Cotton yarn</v>
      </c>
      <c r="BO81" s="4" t="s">
        <v>730</v>
      </c>
      <c r="BP81" s="44">
        <v>1.1383879181262095</v>
      </c>
      <c r="BQ81" s="42">
        <v>-1.7500575539208807E-2</v>
      </c>
      <c r="BR81" s="42" t="s">
        <v>48</v>
      </c>
      <c r="BS81" s="40" t="s">
        <v>48</v>
      </c>
      <c r="BT81" s="40" t="s">
        <v>48</v>
      </c>
      <c r="BU81" s="40" t="s">
        <v>48</v>
      </c>
      <c r="BV81" s="40" t="s">
        <v>48</v>
      </c>
      <c r="BW81" s="40" t="s">
        <v>48</v>
      </c>
      <c r="BX81" s="40" t="s">
        <v>48</v>
      </c>
      <c r="BY81" s="40" t="s">
        <v>48</v>
      </c>
      <c r="BZ81" s="40" t="s">
        <v>48</v>
      </c>
      <c r="CA81" s="40" t="s">
        <v>48</v>
      </c>
      <c r="CB81" s="40" t="s">
        <v>48</v>
      </c>
      <c r="CC81" s="40" t="s">
        <v>48</v>
      </c>
      <c r="CD81" s="40" t="s">
        <v>48</v>
      </c>
      <c r="CE81" s="40" t="s">
        <v>48</v>
      </c>
      <c r="CF81" s="40" t="s">
        <v>48</v>
      </c>
      <c r="CH81" s="33"/>
      <c r="CI81" s="38" t="str">
        <f>Notes!U82</f>
        <v xml:space="preserve">         Cotton yarn</v>
      </c>
      <c r="CJ81" s="4" t="s">
        <v>730</v>
      </c>
      <c r="CK81" s="44" t="s">
        <v>48</v>
      </c>
      <c r="CL81" s="42" t="s">
        <v>48</v>
      </c>
      <c r="CM81" s="42" t="s">
        <v>48</v>
      </c>
      <c r="CN81" s="40" t="s">
        <v>48</v>
      </c>
      <c r="CO81" s="40" t="s">
        <v>48</v>
      </c>
      <c r="CP81" s="40" t="s">
        <v>48</v>
      </c>
      <c r="CQ81" s="40" t="s">
        <v>48</v>
      </c>
      <c r="CR81" s="40" t="s">
        <v>48</v>
      </c>
      <c r="CS81" s="40" t="s">
        <v>48</v>
      </c>
      <c r="CT81" s="40" t="s">
        <v>48</v>
      </c>
      <c r="CU81" s="40" t="s">
        <v>48</v>
      </c>
      <c r="CV81" s="40" t="s">
        <v>48</v>
      </c>
      <c r="CW81" s="40" t="s">
        <v>48</v>
      </c>
      <c r="CX81" s="40" t="s">
        <v>48</v>
      </c>
      <c r="CY81" s="40" t="s">
        <v>48</v>
      </c>
      <c r="CZ81" s="40" t="s">
        <v>48</v>
      </c>
      <c r="DA81" s="40" t="s">
        <v>48</v>
      </c>
      <c r="DC81" s="33"/>
      <c r="DD81" s="38" t="str">
        <f>Notes!U82</f>
        <v xml:space="preserve">         Cotton yarn</v>
      </c>
      <c r="DE81" s="4" t="s">
        <v>730</v>
      </c>
      <c r="DF81" s="44">
        <v>0.9913921227056558</v>
      </c>
      <c r="DG81" s="42" t="s">
        <v>48</v>
      </c>
      <c r="DH81" s="42" t="s">
        <v>48</v>
      </c>
      <c r="DI81" s="40" t="s">
        <v>48</v>
      </c>
      <c r="DJ81" s="40" t="s">
        <v>48</v>
      </c>
      <c r="DK81" s="40" t="s">
        <v>48</v>
      </c>
      <c r="DL81" s="40" t="s">
        <v>48</v>
      </c>
      <c r="DM81" s="40" t="s">
        <v>48</v>
      </c>
      <c r="DN81" s="40" t="s">
        <v>48</v>
      </c>
      <c r="DO81" s="40" t="s">
        <v>48</v>
      </c>
      <c r="DP81" s="40" t="s">
        <v>48</v>
      </c>
      <c r="DQ81" s="40" t="s">
        <v>48</v>
      </c>
      <c r="DR81" s="40" t="s">
        <v>48</v>
      </c>
      <c r="DS81" s="40" t="s">
        <v>48</v>
      </c>
      <c r="DT81" s="40" t="s">
        <v>48</v>
      </c>
      <c r="DU81" s="40" t="s">
        <v>48</v>
      </c>
      <c r="DV81" s="40" t="s">
        <v>48</v>
      </c>
    </row>
    <row r="82" spans="1:126" x14ac:dyDescent="0.3">
      <c r="A82" s="12">
        <v>75</v>
      </c>
      <c r="B82" s="33"/>
      <c r="C82" s="38" t="str">
        <f>Notes!U83</f>
        <v xml:space="preserve">         Textiles</v>
      </c>
      <c r="D82" s="4" t="s">
        <v>375</v>
      </c>
      <c r="E82" s="44">
        <v>1</v>
      </c>
      <c r="F82" s="42">
        <v>-1.0232994407721741E-3</v>
      </c>
      <c r="G82" s="42" t="s">
        <v>48</v>
      </c>
      <c r="H82" s="40" t="s">
        <v>48</v>
      </c>
      <c r="I82" s="40" t="s">
        <v>48</v>
      </c>
      <c r="J82" s="40" t="s">
        <v>48</v>
      </c>
      <c r="K82" s="40" t="s">
        <v>48</v>
      </c>
      <c r="L82" s="40" t="s">
        <v>48</v>
      </c>
      <c r="M82" s="40" t="s">
        <v>48</v>
      </c>
      <c r="N82" s="40" t="s">
        <v>48</v>
      </c>
      <c r="O82" s="40" t="s">
        <v>48</v>
      </c>
      <c r="P82" s="40" t="s">
        <v>48</v>
      </c>
      <c r="Q82" s="40" t="s">
        <v>48</v>
      </c>
      <c r="R82" s="40" t="s">
        <v>48</v>
      </c>
      <c r="S82" s="40" t="s">
        <v>48</v>
      </c>
      <c r="T82" s="40" t="s">
        <v>48</v>
      </c>
      <c r="U82" s="40" t="s">
        <v>48</v>
      </c>
      <c r="W82" s="33"/>
      <c r="X82" s="38" t="str">
        <f>Notes!U83</f>
        <v xml:space="preserve">         Textiles</v>
      </c>
      <c r="Y82" s="4" t="s">
        <v>375</v>
      </c>
      <c r="Z82" s="44">
        <v>1.1178804159682898</v>
      </c>
      <c r="AA82" s="42">
        <v>-8.4875972650721998E-3</v>
      </c>
      <c r="AB82" s="42" t="s">
        <v>48</v>
      </c>
      <c r="AC82" s="40" t="s">
        <v>48</v>
      </c>
      <c r="AD82" s="40" t="s">
        <v>48</v>
      </c>
      <c r="AE82" s="40" t="s">
        <v>48</v>
      </c>
      <c r="AF82" s="40" t="s">
        <v>48</v>
      </c>
      <c r="AG82" s="40" t="s">
        <v>48</v>
      </c>
      <c r="AH82" s="40" t="s">
        <v>48</v>
      </c>
      <c r="AI82" s="40" t="s">
        <v>48</v>
      </c>
      <c r="AJ82" s="40" t="s">
        <v>48</v>
      </c>
      <c r="AK82" s="40" t="s">
        <v>48</v>
      </c>
      <c r="AL82" s="40" t="s">
        <v>48</v>
      </c>
      <c r="AM82" s="40" t="s">
        <v>48</v>
      </c>
      <c r="AN82" s="40" t="s">
        <v>48</v>
      </c>
      <c r="AO82" s="40" t="s">
        <v>48</v>
      </c>
      <c r="AP82" s="40" t="s">
        <v>48</v>
      </c>
      <c r="AR82" s="33"/>
      <c r="AS82" s="38" t="str">
        <f>Notes!U83</f>
        <v xml:space="preserve">         Textiles</v>
      </c>
      <c r="AT82" s="4" t="s">
        <v>375</v>
      </c>
      <c r="AU82" s="44">
        <v>1</v>
      </c>
      <c r="AV82" s="42">
        <v>-1.8436119366238568E-2</v>
      </c>
      <c r="AW82" s="42" t="s">
        <v>48</v>
      </c>
      <c r="AX82" s="40" t="s">
        <v>48</v>
      </c>
      <c r="AY82" s="40" t="s">
        <v>48</v>
      </c>
      <c r="AZ82" s="40" t="s">
        <v>48</v>
      </c>
      <c r="BA82" s="40" t="s">
        <v>48</v>
      </c>
      <c r="BB82" s="40" t="s">
        <v>48</v>
      </c>
      <c r="BC82" s="40" t="s">
        <v>48</v>
      </c>
      <c r="BD82" s="40" t="s">
        <v>48</v>
      </c>
      <c r="BE82" s="40" t="s">
        <v>48</v>
      </c>
      <c r="BF82" s="40" t="s">
        <v>48</v>
      </c>
      <c r="BG82" s="40" t="s">
        <v>48</v>
      </c>
      <c r="BH82" s="40" t="s">
        <v>48</v>
      </c>
      <c r="BI82" s="40" t="s">
        <v>48</v>
      </c>
      <c r="BJ82" s="40" t="s">
        <v>48</v>
      </c>
      <c r="BK82" s="40" t="s">
        <v>48</v>
      </c>
      <c r="BM82" s="33"/>
      <c r="BN82" s="38" t="str">
        <f>Notes!U83</f>
        <v xml:space="preserve">         Textiles</v>
      </c>
      <c r="BO82" s="4" t="s">
        <v>375</v>
      </c>
      <c r="BP82" s="44">
        <v>1.0999698832275349</v>
      </c>
      <c r="BQ82" s="42">
        <v>-1.7630137033564086E-2</v>
      </c>
      <c r="BR82" s="42" t="s">
        <v>48</v>
      </c>
      <c r="BS82" s="40" t="s">
        <v>48</v>
      </c>
      <c r="BT82" s="40" t="s">
        <v>48</v>
      </c>
      <c r="BU82" s="40" t="s">
        <v>48</v>
      </c>
      <c r="BV82" s="40" t="s">
        <v>48</v>
      </c>
      <c r="BW82" s="40" t="s">
        <v>48</v>
      </c>
      <c r="BX82" s="40" t="s">
        <v>48</v>
      </c>
      <c r="BY82" s="40" t="s">
        <v>48</v>
      </c>
      <c r="BZ82" s="40" t="s">
        <v>48</v>
      </c>
      <c r="CA82" s="40" t="s">
        <v>48</v>
      </c>
      <c r="CB82" s="40" t="s">
        <v>48</v>
      </c>
      <c r="CC82" s="40" t="s">
        <v>48</v>
      </c>
      <c r="CD82" s="40" t="s">
        <v>48</v>
      </c>
      <c r="CE82" s="40" t="s">
        <v>48</v>
      </c>
      <c r="CF82" s="40" t="s">
        <v>48</v>
      </c>
      <c r="CH82" s="33"/>
      <c r="CI82" s="38" t="str">
        <f>Notes!U83</f>
        <v xml:space="preserve">         Textiles</v>
      </c>
      <c r="CJ82" s="4" t="s">
        <v>375</v>
      </c>
      <c r="CK82" s="44">
        <v>1.0999698832275351</v>
      </c>
      <c r="CL82" s="42" t="s">
        <v>48</v>
      </c>
      <c r="CM82" s="42" t="s">
        <v>48</v>
      </c>
      <c r="CN82" s="40" t="s">
        <v>48</v>
      </c>
      <c r="CO82" s="40" t="s">
        <v>48</v>
      </c>
      <c r="CP82" s="40" t="s">
        <v>48</v>
      </c>
      <c r="CQ82" s="40" t="s">
        <v>48</v>
      </c>
      <c r="CR82" s="40" t="s">
        <v>48</v>
      </c>
      <c r="CS82" s="40" t="s">
        <v>48</v>
      </c>
      <c r="CT82" s="40" t="s">
        <v>48</v>
      </c>
      <c r="CU82" s="40" t="s">
        <v>48</v>
      </c>
      <c r="CV82" s="40" t="s">
        <v>48</v>
      </c>
      <c r="CW82" s="40" t="s">
        <v>48</v>
      </c>
      <c r="CX82" s="40" t="s">
        <v>48</v>
      </c>
      <c r="CY82" s="40" t="s">
        <v>48</v>
      </c>
      <c r="CZ82" s="40" t="s">
        <v>48</v>
      </c>
      <c r="DA82" s="40" t="s">
        <v>48</v>
      </c>
      <c r="DC82" s="33"/>
      <c r="DD82" s="38" t="str">
        <f>Notes!U83</f>
        <v xml:space="preserve">         Textiles</v>
      </c>
      <c r="DE82" s="4" t="s">
        <v>375</v>
      </c>
      <c r="DF82" s="44">
        <v>0.99346191209130175</v>
      </c>
      <c r="DG82" s="42" t="s">
        <v>48</v>
      </c>
      <c r="DH82" s="42" t="s">
        <v>48</v>
      </c>
      <c r="DI82" s="40" t="s">
        <v>48</v>
      </c>
      <c r="DJ82" s="40" t="s">
        <v>48</v>
      </c>
      <c r="DK82" s="40" t="s">
        <v>48</v>
      </c>
      <c r="DL82" s="40" t="s">
        <v>48</v>
      </c>
      <c r="DM82" s="40" t="s">
        <v>48</v>
      </c>
      <c r="DN82" s="40" t="s">
        <v>48</v>
      </c>
      <c r="DO82" s="40" t="s">
        <v>48</v>
      </c>
      <c r="DP82" s="40" t="s">
        <v>48</v>
      </c>
      <c r="DQ82" s="40" t="s">
        <v>48</v>
      </c>
      <c r="DR82" s="40" t="s">
        <v>48</v>
      </c>
      <c r="DS82" s="40" t="s">
        <v>48</v>
      </c>
      <c r="DT82" s="40" t="s">
        <v>48</v>
      </c>
      <c r="DU82" s="40" t="s">
        <v>48</v>
      </c>
      <c r="DV82" s="40" t="s">
        <v>48</v>
      </c>
    </row>
    <row r="83" spans="1:126" x14ac:dyDescent="0.3">
      <c r="A83" s="12">
        <v>76</v>
      </c>
      <c r="B83" s="33"/>
      <c r="C83" s="38" t="str">
        <f>Notes!U84</f>
        <v xml:space="preserve">         Clothing</v>
      </c>
      <c r="D83" s="4" t="s">
        <v>376</v>
      </c>
      <c r="E83" s="44">
        <v>1</v>
      </c>
      <c r="F83" s="42">
        <v>-9.7514127882503132E-4</v>
      </c>
      <c r="G83" s="42" t="s">
        <v>48</v>
      </c>
      <c r="H83" s="40" t="s">
        <v>48</v>
      </c>
      <c r="I83" s="40" t="s">
        <v>48</v>
      </c>
      <c r="J83" s="40" t="s">
        <v>48</v>
      </c>
      <c r="K83" s="40" t="s">
        <v>48</v>
      </c>
      <c r="L83" s="40" t="s">
        <v>48</v>
      </c>
      <c r="M83" s="40" t="s">
        <v>48</v>
      </c>
      <c r="N83" s="40" t="s">
        <v>48</v>
      </c>
      <c r="O83" s="40" t="s">
        <v>48</v>
      </c>
      <c r="P83" s="40" t="s">
        <v>48</v>
      </c>
      <c r="Q83" s="40" t="s">
        <v>48</v>
      </c>
      <c r="R83" s="40" t="s">
        <v>48</v>
      </c>
      <c r="S83" s="40" t="s">
        <v>48</v>
      </c>
      <c r="T83" s="40" t="s">
        <v>48</v>
      </c>
      <c r="U83" s="40" t="s">
        <v>48</v>
      </c>
      <c r="W83" s="33"/>
      <c r="X83" s="38" t="str">
        <f>Notes!U84</f>
        <v xml:space="preserve">         Clothing</v>
      </c>
      <c r="Y83" s="4" t="s">
        <v>376</v>
      </c>
      <c r="Z83" s="44">
        <v>1.1005089144669575</v>
      </c>
      <c r="AA83" s="42">
        <v>1.1075214434175251E-2</v>
      </c>
      <c r="AB83" s="42" t="s">
        <v>48</v>
      </c>
      <c r="AC83" s="40" t="s">
        <v>48</v>
      </c>
      <c r="AD83" s="40" t="s">
        <v>48</v>
      </c>
      <c r="AE83" s="40" t="s">
        <v>48</v>
      </c>
      <c r="AF83" s="40" t="s">
        <v>48</v>
      </c>
      <c r="AG83" s="40" t="s">
        <v>48</v>
      </c>
      <c r="AH83" s="40" t="s">
        <v>48</v>
      </c>
      <c r="AI83" s="40" t="s">
        <v>48</v>
      </c>
      <c r="AJ83" s="40" t="s">
        <v>48</v>
      </c>
      <c r="AK83" s="40" t="s">
        <v>48</v>
      </c>
      <c r="AL83" s="40" t="s">
        <v>48</v>
      </c>
      <c r="AM83" s="40" t="s">
        <v>48</v>
      </c>
      <c r="AN83" s="40" t="s">
        <v>48</v>
      </c>
      <c r="AO83" s="40" t="s">
        <v>48</v>
      </c>
      <c r="AP83" s="40" t="s">
        <v>48</v>
      </c>
      <c r="AR83" s="33"/>
      <c r="AS83" s="38" t="str">
        <f>Notes!U84</f>
        <v xml:space="preserve">         Clothing</v>
      </c>
      <c r="AT83" s="4" t="s">
        <v>376</v>
      </c>
      <c r="AU83" s="44">
        <v>1</v>
      </c>
      <c r="AV83" s="42">
        <v>-1.841629649559362E-2</v>
      </c>
      <c r="AW83" s="42" t="s">
        <v>48</v>
      </c>
      <c r="AX83" s="40" t="s">
        <v>48</v>
      </c>
      <c r="AY83" s="40" t="s">
        <v>48</v>
      </c>
      <c r="AZ83" s="40" t="s">
        <v>48</v>
      </c>
      <c r="BA83" s="40" t="s">
        <v>48</v>
      </c>
      <c r="BB83" s="40" t="s">
        <v>48</v>
      </c>
      <c r="BC83" s="40" t="s">
        <v>48</v>
      </c>
      <c r="BD83" s="40" t="s">
        <v>48</v>
      </c>
      <c r="BE83" s="40" t="s">
        <v>48</v>
      </c>
      <c r="BF83" s="40" t="s">
        <v>48</v>
      </c>
      <c r="BG83" s="40" t="s">
        <v>48</v>
      </c>
      <c r="BH83" s="40" t="s">
        <v>48</v>
      </c>
      <c r="BI83" s="40" t="s">
        <v>48</v>
      </c>
      <c r="BJ83" s="40" t="s">
        <v>48</v>
      </c>
      <c r="BK83" s="40" t="s">
        <v>48</v>
      </c>
      <c r="BM83" s="33"/>
      <c r="BN83" s="38" t="str">
        <f>Notes!U84</f>
        <v xml:space="preserve">         Clothing</v>
      </c>
      <c r="BO83" s="4" t="s">
        <v>376</v>
      </c>
      <c r="BP83" s="44" t="s">
        <v>48</v>
      </c>
      <c r="BQ83" s="42" t="s">
        <v>48</v>
      </c>
      <c r="BR83" s="42" t="s">
        <v>48</v>
      </c>
      <c r="BS83" s="40" t="s">
        <v>48</v>
      </c>
      <c r="BT83" s="40" t="s">
        <v>48</v>
      </c>
      <c r="BU83" s="40" t="s">
        <v>48</v>
      </c>
      <c r="BV83" s="40" t="s">
        <v>48</v>
      </c>
      <c r="BW83" s="40" t="s">
        <v>48</v>
      </c>
      <c r="BX83" s="40" t="s">
        <v>48</v>
      </c>
      <c r="BY83" s="40" t="s">
        <v>48</v>
      </c>
      <c r="BZ83" s="40" t="s">
        <v>48</v>
      </c>
      <c r="CA83" s="40" t="s">
        <v>48</v>
      </c>
      <c r="CB83" s="40" t="s">
        <v>48</v>
      </c>
      <c r="CC83" s="40" t="s">
        <v>48</v>
      </c>
      <c r="CD83" s="40" t="s">
        <v>48</v>
      </c>
      <c r="CE83" s="40" t="s">
        <v>48</v>
      </c>
      <c r="CF83" s="40" t="s">
        <v>48</v>
      </c>
      <c r="CH83" s="33"/>
      <c r="CI83" s="38" t="str">
        <f>Notes!U84</f>
        <v xml:space="preserve">         Clothing</v>
      </c>
      <c r="CJ83" s="4" t="s">
        <v>376</v>
      </c>
      <c r="CK83" s="44">
        <v>1.0952777741405029</v>
      </c>
      <c r="CL83" s="42" t="s">
        <v>48</v>
      </c>
      <c r="CM83" s="42" t="s">
        <v>48</v>
      </c>
      <c r="CN83" s="40" t="s">
        <v>48</v>
      </c>
      <c r="CO83" s="40" t="s">
        <v>48</v>
      </c>
      <c r="CP83" s="40" t="s">
        <v>48</v>
      </c>
      <c r="CQ83" s="40" t="s">
        <v>48</v>
      </c>
      <c r="CR83" s="40" t="s">
        <v>48</v>
      </c>
      <c r="CS83" s="40" t="s">
        <v>48</v>
      </c>
      <c r="CT83" s="40" t="s">
        <v>48</v>
      </c>
      <c r="CU83" s="40" t="s">
        <v>48</v>
      </c>
      <c r="CV83" s="40" t="s">
        <v>48</v>
      </c>
      <c r="CW83" s="40" t="s">
        <v>48</v>
      </c>
      <c r="CX83" s="40" t="s">
        <v>48</v>
      </c>
      <c r="CY83" s="40" t="s">
        <v>48</v>
      </c>
      <c r="CZ83" s="40" t="s">
        <v>48</v>
      </c>
      <c r="DA83" s="40" t="s">
        <v>48</v>
      </c>
      <c r="DC83" s="33"/>
      <c r="DD83" s="38" t="str">
        <f>Notes!U84</f>
        <v xml:space="preserve">         Clothing</v>
      </c>
      <c r="DE83" s="4" t="s">
        <v>376</v>
      </c>
      <c r="DF83" s="44" t="s">
        <v>48</v>
      </c>
      <c r="DG83" s="42" t="s">
        <v>48</v>
      </c>
      <c r="DH83" s="42" t="s">
        <v>48</v>
      </c>
      <c r="DI83" s="40" t="s">
        <v>48</v>
      </c>
      <c r="DJ83" s="40" t="s">
        <v>48</v>
      </c>
      <c r="DK83" s="40" t="s">
        <v>48</v>
      </c>
      <c r="DL83" s="40" t="s">
        <v>48</v>
      </c>
      <c r="DM83" s="40" t="s">
        <v>48</v>
      </c>
      <c r="DN83" s="40" t="s">
        <v>48</v>
      </c>
      <c r="DO83" s="40" t="s">
        <v>48</v>
      </c>
      <c r="DP83" s="40" t="s">
        <v>48</v>
      </c>
      <c r="DQ83" s="40" t="s">
        <v>48</v>
      </c>
      <c r="DR83" s="40" t="s">
        <v>48</v>
      </c>
      <c r="DS83" s="40" t="s">
        <v>48</v>
      </c>
      <c r="DT83" s="40" t="s">
        <v>48</v>
      </c>
      <c r="DU83" s="40" t="s">
        <v>48</v>
      </c>
      <c r="DV83" s="40" t="s">
        <v>48</v>
      </c>
    </row>
    <row r="84" spans="1:126" x14ac:dyDescent="0.3">
      <c r="A84" s="12">
        <v>77</v>
      </c>
      <c r="B84" s="33"/>
      <c r="C84" s="38" t="str">
        <f>Notes!U85</f>
        <v xml:space="preserve">         Leather and footwear</v>
      </c>
      <c r="D84" s="4" t="s">
        <v>377</v>
      </c>
      <c r="E84" s="44">
        <v>1</v>
      </c>
      <c r="F84" s="42">
        <v>9.062562549533304E-3</v>
      </c>
      <c r="G84" s="42" t="s">
        <v>48</v>
      </c>
      <c r="H84" s="40" t="s">
        <v>48</v>
      </c>
      <c r="I84" s="40" t="s">
        <v>48</v>
      </c>
      <c r="J84" s="40" t="s">
        <v>48</v>
      </c>
      <c r="K84" s="40" t="s">
        <v>48</v>
      </c>
      <c r="L84" s="40" t="s">
        <v>48</v>
      </c>
      <c r="M84" s="40" t="s">
        <v>48</v>
      </c>
      <c r="N84" s="40" t="s">
        <v>48</v>
      </c>
      <c r="O84" s="40" t="s">
        <v>48</v>
      </c>
      <c r="P84" s="40" t="s">
        <v>48</v>
      </c>
      <c r="Q84" s="40" t="s">
        <v>48</v>
      </c>
      <c r="R84" s="40" t="s">
        <v>48</v>
      </c>
      <c r="S84" s="40" t="s">
        <v>48</v>
      </c>
      <c r="T84" s="40" t="s">
        <v>48</v>
      </c>
      <c r="U84" s="40" t="s">
        <v>48</v>
      </c>
      <c r="W84" s="33"/>
      <c r="X84" s="38" t="str">
        <f>Notes!U85</f>
        <v xml:space="preserve">         Leather and footwear</v>
      </c>
      <c r="Y84" s="4" t="s">
        <v>377</v>
      </c>
      <c r="Z84" s="44">
        <v>1.1795082550119034</v>
      </c>
      <c r="AA84" s="42">
        <v>7.8514268571971968E-3</v>
      </c>
      <c r="AB84" s="42" t="s">
        <v>48</v>
      </c>
      <c r="AC84" s="40" t="s">
        <v>48</v>
      </c>
      <c r="AD84" s="40" t="s">
        <v>48</v>
      </c>
      <c r="AE84" s="40" t="s">
        <v>48</v>
      </c>
      <c r="AF84" s="40" t="s">
        <v>48</v>
      </c>
      <c r="AG84" s="40" t="s">
        <v>48</v>
      </c>
      <c r="AH84" s="40" t="s">
        <v>48</v>
      </c>
      <c r="AI84" s="40" t="s">
        <v>48</v>
      </c>
      <c r="AJ84" s="40" t="s">
        <v>48</v>
      </c>
      <c r="AK84" s="40" t="s">
        <v>48</v>
      </c>
      <c r="AL84" s="40" t="s">
        <v>48</v>
      </c>
      <c r="AM84" s="40" t="s">
        <v>48</v>
      </c>
      <c r="AN84" s="40" t="s">
        <v>48</v>
      </c>
      <c r="AO84" s="40" t="s">
        <v>48</v>
      </c>
      <c r="AP84" s="40" t="s">
        <v>48</v>
      </c>
      <c r="AR84" s="33"/>
      <c r="AS84" s="38" t="str">
        <f>Notes!U85</f>
        <v xml:space="preserve">         Leather and footwear</v>
      </c>
      <c r="AT84" s="4" t="s">
        <v>377</v>
      </c>
      <c r="AU84" s="44">
        <v>1</v>
      </c>
      <c r="AV84" s="42">
        <v>-1.8772023727031684E-2</v>
      </c>
      <c r="AW84" s="42" t="s">
        <v>48</v>
      </c>
      <c r="AX84" s="40" t="s">
        <v>48</v>
      </c>
      <c r="AY84" s="40" t="s">
        <v>48</v>
      </c>
      <c r="AZ84" s="40" t="s">
        <v>48</v>
      </c>
      <c r="BA84" s="40" t="s">
        <v>48</v>
      </c>
      <c r="BB84" s="40" t="s">
        <v>48</v>
      </c>
      <c r="BC84" s="40" t="s">
        <v>48</v>
      </c>
      <c r="BD84" s="40" t="s">
        <v>48</v>
      </c>
      <c r="BE84" s="40" t="s">
        <v>48</v>
      </c>
      <c r="BF84" s="40" t="s">
        <v>48</v>
      </c>
      <c r="BG84" s="40" t="s">
        <v>48</v>
      </c>
      <c r="BH84" s="40" t="s">
        <v>48</v>
      </c>
      <c r="BI84" s="40" t="s">
        <v>48</v>
      </c>
      <c r="BJ84" s="40" t="s">
        <v>48</v>
      </c>
      <c r="BK84" s="40" t="s">
        <v>48</v>
      </c>
      <c r="BM84" s="33"/>
      <c r="BN84" s="38" t="str">
        <f>Notes!U85</f>
        <v xml:space="preserve">         Leather and footwear</v>
      </c>
      <c r="BO84" s="4" t="s">
        <v>377</v>
      </c>
      <c r="BP84" s="44" t="s">
        <v>48</v>
      </c>
      <c r="BQ84" s="42" t="s">
        <v>48</v>
      </c>
      <c r="BR84" s="42" t="s">
        <v>48</v>
      </c>
      <c r="BS84" s="40" t="s">
        <v>48</v>
      </c>
      <c r="BT84" s="40" t="s">
        <v>48</v>
      </c>
      <c r="BU84" s="40" t="s">
        <v>48</v>
      </c>
      <c r="BV84" s="40" t="s">
        <v>48</v>
      </c>
      <c r="BW84" s="40" t="s">
        <v>48</v>
      </c>
      <c r="BX84" s="40" t="s">
        <v>48</v>
      </c>
      <c r="BY84" s="40" t="s">
        <v>48</v>
      </c>
      <c r="BZ84" s="40" t="s">
        <v>48</v>
      </c>
      <c r="CA84" s="40" t="s">
        <v>48</v>
      </c>
      <c r="CB84" s="40" t="s">
        <v>48</v>
      </c>
      <c r="CC84" s="40" t="s">
        <v>48</v>
      </c>
      <c r="CD84" s="40" t="s">
        <v>48</v>
      </c>
      <c r="CE84" s="40" t="s">
        <v>48</v>
      </c>
      <c r="CF84" s="40" t="s">
        <v>48</v>
      </c>
      <c r="CH84" s="33"/>
      <c r="CI84" s="38" t="str">
        <f>Notes!U85</f>
        <v xml:space="preserve">         Leather and footwear</v>
      </c>
      <c r="CJ84" s="4" t="s">
        <v>377</v>
      </c>
      <c r="CK84" s="44">
        <v>1.1795082550119029</v>
      </c>
      <c r="CL84" s="42" t="s">
        <v>48</v>
      </c>
      <c r="CM84" s="42" t="s">
        <v>48</v>
      </c>
      <c r="CN84" s="40" t="s">
        <v>48</v>
      </c>
      <c r="CO84" s="40" t="s">
        <v>48</v>
      </c>
      <c r="CP84" s="40" t="s">
        <v>48</v>
      </c>
      <c r="CQ84" s="40" t="s">
        <v>48</v>
      </c>
      <c r="CR84" s="40" t="s">
        <v>48</v>
      </c>
      <c r="CS84" s="40" t="s">
        <v>48</v>
      </c>
      <c r="CT84" s="40" t="s">
        <v>48</v>
      </c>
      <c r="CU84" s="40" t="s">
        <v>48</v>
      </c>
      <c r="CV84" s="40" t="s">
        <v>48</v>
      </c>
      <c r="CW84" s="40" t="s">
        <v>48</v>
      </c>
      <c r="CX84" s="40" t="s">
        <v>48</v>
      </c>
      <c r="CY84" s="40" t="s">
        <v>48</v>
      </c>
      <c r="CZ84" s="40" t="s">
        <v>48</v>
      </c>
      <c r="DA84" s="40" t="s">
        <v>48</v>
      </c>
      <c r="DC84" s="33"/>
      <c r="DD84" s="38" t="str">
        <f>Notes!U85</f>
        <v xml:space="preserve">         Leather and footwear</v>
      </c>
      <c r="DE84" s="4" t="s">
        <v>377</v>
      </c>
      <c r="DF84" s="44" t="s">
        <v>48</v>
      </c>
      <c r="DG84" s="42" t="s">
        <v>48</v>
      </c>
      <c r="DH84" s="42" t="s">
        <v>48</v>
      </c>
      <c r="DI84" s="40" t="s">
        <v>48</v>
      </c>
      <c r="DJ84" s="40" t="s">
        <v>48</v>
      </c>
      <c r="DK84" s="40" t="s">
        <v>48</v>
      </c>
      <c r="DL84" s="40" t="s">
        <v>48</v>
      </c>
      <c r="DM84" s="40" t="s">
        <v>48</v>
      </c>
      <c r="DN84" s="40" t="s">
        <v>48</v>
      </c>
      <c r="DO84" s="40" t="s">
        <v>48</v>
      </c>
      <c r="DP84" s="40" t="s">
        <v>48</v>
      </c>
      <c r="DQ84" s="40" t="s">
        <v>48</v>
      </c>
      <c r="DR84" s="40" t="s">
        <v>48</v>
      </c>
      <c r="DS84" s="40" t="s">
        <v>48</v>
      </c>
      <c r="DT84" s="40" t="s">
        <v>48</v>
      </c>
      <c r="DU84" s="40" t="s">
        <v>48</v>
      </c>
      <c r="DV84" s="40" t="s">
        <v>48</v>
      </c>
    </row>
    <row r="85" spans="1:126" x14ac:dyDescent="0.3">
      <c r="A85" s="12">
        <v>78</v>
      </c>
      <c r="B85" s="33"/>
      <c r="C85" s="38" t="str">
        <f>Notes!U86</f>
        <v xml:space="preserve">      Wood and paper products</v>
      </c>
      <c r="D85" s="4" t="s">
        <v>378</v>
      </c>
      <c r="E85" s="44">
        <v>1</v>
      </c>
      <c r="F85" s="42">
        <v>-2.1885846338098869E-2</v>
      </c>
      <c r="G85" s="42" t="s">
        <v>48</v>
      </c>
      <c r="H85" s="40" t="s">
        <v>48</v>
      </c>
      <c r="I85" s="40" t="s">
        <v>48</v>
      </c>
      <c r="J85" s="40" t="s">
        <v>48</v>
      </c>
      <c r="K85" s="40" t="s">
        <v>48</v>
      </c>
      <c r="L85" s="40" t="s">
        <v>48</v>
      </c>
      <c r="M85" s="40" t="s">
        <v>48</v>
      </c>
      <c r="N85" s="40" t="s">
        <v>48</v>
      </c>
      <c r="O85" s="40" t="s">
        <v>48</v>
      </c>
      <c r="P85" s="40" t="s">
        <v>48</v>
      </c>
      <c r="Q85" s="40" t="s">
        <v>48</v>
      </c>
      <c r="R85" s="40" t="s">
        <v>48</v>
      </c>
      <c r="S85" s="40" t="s">
        <v>48</v>
      </c>
      <c r="T85" s="40" t="s">
        <v>48</v>
      </c>
      <c r="U85" s="40" t="s">
        <v>48</v>
      </c>
      <c r="W85" s="33"/>
      <c r="X85" s="38" t="str">
        <f>Notes!U86</f>
        <v xml:space="preserve">      Wood and paper products</v>
      </c>
      <c r="Y85" s="4" t="s">
        <v>378</v>
      </c>
      <c r="Z85" s="44">
        <v>1.2122990613171603</v>
      </c>
      <c r="AA85" s="42">
        <v>-1.871340756112172E-2</v>
      </c>
      <c r="AB85" s="42" t="s">
        <v>48</v>
      </c>
      <c r="AC85" s="40" t="s">
        <v>48</v>
      </c>
      <c r="AD85" s="40" t="s">
        <v>48</v>
      </c>
      <c r="AE85" s="40" t="s">
        <v>48</v>
      </c>
      <c r="AF85" s="40" t="s">
        <v>48</v>
      </c>
      <c r="AG85" s="40" t="s">
        <v>48</v>
      </c>
      <c r="AH85" s="40" t="s">
        <v>48</v>
      </c>
      <c r="AI85" s="40" t="s">
        <v>48</v>
      </c>
      <c r="AJ85" s="40" t="s">
        <v>48</v>
      </c>
      <c r="AK85" s="40" t="s">
        <v>48</v>
      </c>
      <c r="AL85" s="40" t="s">
        <v>48</v>
      </c>
      <c r="AM85" s="40" t="s">
        <v>48</v>
      </c>
      <c r="AN85" s="40" t="s">
        <v>48</v>
      </c>
      <c r="AO85" s="40" t="s">
        <v>48</v>
      </c>
      <c r="AP85" s="40" t="s">
        <v>48</v>
      </c>
      <c r="AR85" s="33"/>
      <c r="AS85" s="38" t="str">
        <f>Notes!U86</f>
        <v xml:space="preserve">      Wood and paper products</v>
      </c>
      <c r="AT85" s="4" t="s">
        <v>378</v>
      </c>
      <c r="AU85" s="44" t="s">
        <v>48</v>
      </c>
      <c r="AV85" s="42" t="s">
        <v>48</v>
      </c>
      <c r="AW85" s="42" t="s">
        <v>48</v>
      </c>
      <c r="AX85" s="40" t="s">
        <v>48</v>
      </c>
      <c r="AY85" s="40" t="s">
        <v>48</v>
      </c>
      <c r="AZ85" s="40" t="s">
        <v>48</v>
      </c>
      <c r="BA85" s="40" t="s">
        <v>48</v>
      </c>
      <c r="BB85" s="40" t="s">
        <v>48</v>
      </c>
      <c r="BC85" s="40" t="s">
        <v>48</v>
      </c>
      <c r="BD85" s="40" t="s">
        <v>48</v>
      </c>
      <c r="BE85" s="40" t="s">
        <v>48</v>
      </c>
      <c r="BF85" s="40" t="s">
        <v>48</v>
      </c>
      <c r="BG85" s="40" t="s">
        <v>48</v>
      </c>
      <c r="BH85" s="40" t="s">
        <v>48</v>
      </c>
      <c r="BI85" s="40" t="s">
        <v>48</v>
      </c>
      <c r="BJ85" s="40" t="s">
        <v>48</v>
      </c>
      <c r="BK85" s="40" t="s">
        <v>48</v>
      </c>
      <c r="BM85" s="33"/>
      <c r="BN85" s="38" t="str">
        <f>Notes!U86</f>
        <v xml:space="preserve">      Wood and paper products</v>
      </c>
      <c r="BO85" s="4" t="s">
        <v>378</v>
      </c>
      <c r="BP85" s="44">
        <v>1.4820515124202398</v>
      </c>
      <c r="BQ85" s="42">
        <v>-1.6640416162017058E-2</v>
      </c>
      <c r="BR85" s="42" t="s">
        <v>48</v>
      </c>
      <c r="BS85" s="40" t="s">
        <v>48</v>
      </c>
      <c r="BT85" s="40" t="s">
        <v>48</v>
      </c>
      <c r="BU85" s="40" t="s">
        <v>48</v>
      </c>
      <c r="BV85" s="40" t="s">
        <v>48</v>
      </c>
      <c r="BW85" s="40" t="s">
        <v>48</v>
      </c>
      <c r="BX85" s="40" t="s">
        <v>48</v>
      </c>
      <c r="BY85" s="40" t="s">
        <v>48</v>
      </c>
      <c r="BZ85" s="40" t="s">
        <v>48</v>
      </c>
      <c r="CA85" s="40" t="s">
        <v>48</v>
      </c>
      <c r="CB85" s="40" t="s">
        <v>48</v>
      </c>
      <c r="CC85" s="40" t="s">
        <v>48</v>
      </c>
      <c r="CD85" s="40" t="s">
        <v>48</v>
      </c>
      <c r="CE85" s="40" t="s">
        <v>48</v>
      </c>
      <c r="CF85" s="40" t="s">
        <v>48</v>
      </c>
      <c r="CH85" s="33"/>
      <c r="CI85" s="38" t="str">
        <f>Notes!U86</f>
        <v xml:space="preserve">      Wood and paper products</v>
      </c>
      <c r="CJ85" s="4" t="s">
        <v>378</v>
      </c>
      <c r="CK85" s="44" t="s">
        <v>48</v>
      </c>
      <c r="CL85" s="42" t="s">
        <v>48</v>
      </c>
      <c r="CM85" s="42" t="s">
        <v>48</v>
      </c>
      <c r="CN85" s="40" t="s">
        <v>48</v>
      </c>
      <c r="CO85" s="40" t="s">
        <v>48</v>
      </c>
      <c r="CP85" s="40" t="s">
        <v>48</v>
      </c>
      <c r="CQ85" s="40" t="s">
        <v>48</v>
      </c>
      <c r="CR85" s="40" t="s">
        <v>48</v>
      </c>
      <c r="CS85" s="40" t="s">
        <v>48</v>
      </c>
      <c r="CT85" s="40" t="s">
        <v>48</v>
      </c>
      <c r="CU85" s="40" t="s">
        <v>48</v>
      </c>
      <c r="CV85" s="40" t="s">
        <v>48</v>
      </c>
      <c r="CW85" s="40" t="s">
        <v>48</v>
      </c>
      <c r="CX85" s="40" t="s">
        <v>48</v>
      </c>
      <c r="CY85" s="40" t="s">
        <v>48</v>
      </c>
      <c r="CZ85" s="40" t="s">
        <v>48</v>
      </c>
      <c r="DA85" s="40" t="s">
        <v>48</v>
      </c>
      <c r="DC85" s="33"/>
      <c r="DD85" s="38" t="str">
        <f>Notes!U86</f>
        <v xml:space="preserve">      Wood and paper products</v>
      </c>
      <c r="DE85" s="4" t="s">
        <v>378</v>
      </c>
      <c r="DF85" s="44">
        <v>0.91634462761374114</v>
      </c>
      <c r="DG85" s="42" t="s">
        <v>48</v>
      </c>
      <c r="DH85" s="42" t="s">
        <v>48</v>
      </c>
      <c r="DI85" s="40" t="s">
        <v>48</v>
      </c>
      <c r="DJ85" s="40" t="s">
        <v>48</v>
      </c>
      <c r="DK85" s="40" t="s">
        <v>48</v>
      </c>
      <c r="DL85" s="40" t="s">
        <v>48</v>
      </c>
      <c r="DM85" s="40" t="s">
        <v>48</v>
      </c>
      <c r="DN85" s="40" t="s">
        <v>48</v>
      </c>
      <c r="DO85" s="40" t="s">
        <v>48</v>
      </c>
      <c r="DP85" s="40" t="s">
        <v>48</v>
      </c>
      <c r="DQ85" s="40" t="s">
        <v>48</v>
      </c>
      <c r="DR85" s="40" t="s">
        <v>48</v>
      </c>
      <c r="DS85" s="40" t="s">
        <v>48</v>
      </c>
      <c r="DT85" s="40" t="s">
        <v>48</v>
      </c>
      <c r="DU85" s="40" t="s">
        <v>48</v>
      </c>
      <c r="DV85" s="40" t="s">
        <v>48</v>
      </c>
    </row>
    <row r="86" spans="1:126" x14ac:dyDescent="0.3">
      <c r="A86" s="12">
        <v>79</v>
      </c>
      <c r="B86" s="33"/>
      <c r="C86" s="38" t="str">
        <f>Notes!U87</f>
        <v xml:space="preserve">         Wood products</v>
      </c>
      <c r="D86" s="4" t="s">
        <v>380</v>
      </c>
      <c r="E86" s="44">
        <v>1</v>
      </c>
      <c r="F86" s="42">
        <v>-2.7992834252532628E-2</v>
      </c>
      <c r="G86" s="42" t="s">
        <v>48</v>
      </c>
      <c r="H86" s="40" t="s">
        <v>48</v>
      </c>
      <c r="I86" s="40" t="s">
        <v>48</v>
      </c>
      <c r="J86" s="40" t="s">
        <v>48</v>
      </c>
      <c r="K86" s="40" t="s">
        <v>48</v>
      </c>
      <c r="L86" s="40" t="s">
        <v>48</v>
      </c>
      <c r="M86" s="40" t="s">
        <v>48</v>
      </c>
      <c r="N86" s="40" t="s">
        <v>48</v>
      </c>
      <c r="O86" s="40" t="s">
        <v>48</v>
      </c>
      <c r="P86" s="40" t="s">
        <v>48</v>
      </c>
      <c r="Q86" s="40" t="s">
        <v>48</v>
      </c>
      <c r="R86" s="40" t="s">
        <v>48</v>
      </c>
      <c r="S86" s="40" t="s">
        <v>48</v>
      </c>
      <c r="T86" s="40" t="s">
        <v>48</v>
      </c>
      <c r="U86" s="40" t="s">
        <v>48</v>
      </c>
      <c r="W86" s="33"/>
      <c r="X86" s="38" t="str">
        <f>Notes!U87</f>
        <v xml:space="preserve">         Wood products</v>
      </c>
      <c r="Y86" s="4" t="s">
        <v>380</v>
      </c>
      <c r="Z86" s="44">
        <v>1.0785699688953527</v>
      </c>
      <c r="AA86" s="42">
        <v>-2.695790528618458E-2</v>
      </c>
      <c r="AB86" s="42" t="s">
        <v>48</v>
      </c>
      <c r="AC86" s="40" t="s">
        <v>48</v>
      </c>
      <c r="AD86" s="40" t="s">
        <v>48</v>
      </c>
      <c r="AE86" s="40" t="s">
        <v>48</v>
      </c>
      <c r="AF86" s="40" t="s">
        <v>48</v>
      </c>
      <c r="AG86" s="40" t="s">
        <v>48</v>
      </c>
      <c r="AH86" s="40" t="s">
        <v>48</v>
      </c>
      <c r="AI86" s="40" t="s">
        <v>48</v>
      </c>
      <c r="AJ86" s="40" t="s">
        <v>48</v>
      </c>
      <c r="AK86" s="40" t="s">
        <v>48</v>
      </c>
      <c r="AL86" s="40" t="s">
        <v>48</v>
      </c>
      <c r="AM86" s="40" t="s">
        <v>48</v>
      </c>
      <c r="AN86" s="40" t="s">
        <v>48</v>
      </c>
      <c r="AO86" s="40" t="s">
        <v>48</v>
      </c>
      <c r="AP86" s="40" t="s">
        <v>48</v>
      </c>
      <c r="AR86" s="33"/>
      <c r="AS86" s="38" t="str">
        <f>Notes!U87</f>
        <v xml:space="preserve">         Wood products</v>
      </c>
      <c r="AT86" s="4" t="s">
        <v>380</v>
      </c>
      <c r="AU86" s="44" t="s">
        <v>48</v>
      </c>
      <c r="AV86" s="42" t="s">
        <v>48</v>
      </c>
      <c r="AW86" s="42" t="s">
        <v>48</v>
      </c>
      <c r="AX86" s="40" t="s">
        <v>48</v>
      </c>
      <c r="AY86" s="40" t="s">
        <v>48</v>
      </c>
      <c r="AZ86" s="40" t="s">
        <v>48</v>
      </c>
      <c r="BA86" s="40" t="s">
        <v>48</v>
      </c>
      <c r="BB86" s="40" t="s">
        <v>48</v>
      </c>
      <c r="BC86" s="40" t="s">
        <v>48</v>
      </c>
      <c r="BD86" s="40" t="s">
        <v>48</v>
      </c>
      <c r="BE86" s="40" t="s">
        <v>48</v>
      </c>
      <c r="BF86" s="40" t="s">
        <v>48</v>
      </c>
      <c r="BG86" s="40" t="s">
        <v>48</v>
      </c>
      <c r="BH86" s="40" t="s">
        <v>48</v>
      </c>
      <c r="BI86" s="40" t="s">
        <v>48</v>
      </c>
      <c r="BJ86" s="40" t="s">
        <v>48</v>
      </c>
      <c r="BK86" s="40" t="s">
        <v>48</v>
      </c>
      <c r="BM86" s="33"/>
      <c r="BN86" s="38" t="str">
        <f>Notes!U87</f>
        <v xml:space="preserve">         Wood products</v>
      </c>
      <c r="BO86" s="4" t="s">
        <v>380</v>
      </c>
      <c r="BP86" s="44" t="s">
        <v>48</v>
      </c>
      <c r="BQ86" s="42" t="s">
        <v>48</v>
      </c>
      <c r="BR86" s="42" t="s">
        <v>48</v>
      </c>
      <c r="BS86" s="40" t="s">
        <v>48</v>
      </c>
      <c r="BT86" s="40" t="s">
        <v>48</v>
      </c>
      <c r="BU86" s="40" t="s">
        <v>48</v>
      </c>
      <c r="BV86" s="40" t="s">
        <v>48</v>
      </c>
      <c r="BW86" s="40" t="s">
        <v>48</v>
      </c>
      <c r="BX86" s="40" t="s">
        <v>48</v>
      </c>
      <c r="BY86" s="40" t="s">
        <v>48</v>
      </c>
      <c r="BZ86" s="40" t="s">
        <v>48</v>
      </c>
      <c r="CA86" s="40" t="s">
        <v>48</v>
      </c>
      <c r="CB86" s="40" t="s">
        <v>48</v>
      </c>
      <c r="CC86" s="40" t="s">
        <v>48</v>
      </c>
      <c r="CD86" s="40" t="s">
        <v>48</v>
      </c>
      <c r="CE86" s="40" t="s">
        <v>48</v>
      </c>
      <c r="CF86" s="40" t="s">
        <v>48</v>
      </c>
      <c r="CH86" s="33"/>
      <c r="CI86" s="38" t="str">
        <f>Notes!U87</f>
        <v xml:space="preserve">         Wood products</v>
      </c>
      <c r="CJ86" s="4" t="s">
        <v>380</v>
      </c>
      <c r="CK86" s="44" t="s">
        <v>48</v>
      </c>
      <c r="CL86" s="42" t="s">
        <v>48</v>
      </c>
      <c r="CM86" s="42" t="s">
        <v>48</v>
      </c>
      <c r="CN86" s="40" t="s">
        <v>48</v>
      </c>
      <c r="CO86" s="40" t="s">
        <v>48</v>
      </c>
      <c r="CP86" s="40" t="s">
        <v>48</v>
      </c>
      <c r="CQ86" s="40" t="s">
        <v>48</v>
      </c>
      <c r="CR86" s="40" t="s">
        <v>48</v>
      </c>
      <c r="CS86" s="40" t="s">
        <v>48</v>
      </c>
      <c r="CT86" s="40" t="s">
        <v>48</v>
      </c>
      <c r="CU86" s="40" t="s">
        <v>48</v>
      </c>
      <c r="CV86" s="40" t="s">
        <v>48</v>
      </c>
      <c r="CW86" s="40" t="s">
        <v>48</v>
      </c>
      <c r="CX86" s="40" t="s">
        <v>48</v>
      </c>
      <c r="CY86" s="40" t="s">
        <v>48</v>
      </c>
      <c r="CZ86" s="40" t="s">
        <v>48</v>
      </c>
      <c r="DA86" s="40" t="s">
        <v>48</v>
      </c>
      <c r="DC86" s="33"/>
      <c r="DD86" s="38" t="str">
        <f>Notes!U87</f>
        <v xml:space="preserve">         Wood products</v>
      </c>
      <c r="DE86" s="4" t="s">
        <v>380</v>
      </c>
      <c r="DF86" s="44" t="s">
        <v>48</v>
      </c>
      <c r="DG86" s="42" t="s">
        <v>48</v>
      </c>
      <c r="DH86" s="42" t="s">
        <v>48</v>
      </c>
      <c r="DI86" s="40" t="s">
        <v>48</v>
      </c>
      <c r="DJ86" s="40" t="s">
        <v>48</v>
      </c>
      <c r="DK86" s="40" t="s">
        <v>48</v>
      </c>
      <c r="DL86" s="40" t="s">
        <v>48</v>
      </c>
      <c r="DM86" s="40" t="s">
        <v>48</v>
      </c>
      <c r="DN86" s="40" t="s">
        <v>48</v>
      </c>
      <c r="DO86" s="40" t="s">
        <v>48</v>
      </c>
      <c r="DP86" s="40" t="s">
        <v>48</v>
      </c>
      <c r="DQ86" s="40" t="s">
        <v>48</v>
      </c>
      <c r="DR86" s="40" t="s">
        <v>48</v>
      </c>
      <c r="DS86" s="40" t="s">
        <v>48</v>
      </c>
      <c r="DT86" s="40" t="s">
        <v>48</v>
      </c>
      <c r="DU86" s="40" t="s">
        <v>48</v>
      </c>
      <c r="DV86" s="40" t="s">
        <v>48</v>
      </c>
    </row>
    <row r="87" spans="1:126" x14ac:dyDescent="0.3">
      <c r="A87" s="12">
        <v>80</v>
      </c>
      <c r="B87" s="33"/>
      <c r="C87" s="38" t="str">
        <f>Notes!U88</f>
        <v xml:space="preserve">         Paper products and publishing</v>
      </c>
      <c r="D87" s="4" t="s">
        <v>381</v>
      </c>
      <c r="E87" s="44">
        <v>1</v>
      </c>
      <c r="F87" s="42">
        <v>5.6453617500062947E-3</v>
      </c>
      <c r="G87" s="42" t="s">
        <v>48</v>
      </c>
      <c r="H87" s="40" t="s">
        <v>48</v>
      </c>
      <c r="I87" s="40" t="s">
        <v>48</v>
      </c>
      <c r="J87" s="40" t="s">
        <v>48</v>
      </c>
      <c r="K87" s="40" t="s">
        <v>48</v>
      </c>
      <c r="L87" s="40" t="s">
        <v>48</v>
      </c>
      <c r="M87" s="40" t="s">
        <v>48</v>
      </c>
      <c r="N87" s="40" t="s">
        <v>48</v>
      </c>
      <c r="O87" s="40" t="s">
        <v>48</v>
      </c>
      <c r="P87" s="40" t="s">
        <v>48</v>
      </c>
      <c r="Q87" s="40" t="s">
        <v>48</v>
      </c>
      <c r="R87" s="40" t="s">
        <v>48</v>
      </c>
      <c r="S87" s="40" t="s">
        <v>48</v>
      </c>
      <c r="T87" s="40" t="s">
        <v>48</v>
      </c>
      <c r="U87" s="40" t="s">
        <v>48</v>
      </c>
      <c r="W87" s="33"/>
      <c r="X87" s="38" t="str">
        <f>Notes!U88</f>
        <v xml:space="preserve">         Paper products and publishing</v>
      </c>
      <c r="Y87" s="4" t="s">
        <v>381</v>
      </c>
      <c r="Z87" s="44">
        <v>1.5105975374490563</v>
      </c>
      <c r="AA87" s="42">
        <v>-5.5910927491353846E-3</v>
      </c>
      <c r="AB87" s="42" t="s">
        <v>48</v>
      </c>
      <c r="AC87" s="40" t="s">
        <v>48</v>
      </c>
      <c r="AD87" s="40" t="s">
        <v>48</v>
      </c>
      <c r="AE87" s="40" t="s">
        <v>48</v>
      </c>
      <c r="AF87" s="40" t="s">
        <v>48</v>
      </c>
      <c r="AG87" s="40" t="s">
        <v>48</v>
      </c>
      <c r="AH87" s="40" t="s">
        <v>48</v>
      </c>
      <c r="AI87" s="40" t="s">
        <v>48</v>
      </c>
      <c r="AJ87" s="40" t="s">
        <v>48</v>
      </c>
      <c r="AK87" s="40" t="s">
        <v>48</v>
      </c>
      <c r="AL87" s="40" t="s">
        <v>48</v>
      </c>
      <c r="AM87" s="40" t="s">
        <v>48</v>
      </c>
      <c r="AN87" s="40" t="s">
        <v>48</v>
      </c>
      <c r="AO87" s="40" t="s">
        <v>48</v>
      </c>
      <c r="AP87" s="40" t="s">
        <v>48</v>
      </c>
      <c r="AR87" s="33"/>
      <c r="AS87" s="38" t="str">
        <f>Notes!U88</f>
        <v xml:space="preserve">         Paper products and publishing</v>
      </c>
      <c r="AT87" s="4" t="s">
        <v>381</v>
      </c>
      <c r="AU87" s="44" t="s">
        <v>48</v>
      </c>
      <c r="AV87" s="42" t="s">
        <v>48</v>
      </c>
      <c r="AW87" s="42" t="s">
        <v>48</v>
      </c>
      <c r="AX87" s="40" t="s">
        <v>48</v>
      </c>
      <c r="AY87" s="40" t="s">
        <v>48</v>
      </c>
      <c r="AZ87" s="40" t="s">
        <v>48</v>
      </c>
      <c r="BA87" s="40" t="s">
        <v>48</v>
      </c>
      <c r="BB87" s="40" t="s">
        <v>48</v>
      </c>
      <c r="BC87" s="40" t="s">
        <v>48</v>
      </c>
      <c r="BD87" s="40" t="s">
        <v>48</v>
      </c>
      <c r="BE87" s="40" t="s">
        <v>48</v>
      </c>
      <c r="BF87" s="40" t="s">
        <v>48</v>
      </c>
      <c r="BG87" s="40" t="s">
        <v>48</v>
      </c>
      <c r="BH87" s="40" t="s">
        <v>48</v>
      </c>
      <c r="BI87" s="40" t="s">
        <v>48</v>
      </c>
      <c r="BJ87" s="40" t="s">
        <v>48</v>
      </c>
      <c r="BK87" s="40" t="s">
        <v>48</v>
      </c>
      <c r="BM87" s="33"/>
      <c r="BN87" s="38" t="str">
        <f>Notes!U88</f>
        <v xml:space="preserve">         Paper products and publishing</v>
      </c>
      <c r="BO87" s="4" t="s">
        <v>381</v>
      </c>
      <c r="BP87" s="44">
        <v>1.4820515124202398</v>
      </c>
      <c r="BQ87" s="42">
        <v>-1.6640416162017058E-2</v>
      </c>
      <c r="BR87" s="42" t="s">
        <v>48</v>
      </c>
      <c r="BS87" s="40" t="s">
        <v>48</v>
      </c>
      <c r="BT87" s="40" t="s">
        <v>48</v>
      </c>
      <c r="BU87" s="40" t="s">
        <v>48</v>
      </c>
      <c r="BV87" s="40" t="s">
        <v>48</v>
      </c>
      <c r="BW87" s="40" t="s">
        <v>48</v>
      </c>
      <c r="BX87" s="40" t="s">
        <v>48</v>
      </c>
      <c r="BY87" s="40" t="s">
        <v>48</v>
      </c>
      <c r="BZ87" s="40" t="s">
        <v>48</v>
      </c>
      <c r="CA87" s="40" t="s">
        <v>48</v>
      </c>
      <c r="CB87" s="40" t="s">
        <v>48</v>
      </c>
      <c r="CC87" s="40" t="s">
        <v>48</v>
      </c>
      <c r="CD87" s="40" t="s">
        <v>48</v>
      </c>
      <c r="CE87" s="40" t="s">
        <v>48</v>
      </c>
      <c r="CF87" s="40" t="s">
        <v>48</v>
      </c>
      <c r="CH87" s="33"/>
      <c r="CI87" s="38" t="str">
        <f>Notes!U88</f>
        <v xml:space="preserve">         Paper products and publishing</v>
      </c>
      <c r="CJ87" s="4" t="s">
        <v>381</v>
      </c>
      <c r="CK87" s="44" t="s">
        <v>48</v>
      </c>
      <c r="CL87" s="42" t="s">
        <v>48</v>
      </c>
      <c r="CM87" s="42" t="s">
        <v>48</v>
      </c>
      <c r="CN87" s="40" t="s">
        <v>48</v>
      </c>
      <c r="CO87" s="40" t="s">
        <v>48</v>
      </c>
      <c r="CP87" s="40" t="s">
        <v>48</v>
      </c>
      <c r="CQ87" s="40" t="s">
        <v>48</v>
      </c>
      <c r="CR87" s="40" t="s">
        <v>48</v>
      </c>
      <c r="CS87" s="40" t="s">
        <v>48</v>
      </c>
      <c r="CT87" s="40" t="s">
        <v>48</v>
      </c>
      <c r="CU87" s="40" t="s">
        <v>48</v>
      </c>
      <c r="CV87" s="40" t="s">
        <v>48</v>
      </c>
      <c r="CW87" s="40" t="s">
        <v>48</v>
      </c>
      <c r="CX87" s="40" t="s">
        <v>48</v>
      </c>
      <c r="CY87" s="40" t="s">
        <v>48</v>
      </c>
      <c r="CZ87" s="40" t="s">
        <v>48</v>
      </c>
      <c r="DA87" s="40" t="s">
        <v>48</v>
      </c>
      <c r="DC87" s="33"/>
      <c r="DD87" s="38" t="str">
        <f>Notes!U88</f>
        <v xml:space="preserve">         Paper products and publishing</v>
      </c>
      <c r="DE87" s="4" t="s">
        <v>381</v>
      </c>
      <c r="DF87" s="44">
        <v>0.91634462761374114</v>
      </c>
      <c r="DG87" s="42" t="s">
        <v>48</v>
      </c>
      <c r="DH87" s="42" t="s">
        <v>48</v>
      </c>
      <c r="DI87" s="40" t="s">
        <v>48</v>
      </c>
      <c r="DJ87" s="40" t="s">
        <v>48</v>
      </c>
      <c r="DK87" s="40" t="s">
        <v>48</v>
      </c>
      <c r="DL87" s="40" t="s">
        <v>48</v>
      </c>
      <c r="DM87" s="40" t="s">
        <v>48</v>
      </c>
      <c r="DN87" s="40" t="s">
        <v>48</v>
      </c>
      <c r="DO87" s="40" t="s">
        <v>48</v>
      </c>
      <c r="DP87" s="40" t="s">
        <v>48</v>
      </c>
      <c r="DQ87" s="40" t="s">
        <v>48</v>
      </c>
      <c r="DR87" s="40" t="s">
        <v>48</v>
      </c>
      <c r="DS87" s="40" t="s">
        <v>48</v>
      </c>
      <c r="DT87" s="40" t="s">
        <v>48</v>
      </c>
      <c r="DU87" s="40" t="s">
        <v>48</v>
      </c>
      <c r="DV87" s="40" t="s">
        <v>48</v>
      </c>
    </row>
    <row r="88" spans="1:126" x14ac:dyDescent="0.3">
      <c r="A88" s="12">
        <v>81</v>
      </c>
      <c r="B88" s="33"/>
      <c r="C88" s="38" t="str">
        <f>Notes!U89</f>
        <v xml:space="preserve">      Chemical products</v>
      </c>
      <c r="D88" s="4" t="s">
        <v>382</v>
      </c>
      <c r="E88" s="44">
        <v>1</v>
      </c>
      <c r="F88" s="42">
        <v>-8.0098063920952534E-3</v>
      </c>
      <c r="G88" s="42" t="s">
        <v>48</v>
      </c>
      <c r="H88" s="40" t="s">
        <v>48</v>
      </c>
      <c r="I88" s="40" t="s">
        <v>48</v>
      </c>
      <c r="J88" s="40" t="s">
        <v>48</v>
      </c>
      <c r="K88" s="40" t="s">
        <v>48</v>
      </c>
      <c r="L88" s="40" t="s">
        <v>48</v>
      </c>
      <c r="M88" s="40" t="s">
        <v>48</v>
      </c>
      <c r="N88" s="40" t="s">
        <v>48</v>
      </c>
      <c r="O88" s="40" t="s">
        <v>48</v>
      </c>
      <c r="P88" s="40" t="s">
        <v>48</v>
      </c>
      <c r="Q88" s="40" t="s">
        <v>48</v>
      </c>
      <c r="R88" s="40" t="s">
        <v>48</v>
      </c>
      <c r="S88" s="40" t="s">
        <v>48</v>
      </c>
      <c r="T88" s="40" t="s">
        <v>48</v>
      </c>
      <c r="U88" s="40" t="s">
        <v>48</v>
      </c>
      <c r="W88" s="33"/>
      <c r="X88" s="38" t="str">
        <f>Notes!U89</f>
        <v xml:space="preserve">      Chemical products</v>
      </c>
      <c r="Y88" s="4" t="s">
        <v>382</v>
      </c>
      <c r="Z88" s="44">
        <v>1.6879722741237269</v>
      </c>
      <c r="AA88" s="42">
        <v>-1.457602908757627E-2</v>
      </c>
      <c r="AB88" s="42" t="s">
        <v>48</v>
      </c>
      <c r="AC88" s="40" t="s">
        <v>48</v>
      </c>
      <c r="AD88" s="40" t="s">
        <v>48</v>
      </c>
      <c r="AE88" s="40" t="s">
        <v>48</v>
      </c>
      <c r="AF88" s="40" t="s">
        <v>48</v>
      </c>
      <c r="AG88" s="40" t="s">
        <v>48</v>
      </c>
      <c r="AH88" s="40" t="s">
        <v>48</v>
      </c>
      <c r="AI88" s="40" t="s">
        <v>48</v>
      </c>
      <c r="AJ88" s="40" t="s">
        <v>48</v>
      </c>
      <c r="AK88" s="40" t="s">
        <v>48</v>
      </c>
      <c r="AL88" s="40" t="s">
        <v>48</v>
      </c>
      <c r="AM88" s="40" t="s">
        <v>48</v>
      </c>
      <c r="AN88" s="40" t="s">
        <v>48</v>
      </c>
      <c r="AO88" s="40" t="s">
        <v>48</v>
      </c>
      <c r="AP88" s="40" t="s">
        <v>48</v>
      </c>
      <c r="AR88" s="33"/>
      <c r="AS88" s="38" t="str">
        <f>Notes!U89</f>
        <v xml:space="preserve">      Chemical products</v>
      </c>
      <c r="AT88" s="4" t="s">
        <v>382</v>
      </c>
      <c r="AU88" s="44" t="s">
        <v>48</v>
      </c>
      <c r="AV88" s="42" t="s">
        <v>48</v>
      </c>
      <c r="AW88" s="42" t="s">
        <v>48</v>
      </c>
      <c r="AX88" s="40" t="s">
        <v>48</v>
      </c>
      <c r="AY88" s="40" t="s">
        <v>48</v>
      </c>
      <c r="AZ88" s="40" t="s">
        <v>48</v>
      </c>
      <c r="BA88" s="40" t="s">
        <v>48</v>
      </c>
      <c r="BB88" s="40" t="s">
        <v>48</v>
      </c>
      <c r="BC88" s="40" t="s">
        <v>48</v>
      </c>
      <c r="BD88" s="40" t="s">
        <v>48</v>
      </c>
      <c r="BE88" s="40" t="s">
        <v>48</v>
      </c>
      <c r="BF88" s="40" t="s">
        <v>48</v>
      </c>
      <c r="BG88" s="40" t="s">
        <v>48</v>
      </c>
      <c r="BH88" s="40" t="s">
        <v>48</v>
      </c>
      <c r="BI88" s="40" t="s">
        <v>48</v>
      </c>
      <c r="BJ88" s="40" t="s">
        <v>48</v>
      </c>
      <c r="BK88" s="40" t="s">
        <v>48</v>
      </c>
      <c r="BM88" s="33"/>
      <c r="BN88" s="38" t="str">
        <f>Notes!U89</f>
        <v xml:space="preserve">      Chemical products</v>
      </c>
      <c r="BO88" s="4" t="s">
        <v>382</v>
      </c>
      <c r="BP88" s="44">
        <v>1.3071465251727432</v>
      </c>
      <c r="BQ88" s="42">
        <v>-1.7021663972216494E-2</v>
      </c>
      <c r="BR88" s="42" t="s">
        <v>48</v>
      </c>
      <c r="BS88" s="40" t="s">
        <v>48</v>
      </c>
      <c r="BT88" s="40" t="s">
        <v>48</v>
      </c>
      <c r="BU88" s="40" t="s">
        <v>48</v>
      </c>
      <c r="BV88" s="40" t="s">
        <v>48</v>
      </c>
      <c r="BW88" s="40" t="s">
        <v>48</v>
      </c>
      <c r="BX88" s="40" t="s">
        <v>48</v>
      </c>
      <c r="BY88" s="40" t="s">
        <v>48</v>
      </c>
      <c r="BZ88" s="40" t="s">
        <v>48</v>
      </c>
      <c r="CA88" s="40" t="s">
        <v>48</v>
      </c>
      <c r="CB88" s="40" t="s">
        <v>48</v>
      </c>
      <c r="CC88" s="40" t="s">
        <v>48</v>
      </c>
      <c r="CD88" s="40" t="s">
        <v>48</v>
      </c>
      <c r="CE88" s="40" t="s">
        <v>48</v>
      </c>
      <c r="CF88" s="40" t="s">
        <v>48</v>
      </c>
      <c r="CH88" s="33"/>
      <c r="CI88" s="38" t="str">
        <f>Notes!U89</f>
        <v xml:space="preserve">      Chemical products</v>
      </c>
      <c r="CJ88" s="4" t="s">
        <v>382</v>
      </c>
      <c r="CK88" s="44" t="s">
        <v>48</v>
      </c>
      <c r="CL88" s="42" t="s">
        <v>48</v>
      </c>
      <c r="CM88" s="42" t="s">
        <v>48</v>
      </c>
      <c r="CN88" s="40" t="s">
        <v>48</v>
      </c>
      <c r="CO88" s="40" t="s">
        <v>48</v>
      </c>
      <c r="CP88" s="40" t="s">
        <v>48</v>
      </c>
      <c r="CQ88" s="40" t="s">
        <v>48</v>
      </c>
      <c r="CR88" s="40" t="s">
        <v>48</v>
      </c>
      <c r="CS88" s="40" t="s">
        <v>48</v>
      </c>
      <c r="CT88" s="40" t="s">
        <v>48</v>
      </c>
      <c r="CU88" s="40" t="s">
        <v>48</v>
      </c>
      <c r="CV88" s="40" t="s">
        <v>48</v>
      </c>
      <c r="CW88" s="40" t="s">
        <v>48</v>
      </c>
      <c r="CX88" s="40" t="s">
        <v>48</v>
      </c>
      <c r="CY88" s="40" t="s">
        <v>48</v>
      </c>
      <c r="CZ88" s="40" t="s">
        <v>48</v>
      </c>
      <c r="DA88" s="40" t="s">
        <v>48</v>
      </c>
      <c r="DC88" s="33"/>
      <c r="DD88" s="38" t="str">
        <f>Notes!U89</f>
        <v xml:space="preserve">      Chemical products</v>
      </c>
      <c r="DE88" s="4" t="s">
        <v>382</v>
      </c>
      <c r="DF88" s="44">
        <v>0.93367376286557535</v>
      </c>
      <c r="DG88" s="42" t="s">
        <v>48</v>
      </c>
      <c r="DH88" s="42" t="s">
        <v>48</v>
      </c>
      <c r="DI88" s="40" t="s">
        <v>48</v>
      </c>
      <c r="DJ88" s="40" t="s">
        <v>48</v>
      </c>
      <c r="DK88" s="40" t="s">
        <v>48</v>
      </c>
      <c r="DL88" s="40" t="s">
        <v>48</v>
      </c>
      <c r="DM88" s="40" t="s">
        <v>48</v>
      </c>
      <c r="DN88" s="40" t="s">
        <v>48</v>
      </c>
      <c r="DO88" s="40" t="s">
        <v>48</v>
      </c>
      <c r="DP88" s="40" t="s">
        <v>48</v>
      </c>
      <c r="DQ88" s="40" t="s">
        <v>48</v>
      </c>
      <c r="DR88" s="40" t="s">
        <v>48</v>
      </c>
      <c r="DS88" s="40" t="s">
        <v>48</v>
      </c>
      <c r="DT88" s="40" t="s">
        <v>48</v>
      </c>
      <c r="DU88" s="40" t="s">
        <v>48</v>
      </c>
      <c r="DV88" s="40" t="s">
        <v>48</v>
      </c>
    </row>
    <row r="89" spans="1:126" x14ac:dyDescent="0.3">
      <c r="A89" s="12">
        <v>82</v>
      </c>
      <c r="B89" s="33"/>
      <c r="C89" s="38" t="str">
        <f>Notes!U90</f>
        <v xml:space="preserve">         Petroleum products</v>
      </c>
      <c r="D89" s="4" t="s">
        <v>383</v>
      </c>
      <c r="E89" s="44">
        <v>1</v>
      </c>
      <c r="F89" s="42">
        <v>-2.283447671966865E-2</v>
      </c>
      <c r="G89" s="42" t="s">
        <v>48</v>
      </c>
      <c r="H89" s="40" t="s">
        <v>48</v>
      </c>
      <c r="I89" s="40" t="s">
        <v>48</v>
      </c>
      <c r="J89" s="40" t="s">
        <v>48</v>
      </c>
      <c r="K89" s="40" t="s">
        <v>48</v>
      </c>
      <c r="L89" s="40" t="s">
        <v>48</v>
      </c>
      <c r="M89" s="40" t="s">
        <v>48</v>
      </c>
      <c r="N89" s="40" t="s">
        <v>48</v>
      </c>
      <c r="O89" s="40" t="s">
        <v>48</v>
      </c>
      <c r="P89" s="40" t="s">
        <v>48</v>
      </c>
      <c r="Q89" s="40" t="s">
        <v>48</v>
      </c>
      <c r="R89" s="40" t="s">
        <v>48</v>
      </c>
      <c r="S89" s="40" t="s">
        <v>48</v>
      </c>
      <c r="T89" s="40" t="s">
        <v>48</v>
      </c>
      <c r="U89" s="40" t="s">
        <v>48</v>
      </c>
      <c r="W89" s="33"/>
      <c r="X89" s="38" t="str">
        <f>Notes!U90</f>
        <v xml:space="preserve">         Petroleum products</v>
      </c>
      <c r="Y89" s="4" t="s">
        <v>383</v>
      </c>
      <c r="Z89" s="44">
        <v>2.1039978772775307</v>
      </c>
      <c r="AA89" s="42">
        <v>-1.8641592735202384E-2</v>
      </c>
      <c r="AB89" s="42" t="s">
        <v>48</v>
      </c>
      <c r="AC89" s="40" t="s">
        <v>48</v>
      </c>
      <c r="AD89" s="40" t="s">
        <v>48</v>
      </c>
      <c r="AE89" s="40" t="s">
        <v>48</v>
      </c>
      <c r="AF89" s="40" t="s">
        <v>48</v>
      </c>
      <c r="AG89" s="40" t="s">
        <v>48</v>
      </c>
      <c r="AH89" s="40" t="s">
        <v>48</v>
      </c>
      <c r="AI89" s="40" t="s">
        <v>48</v>
      </c>
      <c r="AJ89" s="40" t="s">
        <v>48</v>
      </c>
      <c r="AK89" s="40" t="s">
        <v>48</v>
      </c>
      <c r="AL89" s="40" t="s">
        <v>48</v>
      </c>
      <c r="AM89" s="40" t="s">
        <v>48</v>
      </c>
      <c r="AN89" s="40" t="s">
        <v>48</v>
      </c>
      <c r="AO89" s="40" t="s">
        <v>48</v>
      </c>
      <c r="AP89" s="40" t="s">
        <v>48</v>
      </c>
      <c r="AR89" s="33"/>
      <c r="AS89" s="38" t="str">
        <f>Notes!U90</f>
        <v xml:space="preserve">         Petroleum products</v>
      </c>
      <c r="AT89" s="4" t="s">
        <v>383</v>
      </c>
      <c r="AU89" s="44" t="s">
        <v>48</v>
      </c>
      <c r="AV89" s="42" t="s">
        <v>48</v>
      </c>
      <c r="AW89" s="42" t="s">
        <v>48</v>
      </c>
      <c r="AX89" s="40" t="s">
        <v>48</v>
      </c>
      <c r="AY89" s="40" t="s">
        <v>48</v>
      </c>
      <c r="AZ89" s="40" t="s">
        <v>48</v>
      </c>
      <c r="BA89" s="40" t="s">
        <v>48</v>
      </c>
      <c r="BB89" s="40" t="s">
        <v>48</v>
      </c>
      <c r="BC89" s="40" t="s">
        <v>48</v>
      </c>
      <c r="BD89" s="40" t="s">
        <v>48</v>
      </c>
      <c r="BE89" s="40" t="s">
        <v>48</v>
      </c>
      <c r="BF89" s="40" t="s">
        <v>48</v>
      </c>
      <c r="BG89" s="40" t="s">
        <v>48</v>
      </c>
      <c r="BH89" s="40" t="s">
        <v>48</v>
      </c>
      <c r="BI89" s="40" t="s">
        <v>48</v>
      </c>
      <c r="BJ89" s="40" t="s">
        <v>48</v>
      </c>
      <c r="BK89" s="40" t="s">
        <v>48</v>
      </c>
      <c r="BM89" s="33"/>
      <c r="BN89" s="38" t="str">
        <f>Notes!U90</f>
        <v xml:space="preserve">         Petroleum products</v>
      </c>
      <c r="BO89" s="4" t="s">
        <v>383</v>
      </c>
      <c r="BP89" s="44">
        <v>1.0717609926599381</v>
      </c>
      <c r="BQ89" s="42">
        <v>-1.7731183735780753E-2</v>
      </c>
      <c r="BR89" s="42" t="s">
        <v>48</v>
      </c>
      <c r="BS89" s="40" t="s">
        <v>48</v>
      </c>
      <c r="BT89" s="40" t="s">
        <v>48</v>
      </c>
      <c r="BU89" s="40" t="s">
        <v>48</v>
      </c>
      <c r="BV89" s="40" t="s">
        <v>48</v>
      </c>
      <c r="BW89" s="40" t="s">
        <v>48</v>
      </c>
      <c r="BX89" s="40" t="s">
        <v>48</v>
      </c>
      <c r="BY89" s="40" t="s">
        <v>48</v>
      </c>
      <c r="BZ89" s="40" t="s">
        <v>48</v>
      </c>
      <c r="CA89" s="40" t="s">
        <v>48</v>
      </c>
      <c r="CB89" s="40" t="s">
        <v>48</v>
      </c>
      <c r="CC89" s="40" t="s">
        <v>48</v>
      </c>
      <c r="CD89" s="40" t="s">
        <v>48</v>
      </c>
      <c r="CE89" s="40" t="s">
        <v>48</v>
      </c>
      <c r="CF89" s="40" t="s">
        <v>48</v>
      </c>
      <c r="CH89" s="33"/>
      <c r="CI89" s="38" t="str">
        <f>Notes!U90</f>
        <v xml:space="preserve">         Petroleum products</v>
      </c>
      <c r="CJ89" s="4" t="s">
        <v>383</v>
      </c>
      <c r="CK89" s="44" t="s">
        <v>48</v>
      </c>
      <c r="CL89" s="42" t="s">
        <v>48</v>
      </c>
      <c r="CM89" s="42" t="s">
        <v>48</v>
      </c>
      <c r="CN89" s="40" t="s">
        <v>48</v>
      </c>
      <c r="CO89" s="40" t="s">
        <v>48</v>
      </c>
      <c r="CP89" s="40" t="s">
        <v>48</v>
      </c>
      <c r="CQ89" s="40" t="s">
        <v>48</v>
      </c>
      <c r="CR89" s="40" t="s">
        <v>48</v>
      </c>
      <c r="CS89" s="40" t="s">
        <v>48</v>
      </c>
      <c r="CT89" s="40" t="s">
        <v>48</v>
      </c>
      <c r="CU89" s="40" t="s">
        <v>48</v>
      </c>
      <c r="CV89" s="40" t="s">
        <v>48</v>
      </c>
      <c r="CW89" s="40" t="s">
        <v>48</v>
      </c>
      <c r="CX89" s="40" t="s">
        <v>48</v>
      </c>
      <c r="CY89" s="40" t="s">
        <v>48</v>
      </c>
      <c r="CZ89" s="40" t="s">
        <v>48</v>
      </c>
      <c r="DA89" s="40" t="s">
        <v>48</v>
      </c>
      <c r="DC89" s="33"/>
      <c r="DD89" s="38" t="str">
        <f>Notes!U90</f>
        <v xml:space="preserve">         Petroleum products</v>
      </c>
      <c r="DE89" s="4" t="s">
        <v>383</v>
      </c>
      <c r="DF89" s="44">
        <v>0.939522433669566</v>
      </c>
      <c r="DG89" s="42" t="s">
        <v>48</v>
      </c>
      <c r="DH89" s="42" t="s">
        <v>48</v>
      </c>
      <c r="DI89" s="40" t="s">
        <v>48</v>
      </c>
      <c r="DJ89" s="40" t="s">
        <v>48</v>
      </c>
      <c r="DK89" s="40" t="s">
        <v>48</v>
      </c>
      <c r="DL89" s="40" t="s">
        <v>48</v>
      </c>
      <c r="DM89" s="40" t="s">
        <v>48</v>
      </c>
      <c r="DN89" s="40" t="s">
        <v>48</v>
      </c>
      <c r="DO89" s="40" t="s">
        <v>48</v>
      </c>
      <c r="DP89" s="40" t="s">
        <v>48</v>
      </c>
      <c r="DQ89" s="40" t="s">
        <v>48</v>
      </c>
      <c r="DR89" s="40" t="s">
        <v>48</v>
      </c>
      <c r="DS89" s="40" t="s">
        <v>48</v>
      </c>
      <c r="DT89" s="40" t="s">
        <v>48</v>
      </c>
      <c r="DU89" s="40" t="s">
        <v>48</v>
      </c>
      <c r="DV89" s="40" t="s">
        <v>48</v>
      </c>
    </row>
    <row r="90" spans="1:126" x14ac:dyDescent="0.3">
      <c r="A90" s="12">
        <v>83</v>
      </c>
      <c r="B90" s="33"/>
      <c r="C90" s="38" t="str">
        <f>Notes!U91</f>
        <v xml:space="preserve">         Fertilizers and herbicides</v>
      </c>
      <c r="D90" s="4" t="s">
        <v>384</v>
      </c>
      <c r="E90" s="44">
        <v>1</v>
      </c>
      <c r="F90" s="42">
        <v>-2.8704219716213508E-2</v>
      </c>
      <c r="G90" s="42" t="s">
        <v>48</v>
      </c>
      <c r="H90" s="40" t="s">
        <v>48</v>
      </c>
      <c r="I90" s="40" t="s">
        <v>48</v>
      </c>
      <c r="J90" s="40" t="s">
        <v>48</v>
      </c>
      <c r="K90" s="40" t="s">
        <v>48</v>
      </c>
      <c r="L90" s="40" t="s">
        <v>48</v>
      </c>
      <c r="M90" s="40" t="s">
        <v>48</v>
      </c>
      <c r="N90" s="40" t="s">
        <v>48</v>
      </c>
      <c r="O90" s="40" t="s">
        <v>48</v>
      </c>
      <c r="P90" s="40" t="s">
        <v>48</v>
      </c>
      <c r="Q90" s="40" t="s">
        <v>48</v>
      </c>
      <c r="R90" s="40" t="s">
        <v>48</v>
      </c>
      <c r="S90" s="40" t="s">
        <v>48</v>
      </c>
      <c r="T90" s="40" t="s">
        <v>48</v>
      </c>
      <c r="U90" s="40" t="s">
        <v>48</v>
      </c>
      <c r="W90" s="33"/>
      <c r="X90" s="38" t="str">
        <f>Notes!U91</f>
        <v xml:space="preserve">         Fertilizers and herbicides</v>
      </c>
      <c r="Y90" s="4" t="s">
        <v>384</v>
      </c>
      <c r="Z90" s="44">
        <v>1.2471824169020704</v>
      </c>
      <c r="AA90" s="42">
        <v>-2.0521885947888396E-2</v>
      </c>
      <c r="AB90" s="42" t="s">
        <v>48</v>
      </c>
      <c r="AC90" s="40" t="s">
        <v>48</v>
      </c>
      <c r="AD90" s="40" t="s">
        <v>48</v>
      </c>
      <c r="AE90" s="40" t="s">
        <v>48</v>
      </c>
      <c r="AF90" s="40" t="s">
        <v>48</v>
      </c>
      <c r="AG90" s="40" t="s">
        <v>48</v>
      </c>
      <c r="AH90" s="40" t="s">
        <v>48</v>
      </c>
      <c r="AI90" s="40" t="s">
        <v>48</v>
      </c>
      <c r="AJ90" s="40" t="s">
        <v>48</v>
      </c>
      <c r="AK90" s="40" t="s">
        <v>48</v>
      </c>
      <c r="AL90" s="40" t="s">
        <v>48</v>
      </c>
      <c r="AM90" s="40" t="s">
        <v>48</v>
      </c>
      <c r="AN90" s="40" t="s">
        <v>48</v>
      </c>
      <c r="AO90" s="40" t="s">
        <v>48</v>
      </c>
      <c r="AP90" s="40" t="s">
        <v>48</v>
      </c>
      <c r="AR90" s="33"/>
      <c r="AS90" s="38" t="str">
        <f>Notes!U91</f>
        <v xml:space="preserve">         Fertilizers and herbicides</v>
      </c>
      <c r="AT90" s="4" t="s">
        <v>384</v>
      </c>
      <c r="AU90" s="44" t="s">
        <v>48</v>
      </c>
      <c r="AV90" s="42" t="s">
        <v>48</v>
      </c>
      <c r="AW90" s="42" t="s">
        <v>48</v>
      </c>
      <c r="AX90" s="40" t="s">
        <v>48</v>
      </c>
      <c r="AY90" s="40" t="s">
        <v>48</v>
      </c>
      <c r="AZ90" s="40" t="s">
        <v>48</v>
      </c>
      <c r="BA90" s="40" t="s">
        <v>48</v>
      </c>
      <c r="BB90" s="40" t="s">
        <v>48</v>
      </c>
      <c r="BC90" s="40" t="s">
        <v>48</v>
      </c>
      <c r="BD90" s="40" t="s">
        <v>48</v>
      </c>
      <c r="BE90" s="40" t="s">
        <v>48</v>
      </c>
      <c r="BF90" s="40" t="s">
        <v>48</v>
      </c>
      <c r="BG90" s="40" t="s">
        <v>48</v>
      </c>
      <c r="BH90" s="40" t="s">
        <v>48</v>
      </c>
      <c r="BI90" s="40" t="s">
        <v>48</v>
      </c>
      <c r="BJ90" s="40" t="s">
        <v>48</v>
      </c>
      <c r="BK90" s="40" t="s">
        <v>48</v>
      </c>
      <c r="BM90" s="33"/>
      <c r="BN90" s="38" t="str">
        <f>Notes!U91</f>
        <v xml:space="preserve">         Fertilizers and herbicides</v>
      </c>
      <c r="BO90" s="4" t="s">
        <v>384</v>
      </c>
      <c r="BP90" s="44">
        <v>1.2471824169020698</v>
      </c>
      <c r="BQ90" s="42">
        <v>-1.7176987360534302E-2</v>
      </c>
      <c r="BR90" s="42" t="s">
        <v>48</v>
      </c>
      <c r="BS90" s="40" t="s">
        <v>48</v>
      </c>
      <c r="BT90" s="40" t="s">
        <v>48</v>
      </c>
      <c r="BU90" s="40" t="s">
        <v>48</v>
      </c>
      <c r="BV90" s="40" t="s">
        <v>48</v>
      </c>
      <c r="BW90" s="40" t="s">
        <v>48</v>
      </c>
      <c r="BX90" s="40" t="s">
        <v>48</v>
      </c>
      <c r="BY90" s="40" t="s">
        <v>48</v>
      </c>
      <c r="BZ90" s="40" t="s">
        <v>48</v>
      </c>
      <c r="CA90" s="40" t="s">
        <v>48</v>
      </c>
      <c r="CB90" s="40" t="s">
        <v>48</v>
      </c>
      <c r="CC90" s="40" t="s">
        <v>48</v>
      </c>
      <c r="CD90" s="40" t="s">
        <v>48</v>
      </c>
      <c r="CE90" s="40" t="s">
        <v>48</v>
      </c>
      <c r="CF90" s="40" t="s">
        <v>48</v>
      </c>
      <c r="CH90" s="33"/>
      <c r="CI90" s="38" t="str">
        <f>Notes!U91</f>
        <v xml:space="preserve">         Fertilizers and herbicides</v>
      </c>
      <c r="CJ90" s="4" t="s">
        <v>384</v>
      </c>
      <c r="CK90" s="44" t="s">
        <v>48</v>
      </c>
      <c r="CL90" s="42" t="s">
        <v>48</v>
      </c>
      <c r="CM90" s="42" t="s">
        <v>48</v>
      </c>
      <c r="CN90" s="40" t="s">
        <v>48</v>
      </c>
      <c r="CO90" s="40" t="s">
        <v>48</v>
      </c>
      <c r="CP90" s="40" t="s">
        <v>48</v>
      </c>
      <c r="CQ90" s="40" t="s">
        <v>48</v>
      </c>
      <c r="CR90" s="40" t="s">
        <v>48</v>
      </c>
      <c r="CS90" s="40" t="s">
        <v>48</v>
      </c>
      <c r="CT90" s="40" t="s">
        <v>48</v>
      </c>
      <c r="CU90" s="40" t="s">
        <v>48</v>
      </c>
      <c r="CV90" s="40" t="s">
        <v>48</v>
      </c>
      <c r="CW90" s="40" t="s">
        <v>48</v>
      </c>
      <c r="CX90" s="40" t="s">
        <v>48</v>
      </c>
      <c r="CY90" s="40" t="s">
        <v>48</v>
      </c>
      <c r="CZ90" s="40" t="s">
        <v>48</v>
      </c>
      <c r="DA90" s="40" t="s">
        <v>48</v>
      </c>
      <c r="DC90" s="33"/>
      <c r="DD90" s="38" t="str">
        <f>Notes!U91</f>
        <v xml:space="preserve">         Fertilizers and herbicides</v>
      </c>
      <c r="DE90" s="4" t="s">
        <v>384</v>
      </c>
      <c r="DF90" s="44">
        <v>1.0000000000000004</v>
      </c>
      <c r="DG90" s="42" t="s">
        <v>48</v>
      </c>
      <c r="DH90" s="42" t="s">
        <v>48</v>
      </c>
      <c r="DI90" s="40" t="s">
        <v>48</v>
      </c>
      <c r="DJ90" s="40" t="s">
        <v>48</v>
      </c>
      <c r="DK90" s="40" t="s">
        <v>48</v>
      </c>
      <c r="DL90" s="40" t="s">
        <v>48</v>
      </c>
      <c r="DM90" s="40" t="s">
        <v>48</v>
      </c>
      <c r="DN90" s="40" t="s">
        <v>48</v>
      </c>
      <c r="DO90" s="40" t="s">
        <v>48</v>
      </c>
      <c r="DP90" s="40" t="s">
        <v>48</v>
      </c>
      <c r="DQ90" s="40" t="s">
        <v>48</v>
      </c>
      <c r="DR90" s="40" t="s">
        <v>48</v>
      </c>
      <c r="DS90" s="40" t="s">
        <v>48</v>
      </c>
      <c r="DT90" s="40" t="s">
        <v>48</v>
      </c>
      <c r="DU90" s="40" t="s">
        <v>48</v>
      </c>
      <c r="DV90" s="40" t="s">
        <v>48</v>
      </c>
    </row>
    <row r="91" spans="1:126" x14ac:dyDescent="0.3">
      <c r="A91" s="12">
        <v>84</v>
      </c>
      <c r="B91" s="33"/>
      <c r="C91" s="38" t="str">
        <f>Notes!U92</f>
        <v xml:space="preserve">         Other chemicals</v>
      </c>
      <c r="D91" s="4" t="s">
        <v>385</v>
      </c>
      <c r="E91" s="44">
        <v>1</v>
      </c>
      <c r="F91" s="42">
        <v>-4.3686441798640452E-3</v>
      </c>
      <c r="G91" s="42" t="s">
        <v>48</v>
      </c>
      <c r="H91" s="40" t="s">
        <v>48</v>
      </c>
      <c r="I91" s="40" t="s">
        <v>48</v>
      </c>
      <c r="J91" s="40" t="s">
        <v>48</v>
      </c>
      <c r="K91" s="40" t="s">
        <v>48</v>
      </c>
      <c r="L91" s="40" t="s">
        <v>48</v>
      </c>
      <c r="M91" s="40" t="s">
        <v>48</v>
      </c>
      <c r="N91" s="40" t="s">
        <v>48</v>
      </c>
      <c r="O91" s="40" t="s">
        <v>48</v>
      </c>
      <c r="P91" s="40" t="s">
        <v>48</v>
      </c>
      <c r="Q91" s="40" t="s">
        <v>48</v>
      </c>
      <c r="R91" s="40" t="s">
        <v>48</v>
      </c>
      <c r="S91" s="40" t="s">
        <v>48</v>
      </c>
      <c r="T91" s="40" t="s">
        <v>48</v>
      </c>
      <c r="U91" s="40" t="s">
        <v>48</v>
      </c>
      <c r="W91" s="33"/>
      <c r="X91" s="38" t="str">
        <f>Notes!U92</f>
        <v xml:space="preserve">         Other chemicals</v>
      </c>
      <c r="Y91" s="4" t="s">
        <v>385</v>
      </c>
      <c r="Z91" s="44">
        <v>1.4907933923652616</v>
      </c>
      <c r="AA91" s="42">
        <v>-1.054636347318505E-2</v>
      </c>
      <c r="AB91" s="42" t="s">
        <v>48</v>
      </c>
      <c r="AC91" s="40" t="s">
        <v>48</v>
      </c>
      <c r="AD91" s="40" t="s">
        <v>48</v>
      </c>
      <c r="AE91" s="40" t="s">
        <v>48</v>
      </c>
      <c r="AF91" s="40" t="s">
        <v>48</v>
      </c>
      <c r="AG91" s="40" t="s">
        <v>48</v>
      </c>
      <c r="AH91" s="40" t="s">
        <v>48</v>
      </c>
      <c r="AI91" s="40" t="s">
        <v>48</v>
      </c>
      <c r="AJ91" s="40" t="s">
        <v>48</v>
      </c>
      <c r="AK91" s="40" t="s">
        <v>48</v>
      </c>
      <c r="AL91" s="40" t="s">
        <v>48</v>
      </c>
      <c r="AM91" s="40" t="s">
        <v>48</v>
      </c>
      <c r="AN91" s="40" t="s">
        <v>48</v>
      </c>
      <c r="AO91" s="40" t="s">
        <v>48</v>
      </c>
      <c r="AP91" s="40" t="s">
        <v>48</v>
      </c>
      <c r="AR91" s="33"/>
      <c r="AS91" s="38" t="str">
        <f>Notes!U92</f>
        <v xml:space="preserve">         Other chemicals</v>
      </c>
      <c r="AT91" s="4" t="s">
        <v>385</v>
      </c>
      <c r="AU91" s="44" t="s">
        <v>48</v>
      </c>
      <c r="AV91" s="42" t="s">
        <v>48</v>
      </c>
      <c r="AW91" s="42" t="s">
        <v>48</v>
      </c>
      <c r="AX91" s="40" t="s">
        <v>48</v>
      </c>
      <c r="AY91" s="40" t="s">
        <v>48</v>
      </c>
      <c r="AZ91" s="40" t="s">
        <v>48</v>
      </c>
      <c r="BA91" s="40" t="s">
        <v>48</v>
      </c>
      <c r="BB91" s="40" t="s">
        <v>48</v>
      </c>
      <c r="BC91" s="40" t="s">
        <v>48</v>
      </c>
      <c r="BD91" s="40" t="s">
        <v>48</v>
      </c>
      <c r="BE91" s="40" t="s">
        <v>48</v>
      </c>
      <c r="BF91" s="40" t="s">
        <v>48</v>
      </c>
      <c r="BG91" s="40" t="s">
        <v>48</v>
      </c>
      <c r="BH91" s="40" t="s">
        <v>48</v>
      </c>
      <c r="BI91" s="40" t="s">
        <v>48</v>
      </c>
      <c r="BJ91" s="40" t="s">
        <v>48</v>
      </c>
      <c r="BK91" s="40" t="s">
        <v>48</v>
      </c>
      <c r="BM91" s="33"/>
      <c r="BN91" s="38" t="str">
        <f>Notes!U92</f>
        <v xml:space="preserve">         Other chemicals</v>
      </c>
      <c r="BO91" s="4" t="s">
        <v>385</v>
      </c>
      <c r="BP91" s="44">
        <v>1.4907933923652612</v>
      </c>
      <c r="BQ91" s="42">
        <v>-1.6623708655849612E-2</v>
      </c>
      <c r="BR91" s="42" t="s">
        <v>48</v>
      </c>
      <c r="BS91" s="40" t="s">
        <v>48</v>
      </c>
      <c r="BT91" s="40" t="s">
        <v>48</v>
      </c>
      <c r="BU91" s="40" t="s">
        <v>48</v>
      </c>
      <c r="BV91" s="40" t="s">
        <v>48</v>
      </c>
      <c r="BW91" s="40" t="s">
        <v>48</v>
      </c>
      <c r="BX91" s="40" t="s">
        <v>48</v>
      </c>
      <c r="BY91" s="40" t="s">
        <v>48</v>
      </c>
      <c r="BZ91" s="40" t="s">
        <v>48</v>
      </c>
      <c r="CA91" s="40" t="s">
        <v>48</v>
      </c>
      <c r="CB91" s="40" t="s">
        <v>48</v>
      </c>
      <c r="CC91" s="40" t="s">
        <v>48</v>
      </c>
      <c r="CD91" s="40" t="s">
        <v>48</v>
      </c>
      <c r="CE91" s="40" t="s">
        <v>48</v>
      </c>
      <c r="CF91" s="40" t="s">
        <v>48</v>
      </c>
      <c r="CH91" s="33"/>
      <c r="CI91" s="38" t="str">
        <f>Notes!U92</f>
        <v xml:space="preserve">         Other chemicals</v>
      </c>
      <c r="CJ91" s="4" t="s">
        <v>385</v>
      </c>
      <c r="CK91" s="44" t="s">
        <v>48</v>
      </c>
      <c r="CL91" s="42" t="s">
        <v>48</v>
      </c>
      <c r="CM91" s="42" t="s">
        <v>48</v>
      </c>
      <c r="CN91" s="40" t="s">
        <v>48</v>
      </c>
      <c r="CO91" s="40" t="s">
        <v>48</v>
      </c>
      <c r="CP91" s="40" t="s">
        <v>48</v>
      </c>
      <c r="CQ91" s="40" t="s">
        <v>48</v>
      </c>
      <c r="CR91" s="40" t="s">
        <v>48</v>
      </c>
      <c r="CS91" s="40" t="s">
        <v>48</v>
      </c>
      <c r="CT91" s="40" t="s">
        <v>48</v>
      </c>
      <c r="CU91" s="40" t="s">
        <v>48</v>
      </c>
      <c r="CV91" s="40" t="s">
        <v>48</v>
      </c>
      <c r="CW91" s="40" t="s">
        <v>48</v>
      </c>
      <c r="CX91" s="40" t="s">
        <v>48</v>
      </c>
      <c r="CY91" s="40" t="s">
        <v>48</v>
      </c>
      <c r="CZ91" s="40" t="s">
        <v>48</v>
      </c>
      <c r="DA91" s="40" t="s">
        <v>48</v>
      </c>
      <c r="DC91" s="33"/>
      <c r="DD91" s="38" t="str">
        <f>Notes!U92</f>
        <v xml:space="preserve">         Other chemicals</v>
      </c>
      <c r="DE91" s="4" t="s">
        <v>385</v>
      </c>
      <c r="DF91" s="44">
        <v>0.9087859091663022</v>
      </c>
      <c r="DG91" s="42" t="s">
        <v>48</v>
      </c>
      <c r="DH91" s="42" t="s">
        <v>48</v>
      </c>
      <c r="DI91" s="40" t="s">
        <v>48</v>
      </c>
      <c r="DJ91" s="40" t="s">
        <v>48</v>
      </c>
      <c r="DK91" s="40" t="s">
        <v>48</v>
      </c>
      <c r="DL91" s="40" t="s">
        <v>48</v>
      </c>
      <c r="DM91" s="40" t="s">
        <v>48</v>
      </c>
      <c r="DN91" s="40" t="s">
        <v>48</v>
      </c>
      <c r="DO91" s="40" t="s">
        <v>48</v>
      </c>
      <c r="DP91" s="40" t="s">
        <v>48</v>
      </c>
      <c r="DQ91" s="40" t="s">
        <v>48</v>
      </c>
      <c r="DR91" s="40" t="s">
        <v>48</v>
      </c>
      <c r="DS91" s="40" t="s">
        <v>48</v>
      </c>
      <c r="DT91" s="40" t="s">
        <v>48</v>
      </c>
      <c r="DU91" s="40" t="s">
        <v>48</v>
      </c>
      <c r="DV91" s="40" t="s">
        <v>48</v>
      </c>
    </row>
    <row r="92" spans="1:126" x14ac:dyDescent="0.3">
      <c r="A92" s="12">
        <v>85</v>
      </c>
      <c r="B92" s="33"/>
      <c r="C92" s="38" t="str">
        <f>Notes!U93</f>
        <v xml:space="preserve">      Non-metal minerals</v>
      </c>
      <c r="D92" s="4" t="s">
        <v>386</v>
      </c>
      <c r="E92" s="44">
        <v>1</v>
      </c>
      <c r="F92" s="42">
        <v>-1.6460022348907533E-2</v>
      </c>
      <c r="G92" s="42" t="s">
        <v>48</v>
      </c>
      <c r="H92" s="40" t="s">
        <v>48</v>
      </c>
      <c r="I92" s="40" t="s">
        <v>48</v>
      </c>
      <c r="J92" s="40" t="s">
        <v>48</v>
      </c>
      <c r="K92" s="40" t="s">
        <v>48</v>
      </c>
      <c r="L92" s="40" t="s">
        <v>48</v>
      </c>
      <c r="M92" s="40" t="s">
        <v>48</v>
      </c>
      <c r="N92" s="40" t="s">
        <v>48</v>
      </c>
      <c r="O92" s="40" t="s">
        <v>48</v>
      </c>
      <c r="P92" s="40" t="s">
        <v>48</v>
      </c>
      <c r="Q92" s="40" t="s">
        <v>48</v>
      </c>
      <c r="R92" s="40" t="s">
        <v>48</v>
      </c>
      <c r="S92" s="40" t="s">
        <v>48</v>
      </c>
      <c r="T92" s="40" t="s">
        <v>48</v>
      </c>
      <c r="U92" s="40" t="s">
        <v>48</v>
      </c>
      <c r="W92" s="33"/>
      <c r="X92" s="38" t="str">
        <f>Notes!U93</f>
        <v xml:space="preserve">      Non-metal minerals</v>
      </c>
      <c r="Y92" s="4" t="s">
        <v>386</v>
      </c>
      <c r="Z92" s="44">
        <v>1.4062138941555884</v>
      </c>
      <c r="AA92" s="42">
        <v>-1.5438115729249358E-2</v>
      </c>
      <c r="AB92" s="42" t="s">
        <v>48</v>
      </c>
      <c r="AC92" s="40" t="s">
        <v>48</v>
      </c>
      <c r="AD92" s="40" t="s">
        <v>48</v>
      </c>
      <c r="AE92" s="40" t="s">
        <v>48</v>
      </c>
      <c r="AF92" s="40" t="s">
        <v>48</v>
      </c>
      <c r="AG92" s="40" t="s">
        <v>48</v>
      </c>
      <c r="AH92" s="40" t="s">
        <v>48</v>
      </c>
      <c r="AI92" s="40" t="s">
        <v>48</v>
      </c>
      <c r="AJ92" s="40" t="s">
        <v>48</v>
      </c>
      <c r="AK92" s="40" t="s">
        <v>48</v>
      </c>
      <c r="AL92" s="40" t="s">
        <v>48</v>
      </c>
      <c r="AM92" s="40" t="s">
        <v>48</v>
      </c>
      <c r="AN92" s="40" t="s">
        <v>48</v>
      </c>
      <c r="AO92" s="40" t="s">
        <v>48</v>
      </c>
      <c r="AP92" s="40" t="s">
        <v>48</v>
      </c>
      <c r="AR92" s="33"/>
      <c r="AS92" s="38" t="str">
        <f>Notes!U93</f>
        <v xml:space="preserve">      Non-metal minerals</v>
      </c>
      <c r="AT92" s="4" t="s">
        <v>386</v>
      </c>
      <c r="AU92" s="44">
        <v>1</v>
      </c>
      <c r="AV92" s="42">
        <v>-1.9729478179464355E-2</v>
      </c>
      <c r="AW92" s="42" t="s">
        <v>48</v>
      </c>
      <c r="AX92" s="40" t="s">
        <v>48</v>
      </c>
      <c r="AY92" s="40" t="s">
        <v>48</v>
      </c>
      <c r="AZ92" s="40" t="s">
        <v>48</v>
      </c>
      <c r="BA92" s="40" t="s">
        <v>48</v>
      </c>
      <c r="BB92" s="40" t="s">
        <v>48</v>
      </c>
      <c r="BC92" s="40" t="s">
        <v>48</v>
      </c>
      <c r="BD92" s="40" t="s">
        <v>48</v>
      </c>
      <c r="BE92" s="40" t="s">
        <v>48</v>
      </c>
      <c r="BF92" s="40" t="s">
        <v>48</v>
      </c>
      <c r="BG92" s="40" t="s">
        <v>48</v>
      </c>
      <c r="BH92" s="40" t="s">
        <v>48</v>
      </c>
      <c r="BI92" s="40" t="s">
        <v>48</v>
      </c>
      <c r="BJ92" s="40" t="s">
        <v>48</v>
      </c>
      <c r="BK92" s="40" t="s">
        <v>48</v>
      </c>
      <c r="BM92" s="33"/>
      <c r="BN92" s="38" t="str">
        <f>Notes!U93</f>
        <v xml:space="preserve">      Non-metal minerals</v>
      </c>
      <c r="BO92" s="4" t="s">
        <v>386</v>
      </c>
      <c r="BP92" s="44" t="s">
        <v>48</v>
      </c>
      <c r="BQ92" s="42" t="s">
        <v>48</v>
      </c>
      <c r="BR92" s="42" t="s">
        <v>48</v>
      </c>
      <c r="BS92" s="40" t="s">
        <v>48</v>
      </c>
      <c r="BT92" s="40" t="s">
        <v>48</v>
      </c>
      <c r="BU92" s="40" t="s">
        <v>48</v>
      </c>
      <c r="BV92" s="40" t="s">
        <v>48</v>
      </c>
      <c r="BW92" s="40" t="s">
        <v>48</v>
      </c>
      <c r="BX92" s="40" t="s">
        <v>48</v>
      </c>
      <c r="BY92" s="40" t="s">
        <v>48</v>
      </c>
      <c r="BZ92" s="40" t="s">
        <v>48</v>
      </c>
      <c r="CA92" s="40" t="s">
        <v>48</v>
      </c>
      <c r="CB92" s="40" t="s">
        <v>48</v>
      </c>
      <c r="CC92" s="40" t="s">
        <v>48</v>
      </c>
      <c r="CD92" s="40" t="s">
        <v>48</v>
      </c>
      <c r="CE92" s="40" t="s">
        <v>48</v>
      </c>
      <c r="CF92" s="40" t="s">
        <v>48</v>
      </c>
      <c r="CH92" s="33"/>
      <c r="CI92" s="38" t="str">
        <f>Notes!U93</f>
        <v xml:space="preserve">      Non-metal minerals</v>
      </c>
      <c r="CJ92" s="4" t="s">
        <v>386</v>
      </c>
      <c r="CK92" s="44">
        <v>1.4062138941555884</v>
      </c>
      <c r="CL92" s="42" t="s">
        <v>48</v>
      </c>
      <c r="CM92" s="42" t="s">
        <v>48</v>
      </c>
      <c r="CN92" s="40" t="s">
        <v>48</v>
      </c>
      <c r="CO92" s="40" t="s">
        <v>48</v>
      </c>
      <c r="CP92" s="40" t="s">
        <v>48</v>
      </c>
      <c r="CQ92" s="40" t="s">
        <v>48</v>
      </c>
      <c r="CR92" s="40" t="s">
        <v>48</v>
      </c>
      <c r="CS92" s="40" t="s">
        <v>48</v>
      </c>
      <c r="CT92" s="40" t="s">
        <v>48</v>
      </c>
      <c r="CU92" s="40" t="s">
        <v>48</v>
      </c>
      <c r="CV92" s="40" t="s">
        <v>48</v>
      </c>
      <c r="CW92" s="40" t="s">
        <v>48</v>
      </c>
      <c r="CX92" s="40" t="s">
        <v>48</v>
      </c>
      <c r="CY92" s="40" t="s">
        <v>48</v>
      </c>
      <c r="CZ92" s="40" t="s">
        <v>48</v>
      </c>
      <c r="DA92" s="40" t="s">
        <v>48</v>
      </c>
      <c r="DC92" s="33"/>
      <c r="DD92" s="38" t="str">
        <f>Notes!U93</f>
        <v xml:space="preserve">      Non-metal minerals</v>
      </c>
      <c r="DE92" s="4" t="s">
        <v>386</v>
      </c>
      <c r="DF92" s="44" t="s">
        <v>48</v>
      </c>
      <c r="DG92" s="42" t="s">
        <v>48</v>
      </c>
      <c r="DH92" s="42" t="s">
        <v>48</v>
      </c>
      <c r="DI92" s="40" t="s">
        <v>48</v>
      </c>
      <c r="DJ92" s="40" t="s">
        <v>48</v>
      </c>
      <c r="DK92" s="40" t="s">
        <v>48</v>
      </c>
      <c r="DL92" s="40" t="s">
        <v>48</v>
      </c>
      <c r="DM92" s="40" t="s">
        <v>48</v>
      </c>
      <c r="DN92" s="40" t="s">
        <v>48</v>
      </c>
      <c r="DO92" s="40" t="s">
        <v>48</v>
      </c>
      <c r="DP92" s="40" t="s">
        <v>48</v>
      </c>
      <c r="DQ92" s="40" t="s">
        <v>48</v>
      </c>
      <c r="DR92" s="40" t="s">
        <v>48</v>
      </c>
      <c r="DS92" s="40" t="s">
        <v>48</v>
      </c>
      <c r="DT92" s="40" t="s">
        <v>48</v>
      </c>
      <c r="DU92" s="40" t="s">
        <v>48</v>
      </c>
      <c r="DV92" s="40" t="s">
        <v>48</v>
      </c>
    </row>
    <row r="93" spans="1:126" x14ac:dyDescent="0.3">
      <c r="A93" s="12">
        <v>86</v>
      </c>
      <c r="B93" s="33"/>
      <c r="C93" s="38" t="str">
        <f>Notes!U94</f>
        <v xml:space="preserve">      Metals and metal products</v>
      </c>
      <c r="D93" s="4" t="s">
        <v>388</v>
      </c>
      <c r="E93" s="44">
        <v>1</v>
      </c>
      <c r="F93" s="42">
        <v>-4.8912725583272199E-3</v>
      </c>
      <c r="G93" s="42" t="s">
        <v>48</v>
      </c>
      <c r="H93" s="40" t="s">
        <v>48</v>
      </c>
      <c r="I93" s="40" t="s">
        <v>48</v>
      </c>
      <c r="J93" s="40" t="s">
        <v>48</v>
      </c>
      <c r="K93" s="40" t="s">
        <v>48</v>
      </c>
      <c r="L93" s="40" t="s">
        <v>48</v>
      </c>
      <c r="M93" s="40" t="s">
        <v>48</v>
      </c>
      <c r="N93" s="40" t="s">
        <v>48</v>
      </c>
      <c r="O93" s="40" t="s">
        <v>48</v>
      </c>
      <c r="P93" s="40" t="s">
        <v>48</v>
      </c>
      <c r="Q93" s="40" t="s">
        <v>48</v>
      </c>
      <c r="R93" s="40" t="s">
        <v>48</v>
      </c>
      <c r="S93" s="40" t="s">
        <v>48</v>
      </c>
      <c r="T93" s="40" t="s">
        <v>48</v>
      </c>
      <c r="U93" s="40" t="s">
        <v>48</v>
      </c>
      <c r="W93" s="33"/>
      <c r="X93" s="38" t="str">
        <f>Notes!U94</f>
        <v xml:space="preserve">      Metals and metal products</v>
      </c>
      <c r="Y93" s="4" t="s">
        <v>388</v>
      </c>
      <c r="Z93" s="44">
        <v>1.2434964480438651</v>
      </c>
      <c r="AA93" s="42">
        <v>-6.1945263840512688E-3</v>
      </c>
      <c r="AB93" s="42" t="s">
        <v>48</v>
      </c>
      <c r="AC93" s="40" t="s">
        <v>48</v>
      </c>
      <c r="AD93" s="40" t="s">
        <v>48</v>
      </c>
      <c r="AE93" s="40" t="s">
        <v>48</v>
      </c>
      <c r="AF93" s="40" t="s">
        <v>48</v>
      </c>
      <c r="AG93" s="40" t="s">
        <v>48</v>
      </c>
      <c r="AH93" s="40" t="s">
        <v>48</v>
      </c>
      <c r="AI93" s="40" t="s">
        <v>48</v>
      </c>
      <c r="AJ93" s="40" t="s">
        <v>48</v>
      </c>
      <c r="AK93" s="40" t="s">
        <v>48</v>
      </c>
      <c r="AL93" s="40" t="s">
        <v>48</v>
      </c>
      <c r="AM93" s="40" t="s">
        <v>48</v>
      </c>
      <c r="AN93" s="40" t="s">
        <v>48</v>
      </c>
      <c r="AO93" s="40" t="s">
        <v>48</v>
      </c>
      <c r="AP93" s="40" t="s">
        <v>48</v>
      </c>
      <c r="AR93" s="33"/>
      <c r="AS93" s="38" t="str">
        <f>Notes!U94</f>
        <v xml:space="preserve">      Metals and metal products</v>
      </c>
      <c r="AT93" s="4" t="s">
        <v>388</v>
      </c>
      <c r="AU93" s="44">
        <v>1</v>
      </c>
      <c r="AV93" s="42">
        <v>-1.904226189666236E-2</v>
      </c>
      <c r="AW93" s="42" t="s">
        <v>48</v>
      </c>
      <c r="AX93" s="40" t="s">
        <v>48</v>
      </c>
      <c r="AY93" s="40" t="s">
        <v>48</v>
      </c>
      <c r="AZ93" s="40" t="s">
        <v>48</v>
      </c>
      <c r="BA93" s="40" t="s">
        <v>48</v>
      </c>
      <c r="BB93" s="40" t="s">
        <v>48</v>
      </c>
      <c r="BC93" s="40" t="s">
        <v>48</v>
      </c>
      <c r="BD93" s="40" t="s">
        <v>48</v>
      </c>
      <c r="BE93" s="40" t="s">
        <v>48</v>
      </c>
      <c r="BF93" s="40" t="s">
        <v>48</v>
      </c>
      <c r="BG93" s="40" t="s">
        <v>48</v>
      </c>
      <c r="BH93" s="40" t="s">
        <v>48</v>
      </c>
      <c r="BI93" s="40" t="s">
        <v>48</v>
      </c>
      <c r="BJ93" s="40" t="s">
        <v>48</v>
      </c>
      <c r="BK93" s="40" t="s">
        <v>48</v>
      </c>
      <c r="BM93" s="33"/>
      <c r="BN93" s="38" t="str">
        <f>Notes!U94</f>
        <v xml:space="preserve">      Metals and metal products</v>
      </c>
      <c r="BO93" s="4" t="s">
        <v>388</v>
      </c>
      <c r="BP93" s="44" t="s">
        <v>48</v>
      </c>
      <c r="BQ93" s="42" t="s">
        <v>48</v>
      </c>
      <c r="BR93" s="42" t="s">
        <v>48</v>
      </c>
      <c r="BS93" s="40" t="s">
        <v>48</v>
      </c>
      <c r="BT93" s="40" t="s">
        <v>48</v>
      </c>
      <c r="BU93" s="40" t="s">
        <v>48</v>
      </c>
      <c r="BV93" s="40" t="s">
        <v>48</v>
      </c>
      <c r="BW93" s="40" t="s">
        <v>48</v>
      </c>
      <c r="BX93" s="40" t="s">
        <v>48</v>
      </c>
      <c r="BY93" s="40" t="s">
        <v>48</v>
      </c>
      <c r="BZ93" s="40" t="s">
        <v>48</v>
      </c>
      <c r="CA93" s="40" t="s">
        <v>48</v>
      </c>
      <c r="CB93" s="40" t="s">
        <v>48</v>
      </c>
      <c r="CC93" s="40" t="s">
        <v>48</v>
      </c>
      <c r="CD93" s="40" t="s">
        <v>48</v>
      </c>
      <c r="CE93" s="40" t="s">
        <v>48</v>
      </c>
      <c r="CF93" s="40" t="s">
        <v>48</v>
      </c>
      <c r="CH93" s="33"/>
      <c r="CI93" s="38" t="str">
        <f>Notes!U94</f>
        <v xml:space="preserve">      Metals and metal products</v>
      </c>
      <c r="CJ93" s="4" t="s">
        <v>388</v>
      </c>
      <c r="CK93" s="44">
        <v>1.2434964480438655</v>
      </c>
      <c r="CL93" s="42" t="s">
        <v>48</v>
      </c>
      <c r="CM93" s="42" t="s">
        <v>48</v>
      </c>
      <c r="CN93" s="40" t="s">
        <v>48</v>
      </c>
      <c r="CO93" s="40" t="s">
        <v>48</v>
      </c>
      <c r="CP93" s="40" t="s">
        <v>48</v>
      </c>
      <c r="CQ93" s="40" t="s">
        <v>48</v>
      </c>
      <c r="CR93" s="40" t="s">
        <v>48</v>
      </c>
      <c r="CS93" s="40" t="s">
        <v>48</v>
      </c>
      <c r="CT93" s="40" t="s">
        <v>48</v>
      </c>
      <c r="CU93" s="40" t="s">
        <v>48</v>
      </c>
      <c r="CV93" s="40" t="s">
        <v>48</v>
      </c>
      <c r="CW93" s="40" t="s">
        <v>48</v>
      </c>
      <c r="CX93" s="40" t="s">
        <v>48</v>
      </c>
      <c r="CY93" s="40" t="s">
        <v>48</v>
      </c>
      <c r="CZ93" s="40" t="s">
        <v>48</v>
      </c>
      <c r="DA93" s="40" t="s">
        <v>48</v>
      </c>
      <c r="DC93" s="33"/>
      <c r="DD93" s="38" t="str">
        <f>Notes!U94</f>
        <v xml:space="preserve">      Metals and metal products</v>
      </c>
      <c r="DE93" s="4" t="s">
        <v>388</v>
      </c>
      <c r="DF93" s="44" t="s">
        <v>48</v>
      </c>
      <c r="DG93" s="42" t="s">
        <v>48</v>
      </c>
      <c r="DH93" s="42" t="s">
        <v>48</v>
      </c>
      <c r="DI93" s="40" t="s">
        <v>48</v>
      </c>
      <c r="DJ93" s="40" t="s">
        <v>48</v>
      </c>
      <c r="DK93" s="40" t="s">
        <v>48</v>
      </c>
      <c r="DL93" s="40" t="s">
        <v>48</v>
      </c>
      <c r="DM93" s="40" t="s">
        <v>48</v>
      </c>
      <c r="DN93" s="40" t="s">
        <v>48</v>
      </c>
      <c r="DO93" s="40" t="s">
        <v>48</v>
      </c>
      <c r="DP93" s="40" t="s">
        <v>48</v>
      </c>
      <c r="DQ93" s="40" t="s">
        <v>48</v>
      </c>
      <c r="DR93" s="40" t="s">
        <v>48</v>
      </c>
      <c r="DS93" s="40" t="s">
        <v>48</v>
      </c>
      <c r="DT93" s="40" t="s">
        <v>48</v>
      </c>
      <c r="DU93" s="40" t="s">
        <v>48</v>
      </c>
      <c r="DV93" s="40" t="s">
        <v>48</v>
      </c>
    </row>
    <row r="94" spans="1:126" x14ac:dyDescent="0.3">
      <c r="A94" s="12">
        <v>87</v>
      </c>
      <c r="B94" s="33"/>
      <c r="C94" s="38" t="str">
        <f>Notes!U95</f>
        <v xml:space="preserve">      Machinery and equipment</v>
      </c>
      <c r="D94" s="4" t="s">
        <v>389</v>
      </c>
      <c r="E94" s="44">
        <v>1</v>
      </c>
      <c r="F94" s="42">
        <v>-3.8542692481224883E-2</v>
      </c>
      <c r="G94" s="42" t="s">
        <v>48</v>
      </c>
      <c r="H94" s="40" t="s">
        <v>48</v>
      </c>
      <c r="I94" s="40" t="s">
        <v>48</v>
      </c>
      <c r="J94" s="40" t="s">
        <v>48</v>
      </c>
      <c r="K94" s="40" t="s">
        <v>48</v>
      </c>
      <c r="L94" s="40" t="s">
        <v>48</v>
      </c>
      <c r="M94" s="40" t="s">
        <v>48</v>
      </c>
      <c r="N94" s="40" t="s">
        <v>48</v>
      </c>
      <c r="O94" s="40" t="s">
        <v>48</v>
      </c>
      <c r="P94" s="40" t="s">
        <v>48</v>
      </c>
      <c r="Q94" s="40" t="s">
        <v>48</v>
      </c>
      <c r="R94" s="40" t="s">
        <v>48</v>
      </c>
      <c r="S94" s="40" t="s">
        <v>48</v>
      </c>
      <c r="T94" s="40" t="s">
        <v>48</v>
      </c>
      <c r="U94" s="40" t="s">
        <v>48</v>
      </c>
      <c r="W94" s="33"/>
      <c r="X94" s="38" t="str">
        <f>Notes!U95</f>
        <v xml:space="preserve">      Machinery and equipment</v>
      </c>
      <c r="Y94" s="4" t="s">
        <v>389</v>
      </c>
      <c r="Z94" s="44">
        <v>1.1337767875874027</v>
      </c>
      <c r="AA94" s="42">
        <v>-2.9105783994498591E-2</v>
      </c>
      <c r="AB94" s="42" t="s">
        <v>48</v>
      </c>
      <c r="AC94" s="40" t="s">
        <v>48</v>
      </c>
      <c r="AD94" s="40" t="s">
        <v>48</v>
      </c>
      <c r="AE94" s="40" t="s">
        <v>48</v>
      </c>
      <c r="AF94" s="40" t="s">
        <v>48</v>
      </c>
      <c r="AG94" s="40" t="s">
        <v>48</v>
      </c>
      <c r="AH94" s="40" t="s">
        <v>48</v>
      </c>
      <c r="AI94" s="40" t="s">
        <v>48</v>
      </c>
      <c r="AJ94" s="40" t="s">
        <v>48</v>
      </c>
      <c r="AK94" s="40" t="s">
        <v>48</v>
      </c>
      <c r="AL94" s="40" t="s">
        <v>48</v>
      </c>
      <c r="AM94" s="40" t="s">
        <v>48</v>
      </c>
      <c r="AN94" s="40" t="s">
        <v>48</v>
      </c>
      <c r="AO94" s="40" t="s">
        <v>48</v>
      </c>
      <c r="AP94" s="40" t="s">
        <v>48</v>
      </c>
      <c r="AR94" s="33"/>
      <c r="AS94" s="38" t="str">
        <f>Notes!U95</f>
        <v xml:space="preserve">      Machinery and equipment</v>
      </c>
      <c r="AT94" s="4" t="s">
        <v>389</v>
      </c>
      <c r="AU94" s="44" t="s">
        <v>48</v>
      </c>
      <c r="AV94" s="42" t="s">
        <v>48</v>
      </c>
      <c r="AW94" s="42" t="s">
        <v>48</v>
      </c>
      <c r="AX94" s="40" t="s">
        <v>48</v>
      </c>
      <c r="AY94" s="40" t="s">
        <v>48</v>
      </c>
      <c r="AZ94" s="40" t="s">
        <v>48</v>
      </c>
      <c r="BA94" s="40" t="s">
        <v>48</v>
      </c>
      <c r="BB94" s="40" t="s">
        <v>48</v>
      </c>
      <c r="BC94" s="40" t="s">
        <v>48</v>
      </c>
      <c r="BD94" s="40" t="s">
        <v>48</v>
      </c>
      <c r="BE94" s="40" t="s">
        <v>48</v>
      </c>
      <c r="BF94" s="40" t="s">
        <v>48</v>
      </c>
      <c r="BG94" s="40" t="s">
        <v>48</v>
      </c>
      <c r="BH94" s="40" t="s">
        <v>48</v>
      </c>
      <c r="BI94" s="40" t="s">
        <v>48</v>
      </c>
      <c r="BJ94" s="40" t="s">
        <v>48</v>
      </c>
      <c r="BK94" s="40" t="s">
        <v>48</v>
      </c>
      <c r="BM94" s="33"/>
      <c r="BN94" s="38" t="str">
        <f>Notes!U95</f>
        <v xml:space="preserve">      Machinery and equipment</v>
      </c>
      <c r="BO94" s="4" t="s">
        <v>389</v>
      </c>
      <c r="BP94" s="44">
        <v>1.2255236103091252</v>
      </c>
      <c r="BQ94" s="42">
        <v>-1.7236826507449621E-2</v>
      </c>
      <c r="BR94" s="42" t="s">
        <v>48</v>
      </c>
      <c r="BS94" s="40" t="s">
        <v>48</v>
      </c>
      <c r="BT94" s="40" t="s">
        <v>48</v>
      </c>
      <c r="BU94" s="40" t="s">
        <v>48</v>
      </c>
      <c r="BV94" s="40" t="s">
        <v>48</v>
      </c>
      <c r="BW94" s="40" t="s">
        <v>48</v>
      </c>
      <c r="BX94" s="40" t="s">
        <v>48</v>
      </c>
      <c r="BY94" s="40" t="s">
        <v>48</v>
      </c>
      <c r="BZ94" s="40" t="s">
        <v>48</v>
      </c>
      <c r="CA94" s="40" t="s">
        <v>48</v>
      </c>
      <c r="CB94" s="40" t="s">
        <v>48</v>
      </c>
      <c r="CC94" s="40" t="s">
        <v>48</v>
      </c>
      <c r="CD94" s="40" t="s">
        <v>48</v>
      </c>
      <c r="CE94" s="40" t="s">
        <v>48</v>
      </c>
      <c r="CF94" s="40" t="s">
        <v>48</v>
      </c>
      <c r="CH94" s="33"/>
      <c r="CI94" s="38" t="str">
        <f>Notes!U95</f>
        <v xml:space="preserve">      Machinery and equipment</v>
      </c>
      <c r="CJ94" s="4" t="s">
        <v>389</v>
      </c>
      <c r="CK94" s="44" t="s">
        <v>48</v>
      </c>
      <c r="CL94" s="42" t="s">
        <v>48</v>
      </c>
      <c r="CM94" s="42" t="s">
        <v>48</v>
      </c>
      <c r="CN94" s="40" t="s">
        <v>48</v>
      </c>
      <c r="CO94" s="40" t="s">
        <v>48</v>
      </c>
      <c r="CP94" s="40" t="s">
        <v>48</v>
      </c>
      <c r="CQ94" s="40" t="s">
        <v>48</v>
      </c>
      <c r="CR94" s="40" t="s">
        <v>48</v>
      </c>
      <c r="CS94" s="40" t="s">
        <v>48</v>
      </c>
      <c r="CT94" s="40" t="s">
        <v>48</v>
      </c>
      <c r="CU94" s="40" t="s">
        <v>48</v>
      </c>
      <c r="CV94" s="40" t="s">
        <v>48</v>
      </c>
      <c r="CW94" s="40" t="s">
        <v>48</v>
      </c>
      <c r="CX94" s="40" t="s">
        <v>48</v>
      </c>
      <c r="CY94" s="40" t="s">
        <v>48</v>
      </c>
      <c r="CZ94" s="40" t="s">
        <v>48</v>
      </c>
      <c r="DA94" s="40" t="s">
        <v>48</v>
      </c>
      <c r="DC94" s="33"/>
      <c r="DD94" s="38" t="str">
        <f>Notes!U95</f>
        <v xml:space="preserve">      Machinery and equipment</v>
      </c>
      <c r="DE94" s="4" t="s">
        <v>389</v>
      </c>
      <c r="DF94" s="44">
        <v>0.95269664849809477</v>
      </c>
      <c r="DG94" s="42" t="s">
        <v>48</v>
      </c>
      <c r="DH94" s="42" t="s">
        <v>48</v>
      </c>
      <c r="DI94" s="40" t="s">
        <v>48</v>
      </c>
      <c r="DJ94" s="40" t="s">
        <v>48</v>
      </c>
      <c r="DK94" s="40" t="s">
        <v>48</v>
      </c>
      <c r="DL94" s="40" t="s">
        <v>48</v>
      </c>
      <c r="DM94" s="40" t="s">
        <v>48</v>
      </c>
      <c r="DN94" s="40" t="s">
        <v>48</v>
      </c>
      <c r="DO94" s="40" t="s">
        <v>48</v>
      </c>
      <c r="DP94" s="40" t="s">
        <v>48</v>
      </c>
      <c r="DQ94" s="40" t="s">
        <v>48</v>
      </c>
      <c r="DR94" s="40" t="s">
        <v>48</v>
      </c>
      <c r="DS94" s="40" t="s">
        <v>48</v>
      </c>
      <c r="DT94" s="40" t="s">
        <v>48</v>
      </c>
      <c r="DU94" s="40" t="s">
        <v>48</v>
      </c>
      <c r="DV94" s="40" t="s">
        <v>48</v>
      </c>
    </row>
    <row r="95" spans="1:126" x14ac:dyDescent="0.3">
      <c r="A95" s="12">
        <v>88</v>
      </c>
      <c r="B95" s="33"/>
      <c r="C95" s="38" t="str">
        <f>Notes!U96</f>
        <v xml:space="preserve">         Machinery and other equipment</v>
      </c>
      <c r="D95" s="4" t="s">
        <v>390</v>
      </c>
      <c r="E95" s="44">
        <v>1</v>
      </c>
      <c r="F95" s="42">
        <v>-3.0093135693365358E-2</v>
      </c>
      <c r="G95" s="42" t="s">
        <v>48</v>
      </c>
      <c r="H95" s="40" t="s">
        <v>48</v>
      </c>
      <c r="I95" s="40" t="s">
        <v>48</v>
      </c>
      <c r="J95" s="40" t="s">
        <v>48</v>
      </c>
      <c r="K95" s="40" t="s">
        <v>48</v>
      </c>
      <c r="L95" s="40" t="s">
        <v>48</v>
      </c>
      <c r="M95" s="40" t="s">
        <v>48</v>
      </c>
      <c r="N95" s="40" t="s">
        <v>48</v>
      </c>
      <c r="O95" s="40" t="s">
        <v>48</v>
      </c>
      <c r="P95" s="40" t="s">
        <v>48</v>
      </c>
      <c r="Q95" s="40" t="s">
        <v>48</v>
      </c>
      <c r="R95" s="40" t="s">
        <v>48</v>
      </c>
      <c r="S95" s="40" t="s">
        <v>48</v>
      </c>
      <c r="T95" s="40" t="s">
        <v>48</v>
      </c>
      <c r="U95" s="40" t="s">
        <v>48</v>
      </c>
      <c r="W95" s="33"/>
      <c r="X95" s="38" t="str">
        <f>Notes!U96</f>
        <v xml:space="preserve">         Machinery and other equipment</v>
      </c>
      <c r="Y95" s="4" t="s">
        <v>390</v>
      </c>
      <c r="Z95" s="44">
        <v>1.2964426682353216</v>
      </c>
      <c r="AA95" s="42">
        <v>-1.8272864594937044E-2</v>
      </c>
      <c r="AB95" s="42" t="s">
        <v>48</v>
      </c>
      <c r="AC95" s="40" t="s">
        <v>48</v>
      </c>
      <c r="AD95" s="40" t="s">
        <v>48</v>
      </c>
      <c r="AE95" s="40" t="s">
        <v>48</v>
      </c>
      <c r="AF95" s="40" t="s">
        <v>48</v>
      </c>
      <c r="AG95" s="40" t="s">
        <v>48</v>
      </c>
      <c r="AH95" s="40" t="s">
        <v>48</v>
      </c>
      <c r="AI95" s="40" t="s">
        <v>48</v>
      </c>
      <c r="AJ95" s="40" t="s">
        <v>48</v>
      </c>
      <c r="AK95" s="40" t="s">
        <v>48</v>
      </c>
      <c r="AL95" s="40" t="s">
        <v>48</v>
      </c>
      <c r="AM95" s="40" t="s">
        <v>48</v>
      </c>
      <c r="AN95" s="40" t="s">
        <v>48</v>
      </c>
      <c r="AO95" s="40" t="s">
        <v>48</v>
      </c>
      <c r="AP95" s="40" t="s">
        <v>48</v>
      </c>
      <c r="AR95" s="33"/>
      <c r="AS95" s="38" t="str">
        <f>Notes!U96</f>
        <v xml:space="preserve">         Machinery and other equipment</v>
      </c>
      <c r="AT95" s="4" t="s">
        <v>390</v>
      </c>
      <c r="AU95" s="44" t="s">
        <v>48</v>
      </c>
      <c r="AV95" s="42" t="s">
        <v>48</v>
      </c>
      <c r="AW95" s="42" t="s">
        <v>48</v>
      </c>
      <c r="AX95" s="40" t="s">
        <v>48</v>
      </c>
      <c r="AY95" s="40" t="s">
        <v>48</v>
      </c>
      <c r="AZ95" s="40" t="s">
        <v>48</v>
      </c>
      <c r="BA95" s="40" t="s">
        <v>48</v>
      </c>
      <c r="BB95" s="40" t="s">
        <v>48</v>
      </c>
      <c r="BC95" s="40" t="s">
        <v>48</v>
      </c>
      <c r="BD95" s="40" t="s">
        <v>48</v>
      </c>
      <c r="BE95" s="40" t="s">
        <v>48</v>
      </c>
      <c r="BF95" s="40" t="s">
        <v>48</v>
      </c>
      <c r="BG95" s="40" t="s">
        <v>48</v>
      </c>
      <c r="BH95" s="40" t="s">
        <v>48</v>
      </c>
      <c r="BI95" s="40" t="s">
        <v>48</v>
      </c>
      <c r="BJ95" s="40" t="s">
        <v>48</v>
      </c>
      <c r="BK95" s="40" t="s">
        <v>48</v>
      </c>
      <c r="BM95" s="33"/>
      <c r="BN95" s="38" t="str">
        <f>Notes!U96</f>
        <v xml:space="preserve">         Machinery and other equipment</v>
      </c>
      <c r="BO95" s="4" t="s">
        <v>390</v>
      </c>
      <c r="BP95" s="44">
        <v>1.2964426682353212</v>
      </c>
      <c r="BQ95" s="42">
        <v>-1.7048336290137467E-2</v>
      </c>
      <c r="BR95" s="42" t="s">
        <v>48</v>
      </c>
      <c r="BS95" s="40" t="s">
        <v>48</v>
      </c>
      <c r="BT95" s="40" t="s">
        <v>48</v>
      </c>
      <c r="BU95" s="40" t="s">
        <v>48</v>
      </c>
      <c r="BV95" s="40" t="s">
        <v>48</v>
      </c>
      <c r="BW95" s="40" t="s">
        <v>48</v>
      </c>
      <c r="BX95" s="40" t="s">
        <v>48</v>
      </c>
      <c r="BY95" s="40" t="s">
        <v>48</v>
      </c>
      <c r="BZ95" s="40" t="s">
        <v>48</v>
      </c>
      <c r="CA95" s="40" t="s">
        <v>48</v>
      </c>
      <c r="CB95" s="40" t="s">
        <v>48</v>
      </c>
      <c r="CC95" s="40" t="s">
        <v>48</v>
      </c>
      <c r="CD95" s="40" t="s">
        <v>48</v>
      </c>
      <c r="CE95" s="40" t="s">
        <v>48</v>
      </c>
      <c r="CF95" s="40" t="s">
        <v>48</v>
      </c>
      <c r="CH95" s="33"/>
      <c r="CI95" s="38" t="str">
        <f>Notes!U96</f>
        <v xml:space="preserve">         Machinery and other equipment</v>
      </c>
      <c r="CJ95" s="4" t="s">
        <v>390</v>
      </c>
      <c r="CK95" s="44" t="s">
        <v>48</v>
      </c>
      <c r="CL95" s="42" t="s">
        <v>48</v>
      </c>
      <c r="CM95" s="42" t="s">
        <v>48</v>
      </c>
      <c r="CN95" s="40" t="s">
        <v>48</v>
      </c>
      <c r="CO95" s="40" t="s">
        <v>48</v>
      </c>
      <c r="CP95" s="40" t="s">
        <v>48</v>
      </c>
      <c r="CQ95" s="40" t="s">
        <v>48</v>
      </c>
      <c r="CR95" s="40" t="s">
        <v>48</v>
      </c>
      <c r="CS95" s="40" t="s">
        <v>48</v>
      </c>
      <c r="CT95" s="40" t="s">
        <v>48</v>
      </c>
      <c r="CU95" s="40" t="s">
        <v>48</v>
      </c>
      <c r="CV95" s="40" t="s">
        <v>48</v>
      </c>
      <c r="CW95" s="40" t="s">
        <v>48</v>
      </c>
      <c r="CX95" s="40" t="s">
        <v>48</v>
      </c>
      <c r="CY95" s="40" t="s">
        <v>48</v>
      </c>
      <c r="CZ95" s="40" t="s">
        <v>48</v>
      </c>
      <c r="DA95" s="40" t="s">
        <v>48</v>
      </c>
      <c r="DC95" s="33"/>
      <c r="DD95" s="38" t="str">
        <f>Notes!U96</f>
        <v xml:space="preserve">         Machinery and other equipment</v>
      </c>
      <c r="DE95" s="4" t="s">
        <v>390</v>
      </c>
      <c r="DF95" s="44">
        <v>0.94670018116869836</v>
      </c>
      <c r="DG95" s="42" t="s">
        <v>48</v>
      </c>
      <c r="DH95" s="42" t="s">
        <v>48</v>
      </c>
      <c r="DI95" s="40" t="s">
        <v>48</v>
      </c>
      <c r="DJ95" s="40" t="s">
        <v>48</v>
      </c>
      <c r="DK95" s="40" t="s">
        <v>48</v>
      </c>
      <c r="DL95" s="40" t="s">
        <v>48</v>
      </c>
      <c r="DM95" s="40" t="s">
        <v>48</v>
      </c>
      <c r="DN95" s="40" t="s">
        <v>48</v>
      </c>
      <c r="DO95" s="40" t="s">
        <v>48</v>
      </c>
      <c r="DP95" s="40" t="s">
        <v>48</v>
      </c>
      <c r="DQ95" s="40" t="s">
        <v>48</v>
      </c>
      <c r="DR95" s="40" t="s">
        <v>48</v>
      </c>
      <c r="DS95" s="40" t="s">
        <v>48</v>
      </c>
      <c r="DT95" s="40" t="s">
        <v>48</v>
      </c>
      <c r="DU95" s="40" t="s">
        <v>48</v>
      </c>
      <c r="DV95" s="40" t="s">
        <v>48</v>
      </c>
    </row>
    <row r="96" spans="1:126" x14ac:dyDescent="0.3">
      <c r="A96" s="12">
        <v>89</v>
      </c>
      <c r="B96" s="33"/>
      <c r="C96" s="38" t="str">
        <f>Notes!U97</f>
        <v xml:space="preserve">         Electrical equipment</v>
      </c>
      <c r="D96" s="4" t="s">
        <v>391</v>
      </c>
      <c r="E96" s="44">
        <v>1</v>
      </c>
      <c r="F96" s="42">
        <v>-1.3854908262256327E-2</v>
      </c>
      <c r="G96" s="42" t="s">
        <v>48</v>
      </c>
      <c r="H96" s="40" t="s">
        <v>48</v>
      </c>
      <c r="I96" s="40" t="s">
        <v>48</v>
      </c>
      <c r="J96" s="40" t="s">
        <v>48</v>
      </c>
      <c r="K96" s="40" t="s">
        <v>48</v>
      </c>
      <c r="L96" s="40" t="s">
        <v>48</v>
      </c>
      <c r="M96" s="40" t="s">
        <v>48</v>
      </c>
      <c r="N96" s="40" t="s">
        <v>48</v>
      </c>
      <c r="O96" s="40" t="s">
        <v>48</v>
      </c>
      <c r="P96" s="40" t="s">
        <v>48</v>
      </c>
      <c r="Q96" s="40" t="s">
        <v>48</v>
      </c>
      <c r="R96" s="40" t="s">
        <v>48</v>
      </c>
      <c r="S96" s="40" t="s">
        <v>48</v>
      </c>
      <c r="T96" s="40" t="s">
        <v>48</v>
      </c>
      <c r="U96" s="40" t="s">
        <v>48</v>
      </c>
      <c r="W96" s="33"/>
      <c r="X96" s="38" t="str">
        <f>Notes!U97</f>
        <v xml:space="preserve">         Electrical equipment</v>
      </c>
      <c r="Y96" s="4" t="s">
        <v>391</v>
      </c>
      <c r="Z96" s="44">
        <v>1.1655216981138627</v>
      </c>
      <c r="AA96" s="42">
        <v>-1.634403594565903E-2</v>
      </c>
      <c r="AB96" s="42" t="s">
        <v>48</v>
      </c>
      <c r="AC96" s="40" t="s">
        <v>48</v>
      </c>
      <c r="AD96" s="40" t="s">
        <v>48</v>
      </c>
      <c r="AE96" s="40" t="s">
        <v>48</v>
      </c>
      <c r="AF96" s="40" t="s">
        <v>48</v>
      </c>
      <c r="AG96" s="40" t="s">
        <v>48</v>
      </c>
      <c r="AH96" s="40" t="s">
        <v>48</v>
      </c>
      <c r="AI96" s="40" t="s">
        <v>48</v>
      </c>
      <c r="AJ96" s="40" t="s">
        <v>48</v>
      </c>
      <c r="AK96" s="40" t="s">
        <v>48</v>
      </c>
      <c r="AL96" s="40" t="s">
        <v>48</v>
      </c>
      <c r="AM96" s="40" t="s">
        <v>48</v>
      </c>
      <c r="AN96" s="40" t="s">
        <v>48</v>
      </c>
      <c r="AO96" s="40" t="s">
        <v>48</v>
      </c>
      <c r="AP96" s="40" t="s">
        <v>48</v>
      </c>
      <c r="AR96" s="33"/>
      <c r="AS96" s="38" t="str">
        <f>Notes!U97</f>
        <v xml:space="preserve">         Electrical equipment</v>
      </c>
      <c r="AT96" s="4" t="s">
        <v>391</v>
      </c>
      <c r="AU96" s="44" t="s">
        <v>48</v>
      </c>
      <c r="AV96" s="42" t="s">
        <v>48</v>
      </c>
      <c r="AW96" s="42" t="s">
        <v>48</v>
      </c>
      <c r="AX96" s="40" t="s">
        <v>48</v>
      </c>
      <c r="AY96" s="40" t="s">
        <v>48</v>
      </c>
      <c r="AZ96" s="40" t="s">
        <v>48</v>
      </c>
      <c r="BA96" s="40" t="s">
        <v>48</v>
      </c>
      <c r="BB96" s="40" t="s">
        <v>48</v>
      </c>
      <c r="BC96" s="40" t="s">
        <v>48</v>
      </c>
      <c r="BD96" s="40" t="s">
        <v>48</v>
      </c>
      <c r="BE96" s="40" t="s">
        <v>48</v>
      </c>
      <c r="BF96" s="40" t="s">
        <v>48</v>
      </c>
      <c r="BG96" s="40" t="s">
        <v>48</v>
      </c>
      <c r="BH96" s="40" t="s">
        <v>48</v>
      </c>
      <c r="BI96" s="40" t="s">
        <v>48</v>
      </c>
      <c r="BJ96" s="40" t="s">
        <v>48</v>
      </c>
      <c r="BK96" s="40" t="s">
        <v>48</v>
      </c>
      <c r="BM96" s="33"/>
      <c r="BN96" s="38" t="str">
        <f>Notes!U97</f>
        <v xml:space="preserve">         Electrical equipment</v>
      </c>
      <c r="BO96" s="4" t="s">
        <v>391</v>
      </c>
      <c r="BP96" s="44">
        <v>1.1655216981138632</v>
      </c>
      <c r="BQ96" s="42">
        <v>-1.7414216317668263E-2</v>
      </c>
      <c r="BR96" s="42" t="s">
        <v>48</v>
      </c>
      <c r="BS96" s="40" t="s">
        <v>48</v>
      </c>
      <c r="BT96" s="40" t="s">
        <v>48</v>
      </c>
      <c r="BU96" s="40" t="s">
        <v>48</v>
      </c>
      <c r="BV96" s="40" t="s">
        <v>48</v>
      </c>
      <c r="BW96" s="40" t="s">
        <v>48</v>
      </c>
      <c r="BX96" s="40" t="s">
        <v>48</v>
      </c>
      <c r="BY96" s="40" t="s">
        <v>48</v>
      </c>
      <c r="BZ96" s="40" t="s">
        <v>48</v>
      </c>
      <c r="CA96" s="40" t="s">
        <v>48</v>
      </c>
      <c r="CB96" s="40" t="s">
        <v>48</v>
      </c>
      <c r="CC96" s="40" t="s">
        <v>48</v>
      </c>
      <c r="CD96" s="40" t="s">
        <v>48</v>
      </c>
      <c r="CE96" s="40" t="s">
        <v>48</v>
      </c>
      <c r="CF96" s="40" t="s">
        <v>48</v>
      </c>
      <c r="CH96" s="33"/>
      <c r="CI96" s="38" t="str">
        <f>Notes!U97</f>
        <v xml:space="preserve">         Electrical equipment</v>
      </c>
      <c r="CJ96" s="4" t="s">
        <v>391</v>
      </c>
      <c r="CK96" s="44" t="s">
        <v>48</v>
      </c>
      <c r="CL96" s="42" t="s">
        <v>48</v>
      </c>
      <c r="CM96" s="42" t="s">
        <v>48</v>
      </c>
      <c r="CN96" s="40" t="s">
        <v>48</v>
      </c>
      <c r="CO96" s="40" t="s">
        <v>48</v>
      </c>
      <c r="CP96" s="40" t="s">
        <v>48</v>
      </c>
      <c r="CQ96" s="40" t="s">
        <v>48</v>
      </c>
      <c r="CR96" s="40" t="s">
        <v>48</v>
      </c>
      <c r="CS96" s="40" t="s">
        <v>48</v>
      </c>
      <c r="CT96" s="40" t="s">
        <v>48</v>
      </c>
      <c r="CU96" s="40" t="s">
        <v>48</v>
      </c>
      <c r="CV96" s="40" t="s">
        <v>48</v>
      </c>
      <c r="CW96" s="40" t="s">
        <v>48</v>
      </c>
      <c r="CX96" s="40" t="s">
        <v>48</v>
      </c>
      <c r="CY96" s="40" t="s">
        <v>48</v>
      </c>
      <c r="CZ96" s="40" t="s">
        <v>48</v>
      </c>
      <c r="DA96" s="40" t="s">
        <v>48</v>
      </c>
      <c r="DC96" s="33"/>
      <c r="DD96" s="38" t="str">
        <f>Notes!U97</f>
        <v xml:space="preserve">         Electrical equipment</v>
      </c>
      <c r="DE96" s="4" t="s">
        <v>391</v>
      </c>
      <c r="DF96" s="44">
        <v>1</v>
      </c>
      <c r="DG96" s="42" t="s">
        <v>48</v>
      </c>
      <c r="DH96" s="42" t="s">
        <v>48</v>
      </c>
      <c r="DI96" s="40" t="s">
        <v>48</v>
      </c>
      <c r="DJ96" s="40" t="s">
        <v>48</v>
      </c>
      <c r="DK96" s="40" t="s">
        <v>48</v>
      </c>
      <c r="DL96" s="40" t="s">
        <v>48</v>
      </c>
      <c r="DM96" s="40" t="s">
        <v>48</v>
      </c>
      <c r="DN96" s="40" t="s">
        <v>48</v>
      </c>
      <c r="DO96" s="40" t="s">
        <v>48</v>
      </c>
      <c r="DP96" s="40" t="s">
        <v>48</v>
      </c>
      <c r="DQ96" s="40" t="s">
        <v>48</v>
      </c>
      <c r="DR96" s="40" t="s">
        <v>48</v>
      </c>
      <c r="DS96" s="40" t="s">
        <v>48</v>
      </c>
      <c r="DT96" s="40" t="s">
        <v>48</v>
      </c>
      <c r="DU96" s="40" t="s">
        <v>48</v>
      </c>
      <c r="DV96" s="40" t="s">
        <v>48</v>
      </c>
    </row>
    <row r="97" spans="1:126" x14ac:dyDescent="0.3">
      <c r="A97" s="12">
        <v>90</v>
      </c>
      <c r="B97" s="33"/>
      <c r="C97" s="38" t="str">
        <f>Notes!U98</f>
        <v xml:space="preserve">         Vehicles and transport equipment</v>
      </c>
      <c r="D97" s="4" t="s">
        <v>392</v>
      </c>
      <c r="E97" s="44">
        <v>1</v>
      </c>
      <c r="F97" s="42">
        <v>-4.0613970981739911E-2</v>
      </c>
      <c r="G97" s="42" t="s">
        <v>48</v>
      </c>
      <c r="H97" s="40" t="s">
        <v>48</v>
      </c>
      <c r="I97" s="40" t="s">
        <v>48</v>
      </c>
      <c r="J97" s="40" t="s">
        <v>48</v>
      </c>
      <c r="K97" s="40" t="s">
        <v>48</v>
      </c>
      <c r="L97" s="40" t="s">
        <v>48</v>
      </c>
      <c r="M97" s="40" t="s">
        <v>48</v>
      </c>
      <c r="N97" s="40" t="s">
        <v>48</v>
      </c>
      <c r="O97" s="40" t="s">
        <v>48</v>
      </c>
      <c r="P97" s="40" t="s">
        <v>48</v>
      </c>
      <c r="Q97" s="40" t="s">
        <v>48</v>
      </c>
      <c r="R97" s="40" t="s">
        <v>48</v>
      </c>
      <c r="S97" s="40" t="s">
        <v>48</v>
      </c>
      <c r="T97" s="40" t="s">
        <v>48</v>
      </c>
      <c r="U97" s="40" t="s">
        <v>48</v>
      </c>
      <c r="W97" s="33"/>
      <c r="X97" s="38" t="str">
        <f>Notes!U98</f>
        <v xml:space="preserve">         Vehicles and transport equipment</v>
      </c>
      <c r="Y97" s="4" t="s">
        <v>392</v>
      </c>
      <c r="Z97" s="44">
        <v>1.066261033937969</v>
      </c>
      <c r="AA97" s="42">
        <v>-3.7200504172163473E-2</v>
      </c>
      <c r="AB97" s="42" t="s">
        <v>48</v>
      </c>
      <c r="AC97" s="40" t="s">
        <v>48</v>
      </c>
      <c r="AD97" s="40" t="s">
        <v>48</v>
      </c>
      <c r="AE97" s="40" t="s">
        <v>48</v>
      </c>
      <c r="AF97" s="40" t="s">
        <v>48</v>
      </c>
      <c r="AG97" s="40" t="s">
        <v>48</v>
      </c>
      <c r="AH97" s="40" t="s">
        <v>48</v>
      </c>
      <c r="AI97" s="40" t="s">
        <v>48</v>
      </c>
      <c r="AJ97" s="40" t="s">
        <v>48</v>
      </c>
      <c r="AK97" s="40" t="s">
        <v>48</v>
      </c>
      <c r="AL97" s="40" t="s">
        <v>48</v>
      </c>
      <c r="AM97" s="40" t="s">
        <v>48</v>
      </c>
      <c r="AN97" s="40" t="s">
        <v>48</v>
      </c>
      <c r="AO97" s="40" t="s">
        <v>48</v>
      </c>
      <c r="AP97" s="40" t="s">
        <v>48</v>
      </c>
      <c r="AR97" s="33"/>
      <c r="AS97" s="38" t="str">
        <f>Notes!U98</f>
        <v xml:space="preserve">         Vehicles and transport equipment</v>
      </c>
      <c r="AT97" s="4" t="s">
        <v>392</v>
      </c>
      <c r="AU97" s="44" t="s">
        <v>48</v>
      </c>
      <c r="AV97" s="42" t="s">
        <v>48</v>
      </c>
      <c r="AW97" s="42" t="s">
        <v>48</v>
      </c>
      <c r="AX97" s="40" t="s">
        <v>48</v>
      </c>
      <c r="AY97" s="40" t="s">
        <v>48</v>
      </c>
      <c r="AZ97" s="40" t="s">
        <v>48</v>
      </c>
      <c r="BA97" s="40" t="s">
        <v>48</v>
      </c>
      <c r="BB97" s="40" t="s">
        <v>48</v>
      </c>
      <c r="BC97" s="40" t="s">
        <v>48</v>
      </c>
      <c r="BD97" s="40" t="s">
        <v>48</v>
      </c>
      <c r="BE97" s="40" t="s">
        <v>48</v>
      </c>
      <c r="BF97" s="40" t="s">
        <v>48</v>
      </c>
      <c r="BG97" s="40" t="s">
        <v>48</v>
      </c>
      <c r="BH97" s="40" t="s">
        <v>48</v>
      </c>
      <c r="BI97" s="40" t="s">
        <v>48</v>
      </c>
      <c r="BJ97" s="40" t="s">
        <v>48</v>
      </c>
      <c r="BK97" s="40" t="s">
        <v>48</v>
      </c>
      <c r="BM97" s="33"/>
      <c r="BN97" s="38" t="str">
        <f>Notes!U98</f>
        <v xml:space="preserve">         Vehicles and transport equipment</v>
      </c>
      <c r="BO97" s="4" t="s">
        <v>392</v>
      </c>
      <c r="BP97" s="44">
        <v>1.0662610339379688</v>
      </c>
      <c r="BQ97" s="42">
        <v>-1.7751507980068304E-2</v>
      </c>
      <c r="BR97" s="42" t="s">
        <v>48</v>
      </c>
      <c r="BS97" s="40" t="s">
        <v>48</v>
      </c>
      <c r="BT97" s="40" t="s">
        <v>48</v>
      </c>
      <c r="BU97" s="40" t="s">
        <v>48</v>
      </c>
      <c r="BV97" s="40" t="s">
        <v>48</v>
      </c>
      <c r="BW97" s="40" t="s">
        <v>48</v>
      </c>
      <c r="BX97" s="40" t="s">
        <v>48</v>
      </c>
      <c r="BY97" s="40" t="s">
        <v>48</v>
      </c>
      <c r="BZ97" s="40" t="s">
        <v>48</v>
      </c>
      <c r="CA97" s="40" t="s">
        <v>48</v>
      </c>
      <c r="CB97" s="40" t="s">
        <v>48</v>
      </c>
      <c r="CC97" s="40" t="s">
        <v>48</v>
      </c>
      <c r="CD97" s="40" t="s">
        <v>48</v>
      </c>
      <c r="CE97" s="40" t="s">
        <v>48</v>
      </c>
      <c r="CF97" s="40" t="s">
        <v>48</v>
      </c>
      <c r="CH97" s="33"/>
      <c r="CI97" s="38" t="str">
        <f>Notes!U98</f>
        <v xml:space="preserve">         Vehicles and transport equipment</v>
      </c>
      <c r="CJ97" s="4" t="s">
        <v>392</v>
      </c>
      <c r="CK97" s="44" t="s">
        <v>48</v>
      </c>
      <c r="CL97" s="42" t="s">
        <v>48</v>
      </c>
      <c r="CM97" s="42" t="s">
        <v>48</v>
      </c>
      <c r="CN97" s="40" t="s">
        <v>48</v>
      </c>
      <c r="CO97" s="40" t="s">
        <v>48</v>
      </c>
      <c r="CP97" s="40" t="s">
        <v>48</v>
      </c>
      <c r="CQ97" s="40" t="s">
        <v>48</v>
      </c>
      <c r="CR97" s="40" t="s">
        <v>48</v>
      </c>
      <c r="CS97" s="40" t="s">
        <v>48</v>
      </c>
      <c r="CT97" s="40" t="s">
        <v>48</v>
      </c>
      <c r="CU97" s="40" t="s">
        <v>48</v>
      </c>
      <c r="CV97" s="40" t="s">
        <v>48</v>
      </c>
      <c r="CW97" s="40" t="s">
        <v>48</v>
      </c>
      <c r="CX97" s="40" t="s">
        <v>48</v>
      </c>
      <c r="CY97" s="40" t="s">
        <v>48</v>
      </c>
      <c r="CZ97" s="40" t="s">
        <v>48</v>
      </c>
      <c r="DA97" s="40" t="s">
        <v>48</v>
      </c>
      <c r="DC97" s="33"/>
      <c r="DD97" s="38" t="str">
        <f>Notes!U98</f>
        <v xml:space="preserve">         Vehicles and transport equipment</v>
      </c>
      <c r="DE97" s="4" t="s">
        <v>392</v>
      </c>
      <c r="DF97" s="44">
        <v>0.87673820516179424</v>
      </c>
      <c r="DG97" s="42" t="s">
        <v>48</v>
      </c>
      <c r="DH97" s="42" t="s">
        <v>48</v>
      </c>
      <c r="DI97" s="40" t="s">
        <v>48</v>
      </c>
      <c r="DJ97" s="40" t="s">
        <v>48</v>
      </c>
      <c r="DK97" s="40" t="s">
        <v>48</v>
      </c>
      <c r="DL97" s="40" t="s">
        <v>48</v>
      </c>
      <c r="DM97" s="40" t="s">
        <v>48</v>
      </c>
      <c r="DN97" s="40" t="s">
        <v>48</v>
      </c>
      <c r="DO97" s="40" t="s">
        <v>48</v>
      </c>
      <c r="DP97" s="40" t="s">
        <v>48</v>
      </c>
      <c r="DQ97" s="40" t="s">
        <v>48</v>
      </c>
      <c r="DR97" s="40" t="s">
        <v>48</v>
      </c>
      <c r="DS97" s="40" t="s">
        <v>48</v>
      </c>
      <c r="DT97" s="40" t="s">
        <v>48</v>
      </c>
      <c r="DU97" s="40" t="s">
        <v>48</v>
      </c>
      <c r="DV97" s="40" t="s">
        <v>48</v>
      </c>
    </row>
    <row r="98" spans="1:126" x14ac:dyDescent="0.3">
      <c r="A98" s="12">
        <v>91</v>
      </c>
      <c r="B98" s="33"/>
      <c r="C98" s="38" t="str">
        <f>Notes!U99</f>
        <v xml:space="preserve">      Other manufacturing</v>
      </c>
      <c r="D98" s="4" t="s">
        <v>393</v>
      </c>
      <c r="E98" s="44">
        <v>1</v>
      </c>
      <c r="F98" s="42">
        <v>-1.3329831732245001E-2</v>
      </c>
      <c r="G98" s="42" t="s">
        <v>48</v>
      </c>
      <c r="H98" s="40" t="s">
        <v>48</v>
      </c>
      <c r="I98" s="40" t="s">
        <v>48</v>
      </c>
      <c r="J98" s="40" t="s">
        <v>48</v>
      </c>
      <c r="K98" s="40" t="s">
        <v>48</v>
      </c>
      <c r="L98" s="40" t="s">
        <v>48</v>
      </c>
      <c r="M98" s="40" t="s">
        <v>48</v>
      </c>
      <c r="N98" s="40" t="s">
        <v>48</v>
      </c>
      <c r="O98" s="40" t="s">
        <v>48</v>
      </c>
      <c r="P98" s="40" t="s">
        <v>48</v>
      </c>
      <c r="Q98" s="40" t="s">
        <v>48</v>
      </c>
      <c r="R98" s="40" t="s">
        <v>48</v>
      </c>
      <c r="S98" s="40" t="s">
        <v>48</v>
      </c>
      <c r="T98" s="40" t="s">
        <v>48</v>
      </c>
      <c r="U98" s="40" t="s">
        <v>48</v>
      </c>
      <c r="W98" s="33"/>
      <c r="X98" s="38" t="str">
        <f>Notes!U99</f>
        <v xml:space="preserve">      Other manufacturing</v>
      </c>
      <c r="Y98" s="4" t="s">
        <v>393</v>
      </c>
      <c r="Z98" s="44">
        <v>1.1264034264484817</v>
      </c>
      <c r="AA98" s="42">
        <v>-1.3501769055657142E-2</v>
      </c>
      <c r="AB98" s="42" t="s">
        <v>48</v>
      </c>
      <c r="AC98" s="40" t="s">
        <v>48</v>
      </c>
      <c r="AD98" s="40" t="s">
        <v>48</v>
      </c>
      <c r="AE98" s="40" t="s">
        <v>48</v>
      </c>
      <c r="AF98" s="40" t="s">
        <v>48</v>
      </c>
      <c r="AG98" s="40" t="s">
        <v>48</v>
      </c>
      <c r="AH98" s="40" t="s">
        <v>48</v>
      </c>
      <c r="AI98" s="40" t="s">
        <v>48</v>
      </c>
      <c r="AJ98" s="40" t="s">
        <v>48</v>
      </c>
      <c r="AK98" s="40" t="s">
        <v>48</v>
      </c>
      <c r="AL98" s="40" t="s">
        <v>48</v>
      </c>
      <c r="AM98" s="40" t="s">
        <v>48</v>
      </c>
      <c r="AN98" s="40" t="s">
        <v>48</v>
      </c>
      <c r="AO98" s="40" t="s">
        <v>48</v>
      </c>
      <c r="AP98" s="40" t="s">
        <v>48</v>
      </c>
      <c r="AR98" s="33"/>
      <c r="AS98" s="38" t="str">
        <f>Notes!U99</f>
        <v xml:space="preserve">      Other manufacturing</v>
      </c>
      <c r="AT98" s="4" t="s">
        <v>393</v>
      </c>
      <c r="AU98" s="44">
        <v>1</v>
      </c>
      <c r="AV98" s="42">
        <v>-1.854775205984982E-2</v>
      </c>
      <c r="AW98" s="42" t="s">
        <v>48</v>
      </c>
      <c r="AX98" s="40" t="s">
        <v>48</v>
      </c>
      <c r="AY98" s="40" t="s">
        <v>48</v>
      </c>
      <c r="AZ98" s="40" t="s">
        <v>48</v>
      </c>
      <c r="BA98" s="40" t="s">
        <v>48</v>
      </c>
      <c r="BB98" s="40" t="s">
        <v>48</v>
      </c>
      <c r="BC98" s="40" t="s">
        <v>48</v>
      </c>
      <c r="BD98" s="40" t="s">
        <v>48</v>
      </c>
      <c r="BE98" s="40" t="s">
        <v>48</v>
      </c>
      <c r="BF98" s="40" t="s">
        <v>48</v>
      </c>
      <c r="BG98" s="40" t="s">
        <v>48</v>
      </c>
      <c r="BH98" s="40" t="s">
        <v>48</v>
      </c>
      <c r="BI98" s="40" t="s">
        <v>48</v>
      </c>
      <c r="BJ98" s="40" t="s">
        <v>48</v>
      </c>
      <c r="BK98" s="40" t="s">
        <v>48</v>
      </c>
      <c r="BM98" s="33"/>
      <c r="BN98" s="38" t="str">
        <f>Notes!U99</f>
        <v xml:space="preserve">      Other manufacturing</v>
      </c>
      <c r="BO98" s="4" t="s">
        <v>393</v>
      </c>
      <c r="BP98" s="44">
        <v>1.1264034264484817</v>
      </c>
      <c r="BQ98" s="42">
        <v>-1.7540043626251833E-2</v>
      </c>
      <c r="BR98" s="42" t="s">
        <v>48</v>
      </c>
      <c r="BS98" s="40" t="s">
        <v>48</v>
      </c>
      <c r="BT98" s="40" t="s">
        <v>48</v>
      </c>
      <c r="BU98" s="40" t="s">
        <v>48</v>
      </c>
      <c r="BV98" s="40" t="s">
        <v>48</v>
      </c>
      <c r="BW98" s="40" t="s">
        <v>48</v>
      </c>
      <c r="BX98" s="40" t="s">
        <v>48</v>
      </c>
      <c r="BY98" s="40" t="s">
        <v>48</v>
      </c>
      <c r="BZ98" s="40" t="s">
        <v>48</v>
      </c>
      <c r="CA98" s="40" t="s">
        <v>48</v>
      </c>
      <c r="CB98" s="40" t="s">
        <v>48</v>
      </c>
      <c r="CC98" s="40" t="s">
        <v>48</v>
      </c>
      <c r="CD98" s="40" t="s">
        <v>48</v>
      </c>
      <c r="CE98" s="40" t="s">
        <v>48</v>
      </c>
      <c r="CF98" s="40" t="s">
        <v>48</v>
      </c>
      <c r="CH98" s="33"/>
      <c r="CI98" s="38" t="str">
        <f>Notes!U99</f>
        <v xml:space="preserve">      Other manufacturing</v>
      </c>
      <c r="CJ98" s="4" t="s">
        <v>393</v>
      </c>
      <c r="CK98" s="44">
        <v>1.1264034264484812</v>
      </c>
      <c r="CL98" s="42" t="s">
        <v>48</v>
      </c>
      <c r="CM98" s="42" t="s">
        <v>48</v>
      </c>
      <c r="CN98" s="40" t="s">
        <v>48</v>
      </c>
      <c r="CO98" s="40" t="s">
        <v>48</v>
      </c>
      <c r="CP98" s="40" t="s">
        <v>48</v>
      </c>
      <c r="CQ98" s="40" t="s">
        <v>48</v>
      </c>
      <c r="CR98" s="40" t="s">
        <v>48</v>
      </c>
      <c r="CS98" s="40" t="s">
        <v>48</v>
      </c>
      <c r="CT98" s="40" t="s">
        <v>48</v>
      </c>
      <c r="CU98" s="40" t="s">
        <v>48</v>
      </c>
      <c r="CV98" s="40" t="s">
        <v>48</v>
      </c>
      <c r="CW98" s="40" t="s">
        <v>48</v>
      </c>
      <c r="CX98" s="40" t="s">
        <v>48</v>
      </c>
      <c r="CY98" s="40" t="s">
        <v>48</v>
      </c>
      <c r="CZ98" s="40" t="s">
        <v>48</v>
      </c>
      <c r="DA98" s="40" t="s">
        <v>48</v>
      </c>
      <c r="DC98" s="33"/>
      <c r="DD98" s="38" t="str">
        <f>Notes!U99</f>
        <v xml:space="preserve">      Other manufacturing</v>
      </c>
      <c r="DE98" s="4" t="s">
        <v>393</v>
      </c>
      <c r="DF98" s="44">
        <v>0.93867934610059145</v>
      </c>
      <c r="DG98" s="42" t="s">
        <v>48</v>
      </c>
      <c r="DH98" s="42" t="s">
        <v>48</v>
      </c>
      <c r="DI98" s="40" t="s">
        <v>48</v>
      </c>
      <c r="DJ98" s="40" t="s">
        <v>48</v>
      </c>
      <c r="DK98" s="40" t="s">
        <v>48</v>
      </c>
      <c r="DL98" s="40" t="s">
        <v>48</v>
      </c>
      <c r="DM98" s="40" t="s">
        <v>48</v>
      </c>
      <c r="DN98" s="40" t="s">
        <v>48</v>
      </c>
      <c r="DO98" s="40" t="s">
        <v>48</v>
      </c>
      <c r="DP98" s="40" t="s">
        <v>48</v>
      </c>
      <c r="DQ98" s="40" t="s">
        <v>48</v>
      </c>
      <c r="DR98" s="40" t="s">
        <v>48</v>
      </c>
      <c r="DS98" s="40" t="s">
        <v>48</v>
      </c>
      <c r="DT98" s="40" t="s">
        <v>48</v>
      </c>
      <c r="DU98" s="40" t="s">
        <v>48</v>
      </c>
      <c r="DV98" s="40" t="s">
        <v>48</v>
      </c>
    </row>
    <row r="99" spans="1:126" x14ac:dyDescent="0.3">
      <c r="A99" s="12">
        <v>92</v>
      </c>
      <c r="B99" s="33"/>
      <c r="C99" s="38" t="str">
        <f>Notes!U100</f>
        <v xml:space="preserve">   Utilities</v>
      </c>
      <c r="D99" s="4" t="s">
        <v>395</v>
      </c>
      <c r="E99" s="44">
        <v>1</v>
      </c>
      <c r="F99" s="42">
        <v>-3.9736172875770581E-2</v>
      </c>
      <c r="G99" s="42" t="s">
        <v>48</v>
      </c>
      <c r="H99" s="40" t="s">
        <v>48</v>
      </c>
      <c r="I99" s="40" t="s">
        <v>48</v>
      </c>
      <c r="J99" s="40" t="s">
        <v>48</v>
      </c>
      <c r="K99" s="40" t="s">
        <v>48</v>
      </c>
      <c r="L99" s="40" t="s">
        <v>48</v>
      </c>
      <c r="M99" s="40" t="s">
        <v>48</v>
      </c>
      <c r="N99" s="40" t="s">
        <v>48</v>
      </c>
      <c r="O99" s="40" t="s">
        <v>48</v>
      </c>
      <c r="P99" s="40" t="s">
        <v>48</v>
      </c>
      <c r="Q99" s="40" t="s">
        <v>48</v>
      </c>
      <c r="R99" s="40" t="s">
        <v>48</v>
      </c>
      <c r="S99" s="40" t="s">
        <v>48</v>
      </c>
      <c r="T99" s="40" t="s">
        <v>48</v>
      </c>
      <c r="U99" s="40" t="s">
        <v>48</v>
      </c>
      <c r="W99" s="33"/>
      <c r="X99" s="38" t="str">
        <f>Notes!U100</f>
        <v xml:space="preserve">   Utilities</v>
      </c>
      <c r="Y99" s="4" t="s">
        <v>395</v>
      </c>
      <c r="Z99" s="44">
        <v>1</v>
      </c>
      <c r="AA99" s="42">
        <v>-3.8602801226550465E-2</v>
      </c>
      <c r="AB99" s="42" t="s">
        <v>48</v>
      </c>
      <c r="AC99" s="40" t="s">
        <v>48</v>
      </c>
      <c r="AD99" s="40" t="s">
        <v>48</v>
      </c>
      <c r="AE99" s="40" t="s">
        <v>48</v>
      </c>
      <c r="AF99" s="40" t="s">
        <v>48</v>
      </c>
      <c r="AG99" s="40" t="s">
        <v>48</v>
      </c>
      <c r="AH99" s="40" t="s">
        <v>48</v>
      </c>
      <c r="AI99" s="40" t="s">
        <v>48</v>
      </c>
      <c r="AJ99" s="40" t="s">
        <v>48</v>
      </c>
      <c r="AK99" s="40" t="s">
        <v>48</v>
      </c>
      <c r="AL99" s="40" t="s">
        <v>48</v>
      </c>
      <c r="AM99" s="40" t="s">
        <v>48</v>
      </c>
      <c r="AN99" s="40" t="s">
        <v>48</v>
      </c>
      <c r="AO99" s="40" t="s">
        <v>48</v>
      </c>
      <c r="AP99" s="40" t="s">
        <v>48</v>
      </c>
      <c r="AR99" s="33"/>
      <c r="AS99" s="38" t="str">
        <f>Notes!U100</f>
        <v xml:space="preserve">   Utilities</v>
      </c>
      <c r="AT99" s="4" t="s">
        <v>395</v>
      </c>
      <c r="AU99" s="44" t="s">
        <v>48</v>
      </c>
      <c r="AV99" s="42" t="s">
        <v>48</v>
      </c>
      <c r="AW99" s="42" t="s">
        <v>48</v>
      </c>
      <c r="AX99" s="40" t="s">
        <v>48</v>
      </c>
      <c r="AY99" s="40" t="s">
        <v>48</v>
      </c>
      <c r="AZ99" s="40" t="s">
        <v>48</v>
      </c>
      <c r="BA99" s="40" t="s">
        <v>48</v>
      </c>
      <c r="BB99" s="40" t="s">
        <v>48</v>
      </c>
      <c r="BC99" s="40" t="s">
        <v>48</v>
      </c>
      <c r="BD99" s="40" t="s">
        <v>48</v>
      </c>
      <c r="BE99" s="40" t="s">
        <v>48</v>
      </c>
      <c r="BF99" s="40" t="s">
        <v>48</v>
      </c>
      <c r="BG99" s="40" t="s">
        <v>48</v>
      </c>
      <c r="BH99" s="40" t="s">
        <v>48</v>
      </c>
      <c r="BI99" s="40" t="s">
        <v>48</v>
      </c>
      <c r="BJ99" s="40" t="s">
        <v>48</v>
      </c>
      <c r="BK99" s="40" t="s">
        <v>48</v>
      </c>
      <c r="BM99" s="33"/>
      <c r="BN99" s="38" t="str">
        <f>Notes!U100</f>
        <v xml:space="preserve">   Utilities</v>
      </c>
      <c r="BO99" s="4" t="s">
        <v>395</v>
      </c>
      <c r="BP99" s="44">
        <v>1</v>
      </c>
      <c r="BQ99" s="42">
        <v>-1.8013938786409778E-2</v>
      </c>
      <c r="BR99" s="42" t="s">
        <v>48</v>
      </c>
      <c r="BS99" s="40" t="s">
        <v>48</v>
      </c>
      <c r="BT99" s="40" t="s">
        <v>48</v>
      </c>
      <c r="BU99" s="40" t="s">
        <v>48</v>
      </c>
      <c r="BV99" s="40" t="s">
        <v>48</v>
      </c>
      <c r="BW99" s="40" t="s">
        <v>48</v>
      </c>
      <c r="BX99" s="40" t="s">
        <v>48</v>
      </c>
      <c r="BY99" s="40" t="s">
        <v>48</v>
      </c>
      <c r="BZ99" s="40" t="s">
        <v>48</v>
      </c>
      <c r="CA99" s="40" t="s">
        <v>48</v>
      </c>
      <c r="CB99" s="40" t="s">
        <v>48</v>
      </c>
      <c r="CC99" s="40" t="s">
        <v>48</v>
      </c>
      <c r="CD99" s="40" t="s">
        <v>48</v>
      </c>
      <c r="CE99" s="40" t="s">
        <v>48</v>
      </c>
      <c r="CF99" s="40" t="s">
        <v>48</v>
      </c>
      <c r="CH99" s="33"/>
      <c r="CI99" s="38" t="str">
        <f>Notes!U100</f>
        <v xml:space="preserve">   Utilities</v>
      </c>
      <c r="CJ99" s="4" t="s">
        <v>395</v>
      </c>
      <c r="CK99" s="44" t="s">
        <v>48</v>
      </c>
      <c r="CL99" s="42" t="s">
        <v>48</v>
      </c>
      <c r="CM99" s="42" t="s">
        <v>48</v>
      </c>
      <c r="CN99" s="40" t="s">
        <v>48</v>
      </c>
      <c r="CO99" s="40" t="s">
        <v>48</v>
      </c>
      <c r="CP99" s="40" t="s">
        <v>48</v>
      </c>
      <c r="CQ99" s="40" t="s">
        <v>48</v>
      </c>
      <c r="CR99" s="40" t="s">
        <v>48</v>
      </c>
      <c r="CS99" s="40" t="s">
        <v>48</v>
      </c>
      <c r="CT99" s="40" t="s">
        <v>48</v>
      </c>
      <c r="CU99" s="40" t="s">
        <v>48</v>
      </c>
      <c r="CV99" s="40" t="s">
        <v>48</v>
      </c>
      <c r="CW99" s="40" t="s">
        <v>48</v>
      </c>
      <c r="CX99" s="40" t="s">
        <v>48</v>
      </c>
      <c r="CY99" s="40" t="s">
        <v>48</v>
      </c>
      <c r="CZ99" s="40" t="s">
        <v>48</v>
      </c>
      <c r="DA99" s="40" t="s">
        <v>48</v>
      </c>
      <c r="DC99" s="33"/>
      <c r="DD99" s="38" t="str">
        <f>Notes!U100</f>
        <v xml:space="preserve">   Utilities</v>
      </c>
      <c r="DE99" s="4" t="s">
        <v>395</v>
      </c>
      <c r="DF99" s="44">
        <v>1</v>
      </c>
      <c r="DG99" s="42" t="s">
        <v>48</v>
      </c>
      <c r="DH99" s="42" t="s">
        <v>48</v>
      </c>
      <c r="DI99" s="40" t="s">
        <v>48</v>
      </c>
      <c r="DJ99" s="40" t="s">
        <v>48</v>
      </c>
      <c r="DK99" s="40" t="s">
        <v>48</v>
      </c>
      <c r="DL99" s="40" t="s">
        <v>48</v>
      </c>
      <c r="DM99" s="40" t="s">
        <v>48</v>
      </c>
      <c r="DN99" s="40" t="s">
        <v>48</v>
      </c>
      <c r="DO99" s="40" t="s">
        <v>48</v>
      </c>
      <c r="DP99" s="40" t="s">
        <v>48</v>
      </c>
      <c r="DQ99" s="40" t="s">
        <v>48</v>
      </c>
      <c r="DR99" s="40" t="s">
        <v>48</v>
      </c>
      <c r="DS99" s="40" t="s">
        <v>48</v>
      </c>
      <c r="DT99" s="40" t="s">
        <v>48</v>
      </c>
      <c r="DU99" s="40" t="s">
        <v>48</v>
      </c>
      <c r="DV99" s="40" t="s">
        <v>48</v>
      </c>
    </row>
    <row r="100" spans="1:126" x14ac:dyDescent="0.3">
      <c r="A100" s="12">
        <v>93</v>
      </c>
      <c r="B100" s="33"/>
      <c r="C100" s="38" t="str">
        <f>Notes!U101</f>
        <v xml:space="preserve">      Electricity, gas and steam</v>
      </c>
      <c r="D100" s="4" t="s">
        <v>397</v>
      </c>
      <c r="E100" s="44">
        <v>1</v>
      </c>
      <c r="F100" s="42">
        <v>-4.0813660550520492E-2</v>
      </c>
      <c r="G100" s="42" t="s">
        <v>48</v>
      </c>
      <c r="H100" s="40" t="s">
        <v>48</v>
      </c>
      <c r="I100" s="40" t="s">
        <v>48</v>
      </c>
      <c r="J100" s="40" t="s">
        <v>48</v>
      </c>
      <c r="K100" s="40" t="s">
        <v>48</v>
      </c>
      <c r="L100" s="40" t="s">
        <v>48</v>
      </c>
      <c r="M100" s="40" t="s">
        <v>48</v>
      </c>
      <c r="N100" s="40" t="s">
        <v>48</v>
      </c>
      <c r="O100" s="40" t="s">
        <v>48</v>
      </c>
      <c r="P100" s="40" t="s">
        <v>48</v>
      </c>
      <c r="Q100" s="40" t="s">
        <v>48</v>
      </c>
      <c r="R100" s="40" t="s">
        <v>48</v>
      </c>
      <c r="S100" s="40" t="s">
        <v>48</v>
      </c>
      <c r="T100" s="40" t="s">
        <v>48</v>
      </c>
      <c r="U100" s="40" t="s">
        <v>48</v>
      </c>
      <c r="W100" s="33"/>
      <c r="X100" s="38" t="str">
        <f>Notes!U101</f>
        <v xml:space="preserve">      Electricity, gas and steam</v>
      </c>
      <c r="Y100" s="4" t="s">
        <v>397</v>
      </c>
      <c r="Z100" s="44">
        <v>1</v>
      </c>
      <c r="AA100" s="42">
        <v>-3.9553527762381524E-2</v>
      </c>
      <c r="AB100" s="42" t="s">
        <v>48</v>
      </c>
      <c r="AC100" s="40" t="s">
        <v>48</v>
      </c>
      <c r="AD100" s="40" t="s">
        <v>48</v>
      </c>
      <c r="AE100" s="40" t="s">
        <v>48</v>
      </c>
      <c r="AF100" s="40" t="s">
        <v>48</v>
      </c>
      <c r="AG100" s="40" t="s">
        <v>48</v>
      </c>
      <c r="AH100" s="40" t="s">
        <v>48</v>
      </c>
      <c r="AI100" s="40" t="s">
        <v>48</v>
      </c>
      <c r="AJ100" s="40" t="s">
        <v>48</v>
      </c>
      <c r="AK100" s="40" t="s">
        <v>48</v>
      </c>
      <c r="AL100" s="40" t="s">
        <v>48</v>
      </c>
      <c r="AM100" s="40" t="s">
        <v>48</v>
      </c>
      <c r="AN100" s="40" t="s">
        <v>48</v>
      </c>
      <c r="AO100" s="40" t="s">
        <v>48</v>
      </c>
      <c r="AP100" s="40" t="s">
        <v>48</v>
      </c>
      <c r="AR100" s="33"/>
      <c r="AS100" s="38" t="str">
        <f>Notes!U101</f>
        <v xml:space="preserve">      Electricity, gas and steam</v>
      </c>
      <c r="AT100" s="4" t="s">
        <v>397</v>
      </c>
      <c r="AU100" s="44" t="s">
        <v>48</v>
      </c>
      <c r="AV100" s="42" t="s">
        <v>48</v>
      </c>
      <c r="AW100" s="42" t="s">
        <v>48</v>
      </c>
      <c r="AX100" s="40" t="s">
        <v>48</v>
      </c>
      <c r="AY100" s="40" t="s">
        <v>48</v>
      </c>
      <c r="AZ100" s="40" t="s">
        <v>48</v>
      </c>
      <c r="BA100" s="40" t="s">
        <v>48</v>
      </c>
      <c r="BB100" s="40" t="s">
        <v>48</v>
      </c>
      <c r="BC100" s="40" t="s">
        <v>48</v>
      </c>
      <c r="BD100" s="40" t="s">
        <v>48</v>
      </c>
      <c r="BE100" s="40" t="s">
        <v>48</v>
      </c>
      <c r="BF100" s="40" t="s">
        <v>48</v>
      </c>
      <c r="BG100" s="40" t="s">
        <v>48</v>
      </c>
      <c r="BH100" s="40" t="s">
        <v>48</v>
      </c>
      <c r="BI100" s="40" t="s">
        <v>48</v>
      </c>
      <c r="BJ100" s="40" t="s">
        <v>48</v>
      </c>
      <c r="BK100" s="40" t="s">
        <v>48</v>
      </c>
      <c r="BM100" s="33"/>
      <c r="BN100" s="38" t="str">
        <f>Notes!U101</f>
        <v xml:space="preserve">      Electricity, gas and steam</v>
      </c>
      <c r="BO100" s="4" t="s">
        <v>397</v>
      </c>
      <c r="BP100" s="44">
        <v>1</v>
      </c>
      <c r="BQ100" s="42">
        <v>-1.8013938786409778E-2</v>
      </c>
      <c r="BR100" s="42" t="s">
        <v>48</v>
      </c>
      <c r="BS100" s="40" t="s">
        <v>48</v>
      </c>
      <c r="BT100" s="40" t="s">
        <v>48</v>
      </c>
      <c r="BU100" s="40" t="s">
        <v>48</v>
      </c>
      <c r="BV100" s="40" t="s">
        <v>48</v>
      </c>
      <c r="BW100" s="40" t="s">
        <v>48</v>
      </c>
      <c r="BX100" s="40" t="s">
        <v>48</v>
      </c>
      <c r="BY100" s="40" t="s">
        <v>48</v>
      </c>
      <c r="BZ100" s="40" t="s">
        <v>48</v>
      </c>
      <c r="CA100" s="40" t="s">
        <v>48</v>
      </c>
      <c r="CB100" s="40" t="s">
        <v>48</v>
      </c>
      <c r="CC100" s="40" t="s">
        <v>48</v>
      </c>
      <c r="CD100" s="40" t="s">
        <v>48</v>
      </c>
      <c r="CE100" s="40" t="s">
        <v>48</v>
      </c>
      <c r="CF100" s="40" t="s">
        <v>48</v>
      </c>
      <c r="CH100" s="33"/>
      <c r="CI100" s="38" t="str">
        <f>Notes!U101</f>
        <v xml:space="preserve">      Electricity, gas and steam</v>
      </c>
      <c r="CJ100" s="4" t="s">
        <v>397</v>
      </c>
      <c r="CK100" s="44" t="s">
        <v>48</v>
      </c>
      <c r="CL100" s="42" t="s">
        <v>48</v>
      </c>
      <c r="CM100" s="42" t="s">
        <v>48</v>
      </c>
      <c r="CN100" s="40" t="s">
        <v>48</v>
      </c>
      <c r="CO100" s="40" t="s">
        <v>48</v>
      </c>
      <c r="CP100" s="40" t="s">
        <v>48</v>
      </c>
      <c r="CQ100" s="40" t="s">
        <v>48</v>
      </c>
      <c r="CR100" s="40" t="s">
        <v>48</v>
      </c>
      <c r="CS100" s="40" t="s">
        <v>48</v>
      </c>
      <c r="CT100" s="40" t="s">
        <v>48</v>
      </c>
      <c r="CU100" s="40" t="s">
        <v>48</v>
      </c>
      <c r="CV100" s="40" t="s">
        <v>48</v>
      </c>
      <c r="CW100" s="40" t="s">
        <v>48</v>
      </c>
      <c r="CX100" s="40" t="s">
        <v>48</v>
      </c>
      <c r="CY100" s="40" t="s">
        <v>48</v>
      </c>
      <c r="CZ100" s="40" t="s">
        <v>48</v>
      </c>
      <c r="DA100" s="40" t="s">
        <v>48</v>
      </c>
      <c r="DC100" s="33"/>
      <c r="DD100" s="38" t="str">
        <f>Notes!U101</f>
        <v xml:space="preserve">      Electricity, gas and steam</v>
      </c>
      <c r="DE100" s="4" t="s">
        <v>397</v>
      </c>
      <c r="DF100" s="44">
        <v>1</v>
      </c>
      <c r="DG100" s="42" t="s">
        <v>48</v>
      </c>
      <c r="DH100" s="42" t="s">
        <v>48</v>
      </c>
      <c r="DI100" s="40" t="s">
        <v>48</v>
      </c>
      <c r="DJ100" s="40" t="s">
        <v>48</v>
      </c>
      <c r="DK100" s="40" t="s">
        <v>48</v>
      </c>
      <c r="DL100" s="40" t="s">
        <v>48</v>
      </c>
      <c r="DM100" s="40" t="s">
        <v>48</v>
      </c>
      <c r="DN100" s="40" t="s">
        <v>48</v>
      </c>
      <c r="DO100" s="40" t="s">
        <v>48</v>
      </c>
      <c r="DP100" s="40" t="s">
        <v>48</v>
      </c>
      <c r="DQ100" s="40" t="s">
        <v>48</v>
      </c>
      <c r="DR100" s="40" t="s">
        <v>48</v>
      </c>
      <c r="DS100" s="40" t="s">
        <v>48</v>
      </c>
      <c r="DT100" s="40" t="s">
        <v>48</v>
      </c>
      <c r="DU100" s="40" t="s">
        <v>48</v>
      </c>
      <c r="DV100" s="40" t="s">
        <v>48</v>
      </c>
    </row>
    <row r="101" spans="1:126" x14ac:dyDescent="0.3">
      <c r="A101" s="12">
        <v>94</v>
      </c>
      <c r="B101" s="33"/>
      <c r="C101" s="38" t="str">
        <f>Notes!U102</f>
        <v xml:space="preserve">      Water supply and sewage</v>
      </c>
      <c r="D101" s="4" t="s">
        <v>399</v>
      </c>
      <c r="E101" s="44">
        <v>1</v>
      </c>
      <c r="F101" s="42">
        <v>-2.2540207290233649E-2</v>
      </c>
      <c r="G101" s="42" t="s">
        <v>48</v>
      </c>
      <c r="H101" s="40" t="s">
        <v>48</v>
      </c>
      <c r="I101" s="40" t="s">
        <v>48</v>
      </c>
      <c r="J101" s="40" t="s">
        <v>48</v>
      </c>
      <c r="K101" s="40" t="s">
        <v>48</v>
      </c>
      <c r="L101" s="40" t="s">
        <v>48</v>
      </c>
      <c r="M101" s="40" t="s">
        <v>48</v>
      </c>
      <c r="N101" s="40" t="s">
        <v>48</v>
      </c>
      <c r="O101" s="40" t="s">
        <v>48</v>
      </c>
      <c r="P101" s="40" t="s">
        <v>48</v>
      </c>
      <c r="Q101" s="40" t="s">
        <v>48</v>
      </c>
      <c r="R101" s="40" t="s">
        <v>48</v>
      </c>
      <c r="S101" s="40" t="s">
        <v>48</v>
      </c>
      <c r="T101" s="40" t="s">
        <v>48</v>
      </c>
      <c r="U101" s="40" t="s">
        <v>48</v>
      </c>
      <c r="W101" s="33"/>
      <c r="X101" s="38" t="str">
        <f>Notes!U102</f>
        <v xml:space="preserve">      Water supply and sewage</v>
      </c>
      <c r="Y101" s="4" t="s">
        <v>399</v>
      </c>
      <c r="Z101" s="44">
        <v>1</v>
      </c>
      <c r="AA101" s="42">
        <v>-2.2540207290244751E-2</v>
      </c>
      <c r="AB101" s="42" t="s">
        <v>48</v>
      </c>
      <c r="AC101" s="40" t="s">
        <v>48</v>
      </c>
      <c r="AD101" s="40" t="s">
        <v>48</v>
      </c>
      <c r="AE101" s="40" t="s">
        <v>48</v>
      </c>
      <c r="AF101" s="40" t="s">
        <v>48</v>
      </c>
      <c r="AG101" s="40" t="s">
        <v>48</v>
      </c>
      <c r="AH101" s="40" t="s">
        <v>48</v>
      </c>
      <c r="AI101" s="40" t="s">
        <v>48</v>
      </c>
      <c r="AJ101" s="40" t="s">
        <v>48</v>
      </c>
      <c r="AK101" s="40" t="s">
        <v>48</v>
      </c>
      <c r="AL101" s="40" t="s">
        <v>48</v>
      </c>
      <c r="AM101" s="40" t="s">
        <v>48</v>
      </c>
      <c r="AN101" s="40" t="s">
        <v>48</v>
      </c>
      <c r="AO101" s="40" t="s">
        <v>48</v>
      </c>
      <c r="AP101" s="40" t="s">
        <v>48</v>
      </c>
      <c r="AR101" s="33"/>
      <c r="AS101" s="38" t="str">
        <f>Notes!U102</f>
        <v xml:space="preserve">      Water supply and sewage</v>
      </c>
      <c r="AT101" s="4" t="s">
        <v>399</v>
      </c>
      <c r="AU101" s="44" t="s">
        <v>48</v>
      </c>
      <c r="AV101" s="42" t="s">
        <v>48</v>
      </c>
      <c r="AW101" s="42" t="s">
        <v>48</v>
      </c>
      <c r="AX101" s="40" t="s">
        <v>48</v>
      </c>
      <c r="AY101" s="40" t="s">
        <v>48</v>
      </c>
      <c r="AZ101" s="40" t="s">
        <v>48</v>
      </c>
      <c r="BA101" s="40" t="s">
        <v>48</v>
      </c>
      <c r="BB101" s="40" t="s">
        <v>48</v>
      </c>
      <c r="BC101" s="40" t="s">
        <v>48</v>
      </c>
      <c r="BD101" s="40" t="s">
        <v>48</v>
      </c>
      <c r="BE101" s="40" t="s">
        <v>48</v>
      </c>
      <c r="BF101" s="40" t="s">
        <v>48</v>
      </c>
      <c r="BG101" s="40" t="s">
        <v>48</v>
      </c>
      <c r="BH101" s="40" t="s">
        <v>48</v>
      </c>
      <c r="BI101" s="40" t="s">
        <v>48</v>
      </c>
      <c r="BJ101" s="40" t="s">
        <v>48</v>
      </c>
      <c r="BK101" s="40" t="s">
        <v>48</v>
      </c>
      <c r="BM101" s="33"/>
      <c r="BN101" s="38" t="str">
        <f>Notes!U102</f>
        <v xml:space="preserve">      Water supply and sewage</v>
      </c>
      <c r="BO101" s="4" t="s">
        <v>399</v>
      </c>
      <c r="BP101" s="44" t="s">
        <v>48</v>
      </c>
      <c r="BQ101" s="42" t="s">
        <v>48</v>
      </c>
      <c r="BR101" s="42" t="s">
        <v>48</v>
      </c>
      <c r="BS101" s="40" t="s">
        <v>48</v>
      </c>
      <c r="BT101" s="40" t="s">
        <v>48</v>
      </c>
      <c r="BU101" s="40" t="s">
        <v>48</v>
      </c>
      <c r="BV101" s="40" t="s">
        <v>48</v>
      </c>
      <c r="BW101" s="40" t="s">
        <v>48</v>
      </c>
      <c r="BX101" s="40" t="s">
        <v>48</v>
      </c>
      <c r="BY101" s="40" t="s">
        <v>48</v>
      </c>
      <c r="BZ101" s="40" t="s">
        <v>48</v>
      </c>
      <c r="CA101" s="40" t="s">
        <v>48</v>
      </c>
      <c r="CB101" s="40" t="s">
        <v>48</v>
      </c>
      <c r="CC101" s="40" t="s">
        <v>48</v>
      </c>
      <c r="CD101" s="40" t="s">
        <v>48</v>
      </c>
      <c r="CE101" s="40" t="s">
        <v>48</v>
      </c>
      <c r="CF101" s="40" t="s">
        <v>48</v>
      </c>
      <c r="CH101" s="33"/>
      <c r="CI101" s="38" t="str">
        <f>Notes!U102</f>
        <v xml:space="preserve">      Water supply and sewage</v>
      </c>
      <c r="CJ101" s="4" t="s">
        <v>399</v>
      </c>
      <c r="CK101" s="44" t="s">
        <v>48</v>
      </c>
      <c r="CL101" s="42" t="s">
        <v>48</v>
      </c>
      <c r="CM101" s="42" t="s">
        <v>48</v>
      </c>
      <c r="CN101" s="40" t="s">
        <v>48</v>
      </c>
      <c r="CO101" s="40" t="s">
        <v>48</v>
      </c>
      <c r="CP101" s="40" t="s">
        <v>48</v>
      </c>
      <c r="CQ101" s="40" t="s">
        <v>48</v>
      </c>
      <c r="CR101" s="40" t="s">
        <v>48</v>
      </c>
      <c r="CS101" s="40" t="s">
        <v>48</v>
      </c>
      <c r="CT101" s="40" t="s">
        <v>48</v>
      </c>
      <c r="CU101" s="40" t="s">
        <v>48</v>
      </c>
      <c r="CV101" s="40" t="s">
        <v>48</v>
      </c>
      <c r="CW101" s="40" t="s">
        <v>48</v>
      </c>
      <c r="CX101" s="40" t="s">
        <v>48</v>
      </c>
      <c r="CY101" s="40" t="s">
        <v>48</v>
      </c>
      <c r="CZ101" s="40" t="s">
        <v>48</v>
      </c>
      <c r="DA101" s="40" t="s">
        <v>48</v>
      </c>
      <c r="DC101" s="33"/>
      <c r="DD101" s="38" t="str">
        <f>Notes!U102</f>
        <v xml:space="preserve">      Water supply and sewage</v>
      </c>
      <c r="DE101" s="4" t="s">
        <v>399</v>
      </c>
      <c r="DF101" s="44" t="s">
        <v>48</v>
      </c>
      <c r="DG101" s="42" t="s">
        <v>48</v>
      </c>
      <c r="DH101" s="42" t="s">
        <v>48</v>
      </c>
      <c r="DI101" s="40" t="s">
        <v>48</v>
      </c>
      <c r="DJ101" s="40" t="s">
        <v>48</v>
      </c>
      <c r="DK101" s="40" t="s">
        <v>48</v>
      </c>
      <c r="DL101" s="40" t="s">
        <v>48</v>
      </c>
      <c r="DM101" s="40" t="s">
        <v>48</v>
      </c>
      <c r="DN101" s="40" t="s">
        <v>48</v>
      </c>
      <c r="DO101" s="40" t="s">
        <v>48</v>
      </c>
      <c r="DP101" s="40" t="s">
        <v>48</v>
      </c>
      <c r="DQ101" s="40" t="s">
        <v>48</v>
      </c>
      <c r="DR101" s="40" t="s">
        <v>48</v>
      </c>
      <c r="DS101" s="40" t="s">
        <v>48</v>
      </c>
      <c r="DT101" s="40" t="s">
        <v>48</v>
      </c>
      <c r="DU101" s="40" t="s">
        <v>48</v>
      </c>
      <c r="DV101" s="40" t="s">
        <v>48</v>
      </c>
    </row>
    <row r="102" spans="1:126" x14ac:dyDescent="0.3">
      <c r="A102" s="12">
        <v>95</v>
      </c>
      <c r="B102" s="33"/>
      <c r="C102" s="38" t="str">
        <f>Notes!U103</f>
        <v xml:space="preserve">   Construction</v>
      </c>
      <c r="D102" s="4" t="s">
        <v>401</v>
      </c>
      <c r="E102" s="44">
        <v>1</v>
      </c>
      <c r="F102" s="42">
        <v>1.4894696047118572E-2</v>
      </c>
      <c r="G102" s="42" t="s">
        <v>48</v>
      </c>
      <c r="H102" s="40" t="s">
        <v>48</v>
      </c>
      <c r="I102" s="40" t="s">
        <v>48</v>
      </c>
      <c r="J102" s="40" t="s">
        <v>48</v>
      </c>
      <c r="K102" s="40" t="s">
        <v>48</v>
      </c>
      <c r="L102" s="40" t="s">
        <v>48</v>
      </c>
      <c r="M102" s="40" t="s">
        <v>48</v>
      </c>
      <c r="N102" s="40" t="s">
        <v>48</v>
      </c>
      <c r="O102" s="40" t="s">
        <v>48</v>
      </c>
      <c r="P102" s="40" t="s">
        <v>48</v>
      </c>
      <c r="Q102" s="40" t="s">
        <v>48</v>
      </c>
      <c r="R102" s="40" t="s">
        <v>48</v>
      </c>
      <c r="S102" s="40" t="s">
        <v>48</v>
      </c>
      <c r="T102" s="40" t="s">
        <v>48</v>
      </c>
      <c r="U102" s="40" t="s">
        <v>48</v>
      </c>
      <c r="W102" s="33"/>
      <c r="X102" s="38" t="str">
        <f>Notes!U103</f>
        <v xml:space="preserve">   Construction</v>
      </c>
      <c r="Y102" s="4" t="s">
        <v>401</v>
      </c>
      <c r="Z102" s="44">
        <v>0.99999999999999767</v>
      </c>
      <c r="AA102" s="42">
        <v>1.4894696047140776E-2</v>
      </c>
      <c r="AB102" s="42" t="s">
        <v>48</v>
      </c>
      <c r="AC102" s="40" t="s">
        <v>48</v>
      </c>
      <c r="AD102" s="40" t="s">
        <v>48</v>
      </c>
      <c r="AE102" s="40" t="s">
        <v>48</v>
      </c>
      <c r="AF102" s="40" t="s">
        <v>48</v>
      </c>
      <c r="AG102" s="40" t="s">
        <v>48</v>
      </c>
      <c r="AH102" s="40" t="s">
        <v>48</v>
      </c>
      <c r="AI102" s="40" t="s">
        <v>48</v>
      </c>
      <c r="AJ102" s="40" t="s">
        <v>48</v>
      </c>
      <c r="AK102" s="40" t="s">
        <v>48</v>
      </c>
      <c r="AL102" s="40" t="s">
        <v>48</v>
      </c>
      <c r="AM102" s="40" t="s">
        <v>48</v>
      </c>
      <c r="AN102" s="40" t="s">
        <v>48</v>
      </c>
      <c r="AO102" s="40" t="s">
        <v>48</v>
      </c>
      <c r="AP102" s="40" t="s">
        <v>48</v>
      </c>
      <c r="AR102" s="33"/>
      <c r="AS102" s="38" t="str">
        <f>Notes!U103</f>
        <v xml:space="preserve">   Construction</v>
      </c>
      <c r="AT102" s="4" t="s">
        <v>401</v>
      </c>
      <c r="AU102" s="44" t="s">
        <v>48</v>
      </c>
      <c r="AV102" s="42" t="s">
        <v>48</v>
      </c>
      <c r="AW102" s="42" t="s">
        <v>48</v>
      </c>
      <c r="AX102" s="40" t="s">
        <v>48</v>
      </c>
      <c r="AY102" s="40" t="s">
        <v>48</v>
      </c>
      <c r="AZ102" s="40" t="s">
        <v>48</v>
      </c>
      <c r="BA102" s="40" t="s">
        <v>48</v>
      </c>
      <c r="BB102" s="40" t="s">
        <v>48</v>
      </c>
      <c r="BC102" s="40" t="s">
        <v>48</v>
      </c>
      <c r="BD102" s="40" t="s">
        <v>48</v>
      </c>
      <c r="BE102" s="40" t="s">
        <v>48</v>
      </c>
      <c r="BF102" s="40" t="s">
        <v>48</v>
      </c>
      <c r="BG102" s="40" t="s">
        <v>48</v>
      </c>
      <c r="BH102" s="40" t="s">
        <v>48</v>
      </c>
      <c r="BI102" s="40" t="s">
        <v>48</v>
      </c>
      <c r="BJ102" s="40" t="s">
        <v>48</v>
      </c>
      <c r="BK102" s="40" t="s">
        <v>48</v>
      </c>
      <c r="BM102" s="33"/>
      <c r="BN102" s="38" t="str">
        <f>Notes!U103</f>
        <v xml:space="preserve">   Construction</v>
      </c>
      <c r="BO102" s="4" t="s">
        <v>401</v>
      </c>
      <c r="BP102" s="44" t="s">
        <v>48</v>
      </c>
      <c r="BQ102" s="42" t="s">
        <v>48</v>
      </c>
      <c r="BR102" s="42" t="s">
        <v>48</v>
      </c>
      <c r="BS102" s="40" t="s">
        <v>48</v>
      </c>
      <c r="BT102" s="40" t="s">
        <v>48</v>
      </c>
      <c r="BU102" s="40" t="s">
        <v>48</v>
      </c>
      <c r="BV102" s="40" t="s">
        <v>48</v>
      </c>
      <c r="BW102" s="40" t="s">
        <v>48</v>
      </c>
      <c r="BX102" s="40" t="s">
        <v>48</v>
      </c>
      <c r="BY102" s="40" t="s">
        <v>48</v>
      </c>
      <c r="BZ102" s="40" t="s">
        <v>48</v>
      </c>
      <c r="CA102" s="40" t="s">
        <v>48</v>
      </c>
      <c r="CB102" s="40" t="s">
        <v>48</v>
      </c>
      <c r="CC102" s="40" t="s">
        <v>48</v>
      </c>
      <c r="CD102" s="40" t="s">
        <v>48</v>
      </c>
      <c r="CE102" s="40" t="s">
        <v>48</v>
      </c>
      <c r="CF102" s="40" t="s">
        <v>48</v>
      </c>
      <c r="CH102" s="33"/>
      <c r="CI102" s="38" t="str">
        <f>Notes!U103</f>
        <v xml:space="preserve">   Construction</v>
      </c>
      <c r="CJ102" s="4" t="s">
        <v>401</v>
      </c>
      <c r="CK102" s="44" t="s">
        <v>48</v>
      </c>
      <c r="CL102" s="42" t="s">
        <v>48</v>
      </c>
      <c r="CM102" s="42" t="s">
        <v>48</v>
      </c>
      <c r="CN102" s="40" t="s">
        <v>48</v>
      </c>
      <c r="CO102" s="40" t="s">
        <v>48</v>
      </c>
      <c r="CP102" s="40" t="s">
        <v>48</v>
      </c>
      <c r="CQ102" s="40" t="s">
        <v>48</v>
      </c>
      <c r="CR102" s="40" t="s">
        <v>48</v>
      </c>
      <c r="CS102" s="40" t="s">
        <v>48</v>
      </c>
      <c r="CT102" s="40" t="s">
        <v>48</v>
      </c>
      <c r="CU102" s="40" t="s">
        <v>48</v>
      </c>
      <c r="CV102" s="40" t="s">
        <v>48</v>
      </c>
      <c r="CW102" s="40" t="s">
        <v>48</v>
      </c>
      <c r="CX102" s="40" t="s">
        <v>48</v>
      </c>
      <c r="CY102" s="40" t="s">
        <v>48</v>
      </c>
      <c r="CZ102" s="40" t="s">
        <v>48</v>
      </c>
      <c r="DA102" s="40" t="s">
        <v>48</v>
      </c>
      <c r="DC102" s="33"/>
      <c r="DD102" s="38" t="str">
        <f>Notes!U103</f>
        <v xml:space="preserve">   Construction</v>
      </c>
      <c r="DE102" s="4" t="s">
        <v>401</v>
      </c>
      <c r="DF102" s="44" t="s">
        <v>48</v>
      </c>
      <c r="DG102" s="42" t="s">
        <v>48</v>
      </c>
      <c r="DH102" s="42" t="s">
        <v>48</v>
      </c>
      <c r="DI102" s="40" t="s">
        <v>48</v>
      </c>
      <c r="DJ102" s="40" t="s">
        <v>48</v>
      </c>
      <c r="DK102" s="40" t="s">
        <v>48</v>
      </c>
      <c r="DL102" s="40" t="s">
        <v>48</v>
      </c>
      <c r="DM102" s="40" t="s">
        <v>48</v>
      </c>
      <c r="DN102" s="40" t="s">
        <v>48</v>
      </c>
      <c r="DO102" s="40" t="s">
        <v>48</v>
      </c>
      <c r="DP102" s="40" t="s">
        <v>48</v>
      </c>
      <c r="DQ102" s="40" t="s">
        <v>48</v>
      </c>
      <c r="DR102" s="40" t="s">
        <v>48</v>
      </c>
      <c r="DS102" s="40" t="s">
        <v>48</v>
      </c>
      <c r="DT102" s="40" t="s">
        <v>48</v>
      </c>
      <c r="DU102" s="40" t="s">
        <v>48</v>
      </c>
      <c r="DV102" s="40" t="s">
        <v>48</v>
      </c>
    </row>
    <row r="103" spans="1:126" x14ac:dyDescent="0.3">
      <c r="A103" s="12">
        <v>96</v>
      </c>
      <c r="B103" s="33"/>
      <c r="C103" s="38" t="str">
        <f>Notes!U104</f>
        <v>Services</v>
      </c>
      <c r="D103" s="4" t="s">
        <v>403</v>
      </c>
      <c r="E103" s="44">
        <v>1</v>
      </c>
      <c r="F103" s="42">
        <v>3.2394770185906197E-3</v>
      </c>
      <c r="G103" s="42" t="s">
        <v>48</v>
      </c>
      <c r="H103" s="40" t="s">
        <v>48</v>
      </c>
      <c r="I103" s="40" t="s">
        <v>48</v>
      </c>
      <c r="J103" s="40" t="s">
        <v>48</v>
      </c>
      <c r="K103" s="40" t="s">
        <v>48</v>
      </c>
      <c r="L103" s="40" t="s">
        <v>48</v>
      </c>
      <c r="M103" s="40" t="s">
        <v>48</v>
      </c>
      <c r="N103" s="40" t="s">
        <v>48</v>
      </c>
      <c r="O103" s="40" t="s">
        <v>48</v>
      </c>
      <c r="P103" s="40" t="s">
        <v>48</v>
      </c>
      <c r="Q103" s="40" t="s">
        <v>48</v>
      </c>
      <c r="R103" s="40" t="s">
        <v>48</v>
      </c>
      <c r="S103" s="40" t="s">
        <v>48</v>
      </c>
      <c r="T103" s="40" t="s">
        <v>48</v>
      </c>
      <c r="U103" s="40" t="s">
        <v>48</v>
      </c>
      <c r="W103" s="33"/>
      <c r="X103" s="38" t="str">
        <f>Notes!U104</f>
        <v>Services</v>
      </c>
      <c r="Y103" s="4" t="s">
        <v>403</v>
      </c>
      <c r="Z103" s="44">
        <v>1.0000000000000004</v>
      </c>
      <c r="AA103" s="42">
        <v>2.7240591743638021E-3</v>
      </c>
      <c r="AB103" s="42" t="s">
        <v>48</v>
      </c>
      <c r="AC103" s="40" t="s">
        <v>48</v>
      </c>
      <c r="AD103" s="40" t="s">
        <v>48</v>
      </c>
      <c r="AE103" s="40" t="s">
        <v>48</v>
      </c>
      <c r="AF103" s="40" t="s">
        <v>48</v>
      </c>
      <c r="AG103" s="40" t="s">
        <v>48</v>
      </c>
      <c r="AH103" s="40" t="s">
        <v>48</v>
      </c>
      <c r="AI103" s="40" t="s">
        <v>48</v>
      </c>
      <c r="AJ103" s="40" t="s">
        <v>48</v>
      </c>
      <c r="AK103" s="40" t="s">
        <v>48</v>
      </c>
      <c r="AL103" s="40" t="s">
        <v>48</v>
      </c>
      <c r="AM103" s="40" t="s">
        <v>48</v>
      </c>
      <c r="AN103" s="40" t="s">
        <v>48</v>
      </c>
      <c r="AO103" s="40" t="s">
        <v>48</v>
      </c>
      <c r="AP103" s="40" t="s">
        <v>48</v>
      </c>
      <c r="AR103" s="33"/>
      <c r="AS103" s="38" t="str">
        <f>Notes!U104</f>
        <v>Services</v>
      </c>
      <c r="AT103" s="4" t="s">
        <v>403</v>
      </c>
      <c r="AU103" s="44">
        <v>1</v>
      </c>
      <c r="AV103" s="42">
        <v>-1.8013938786753947E-2</v>
      </c>
      <c r="AW103" s="42" t="s">
        <v>48</v>
      </c>
      <c r="AX103" s="40" t="s">
        <v>48</v>
      </c>
      <c r="AY103" s="40" t="s">
        <v>48</v>
      </c>
      <c r="AZ103" s="40" t="s">
        <v>48</v>
      </c>
      <c r="BA103" s="40" t="s">
        <v>48</v>
      </c>
      <c r="BB103" s="40" t="s">
        <v>48</v>
      </c>
      <c r="BC103" s="40" t="s">
        <v>48</v>
      </c>
      <c r="BD103" s="40" t="s">
        <v>48</v>
      </c>
      <c r="BE103" s="40" t="s">
        <v>48</v>
      </c>
      <c r="BF103" s="40" t="s">
        <v>48</v>
      </c>
      <c r="BG103" s="40" t="s">
        <v>48</v>
      </c>
      <c r="BH103" s="40" t="s">
        <v>48</v>
      </c>
      <c r="BI103" s="40" t="s">
        <v>48</v>
      </c>
      <c r="BJ103" s="40" t="s">
        <v>48</v>
      </c>
      <c r="BK103" s="40" t="s">
        <v>48</v>
      </c>
      <c r="BM103" s="33"/>
      <c r="BN103" s="38" t="str">
        <f>Notes!U104</f>
        <v>Services</v>
      </c>
      <c r="BO103" s="4" t="s">
        <v>403</v>
      </c>
      <c r="BP103" s="44">
        <v>1</v>
      </c>
      <c r="BQ103" s="42">
        <v>-1.8013938786776151E-2</v>
      </c>
      <c r="BR103" s="42" t="s">
        <v>48</v>
      </c>
      <c r="BS103" s="40" t="s">
        <v>48</v>
      </c>
      <c r="BT103" s="40" t="s">
        <v>48</v>
      </c>
      <c r="BU103" s="40" t="s">
        <v>48</v>
      </c>
      <c r="BV103" s="40" t="s">
        <v>48</v>
      </c>
      <c r="BW103" s="40" t="s">
        <v>48</v>
      </c>
      <c r="BX103" s="40" t="s">
        <v>48</v>
      </c>
      <c r="BY103" s="40" t="s">
        <v>48</v>
      </c>
      <c r="BZ103" s="40" t="s">
        <v>48</v>
      </c>
      <c r="CA103" s="40" t="s">
        <v>48</v>
      </c>
      <c r="CB103" s="40" t="s">
        <v>48</v>
      </c>
      <c r="CC103" s="40" t="s">
        <v>48</v>
      </c>
      <c r="CD103" s="40" t="s">
        <v>48</v>
      </c>
      <c r="CE103" s="40" t="s">
        <v>48</v>
      </c>
      <c r="CF103" s="40" t="s">
        <v>48</v>
      </c>
      <c r="CH103" s="33"/>
      <c r="CI103" s="38" t="str">
        <f>Notes!U104</f>
        <v>Services</v>
      </c>
      <c r="CJ103" s="4" t="s">
        <v>403</v>
      </c>
      <c r="CK103" s="44">
        <v>1</v>
      </c>
      <c r="CL103" s="42" t="s">
        <v>48</v>
      </c>
      <c r="CM103" s="42" t="s">
        <v>48</v>
      </c>
      <c r="CN103" s="40" t="s">
        <v>48</v>
      </c>
      <c r="CO103" s="40" t="s">
        <v>48</v>
      </c>
      <c r="CP103" s="40" t="s">
        <v>48</v>
      </c>
      <c r="CQ103" s="40" t="s">
        <v>48</v>
      </c>
      <c r="CR103" s="40" t="s">
        <v>48</v>
      </c>
      <c r="CS103" s="40" t="s">
        <v>48</v>
      </c>
      <c r="CT103" s="40" t="s">
        <v>48</v>
      </c>
      <c r="CU103" s="40" t="s">
        <v>48</v>
      </c>
      <c r="CV103" s="40" t="s">
        <v>48</v>
      </c>
      <c r="CW103" s="40" t="s">
        <v>48</v>
      </c>
      <c r="CX103" s="40" t="s">
        <v>48</v>
      </c>
      <c r="CY103" s="40" t="s">
        <v>48</v>
      </c>
      <c r="CZ103" s="40" t="s">
        <v>48</v>
      </c>
      <c r="DA103" s="40" t="s">
        <v>48</v>
      </c>
      <c r="DC103" s="33"/>
      <c r="DD103" s="38" t="str">
        <f>Notes!U104</f>
        <v>Services</v>
      </c>
      <c r="DE103" s="4" t="s">
        <v>403</v>
      </c>
      <c r="DF103" s="44">
        <v>1</v>
      </c>
      <c r="DG103" s="42" t="s">
        <v>48</v>
      </c>
      <c r="DH103" s="42" t="s">
        <v>48</v>
      </c>
      <c r="DI103" s="40" t="s">
        <v>48</v>
      </c>
      <c r="DJ103" s="40" t="s">
        <v>48</v>
      </c>
      <c r="DK103" s="40" t="s">
        <v>48</v>
      </c>
      <c r="DL103" s="40" t="s">
        <v>48</v>
      </c>
      <c r="DM103" s="40" t="s">
        <v>48</v>
      </c>
      <c r="DN103" s="40" t="s">
        <v>48</v>
      </c>
      <c r="DO103" s="40" t="s">
        <v>48</v>
      </c>
      <c r="DP103" s="40" t="s">
        <v>48</v>
      </c>
      <c r="DQ103" s="40" t="s">
        <v>48</v>
      </c>
      <c r="DR103" s="40" t="s">
        <v>48</v>
      </c>
      <c r="DS103" s="40" t="s">
        <v>48</v>
      </c>
      <c r="DT103" s="40" t="s">
        <v>48</v>
      </c>
      <c r="DU103" s="40" t="s">
        <v>48</v>
      </c>
      <c r="DV103" s="40" t="s">
        <v>48</v>
      </c>
    </row>
    <row r="104" spans="1:126" x14ac:dyDescent="0.3">
      <c r="A104" s="12">
        <v>97</v>
      </c>
      <c r="B104" s="33"/>
      <c r="C104" s="38" t="str">
        <f>Notes!U105</f>
        <v xml:space="preserve">   Trade and food services</v>
      </c>
      <c r="D104" s="4" t="s">
        <v>405</v>
      </c>
      <c r="E104" s="44">
        <v>0.99999999999999989</v>
      </c>
      <c r="F104" s="42">
        <v>-6.0476403106357601E-3</v>
      </c>
      <c r="G104" s="42" t="s">
        <v>48</v>
      </c>
      <c r="H104" s="40" t="s">
        <v>48</v>
      </c>
      <c r="I104" s="40" t="s">
        <v>48</v>
      </c>
      <c r="J104" s="40" t="s">
        <v>48</v>
      </c>
      <c r="K104" s="40" t="s">
        <v>48</v>
      </c>
      <c r="L104" s="40" t="s">
        <v>48</v>
      </c>
      <c r="M104" s="40" t="s">
        <v>48</v>
      </c>
      <c r="N104" s="40" t="s">
        <v>48</v>
      </c>
      <c r="O104" s="40" t="s">
        <v>48</v>
      </c>
      <c r="P104" s="40" t="s">
        <v>48</v>
      </c>
      <c r="Q104" s="40" t="s">
        <v>48</v>
      </c>
      <c r="R104" s="40" t="s">
        <v>48</v>
      </c>
      <c r="S104" s="40" t="s">
        <v>48</v>
      </c>
      <c r="T104" s="40" t="s">
        <v>48</v>
      </c>
      <c r="U104" s="40" t="s">
        <v>48</v>
      </c>
      <c r="W104" s="33"/>
      <c r="X104" s="38" t="str">
        <f>Notes!U105</f>
        <v xml:space="preserve">   Trade and food services</v>
      </c>
      <c r="Y104" s="4" t="s">
        <v>405</v>
      </c>
      <c r="Z104" s="44">
        <v>1.0000000000000016</v>
      </c>
      <c r="AA104" s="42">
        <v>-6.1410985102039461E-3</v>
      </c>
      <c r="AB104" s="42" t="s">
        <v>48</v>
      </c>
      <c r="AC104" s="40" t="s">
        <v>48</v>
      </c>
      <c r="AD104" s="40" t="s">
        <v>48</v>
      </c>
      <c r="AE104" s="40" t="s">
        <v>48</v>
      </c>
      <c r="AF104" s="40" t="s">
        <v>48</v>
      </c>
      <c r="AG104" s="40" t="s">
        <v>48</v>
      </c>
      <c r="AH104" s="40" t="s">
        <v>48</v>
      </c>
      <c r="AI104" s="40" t="s">
        <v>48</v>
      </c>
      <c r="AJ104" s="40" t="s">
        <v>48</v>
      </c>
      <c r="AK104" s="40" t="s">
        <v>48</v>
      </c>
      <c r="AL104" s="40" t="s">
        <v>48</v>
      </c>
      <c r="AM104" s="40" t="s">
        <v>48</v>
      </c>
      <c r="AN104" s="40" t="s">
        <v>48</v>
      </c>
      <c r="AO104" s="40" t="s">
        <v>48</v>
      </c>
      <c r="AP104" s="40" t="s">
        <v>48</v>
      </c>
      <c r="AR104" s="33"/>
      <c r="AS104" s="38" t="str">
        <f>Notes!U105</f>
        <v xml:space="preserve">   Trade and food services</v>
      </c>
      <c r="AT104" s="4" t="s">
        <v>405</v>
      </c>
      <c r="AU104" s="44">
        <v>1</v>
      </c>
      <c r="AV104" s="42">
        <v>-1.8013938786765049E-2</v>
      </c>
      <c r="AW104" s="42" t="s">
        <v>48</v>
      </c>
      <c r="AX104" s="40" t="s">
        <v>48</v>
      </c>
      <c r="AY104" s="40" t="s">
        <v>48</v>
      </c>
      <c r="AZ104" s="40" t="s">
        <v>48</v>
      </c>
      <c r="BA104" s="40" t="s">
        <v>48</v>
      </c>
      <c r="BB104" s="40" t="s">
        <v>48</v>
      </c>
      <c r="BC104" s="40" t="s">
        <v>48</v>
      </c>
      <c r="BD104" s="40" t="s">
        <v>48</v>
      </c>
      <c r="BE104" s="40" t="s">
        <v>48</v>
      </c>
      <c r="BF104" s="40" t="s">
        <v>48</v>
      </c>
      <c r="BG104" s="40" t="s">
        <v>48</v>
      </c>
      <c r="BH104" s="40" t="s">
        <v>48</v>
      </c>
      <c r="BI104" s="40" t="s">
        <v>48</v>
      </c>
      <c r="BJ104" s="40" t="s">
        <v>48</v>
      </c>
      <c r="BK104" s="40" t="s">
        <v>48</v>
      </c>
      <c r="BM104" s="33"/>
      <c r="BN104" s="38" t="str">
        <f>Notes!U105</f>
        <v xml:space="preserve">   Trade and food services</v>
      </c>
      <c r="BO104" s="4" t="s">
        <v>405</v>
      </c>
      <c r="BP104" s="44">
        <v>1</v>
      </c>
      <c r="BQ104" s="42">
        <v>-1.8013938786776151E-2</v>
      </c>
      <c r="BR104" s="42" t="s">
        <v>48</v>
      </c>
      <c r="BS104" s="40" t="s">
        <v>48</v>
      </c>
      <c r="BT104" s="40" t="s">
        <v>48</v>
      </c>
      <c r="BU104" s="40" t="s">
        <v>48</v>
      </c>
      <c r="BV104" s="40" t="s">
        <v>48</v>
      </c>
      <c r="BW104" s="40" t="s">
        <v>48</v>
      </c>
      <c r="BX104" s="40" t="s">
        <v>48</v>
      </c>
      <c r="BY104" s="40" t="s">
        <v>48</v>
      </c>
      <c r="BZ104" s="40" t="s">
        <v>48</v>
      </c>
      <c r="CA104" s="40" t="s">
        <v>48</v>
      </c>
      <c r="CB104" s="40" t="s">
        <v>48</v>
      </c>
      <c r="CC104" s="40" t="s">
        <v>48</v>
      </c>
      <c r="CD104" s="40" t="s">
        <v>48</v>
      </c>
      <c r="CE104" s="40" t="s">
        <v>48</v>
      </c>
      <c r="CF104" s="40" t="s">
        <v>48</v>
      </c>
      <c r="CH104" s="33"/>
      <c r="CI104" s="38" t="str">
        <f>Notes!U105</f>
        <v xml:space="preserve">   Trade and food services</v>
      </c>
      <c r="CJ104" s="4" t="s">
        <v>405</v>
      </c>
      <c r="CK104" s="44">
        <v>1</v>
      </c>
      <c r="CL104" s="42" t="s">
        <v>48</v>
      </c>
      <c r="CM104" s="42" t="s">
        <v>48</v>
      </c>
      <c r="CN104" s="40" t="s">
        <v>48</v>
      </c>
      <c r="CO104" s="40" t="s">
        <v>48</v>
      </c>
      <c r="CP104" s="40" t="s">
        <v>48</v>
      </c>
      <c r="CQ104" s="40" t="s">
        <v>48</v>
      </c>
      <c r="CR104" s="40" t="s">
        <v>48</v>
      </c>
      <c r="CS104" s="40" t="s">
        <v>48</v>
      </c>
      <c r="CT104" s="40" t="s">
        <v>48</v>
      </c>
      <c r="CU104" s="40" t="s">
        <v>48</v>
      </c>
      <c r="CV104" s="40" t="s">
        <v>48</v>
      </c>
      <c r="CW104" s="40" t="s">
        <v>48</v>
      </c>
      <c r="CX104" s="40" t="s">
        <v>48</v>
      </c>
      <c r="CY104" s="40" t="s">
        <v>48</v>
      </c>
      <c r="CZ104" s="40" t="s">
        <v>48</v>
      </c>
      <c r="DA104" s="40" t="s">
        <v>48</v>
      </c>
      <c r="DC104" s="33"/>
      <c r="DD104" s="38" t="str">
        <f>Notes!U105</f>
        <v xml:space="preserve">   Trade and food services</v>
      </c>
      <c r="DE104" s="4" t="s">
        <v>405</v>
      </c>
      <c r="DF104" s="44">
        <v>1</v>
      </c>
      <c r="DG104" s="42" t="s">
        <v>48</v>
      </c>
      <c r="DH104" s="42" t="s">
        <v>48</v>
      </c>
      <c r="DI104" s="40" t="s">
        <v>48</v>
      </c>
      <c r="DJ104" s="40" t="s">
        <v>48</v>
      </c>
      <c r="DK104" s="40" t="s">
        <v>48</v>
      </c>
      <c r="DL104" s="40" t="s">
        <v>48</v>
      </c>
      <c r="DM104" s="40" t="s">
        <v>48</v>
      </c>
      <c r="DN104" s="40" t="s">
        <v>48</v>
      </c>
      <c r="DO104" s="40" t="s">
        <v>48</v>
      </c>
      <c r="DP104" s="40" t="s">
        <v>48</v>
      </c>
      <c r="DQ104" s="40" t="s">
        <v>48</v>
      </c>
      <c r="DR104" s="40" t="s">
        <v>48</v>
      </c>
      <c r="DS104" s="40" t="s">
        <v>48</v>
      </c>
      <c r="DT104" s="40" t="s">
        <v>48</v>
      </c>
      <c r="DU104" s="40" t="s">
        <v>48</v>
      </c>
      <c r="DV104" s="40" t="s">
        <v>48</v>
      </c>
    </row>
    <row r="105" spans="1:126" x14ac:dyDescent="0.3">
      <c r="A105" s="12">
        <v>98</v>
      </c>
      <c r="B105" s="33"/>
      <c r="C105" s="38" t="str">
        <f>Notes!U106</f>
        <v xml:space="preserve">      Wholesale and retail trade</v>
      </c>
      <c r="D105" s="4" t="s">
        <v>407</v>
      </c>
      <c r="E105" s="44">
        <v>1</v>
      </c>
      <c r="F105" s="42">
        <v>-7.1753576515565243E-3</v>
      </c>
      <c r="G105" s="42" t="s">
        <v>48</v>
      </c>
      <c r="H105" s="40" t="s">
        <v>48</v>
      </c>
      <c r="I105" s="40" t="s">
        <v>48</v>
      </c>
      <c r="J105" s="40" t="s">
        <v>48</v>
      </c>
      <c r="K105" s="40" t="s">
        <v>48</v>
      </c>
      <c r="L105" s="40" t="s">
        <v>48</v>
      </c>
      <c r="M105" s="40" t="s">
        <v>48</v>
      </c>
      <c r="N105" s="40" t="s">
        <v>48</v>
      </c>
      <c r="O105" s="40" t="s">
        <v>48</v>
      </c>
      <c r="P105" s="40" t="s">
        <v>48</v>
      </c>
      <c r="Q105" s="40" t="s">
        <v>48</v>
      </c>
      <c r="R105" s="40" t="s">
        <v>48</v>
      </c>
      <c r="S105" s="40" t="s">
        <v>48</v>
      </c>
      <c r="T105" s="40" t="s">
        <v>48</v>
      </c>
      <c r="U105" s="40" t="s">
        <v>48</v>
      </c>
      <c r="W105" s="33"/>
      <c r="X105" s="38" t="str">
        <f>Notes!U106</f>
        <v xml:space="preserve">      Wholesale and retail trade</v>
      </c>
      <c r="Y105" s="4" t="s">
        <v>407</v>
      </c>
      <c r="Z105" s="44">
        <v>1.000000000000002</v>
      </c>
      <c r="AA105" s="42">
        <v>-7.1753576515787287E-3</v>
      </c>
      <c r="AB105" s="42" t="s">
        <v>48</v>
      </c>
      <c r="AC105" s="40" t="s">
        <v>48</v>
      </c>
      <c r="AD105" s="40" t="s">
        <v>48</v>
      </c>
      <c r="AE105" s="40" t="s">
        <v>48</v>
      </c>
      <c r="AF105" s="40" t="s">
        <v>48</v>
      </c>
      <c r="AG105" s="40" t="s">
        <v>48</v>
      </c>
      <c r="AH105" s="40" t="s">
        <v>48</v>
      </c>
      <c r="AI105" s="40" t="s">
        <v>48</v>
      </c>
      <c r="AJ105" s="40" t="s">
        <v>48</v>
      </c>
      <c r="AK105" s="40" t="s">
        <v>48</v>
      </c>
      <c r="AL105" s="40" t="s">
        <v>48</v>
      </c>
      <c r="AM105" s="40" t="s">
        <v>48</v>
      </c>
      <c r="AN105" s="40" t="s">
        <v>48</v>
      </c>
      <c r="AO105" s="40" t="s">
        <v>48</v>
      </c>
      <c r="AP105" s="40" t="s">
        <v>48</v>
      </c>
      <c r="AR105" s="33"/>
      <c r="AS105" s="38" t="str">
        <f>Notes!U106</f>
        <v xml:space="preserve">      Wholesale and retail trade</v>
      </c>
      <c r="AT105" s="4" t="s">
        <v>407</v>
      </c>
      <c r="AU105" s="44" t="s">
        <v>48</v>
      </c>
      <c r="AV105" s="42" t="s">
        <v>48</v>
      </c>
      <c r="AW105" s="42" t="s">
        <v>48</v>
      </c>
      <c r="AX105" s="40" t="s">
        <v>48</v>
      </c>
      <c r="AY105" s="40" t="s">
        <v>48</v>
      </c>
      <c r="AZ105" s="40" t="s">
        <v>48</v>
      </c>
      <c r="BA105" s="40" t="s">
        <v>48</v>
      </c>
      <c r="BB105" s="40" t="s">
        <v>48</v>
      </c>
      <c r="BC105" s="40" t="s">
        <v>48</v>
      </c>
      <c r="BD105" s="40" t="s">
        <v>48</v>
      </c>
      <c r="BE105" s="40" t="s">
        <v>48</v>
      </c>
      <c r="BF105" s="40" t="s">
        <v>48</v>
      </c>
      <c r="BG105" s="40" t="s">
        <v>48</v>
      </c>
      <c r="BH105" s="40" t="s">
        <v>48</v>
      </c>
      <c r="BI105" s="40" t="s">
        <v>48</v>
      </c>
      <c r="BJ105" s="40" t="s">
        <v>48</v>
      </c>
      <c r="BK105" s="40" t="s">
        <v>48</v>
      </c>
      <c r="BM105" s="33"/>
      <c r="BN105" s="38" t="str">
        <f>Notes!U106</f>
        <v xml:space="preserve">      Wholesale and retail trade</v>
      </c>
      <c r="BO105" s="4" t="s">
        <v>407</v>
      </c>
      <c r="BP105" s="44" t="s">
        <v>48</v>
      </c>
      <c r="BQ105" s="42" t="s">
        <v>48</v>
      </c>
      <c r="BR105" s="42" t="s">
        <v>48</v>
      </c>
      <c r="BS105" s="40" t="s">
        <v>48</v>
      </c>
      <c r="BT105" s="40" t="s">
        <v>48</v>
      </c>
      <c r="BU105" s="40" t="s">
        <v>48</v>
      </c>
      <c r="BV105" s="40" t="s">
        <v>48</v>
      </c>
      <c r="BW105" s="40" t="s">
        <v>48</v>
      </c>
      <c r="BX105" s="40" t="s">
        <v>48</v>
      </c>
      <c r="BY105" s="40" t="s">
        <v>48</v>
      </c>
      <c r="BZ105" s="40" t="s">
        <v>48</v>
      </c>
      <c r="CA105" s="40" t="s">
        <v>48</v>
      </c>
      <c r="CB105" s="40" t="s">
        <v>48</v>
      </c>
      <c r="CC105" s="40" t="s">
        <v>48</v>
      </c>
      <c r="CD105" s="40" t="s">
        <v>48</v>
      </c>
      <c r="CE105" s="40" t="s">
        <v>48</v>
      </c>
      <c r="CF105" s="40" t="s">
        <v>48</v>
      </c>
      <c r="CH105" s="33"/>
      <c r="CI105" s="38" t="str">
        <f>Notes!U106</f>
        <v xml:space="preserve">      Wholesale and retail trade</v>
      </c>
      <c r="CJ105" s="4" t="s">
        <v>407</v>
      </c>
      <c r="CK105" s="44" t="s">
        <v>48</v>
      </c>
      <c r="CL105" s="42" t="s">
        <v>48</v>
      </c>
      <c r="CM105" s="42" t="s">
        <v>48</v>
      </c>
      <c r="CN105" s="40" t="s">
        <v>48</v>
      </c>
      <c r="CO105" s="40" t="s">
        <v>48</v>
      </c>
      <c r="CP105" s="40" t="s">
        <v>48</v>
      </c>
      <c r="CQ105" s="40" t="s">
        <v>48</v>
      </c>
      <c r="CR105" s="40" t="s">
        <v>48</v>
      </c>
      <c r="CS105" s="40" t="s">
        <v>48</v>
      </c>
      <c r="CT105" s="40" t="s">
        <v>48</v>
      </c>
      <c r="CU105" s="40" t="s">
        <v>48</v>
      </c>
      <c r="CV105" s="40" t="s">
        <v>48</v>
      </c>
      <c r="CW105" s="40" t="s">
        <v>48</v>
      </c>
      <c r="CX105" s="40" t="s">
        <v>48</v>
      </c>
      <c r="CY105" s="40" t="s">
        <v>48</v>
      </c>
      <c r="CZ105" s="40" t="s">
        <v>48</v>
      </c>
      <c r="DA105" s="40" t="s">
        <v>48</v>
      </c>
      <c r="DC105" s="33"/>
      <c r="DD105" s="38" t="str">
        <f>Notes!U106</f>
        <v xml:space="preserve">      Wholesale and retail trade</v>
      </c>
      <c r="DE105" s="4" t="s">
        <v>407</v>
      </c>
      <c r="DF105" s="44" t="s">
        <v>48</v>
      </c>
      <c r="DG105" s="42" t="s">
        <v>48</v>
      </c>
      <c r="DH105" s="42" t="s">
        <v>48</v>
      </c>
      <c r="DI105" s="40" t="s">
        <v>48</v>
      </c>
      <c r="DJ105" s="40" t="s">
        <v>48</v>
      </c>
      <c r="DK105" s="40" t="s">
        <v>48</v>
      </c>
      <c r="DL105" s="40" t="s">
        <v>48</v>
      </c>
      <c r="DM105" s="40" t="s">
        <v>48</v>
      </c>
      <c r="DN105" s="40" t="s">
        <v>48</v>
      </c>
      <c r="DO105" s="40" t="s">
        <v>48</v>
      </c>
      <c r="DP105" s="40" t="s">
        <v>48</v>
      </c>
      <c r="DQ105" s="40" t="s">
        <v>48</v>
      </c>
      <c r="DR105" s="40" t="s">
        <v>48</v>
      </c>
      <c r="DS105" s="40" t="s">
        <v>48</v>
      </c>
      <c r="DT105" s="40" t="s">
        <v>48</v>
      </c>
      <c r="DU105" s="40" t="s">
        <v>48</v>
      </c>
      <c r="DV105" s="40" t="s">
        <v>48</v>
      </c>
    </row>
    <row r="106" spans="1:126" x14ac:dyDescent="0.3">
      <c r="A106" s="12">
        <v>99</v>
      </c>
      <c r="B106" s="33"/>
      <c r="C106" s="38" t="str">
        <f>Notes!U107</f>
        <v xml:space="preserve">      Accommodation</v>
      </c>
      <c r="D106" s="4" t="s">
        <v>413</v>
      </c>
      <c r="E106" s="44">
        <v>1</v>
      </c>
      <c r="F106" s="42">
        <v>5.1769682758218138E-3</v>
      </c>
      <c r="G106" s="42" t="s">
        <v>48</v>
      </c>
      <c r="H106" s="40" t="s">
        <v>48</v>
      </c>
      <c r="I106" s="40" t="s">
        <v>48</v>
      </c>
      <c r="J106" s="40" t="s">
        <v>48</v>
      </c>
      <c r="K106" s="40" t="s">
        <v>48</v>
      </c>
      <c r="L106" s="40" t="s">
        <v>48</v>
      </c>
      <c r="M106" s="40" t="s">
        <v>48</v>
      </c>
      <c r="N106" s="40" t="s">
        <v>48</v>
      </c>
      <c r="O106" s="40" t="s">
        <v>48</v>
      </c>
      <c r="P106" s="40" t="s">
        <v>48</v>
      </c>
      <c r="Q106" s="40" t="s">
        <v>48</v>
      </c>
      <c r="R106" s="40" t="s">
        <v>48</v>
      </c>
      <c r="S106" s="40" t="s">
        <v>48</v>
      </c>
      <c r="T106" s="40" t="s">
        <v>48</v>
      </c>
      <c r="U106" s="40" t="s">
        <v>48</v>
      </c>
      <c r="W106" s="33"/>
      <c r="X106" s="38" t="str">
        <f>Notes!U107</f>
        <v xml:space="preserve">      Accommodation</v>
      </c>
      <c r="Y106" s="4" t="s">
        <v>413</v>
      </c>
      <c r="Z106" s="44">
        <v>0.99999999999999978</v>
      </c>
      <c r="AA106" s="42">
        <v>-1.7210614993379281E-3</v>
      </c>
      <c r="AB106" s="42" t="s">
        <v>48</v>
      </c>
      <c r="AC106" s="40" t="s">
        <v>48</v>
      </c>
      <c r="AD106" s="40" t="s">
        <v>48</v>
      </c>
      <c r="AE106" s="40" t="s">
        <v>48</v>
      </c>
      <c r="AF106" s="40" t="s">
        <v>48</v>
      </c>
      <c r="AG106" s="40" t="s">
        <v>48</v>
      </c>
      <c r="AH106" s="40" t="s">
        <v>48</v>
      </c>
      <c r="AI106" s="40" t="s">
        <v>48</v>
      </c>
      <c r="AJ106" s="40" t="s">
        <v>48</v>
      </c>
      <c r="AK106" s="40" t="s">
        <v>48</v>
      </c>
      <c r="AL106" s="40" t="s">
        <v>48</v>
      </c>
      <c r="AM106" s="40" t="s">
        <v>48</v>
      </c>
      <c r="AN106" s="40" t="s">
        <v>48</v>
      </c>
      <c r="AO106" s="40" t="s">
        <v>48</v>
      </c>
      <c r="AP106" s="40" t="s">
        <v>48</v>
      </c>
      <c r="AR106" s="33"/>
      <c r="AS106" s="38" t="str">
        <f>Notes!U107</f>
        <v xml:space="preserve">      Accommodation</v>
      </c>
      <c r="AT106" s="4" t="s">
        <v>413</v>
      </c>
      <c r="AU106" s="44">
        <v>1</v>
      </c>
      <c r="AV106" s="42">
        <v>-1.8013938786765049E-2</v>
      </c>
      <c r="AW106" s="42" t="s">
        <v>48</v>
      </c>
      <c r="AX106" s="40" t="s">
        <v>48</v>
      </c>
      <c r="AY106" s="40" t="s">
        <v>48</v>
      </c>
      <c r="AZ106" s="40" t="s">
        <v>48</v>
      </c>
      <c r="BA106" s="40" t="s">
        <v>48</v>
      </c>
      <c r="BB106" s="40" t="s">
        <v>48</v>
      </c>
      <c r="BC106" s="40" t="s">
        <v>48</v>
      </c>
      <c r="BD106" s="40" t="s">
        <v>48</v>
      </c>
      <c r="BE106" s="40" t="s">
        <v>48</v>
      </c>
      <c r="BF106" s="40" t="s">
        <v>48</v>
      </c>
      <c r="BG106" s="40" t="s">
        <v>48</v>
      </c>
      <c r="BH106" s="40" t="s">
        <v>48</v>
      </c>
      <c r="BI106" s="40" t="s">
        <v>48</v>
      </c>
      <c r="BJ106" s="40" t="s">
        <v>48</v>
      </c>
      <c r="BK106" s="40" t="s">
        <v>48</v>
      </c>
      <c r="BM106" s="33"/>
      <c r="BN106" s="38" t="str">
        <f>Notes!U107</f>
        <v xml:space="preserve">      Accommodation</v>
      </c>
      <c r="BO106" s="4" t="s">
        <v>413</v>
      </c>
      <c r="BP106" s="44">
        <v>1</v>
      </c>
      <c r="BQ106" s="42">
        <v>-1.8013938786776151E-2</v>
      </c>
      <c r="BR106" s="42" t="s">
        <v>48</v>
      </c>
      <c r="BS106" s="40" t="s">
        <v>48</v>
      </c>
      <c r="BT106" s="40" t="s">
        <v>48</v>
      </c>
      <c r="BU106" s="40" t="s">
        <v>48</v>
      </c>
      <c r="BV106" s="40" t="s">
        <v>48</v>
      </c>
      <c r="BW106" s="40" t="s">
        <v>48</v>
      </c>
      <c r="BX106" s="40" t="s">
        <v>48</v>
      </c>
      <c r="BY106" s="40" t="s">
        <v>48</v>
      </c>
      <c r="BZ106" s="40" t="s">
        <v>48</v>
      </c>
      <c r="CA106" s="40" t="s">
        <v>48</v>
      </c>
      <c r="CB106" s="40" t="s">
        <v>48</v>
      </c>
      <c r="CC106" s="40" t="s">
        <v>48</v>
      </c>
      <c r="CD106" s="40" t="s">
        <v>48</v>
      </c>
      <c r="CE106" s="40" t="s">
        <v>48</v>
      </c>
      <c r="CF106" s="40" t="s">
        <v>48</v>
      </c>
      <c r="CH106" s="33"/>
      <c r="CI106" s="38" t="str">
        <f>Notes!U107</f>
        <v xml:space="preserve">      Accommodation</v>
      </c>
      <c r="CJ106" s="4" t="s">
        <v>413</v>
      </c>
      <c r="CK106" s="44">
        <v>1</v>
      </c>
      <c r="CL106" s="42" t="s">
        <v>48</v>
      </c>
      <c r="CM106" s="42" t="s">
        <v>48</v>
      </c>
      <c r="CN106" s="40" t="s">
        <v>48</v>
      </c>
      <c r="CO106" s="40" t="s">
        <v>48</v>
      </c>
      <c r="CP106" s="40" t="s">
        <v>48</v>
      </c>
      <c r="CQ106" s="40" t="s">
        <v>48</v>
      </c>
      <c r="CR106" s="40" t="s">
        <v>48</v>
      </c>
      <c r="CS106" s="40" t="s">
        <v>48</v>
      </c>
      <c r="CT106" s="40" t="s">
        <v>48</v>
      </c>
      <c r="CU106" s="40" t="s">
        <v>48</v>
      </c>
      <c r="CV106" s="40" t="s">
        <v>48</v>
      </c>
      <c r="CW106" s="40" t="s">
        <v>48</v>
      </c>
      <c r="CX106" s="40" t="s">
        <v>48</v>
      </c>
      <c r="CY106" s="40" t="s">
        <v>48</v>
      </c>
      <c r="CZ106" s="40" t="s">
        <v>48</v>
      </c>
      <c r="DA106" s="40" t="s">
        <v>48</v>
      </c>
      <c r="DC106" s="33"/>
      <c r="DD106" s="38" t="str">
        <f>Notes!U107</f>
        <v xml:space="preserve">      Accommodation</v>
      </c>
      <c r="DE106" s="4" t="s">
        <v>413</v>
      </c>
      <c r="DF106" s="44">
        <v>1</v>
      </c>
      <c r="DG106" s="42" t="s">
        <v>48</v>
      </c>
      <c r="DH106" s="42" t="s">
        <v>48</v>
      </c>
      <c r="DI106" s="40" t="s">
        <v>48</v>
      </c>
      <c r="DJ106" s="40" t="s">
        <v>48</v>
      </c>
      <c r="DK106" s="40" t="s">
        <v>48</v>
      </c>
      <c r="DL106" s="40" t="s">
        <v>48</v>
      </c>
      <c r="DM106" s="40" t="s">
        <v>48</v>
      </c>
      <c r="DN106" s="40" t="s">
        <v>48</v>
      </c>
      <c r="DO106" s="40" t="s">
        <v>48</v>
      </c>
      <c r="DP106" s="40" t="s">
        <v>48</v>
      </c>
      <c r="DQ106" s="40" t="s">
        <v>48</v>
      </c>
      <c r="DR106" s="40" t="s">
        <v>48</v>
      </c>
      <c r="DS106" s="40" t="s">
        <v>48</v>
      </c>
      <c r="DT106" s="40" t="s">
        <v>48</v>
      </c>
      <c r="DU106" s="40" t="s">
        <v>48</v>
      </c>
      <c r="DV106" s="40" t="s">
        <v>48</v>
      </c>
    </row>
    <row r="107" spans="1:126" x14ac:dyDescent="0.3">
      <c r="A107" s="12">
        <v>100</v>
      </c>
      <c r="B107" s="33"/>
      <c r="C107" s="38" t="str">
        <f>Notes!U108</f>
        <v xml:space="preserve">      Restaurants and food services</v>
      </c>
      <c r="D107" s="4" t="s">
        <v>414</v>
      </c>
      <c r="E107" s="44">
        <v>1</v>
      </c>
      <c r="F107" s="42">
        <v>-2.1818501392933953E-3</v>
      </c>
      <c r="G107" s="42" t="s">
        <v>48</v>
      </c>
      <c r="H107" s="40" t="s">
        <v>48</v>
      </c>
      <c r="I107" s="40" t="s">
        <v>48</v>
      </c>
      <c r="J107" s="40" t="s">
        <v>48</v>
      </c>
      <c r="K107" s="40" t="s">
        <v>48</v>
      </c>
      <c r="L107" s="40" t="s">
        <v>48</v>
      </c>
      <c r="M107" s="40" t="s">
        <v>48</v>
      </c>
      <c r="N107" s="40" t="s">
        <v>48</v>
      </c>
      <c r="O107" s="40" t="s">
        <v>48</v>
      </c>
      <c r="P107" s="40" t="s">
        <v>48</v>
      </c>
      <c r="Q107" s="40" t="s">
        <v>48</v>
      </c>
      <c r="R107" s="40" t="s">
        <v>48</v>
      </c>
      <c r="S107" s="40" t="s">
        <v>48</v>
      </c>
      <c r="T107" s="40" t="s">
        <v>48</v>
      </c>
      <c r="U107" s="40" t="s">
        <v>48</v>
      </c>
      <c r="W107" s="33"/>
      <c r="X107" s="38" t="str">
        <f>Notes!U108</f>
        <v xml:space="preserve">      Restaurants and food services</v>
      </c>
      <c r="Y107" s="4" t="s">
        <v>414</v>
      </c>
      <c r="Z107" s="44">
        <v>1</v>
      </c>
      <c r="AA107" s="42">
        <v>-2.1818501392933953E-3</v>
      </c>
      <c r="AB107" s="42" t="s">
        <v>48</v>
      </c>
      <c r="AC107" s="40" t="s">
        <v>48</v>
      </c>
      <c r="AD107" s="40" t="s">
        <v>48</v>
      </c>
      <c r="AE107" s="40" t="s">
        <v>48</v>
      </c>
      <c r="AF107" s="40" t="s">
        <v>48</v>
      </c>
      <c r="AG107" s="40" t="s">
        <v>48</v>
      </c>
      <c r="AH107" s="40" t="s">
        <v>48</v>
      </c>
      <c r="AI107" s="40" t="s">
        <v>48</v>
      </c>
      <c r="AJ107" s="40" t="s">
        <v>48</v>
      </c>
      <c r="AK107" s="40" t="s">
        <v>48</v>
      </c>
      <c r="AL107" s="40" t="s">
        <v>48</v>
      </c>
      <c r="AM107" s="40" t="s">
        <v>48</v>
      </c>
      <c r="AN107" s="40" t="s">
        <v>48</v>
      </c>
      <c r="AO107" s="40" t="s">
        <v>48</v>
      </c>
      <c r="AP107" s="40" t="s">
        <v>48</v>
      </c>
      <c r="AR107" s="33"/>
      <c r="AS107" s="38" t="str">
        <f>Notes!U108</f>
        <v xml:space="preserve">      Restaurants and food services</v>
      </c>
      <c r="AT107" s="4" t="s">
        <v>414</v>
      </c>
      <c r="AU107" s="44" t="s">
        <v>48</v>
      </c>
      <c r="AV107" s="42" t="s">
        <v>48</v>
      </c>
      <c r="AW107" s="42" t="s">
        <v>48</v>
      </c>
      <c r="AX107" s="40" t="s">
        <v>48</v>
      </c>
      <c r="AY107" s="40" t="s">
        <v>48</v>
      </c>
      <c r="AZ107" s="40" t="s">
        <v>48</v>
      </c>
      <c r="BA107" s="40" t="s">
        <v>48</v>
      </c>
      <c r="BB107" s="40" t="s">
        <v>48</v>
      </c>
      <c r="BC107" s="40" t="s">
        <v>48</v>
      </c>
      <c r="BD107" s="40" t="s">
        <v>48</v>
      </c>
      <c r="BE107" s="40" t="s">
        <v>48</v>
      </c>
      <c r="BF107" s="40" t="s">
        <v>48</v>
      </c>
      <c r="BG107" s="40" t="s">
        <v>48</v>
      </c>
      <c r="BH107" s="40" t="s">
        <v>48</v>
      </c>
      <c r="BI107" s="40" t="s">
        <v>48</v>
      </c>
      <c r="BJ107" s="40" t="s">
        <v>48</v>
      </c>
      <c r="BK107" s="40" t="s">
        <v>48</v>
      </c>
      <c r="BM107" s="33"/>
      <c r="BN107" s="38" t="str">
        <f>Notes!U108</f>
        <v xml:space="preserve">      Restaurants and food services</v>
      </c>
      <c r="BO107" s="4" t="s">
        <v>414</v>
      </c>
      <c r="BP107" s="44" t="s">
        <v>48</v>
      </c>
      <c r="BQ107" s="42" t="s">
        <v>48</v>
      </c>
      <c r="BR107" s="42" t="s">
        <v>48</v>
      </c>
      <c r="BS107" s="40" t="s">
        <v>48</v>
      </c>
      <c r="BT107" s="40" t="s">
        <v>48</v>
      </c>
      <c r="BU107" s="40" t="s">
        <v>48</v>
      </c>
      <c r="BV107" s="40" t="s">
        <v>48</v>
      </c>
      <c r="BW107" s="40" t="s">
        <v>48</v>
      </c>
      <c r="BX107" s="40" t="s">
        <v>48</v>
      </c>
      <c r="BY107" s="40" t="s">
        <v>48</v>
      </c>
      <c r="BZ107" s="40" t="s">
        <v>48</v>
      </c>
      <c r="CA107" s="40" t="s">
        <v>48</v>
      </c>
      <c r="CB107" s="40" t="s">
        <v>48</v>
      </c>
      <c r="CC107" s="40" t="s">
        <v>48</v>
      </c>
      <c r="CD107" s="40" t="s">
        <v>48</v>
      </c>
      <c r="CE107" s="40" t="s">
        <v>48</v>
      </c>
      <c r="CF107" s="40" t="s">
        <v>48</v>
      </c>
      <c r="CH107" s="33"/>
      <c r="CI107" s="38" t="str">
        <f>Notes!U108</f>
        <v xml:space="preserve">      Restaurants and food services</v>
      </c>
      <c r="CJ107" s="4" t="s">
        <v>414</v>
      </c>
      <c r="CK107" s="44" t="s">
        <v>48</v>
      </c>
      <c r="CL107" s="42" t="s">
        <v>48</v>
      </c>
      <c r="CM107" s="42" t="s">
        <v>48</v>
      </c>
      <c r="CN107" s="40" t="s">
        <v>48</v>
      </c>
      <c r="CO107" s="40" t="s">
        <v>48</v>
      </c>
      <c r="CP107" s="40" t="s">
        <v>48</v>
      </c>
      <c r="CQ107" s="40" t="s">
        <v>48</v>
      </c>
      <c r="CR107" s="40" t="s">
        <v>48</v>
      </c>
      <c r="CS107" s="40" t="s">
        <v>48</v>
      </c>
      <c r="CT107" s="40" t="s">
        <v>48</v>
      </c>
      <c r="CU107" s="40" t="s">
        <v>48</v>
      </c>
      <c r="CV107" s="40" t="s">
        <v>48</v>
      </c>
      <c r="CW107" s="40" t="s">
        <v>48</v>
      </c>
      <c r="CX107" s="40" t="s">
        <v>48</v>
      </c>
      <c r="CY107" s="40" t="s">
        <v>48</v>
      </c>
      <c r="CZ107" s="40" t="s">
        <v>48</v>
      </c>
      <c r="DA107" s="40" t="s">
        <v>48</v>
      </c>
      <c r="DC107" s="33"/>
      <c r="DD107" s="38" t="str">
        <f>Notes!U108</f>
        <v xml:space="preserve">      Restaurants and food services</v>
      </c>
      <c r="DE107" s="4" t="s">
        <v>414</v>
      </c>
      <c r="DF107" s="44" t="s">
        <v>48</v>
      </c>
      <c r="DG107" s="42" t="s">
        <v>48</v>
      </c>
      <c r="DH107" s="42" t="s">
        <v>48</v>
      </c>
      <c r="DI107" s="40" t="s">
        <v>48</v>
      </c>
      <c r="DJ107" s="40" t="s">
        <v>48</v>
      </c>
      <c r="DK107" s="40" t="s">
        <v>48</v>
      </c>
      <c r="DL107" s="40" t="s">
        <v>48</v>
      </c>
      <c r="DM107" s="40" t="s">
        <v>48</v>
      </c>
      <c r="DN107" s="40" t="s">
        <v>48</v>
      </c>
      <c r="DO107" s="40" t="s">
        <v>48</v>
      </c>
      <c r="DP107" s="40" t="s">
        <v>48</v>
      </c>
      <c r="DQ107" s="40" t="s">
        <v>48</v>
      </c>
      <c r="DR107" s="40" t="s">
        <v>48</v>
      </c>
      <c r="DS107" s="40" t="s">
        <v>48</v>
      </c>
      <c r="DT107" s="40" t="s">
        <v>48</v>
      </c>
      <c r="DU107" s="40" t="s">
        <v>48</v>
      </c>
      <c r="DV107" s="40" t="s">
        <v>48</v>
      </c>
    </row>
    <row r="108" spans="1:126" x14ac:dyDescent="0.3">
      <c r="A108" s="12">
        <v>101</v>
      </c>
      <c r="B108" s="33"/>
      <c r="C108" s="38" t="str">
        <f>Notes!U109</f>
        <v xml:space="preserve">   Transport and communication</v>
      </c>
      <c r="D108" s="4" t="s">
        <v>409</v>
      </c>
      <c r="E108" s="44">
        <v>1</v>
      </c>
      <c r="F108" s="42">
        <v>-2.3648812697762978E-2</v>
      </c>
      <c r="G108" s="42" t="s">
        <v>48</v>
      </c>
      <c r="H108" s="40" t="s">
        <v>48</v>
      </c>
      <c r="I108" s="40" t="s">
        <v>48</v>
      </c>
      <c r="J108" s="40" t="s">
        <v>48</v>
      </c>
      <c r="K108" s="40" t="s">
        <v>48</v>
      </c>
      <c r="L108" s="40" t="s">
        <v>48</v>
      </c>
      <c r="M108" s="40" t="s">
        <v>48</v>
      </c>
      <c r="N108" s="40" t="s">
        <v>48</v>
      </c>
      <c r="O108" s="40" t="s">
        <v>48</v>
      </c>
      <c r="P108" s="40" t="s">
        <v>48</v>
      </c>
      <c r="Q108" s="40" t="s">
        <v>48</v>
      </c>
      <c r="R108" s="40" t="s">
        <v>48</v>
      </c>
      <c r="S108" s="40" t="s">
        <v>48</v>
      </c>
      <c r="T108" s="40" t="s">
        <v>48</v>
      </c>
      <c r="U108" s="40" t="s">
        <v>48</v>
      </c>
      <c r="W108" s="33"/>
      <c r="X108" s="38" t="str">
        <f>Notes!U109</f>
        <v xml:space="preserve">   Transport and communication</v>
      </c>
      <c r="Y108" s="4" t="s">
        <v>409</v>
      </c>
      <c r="Z108" s="44">
        <v>1.0000000000000002</v>
      </c>
      <c r="AA108" s="42">
        <v>-2.3047573064016724E-2</v>
      </c>
      <c r="AB108" s="42" t="s">
        <v>48</v>
      </c>
      <c r="AC108" s="40" t="s">
        <v>48</v>
      </c>
      <c r="AD108" s="40" t="s">
        <v>48</v>
      </c>
      <c r="AE108" s="40" t="s">
        <v>48</v>
      </c>
      <c r="AF108" s="40" t="s">
        <v>48</v>
      </c>
      <c r="AG108" s="40" t="s">
        <v>48</v>
      </c>
      <c r="AH108" s="40" t="s">
        <v>48</v>
      </c>
      <c r="AI108" s="40" t="s">
        <v>48</v>
      </c>
      <c r="AJ108" s="40" t="s">
        <v>48</v>
      </c>
      <c r="AK108" s="40" t="s">
        <v>48</v>
      </c>
      <c r="AL108" s="40" t="s">
        <v>48</v>
      </c>
      <c r="AM108" s="40" t="s">
        <v>48</v>
      </c>
      <c r="AN108" s="40" t="s">
        <v>48</v>
      </c>
      <c r="AO108" s="40" t="s">
        <v>48</v>
      </c>
      <c r="AP108" s="40" t="s">
        <v>48</v>
      </c>
      <c r="AR108" s="33"/>
      <c r="AS108" s="38" t="str">
        <f>Notes!U109</f>
        <v xml:space="preserve">   Transport and communication</v>
      </c>
      <c r="AT108" s="4" t="s">
        <v>409</v>
      </c>
      <c r="AU108" s="44">
        <v>1</v>
      </c>
      <c r="AV108" s="42">
        <v>-1.8013938786787254E-2</v>
      </c>
      <c r="AW108" s="42" t="s">
        <v>48</v>
      </c>
      <c r="AX108" s="40" t="s">
        <v>48</v>
      </c>
      <c r="AY108" s="40" t="s">
        <v>48</v>
      </c>
      <c r="AZ108" s="40" t="s">
        <v>48</v>
      </c>
      <c r="BA108" s="40" t="s">
        <v>48</v>
      </c>
      <c r="BB108" s="40" t="s">
        <v>48</v>
      </c>
      <c r="BC108" s="40" t="s">
        <v>48</v>
      </c>
      <c r="BD108" s="40" t="s">
        <v>48</v>
      </c>
      <c r="BE108" s="40" t="s">
        <v>48</v>
      </c>
      <c r="BF108" s="40" t="s">
        <v>48</v>
      </c>
      <c r="BG108" s="40" t="s">
        <v>48</v>
      </c>
      <c r="BH108" s="40" t="s">
        <v>48</v>
      </c>
      <c r="BI108" s="40" t="s">
        <v>48</v>
      </c>
      <c r="BJ108" s="40" t="s">
        <v>48</v>
      </c>
      <c r="BK108" s="40" t="s">
        <v>48</v>
      </c>
      <c r="BM108" s="33"/>
      <c r="BN108" s="38" t="str">
        <f>Notes!U109</f>
        <v xml:space="preserve">   Transport and communication</v>
      </c>
      <c r="BO108" s="4" t="s">
        <v>409</v>
      </c>
      <c r="BP108" s="44">
        <v>1</v>
      </c>
      <c r="BQ108" s="42">
        <v>-1.8013938786776151E-2</v>
      </c>
      <c r="BR108" s="42" t="s">
        <v>48</v>
      </c>
      <c r="BS108" s="40" t="s">
        <v>48</v>
      </c>
      <c r="BT108" s="40" t="s">
        <v>48</v>
      </c>
      <c r="BU108" s="40" t="s">
        <v>48</v>
      </c>
      <c r="BV108" s="40" t="s">
        <v>48</v>
      </c>
      <c r="BW108" s="40" t="s">
        <v>48</v>
      </c>
      <c r="BX108" s="40" t="s">
        <v>48</v>
      </c>
      <c r="BY108" s="40" t="s">
        <v>48</v>
      </c>
      <c r="BZ108" s="40" t="s">
        <v>48</v>
      </c>
      <c r="CA108" s="40" t="s">
        <v>48</v>
      </c>
      <c r="CB108" s="40" t="s">
        <v>48</v>
      </c>
      <c r="CC108" s="40" t="s">
        <v>48</v>
      </c>
      <c r="CD108" s="40" t="s">
        <v>48</v>
      </c>
      <c r="CE108" s="40" t="s">
        <v>48</v>
      </c>
      <c r="CF108" s="40" t="s">
        <v>48</v>
      </c>
      <c r="CH108" s="33"/>
      <c r="CI108" s="38" t="str">
        <f>Notes!U109</f>
        <v xml:space="preserve">   Transport and communication</v>
      </c>
      <c r="CJ108" s="4" t="s">
        <v>409</v>
      </c>
      <c r="CK108" s="44">
        <v>1</v>
      </c>
      <c r="CL108" s="42" t="s">
        <v>48</v>
      </c>
      <c r="CM108" s="42" t="s">
        <v>48</v>
      </c>
      <c r="CN108" s="40" t="s">
        <v>48</v>
      </c>
      <c r="CO108" s="40" t="s">
        <v>48</v>
      </c>
      <c r="CP108" s="40" t="s">
        <v>48</v>
      </c>
      <c r="CQ108" s="40" t="s">
        <v>48</v>
      </c>
      <c r="CR108" s="40" t="s">
        <v>48</v>
      </c>
      <c r="CS108" s="40" t="s">
        <v>48</v>
      </c>
      <c r="CT108" s="40" t="s">
        <v>48</v>
      </c>
      <c r="CU108" s="40" t="s">
        <v>48</v>
      </c>
      <c r="CV108" s="40" t="s">
        <v>48</v>
      </c>
      <c r="CW108" s="40" t="s">
        <v>48</v>
      </c>
      <c r="CX108" s="40" t="s">
        <v>48</v>
      </c>
      <c r="CY108" s="40" t="s">
        <v>48</v>
      </c>
      <c r="CZ108" s="40" t="s">
        <v>48</v>
      </c>
      <c r="DA108" s="40" t="s">
        <v>48</v>
      </c>
      <c r="DC108" s="33"/>
      <c r="DD108" s="38" t="str">
        <f>Notes!U109</f>
        <v xml:space="preserve">   Transport and communication</v>
      </c>
      <c r="DE108" s="4" t="s">
        <v>409</v>
      </c>
      <c r="DF108" s="44">
        <v>1</v>
      </c>
      <c r="DG108" s="42" t="s">
        <v>48</v>
      </c>
      <c r="DH108" s="42" t="s">
        <v>48</v>
      </c>
      <c r="DI108" s="40" t="s">
        <v>48</v>
      </c>
      <c r="DJ108" s="40" t="s">
        <v>48</v>
      </c>
      <c r="DK108" s="40" t="s">
        <v>48</v>
      </c>
      <c r="DL108" s="40" t="s">
        <v>48</v>
      </c>
      <c r="DM108" s="40" t="s">
        <v>48</v>
      </c>
      <c r="DN108" s="40" t="s">
        <v>48</v>
      </c>
      <c r="DO108" s="40" t="s">
        <v>48</v>
      </c>
      <c r="DP108" s="40" t="s">
        <v>48</v>
      </c>
      <c r="DQ108" s="40" t="s">
        <v>48</v>
      </c>
      <c r="DR108" s="40" t="s">
        <v>48</v>
      </c>
      <c r="DS108" s="40" t="s">
        <v>48</v>
      </c>
      <c r="DT108" s="40" t="s">
        <v>48</v>
      </c>
      <c r="DU108" s="40" t="s">
        <v>48</v>
      </c>
      <c r="DV108" s="40" t="s">
        <v>48</v>
      </c>
    </row>
    <row r="109" spans="1:126" x14ac:dyDescent="0.3">
      <c r="A109" s="12">
        <v>102</v>
      </c>
      <c r="B109" s="33"/>
      <c r="C109" s="38" t="str">
        <f>Notes!U110</f>
        <v xml:space="preserve">      Transportation and storage</v>
      </c>
      <c r="D109" s="4" t="s">
        <v>411</v>
      </c>
      <c r="E109" s="44">
        <v>1</v>
      </c>
      <c r="F109" s="42">
        <v>-2.3845597895055803E-2</v>
      </c>
      <c r="G109" s="42" t="s">
        <v>48</v>
      </c>
      <c r="H109" s="40" t="s">
        <v>48</v>
      </c>
      <c r="I109" s="40" t="s">
        <v>48</v>
      </c>
      <c r="J109" s="40" t="s">
        <v>48</v>
      </c>
      <c r="K109" s="40" t="s">
        <v>48</v>
      </c>
      <c r="L109" s="40" t="s">
        <v>48</v>
      </c>
      <c r="M109" s="40" t="s">
        <v>48</v>
      </c>
      <c r="N109" s="40" t="s">
        <v>48</v>
      </c>
      <c r="O109" s="40" t="s">
        <v>48</v>
      </c>
      <c r="P109" s="40" t="s">
        <v>48</v>
      </c>
      <c r="Q109" s="40" t="s">
        <v>48</v>
      </c>
      <c r="R109" s="40" t="s">
        <v>48</v>
      </c>
      <c r="S109" s="40" t="s">
        <v>48</v>
      </c>
      <c r="T109" s="40" t="s">
        <v>48</v>
      </c>
      <c r="U109" s="40" t="s">
        <v>48</v>
      </c>
      <c r="W109" s="33"/>
      <c r="X109" s="38" t="str">
        <f>Notes!U110</f>
        <v xml:space="preserve">      Transportation and storage</v>
      </c>
      <c r="Y109" s="4" t="s">
        <v>411</v>
      </c>
      <c r="Z109" s="44">
        <v>1.0000000000000002</v>
      </c>
      <c r="AA109" s="42">
        <v>-2.3091045825063272E-2</v>
      </c>
      <c r="AB109" s="42" t="s">
        <v>48</v>
      </c>
      <c r="AC109" s="40" t="s">
        <v>48</v>
      </c>
      <c r="AD109" s="40" t="s">
        <v>48</v>
      </c>
      <c r="AE109" s="40" t="s">
        <v>48</v>
      </c>
      <c r="AF109" s="40" t="s">
        <v>48</v>
      </c>
      <c r="AG109" s="40" t="s">
        <v>48</v>
      </c>
      <c r="AH109" s="40" t="s">
        <v>48</v>
      </c>
      <c r="AI109" s="40" t="s">
        <v>48</v>
      </c>
      <c r="AJ109" s="40" t="s">
        <v>48</v>
      </c>
      <c r="AK109" s="40" t="s">
        <v>48</v>
      </c>
      <c r="AL109" s="40" t="s">
        <v>48</v>
      </c>
      <c r="AM109" s="40" t="s">
        <v>48</v>
      </c>
      <c r="AN109" s="40" t="s">
        <v>48</v>
      </c>
      <c r="AO109" s="40" t="s">
        <v>48</v>
      </c>
      <c r="AP109" s="40" t="s">
        <v>48</v>
      </c>
      <c r="AR109" s="33"/>
      <c r="AS109" s="38" t="str">
        <f>Notes!U110</f>
        <v xml:space="preserve">      Transportation and storage</v>
      </c>
      <c r="AT109" s="4" t="s">
        <v>411</v>
      </c>
      <c r="AU109" s="44">
        <v>1</v>
      </c>
      <c r="AV109" s="42">
        <v>-1.8013938786787254E-2</v>
      </c>
      <c r="AW109" s="42" t="s">
        <v>48</v>
      </c>
      <c r="AX109" s="40" t="s">
        <v>48</v>
      </c>
      <c r="AY109" s="40" t="s">
        <v>48</v>
      </c>
      <c r="AZ109" s="40" t="s">
        <v>48</v>
      </c>
      <c r="BA109" s="40" t="s">
        <v>48</v>
      </c>
      <c r="BB109" s="40" t="s">
        <v>48</v>
      </c>
      <c r="BC109" s="40" t="s">
        <v>48</v>
      </c>
      <c r="BD109" s="40" t="s">
        <v>48</v>
      </c>
      <c r="BE109" s="40" t="s">
        <v>48</v>
      </c>
      <c r="BF109" s="40" t="s">
        <v>48</v>
      </c>
      <c r="BG109" s="40" t="s">
        <v>48</v>
      </c>
      <c r="BH109" s="40" t="s">
        <v>48</v>
      </c>
      <c r="BI109" s="40" t="s">
        <v>48</v>
      </c>
      <c r="BJ109" s="40" t="s">
        <v>48</v>
      </c>
      <c r="BK109" s="40" t="s">
        <v>48</v>
      </c>
      <c r="BM109" s="33"/>
      <c r="BN109" s="38" t="str">
        <f>Notes!U110</f>
        <v xml:space="preserve">      Transportation and storage</v>
      </c>
      <c r="BO109" s="4" t="s">
        <v>411</v>
      </c>
      <c r="BP109" s="44">
        <v>1</v>
      </c>
      <c r="BQ109" s="42">
        <v>-1.8013938786776151E-2</v>
      </c>
      <c r="BR109" s="42" t="s">
        <v>48</v>
      </c>
      <c r="BS109" s="40" t="s">
        <v>48</v>
      </c>
      <c r="BT109" s="40" t="s">
        <v>48</v>
      </c>
      <c r="BU109" s="40" t="s">
        <v>48</v>
      </c>
      <c r="BV109" s="40" t="s">
        <v>48</v>
      </c>
      <c r="BW109" s="40" t="s">
        <v>48</v>
      </c>
      <c r="BX109" s="40" t="s">
        <v>48</v>
      </c>
      <c r="BY109" s="40" t="s">
        <v>48</v>
      </c>
      <c r="BZ109" s="40" t="s">
        <v>48</v>
      </c>
      <c r="CA109" s="40" t="s">
        <v>48</v>
      </c>
      <c r="CB109" s="40" t="s">
        <v>48</v>
      </c>
      <c r="CC109" s="40" t="s">
        <v>48</v>
      </c>
      <c r="CD109" s="40" t="s">
        <v>48</v>
      </c>
      <c r="CE109" s="40" t="s">
        <v>48</v>
      </c>
      <c r="CF109" s="40" t="s">
        <v>48</v>
      </c>
      <c r="CH109" s="33"/>
      <c r="CI109" s="38" t="str">
        <f>Notes!U110</f>
        <v xml:space="preserve">      Transportation and storage</v>
      </c>
      <c r="CJ109" s="4" t="s">
        <v>411</v>
      </c>
      <c r="CK109" s="44">
        <v>1</v>
      </c>
      <c r="CL109" s="42" t="s">
        <v>48</v>
      </c>
      <c r="CM109" s="42" t="s">
        <v>48</v>
      </c>
      <c r="CN109" s="40" t="s">
        <v>48</v>
      </c>
      <c r="CO109" s="40" t="s">
        <v>48</v>
      </c>
      <c r="CP109" s="40" t="s">
        <v>48</v>
      </c>
      <c r="CQ109" s="40" t="s">
        <v>48</v>
      </c>
      <c r="CR109" s="40" t="s">
        <v>48</v>
      </c>
      <c r="CS109" s="40" t="s">
        <v>48</v>
      </c>
      <c r="CT109" s="40" t="s">
        <v>48</v>
      </c>
      <c r="CU109" s="40" t="s">
        <v>48</v>
      </c>
      <c r="CV109" s="40" t="s">
        <v>48</v>
      </c>
      <c r="CW109" s="40" t="s">
        <v>48</v>
      </c>
      <c r="CX109" s="40" t="s">
        <v>48</v>
      </c>
      <c r="CY109" s="40" t="s">
        <v>48</v>
      </c>
      <c r="CZ109" s="40" t="s">
        <v>48</v>
      </c>
      <c r="DA109" s="40" t="s">
        <v>48</v>
      </c>
      <c r="DC109" s="33"/>
      <c r="DD109" s="38" t="str">
        <f>Notes!U110</f>
        <v xml:space="preserve">      Transportation and storage</v>
      </c>
      <c r="DE109" s="4" t="s">
        <v>411</v>
      </c>
      <c r="DF109" s="44">
        <v>1</v>
      </c>
      <c r="DG109" s="42" t="s">
        <v>48</v>
      </c>
      <c r="DH109" s="42" t="s">
        <v>48</v>
      </c>
      <c r="DI109" s="40" t="s">
        <v>48</v>
      </c>
      <c r="DJ109" s="40" t="s">
        <v>48</v>
      </c>
      <c r="DK109" s="40" t="s">
        <v>48</v>
      </c>
      <c r="DL109" s="40" t="s">
        <v>48</v>
      </c>
      <c r="DM109" s="40" t="s">
        <v>48</v>
      </c>
      <c r="DN109" s="40" t="s">
        <v>48</v>
      </c>
      <c r="DO109" s="40" t="s">
        <v>48</v>
      </c>
      <c r="DP109" s="40" t="s">
        <v>48</v>
      </c>
      <c r="DQ109" s="40" t="s">
        <v>48</v>
      </c>
      <c r="DR109" s="40" t="s">
        <v>48</v>
      </c>
      <c r="DS109" s="40" t="s">
        <v>48</v>
      </c>
      <c r="DT109" s="40" t="s">
        <v>48</v>
      </c>
      <c r="DU109" s="40" t="s">
        <v>48</v>
      </c>
      <c r="DV109" s="40" t="s">
        <v>48</v>
      </c>
    </row>
    <row r="110" spans="1:126" x14ac:dyDescent="0.3">
      <c r="A110" s="12">
        <v>103</v>
      </c>
      <c r="B110" s="33"/>
      <c r="C110" s="38" t="str">
        <f>Notes!U111</f>
        <v xml:space="preserve">      Information and communication</v>
      </c>
      <c r="D110" s="4" t="s">
        <v>415</v>
      </c>
      <c r="E110" s="44">
        <v>1</v>
      </c>
      <c r="F110" s="42">
        <v>-2.2843108684311719E-2</v>
      </c>
      <c r="G110" s="42" t="s">
        <v>48</v>
      </c>
      <c r="H110" s="40" t="s">
        <v>48</v>
      </c>
      <c r="I110" s="40" t="s">
        <v>48</v>
      </c>
      <c r="J110" s="40" t="s">
        <v>48</v>
      </c>
      <c r="K110" s="40" t="s">
        <v>48</v>
      </c>
      <c r="L110" s="40" t="s">
        <v>48</v>
      </c>
      <c r="M110" s="40" t="s">
        <v>48</v>
      </c>
      <c r="N110" s="40" t="s">
        <v>48</v>
      </c>
      <c r="O110" s="40" t="s">
        <v>48</v>
      </c>
      <c r="P110" s="40" t="s">
        <v>48</v>
      </c>
      <c r="Q110" s="40" t="s">
        <v>48</v>
      </c>
      <c r="R110" s="40" t="s">
        <v>48</v>
      </c>
      <c r="S110" s="40" t="s">
        <v>48</v>
      </c>
      <c r="T110" s="40" t="s">
        <v>48</v>
      </c>
      <c r="U110" s="40" t="s">
        <v>48</v>
      </c>
      <c r="W110" s="33"/>
      <c r="X110" s="38" t="str">
        <f>Notes!U111</f>
        <v xml:space="preserve">      Information and communication</v>
      </c>
      <c r="Y110" s="4" t="s">
        <v>415</v>
      </c>
      <c r="Z110" s="44">
        <v>1</v>
      </c>
      <c r="AA110" s="42">
        <v>-2.2843108684311719E-2</v>
      </c>
      <c r="AB110" s="42" t="s">
        <v>48</v>
      </c>
      <c r="AC110" s="40" t="s">
        <v>48</v>
      </c>
      <c r="AD110" s="40" t="s">
        <v>48</v>
      </c>
      <c r="AE110" s="40" t="s">
        <v>48</v>
      </c>
      <c r="AF110" s="40" t="s">
        <v>48</v>
      </c>
      <c r="AG110" s="40" t="s">
        <v>48</v>
      </c>
      <c r="AH110" s="40" t="s">
        <v>48</v>
      </c>
      <c r="AI110" s="40" t="s">
        <v>48</v>
      </c>
      <c r="AJ110" s="40" t="s">
        <v>48</v>
      </c>
      <c r="AK110" s="40" t="s">
        <v>48</v>
      </c>
      <c r="AL110" s="40" t="s">
        <v>48</v>
      </c>
      <c r="AM110" s="40" t="s">
        <v>48</v>
      </c>
      <c r="AN110" s="40" t="s">
        <v>48</v>
      </c>
      <c r="AO110" s="40" t="s">
        <v>48</v>
      </c>
      <c r="AP110" s="40" t="s">
        <v>48</v>
      </c>
      <c r="AR110" s="33"/>
      <c r="AS110" s="38" t="str">
        <f>Notes!U111</f>
        <v xml:space="preserve">      Information and communication</v>
      </c>
      <c r="AT110" s="4" t="s">
        <v>415</v>
      </c>
      <c r="AU110" s="44" t="s">
        <v>48</v>
      </c>
      <c r="AV110" s="42" t="s">
        <v>48</v>
      </c>
      <c r="AW110" s="42" t="s">
        <v>48</v>
      </c>
      <c r="AX110" s="40" t="s">
        <v>48</v>
      </c>
      <c r="AY110" s="40" t="s">
        <v>48</v>
      </c>
      <c r="AZ110" s="40" t="s">
        <v>48</v>
      </c>
      <c r="BA110" s="40" t="s">
        <v>48</v>
      </c>
      <c r="BB110" s="40" t="s">
        <v>48</v>
      </c>
      <c r="BC110" s="40" t="s">
        <v>48</v>
      </c>
      <c r="BD110" s="40" t="s">
        <v>48</v>
      </c>
      <c r="BE110" s="40" t="s">
        <v>48</v>
      </c>
      <c r="BF110" s="40" t="s">
        <v>48</v>
      </c>
      <c r="BG110" s="40" t="s">
        <v>48</v>
      </c>
      <c r="BH110" s="40" t="s">
        <v>48</v>
      </c>
      <c r="BI110" s="40" t="s">
        <v>48</v>
      </c>
      <c r="BJ110" s="40" t="s">
        <v>48</v>
      </c>
      <c r="BK110" s="40" t="s">
        <v>48</v>
      </c>
      <c r="BM110" s="33"/>
      <c r="BN110" s="38" t="str">
        <f>Notes!U111</f>
        <v xml:space="preserve">      Information and communication</v>
      </c>
      <c r="BO110" s="4" t="s">
        <v>415</v>
      </c>
      <c r="BP110" s="44" t="s">
        <v>48</v>
      </c>
      <c r="BQ110" s="42" t="s">
        <v>48</v>
      </c>
      <c r="BR110" s="42" t="s">
        <v>48</v>
      </c>
      <c r="BS110" s="40" t="s">
        <v>48</v>
      </c>
      <c r="BT110" s="40" t="s">
        <v>48</v>
      </c>
      <c r="BU110" s="40" t="s">
        <v>48</v>
      </c>
      <c r="BV110" s="40" t="s">
        <v>48</v>
      </c>
      <c r="BW110" s="40" t="s">
        <v>48</v>
      </c>
      <c r="BX110" s="40" t="s">
        <v>48</v>
      </c>
      <c r="BY110" s="40" t="s">
        <v>48</v>
      </c>
      <c r="BZ110" s="40" t="s">
        <v>48</v>
      </c>
      <c r="CA110" s="40" t="s">
        <v>48</v>
      </c>
      <c r="CB110" s="40" t="s">
        <v>48</v>
      </c>
      <c r="CC110" s="40" t="s">
        <v>48</v>
      </c>
      <c r="CD110" s="40" t="s">
        <v>48</v>
      </c>
      <c r="CE110" s="40" t="s">
        <v>48</v>
      </c>
      <c r="CF110" s="40" t="s">
        <v>48</v>
      </c>
      <c r="CH110" s="33"/>
      <c r="CI110" s="38" t="str">
        <f>Notes!U111</f>
        <v xml:space="preserve">      Information and communication</v>
      </c>
      <c r="CJ110" s="4" t="s">
        <v>415</v>
      </c>
      <c r="CK110" s="44" t="s">
        <v>48</v>
      </c>
      <c r="CL110" s="42" t="s">
        <v>48</v>
      </c>
      <c r="CM110" s="42" t="s">
        <v>48</v>
      </c>
      <c r="CN110" s="40" t="s">
        <v>48</v>
      </c>
      <c r="CO110" s="40" t="s">
        <v>48</v>
      </c>
      <c r="CP110" s="40" t="s">
        <v>48</v>
      </c>
      <c r="CQ110" s="40" t="s">
        <v>48</v>
      </c>
      <c r="CR110" s="40" t="s">
        <v>48</v>
      </c>
      <c r="CS110" s="40" t="s">
        <v>48</v>
      </c>
      <c r="CT110" s="40" t="s">
        <v>48</v>
      </c>
      <c r="CU110" s="40" t="s">
        <v>48</v>
      </c>
      <c r="CV110" s="40" t="s">
        <v>48</v>
      </c>
      <c r="CW110" s="40" t="s">
        <v>48</v>
      </c>
      <c r="CX110" s="40" t="s">
        <v>48</v>
      </c>
      <c r="CY110" s="40" t="s">
        <v>48</v>
      </c>
      <c r="CZ110" s="40" t="s">
        <v>48</v>
      </c>
      <c r="DA110" s="40" t="s">
        <v>48</v>
      </c>
      <c r="DC110" s="33"/>
      <c r="DD110" s="38" t="str">
        <f>Notes!U111</f>
        <v xml:space="preserve">      Information and communication</v>
      </c>
      <c r="DE110" s="4" t="s">
        <v>415</v>
      </c>
      <c r="DF110" s="44" t="s">
        <v>48</v>
      </c>
      <c r="DG110" s="42" t="s">
        <v>48</v>
      </c>
      <c r="DH110" s="42" t="s">
        <v>48</v>
      </c>
      <c r="DI110" s="40" t="s">
        <v>48</v>
      </c>
      <c r="DJ110" s="40" t="s">
        <v>48</v>
      </c>
      <c r="DK110" s="40" t="s">
        <v>48</v>
      </c>
      <c r="DL110" s="40" t="s">
        <v>48</v>
      </c>
      <c r="DM110" s="40" t="s">
        <v>48</v>
      </c>
      <c r="DN110" s="40" t="s">
        <v>48</v>
      </c>
      <c r="DO110" s="40" t="s">
        <v>48</v>
      </c>
      <c r="DP110" s="40" t="s">
        <v>48</v>
      </c>
      <c r="DQ110" s="40" t="s">
        <v>48</v>
      </c>
      <c r="DR110" s="40" t="s">
        <v>48</v>
      </c>
      <c r="DS110" s="40" t="s">
        <v>48</v>
      </c>
      <c r="DT110" s="40" t="s">
        <v>48</v>
      </c>
      <c r="DU110" s="40" t="s">
        <v>48</v>
      </c>
      <c r="DV110" s="40" t="s">
        <v>48</v>
      </c>
    </row>
    <row r="111" spans="1:126" x14ac:dyDescent="0.3">
      <c r="A111" s="12">
        <v>104</v>
      </c>
      <c r="B111" s="33"/>
      <c r="C111" s="38" t="str">
        <f>Notes!U112</f>
        <v xml:space="preserve">   Finance and business services</v>
      </c>
      <c r="D111" s="4" t="s">
        <v>417</v>
      </c>
      <c r="E111" s="44">
        <v>1</v>
      </c>
      <c r="F111" s="42">
        <v>-1.3366808377301975E-2</v>
      </c>
      <c r="G111" s="42" t="s">
        <v>48</v>
      </c>
      <c r="H111" s="40" t="s">
        <v>48</v>
      </c>
      <c r="I111" s="40" t="s">
        <v>48</v>
      </c>
      <c r="J111" s="40" t="s">
        <v>48</v>
      </c>
      <c r="K111" s="40" t="s">
        <v>48</v>
      </c>
      <c r="L111" s="40" t="s">
        <v>48</v>
      </c>
      <c r="M111" s="40" t="s">
        <v>48</v>
      </c>
      <c r="N111" s="40" t="s">
        <v>48</v>
      </c>
      <c r="O111" s="40" t="s">
        <v>48</v>
      </c>
      <c r="P111" s="40" t="s">
        <v>48</v>
      </c>
      <c r="Q111" s="40" t="s">
        <v>48</v>
      </c>
      <c r="R111" s="40" t="s">
        <v>48</v>
      </c>
      <c r="S111" s="40" t="s">
        <v>48</v>
      </c>
      <c r="T111" s="40" t="s">
        <v>48</v>
      </c>
      <c r="U111" s="40" t="s">
        <v>48</v>
      </c>
      <c r="W111" s="33"/>
      <c r="X111" s="38" t="str">
        <f>Notes!U112</f>
        <v xml:space="preserve">   Finance and business services</v>
      </c>
      <c r="Y111" s="4" t="s">
        <v>417</v>
      </c>
      <c r="Z111" s="44">
        <v>0.99999999999999978</v>
      </c>
      <c r="AA111" s="42">
        <v>-1.3366497303046732E-2</v>
      </c>
      <c r="AB111" s="42" t="s">
        <v>48</v>
      </c>
      <c r="AC111" s="40" t="s">
        <v>48</v>
      </c>
      <c r="AD111" s="40" t="s">
        <v>48</v>
      </c>
      <c r="AE111" s="40" t="s">
        <v>48</v>
      </c>
      <c r="AF111" s="40" t="s">
        <v>48</v>
      </c>
      <c r="AG111" s="40" t="s">
        <v>48</v>
      </c>
      <c r="AH111" s="40" t="s">
        <v>48</v>
      </c>
      <c r="AI111" s="40" t="s">
        <v>48</v>
      </c>
      <c r="AJ111" s="40" t="s">
        <v>48</v>
      </c>
      <c r="AK111" s="40" t="s">
        <v>48</v>
      </c>
      <c r="AL111" s="40" t="s">
        <v>48</v>
      </c>
      <c r="AM111" s="40" t="s">
        <v>48</v>
      </c>
      <c r="AN111" s="40" t="s">
        <v>48</v>
      </c>
      <c r="AO111" s="40" t="s">
        <v>48</v>
      </c>
      <c r="AP111" s="40" t="s">
        <v>48</v>
      </c>
      <c r="AR111" s="33"/>
      <c r="AS111" s="38" t="str">
        <f>Notes!U112</f>
        <v xml:space="preserve">   Finance and business services</v>
      </c>
      <c r="AT111" s="4" t="s">
        <v>417</v>
      </c>
      <c r="AU111" s="44">
        <v>1</v>
      </c>
      <c r="AV111" s="42">
        <v>-1.8013938786676231E-2</v>
      </c>
      <c r="AW111" s="42" t="s">
        <v>48</v>
      </c>
      <c r="AX111" s="40" t="s">
        <v>48</v>
      </c>
      <c r="AY111" s="40" t="s">
        <v>48</v>
      </c>
      <c r="AZ111" s="40" t="s">
        <v>48</v>
      </c>
      <c r="BA111" s="40" t="s">
        <v>48</v>
      </c>
      <c r="BB111" s="40" t="s">
        <v>48</v>
      </c>
      <c r="BC111" s="40" t="s">
        <v>48</v>
      </c>
      <c r="BD111" s="40" t="s">
        <v>48</v>
      </c>
      <c r="BE111" s="40" t="s">
        <v>48</v>
      </c>
      <c r="BF111" s="40" t="s">
        <v>48</v>
      </c>
      <c r="BG111" s="40" t="s">
        <v>48</v>
      </c>
      <c r="BH111" s="40" t="s">
        <v>48</v>
      </c>
      <c r="BI111" s="40" t="s">
        <v>48</v>
      </c>
      <c r="BJ111" s="40" t="s">
        <v>48</v>
      </c>
      <c r="BK111" s="40" t="s">
        <v>48</v>
      </c>
      <c r="BM111" s="33"/>
      <c r="BN111" s="38" t="str">
        <f>Notes!U112</f>
        <v xml:space="preserve">   Finance and business services</v>
      </c>
      <c r="BO111" s="4" t="s">
        <v>417</v>
      </c>
      <c r="BP111" s="44">
        <v>1</v>
      </c>
      <c r="BQ111" s="42">
        <v>-1.8013938786765049E-2</v>
      </c>
      <c r="BR111" s="42" t="s">
        <v>48</v>
      </c>
      <c r="BS111" s="40" t="s">
        <v>48</v>
      </c>
      <c r="BT111" s="40" t="s">
        <v>48</v>
      </c>
      <c r="BU111" s="40" t="s">
        <v>48</v>
      </c>
      <c r="BV111" s="40" t="s">
        <v>48</v>
      </c>
      <c r="BW111" s="40" t="s">
        <v>48</v>
      </c>
      <c r="BX111" s="40" t="s">
        <v>48</v>
      </c>
      <c r="BY111" s="40" t="s">
        <v>48</v>
      </c>
      <c r="BZ111" s="40" t="s">
        <v>48</v>
      </c>
      <c r="CA111" s="40" t="s">
        <v>48</v>
      </c>
      <c r="CB111" s="40" t="s">
        <v>48</v>
      </c>
      <c r="CC111" s="40" t="s">
        <v>48</v>
      </c>
      <c r="CD111" s="40" t="s">
        <v>48</v>
      </c>
      <c r="CE111" s="40" t="s">
        <v>48</v>
      </c>
      <c r="CF111" s="40" t="s">
        <v>48</v>
      </c>
      <c r="CH111" s="33"/>
      <c r="CI111" s="38" t="str">
        <f>Notes!U112</f>
        <v xml:space="preserve">   Finance and business services</v>
      </c>
      <c r="CJ111" s="4" t="s">
        <v>417</v>
      </c>
      <c r="CK111" s="44">
        <v>1</v>
      </c>
      <c r="CL111" s="42" t="s">
        <v>48</v>
      </c>
      <c r="CM111" s="42" t="s">
        <v>48</v>
      </c>
      <c r="CN111" s="40" t="s">
        <v>48</v>
      </c>
      <c r="CO111" s="40" t="s">
        <v>48</v>
      </c>
      <c r="CP111" s="40" t="s">
        <v>48</v>
      </c>
      <c r="CQ111" s="40" t="s">
        <v>48</v>
      </c>
      <c r="CR111" s="40" t="s">
        <v>48</v>
      </c>
      <c r="CS111" s="40" t="s">
        <v>48</v>
      </c>
      <c r="CT111" s="40" t="s">
        <v>48</v>
      </c>
      <c r="CU111" s="40" t="s">
        <v>48</v>
      </c>
      <c r="CV111" s="40" t="s">
        <v>48</v>
      </c>
      <c r="CW111" s="40" t="s">
        <v>48</v>
      </c>
      <c r="CX111" s="40" t="s">
        <v>48</v>
      </c>
      <c r="CY111" s="40" t="s">
        <v>48</v>
      </c>
      <c r="CZ111" s="40" t="s">
        <v>48</v>
      </c>
      <c r="DA111" s="40" t="s">
        <v>48</v>
      </c>
      <c r="DC111" s="33"/>
      <c r="DD111" s="38" t="str">
        <f>Notes!U112</f>
        <v xml:space="preserve">   Finance and business services</v>
      </c>
      <c r="DE111" s="4" t="s">
        <v>417</v>
      </c>
      <c r="DF111" s="44">
        <v>1</v>
      </c>
      <c r="DG111" s="42" t="s">
        <v>48</v>
      </c>
      <c r="DH111" s="42" t="s">
        <v>48</v>
      </c>
      <c r="DI111" s="40" t="s">
        <v>48</v>
      </c>
      <c r="DJ111" s="40" t="s">
        <v>48</v>
      </c>
      <c r="DK111" s="40" t="s">
        <v>48</v>
      </c>
      <c r="DL111" s="40" t="s">
        <v>48</v>
      </c>
      <c r="DM111" s="40" t="s">
        <v>48</v>
      </c>
      <c r="DN111" s="40" t="s">
        <v>48</v>
      </c>
      <c r="DO111" s="40" t="s">
        <v>48</v>
      </c>
      <c r="DP111" s="40" t="s">
        <v>48</v>
      </c>
      <c r="DQ111" s="40" t="s">
        <v>48</v>
      </c>
      <c r="DR111" s="40" t="s">
        <v>48</v>
      </c>
      <c r="DS111" s="40" t="s">
        <v>48</v>
      </c>
      <c r="DT111" s="40" t="s">
        <v>48</v>
      </c>
      <c r="DU111" s="40" t="s">
        <v>48</v>
      </c>
      <c r="DV111" s="40" t="s">
        <v>48</v>
      </c>
    </row>
    <row r="112" spans="1:126" x14ac:dyDescent="0.3">
      <c r="A112" s="12">
        <v>105</v>
      </c>
      <c r="B112" s="33"/>
      <c r="C112" s="38" t="str">
        <f>Notes!U113</f>
        <v xml:space="preserve">      Finance and insurance</v>
      </c>
      <c r="D112" s="4" t="s">
        <v>419</v>
      </c>
      <c r="E112" s="44">
        <v>1</v>
      </c>
      <c r="F112" s="42">
        <v>2.8020218257118756E-2</v>
      </c>
      <c r="G112" s="42" t="s">
        <v>48</v>
      </c>
      <c r="H112" s="40" t="s">
        <v>48</v>
      </c>
      <c r="I112" s="40" t="s">
        <v>48</v>
      </c>
      <c r="J112" s="40" t="s">
        <v>48</v>
      </c>
      <c r="K112" s="40" t="s">
        <v>48</v>
      </c>
      <c r="L112" s="40" t="s">
        <v>48</v>
      </c>
      <c r="M112" s="40" t="s">
        <v>48</v>
      </c>
      <c r="N112" s="40" t="s">
        <v>48</v>
      </c>
      <c r="O112" s="40" t="s">
        <v>48</v>
      </c>
      <c r="P112" s="40" t="s">
        <v>48</v>
      </c>
      <c r="Q112" s="40" t="s">
        <v>48</v>
      </c>
      <c r="R112" s="40" t="s">
        <v>48</v>
      </c>
      <c r="S112" s="40" t="s">
        <v>48</v>
      </c>
      <c r="T112" s="40" t="s">
        <v>48</v>
      </c>
      <c r="U112" s="40" t="s">
        <v>48</v>
      </c>
      <c r="W112" s="33"/>
      <c r="X112" s="38" t="str">
        <f>Notes!U113</f>
        <v xml:space="preserve">      Finance and insurance</v>
      </c>
      <c r="Y112" s="4" t="s">
        <v>419</v>
      </c>
      <c r="Z112" s="44">
        <v>0.99999999999999967</v>
      </c>
      <c r="AA112" s="42">
        <v>2.9582526885119087E-2</v>
      </c>
      <c r="AB112" s="42" t="s">
        <v>48</v>
      </c>
      <c r="AC112" s="40" t="s">
        <v>48</v>
      </c>
      <c r="AD112" s="40" t="s">
        <v>48</v>
      </c>
      <c r="AE112" s="40" t="s">
        <v>48</v>
      </c>
      <c r="AF112" s="40" t="s">
        <v>48</v>
      </c>
      <c r="AG112" s="40" t="s">
        <v>48</v>
      </c>
      <c r="AH112" s="40" t="s">
        <v>48</v>
      </c>
      <c r="AI112" s="40" t="s">
        <v>48</v>
      </c>
      <c r="AJ112" s="40" t="s">
        <v>48</v>
      </c>
      <c r="AK112" s="40" t="s">
        <v>48</v>
      </c>
      <c r="AL112" s="40" t="s">
        <v>48</v>
      </c>
      <c r="AM112" s="40" t="s">
        <v>48</v>
      </c>
      <c r="AN112" s="40" t="s">
        <v>48</v>
      </c>
      <c r="AO112" s="40" t="s">
        <v>48</v>
      </c>
      <c r="AP112" s="40" t="s">
        <v>48</v>
      </c>
      <c r="AR112" s="33"/>
      <c r="AS112" s="38" t="str">
        <f>Notes!U113</f>
        <v xml:space="preserve">      Finance and insurance</v>
      </c>
      <c r="AT112" s="4" t="s">
        <v>419</v>
      </c>
      <c r="AU112" s="44">
        <v>1</v>
      </c>
      <c r="AV112" s="42">
        <v>-1.8013938786587413E-2</v>
      </c>
      <c r="AW112" s="42" t="s">
        <v>48</v>
      </c>
      <c r="AX112" s="40" t="s">
        <v>48</v>
      </c>
      <c r="AY112" s="40" t="s">
        <v>48</v>
      </c>
      <c r="AZ112" s="40" t="s">
        <v>48</v>
      </c>
      <c r="BA112" s="40" t="s">
        <v>48</v>
      </c>
      <c r="BB112" s="40" t="s">
        <v>48</v>
      </c>
      <c r="BC112" s="40" t="s">
        <v>48</v>
      </c>
      <c r="BD112" s="40" t="s">
        <v>48</v>
      </c>
      <c r="BE112" s="40" t="s">
        <v>48</v>
      </c>
      <c r="BF112" s="40" t="s">
        <v>48</v>
      </c>
      <c r="BG112" s="40" t="s">
        <v>48</v>
      </c>
      <c r="BH112" s="40" t="s">
        <v>48</v>
      </c>
      <c r="BI112" s="40" t="s">
        <v>48</v>
      </c>
      <c r="BJ112" s="40" t="s">
        <v>48</v>
      </c>
      <c r="BK112" s="40" t="s">
        <v>48</v>
      </c>
      <c r="BM112" s="33"/>
      <c r="BN112" s="38" t="str">
        <f>Notes!U113</f>
        <v xml:space="preserve">      Finance and insurance</v>
      </c>
      <c r="BO112" s="4" t="s">
        <v>419</v>
      </c>
      <c r="BP112" s="44" t="s">
        <v>48</v>
      </c>
      <c r="BQ112" s="42" t="s">
        <v>48</v>
      </c>
      <c r="BR112" s="42" t="s">
        <v>48</v>
      </c>
      <c r="BS112" s="40" t="s">
        <v>48</v>
      </c>
      <c r="BT112" s="40" t="s">
        <v>48</v>
      </c>
      <c r="BU112" s="40" t="s">
        <v>48</v>
      </c>
      <c r="BV112" s="40" t="s">
        <v>48</v>
      </c>
      <c r="BW112" s="40" t="s">
        <v>48</v>
      </c>
      <c r="BX112" s="40" t="s">
        <v>48</v>
      </c>
      <c r="BY112" s="40" t="s">
        <v>48</v>
      </c>
      <c r="BZ112" s="40" t="s">
        <v>48</v>
      </c>
      <c r="CA112" s="40" t="s">
        <v>48</v>
      </c>
      <c r="CB112" s="40" t="s">
        <v>48</v>
      </c>
      <c r="CC112" s="40" t="s">
        <v>48</v>
      </c>
      <c r="CD112" s="40" t="s">
        <v>48</v>
      </c>
      <c r="CE112" s="40" t="s">
        <v>48</v>
      </c>
      <c r="CF112" s="40" t="s">
        <v>48</v>
      </c>
      <c r="CH112" s="33"/>
      <c r="CI112" s="38" t="str">
        <f>Notes!U113</f>
        <v xml:space="preserve">      Finance and insurance</v>
      </c>
      <c r="CJ112" s="4" t="s">
        <v>419</v>
      </c>
      <c r="CK112" s="44">
        <v>1</v>
      </c>
      <c r="CL112" s="42" t="s">
        <v>48</v>
      </c>
      <c r="CM112" s="42" t="s">
        <v>48</v>
      </c>
      <c r="CN112" s="40" t="s">
        <v>48</v>
      </c>
      <c r="CO112" s="40" t="s">
        <v>48</v>
      </c>
      <c r="CP112" s="40" t="s">
        <v>48</v>
      </c>
      <c r="CQ112" s="40" t="s">
        <v>48</v>
      </c>
      <c r="CR112" s="40" t="s">
        <v>48</v>
      </c>
      <c r="CS112" s="40" t="s">
        <v>48</v>
      </c>
      <c r="CT112" s="40" t="s">
        <v>48</v>
      </c>
      <c r="CU112" s="40" t="s">
        <v>48</v>
      </c>
      <c r="CV112" s="40" t="s">
        <v>48</v>
      </c>
      <c r="CW112" s="40" t="s">
        <v>48</v>
      </c>
      <c r="CX112" s="40" t="s">
        <v>48</v>
      </c>
      <c r="CY112" s="40" t="s">
        <v>48</v>
      </c>
      <c r="CZ112" s="40" t="s">
        <v>48</v>
      </c>
      <c r="DA112" s="40" t="s">
        <v>48</v>
      </c>
      <c r="DC112" s="33"/>
      <c r="DD112" s="38" t="str">
        <f>Notes!U113</f>
        <v xml:space="preserve">      Finance and insurance</v>
      </c>
      <c r="DE112" s="4" t="s">
        <v>419</v>
      </c>
      <c r="DF112" s="44" t="s">
        <v>48</v>
      </c>
      <c r="DG112" s="42" t="s">
        <v>48</v>
      </c>
      <c r="DH112" s="42" t="s">
        <v>48</v>
      </c>
      <c r="DI112" s="40" t="s">
        <v>48</v>
      </c>
      <c r="DJ112" s="40" t="s">
        <v>48</v>
      </c>
      <c r="DK112" s="40" t="s">
        <v>48</v>
      </c>
      <c r="DL112" s="40" t="s">
        <v>48</v>
      </c>
      <c r="DM112" s="40" t="s">
        <v>48</v>
      </c>
      <c r="DN112" s="40" t="s">
        <v>48</v>
      </c>
      <c r="DO112" s="40" t="s">
        <v>48</v>
      </c>
      <c r="DP112" s="40" t="s">
        <v>48</v>
      </c>
      <c r="DQ112" s="40" t="s">
        <v>48</v>
      </c>
      <c r="DR112" s="40" t="s">
        <v>48</v>
      </c>
      <c r="DS112" s="40" t="s">
        <v>48</v>
      </c>
      <c r="DT112" s="40" t="s">
        <v>48</v>
      </c>
      <c r="DU112" s="40" t="s">
        <v>48</v>
      </c>
      <c r="DV112" s="40" t="s">
        <v>48</v>
      </c>
    </row>
    <row r="113" spans="1:126" x14ac:dyDescent="0.3">
      <c r="A113" s="12">
        <v>106</v>
      </c>
      <c r="B113" s="33"/>
      <c r="C113" s="38" t="str">
        <f>Notes!U114</f>
        <v xml:space="preserve">      Real estate activities</v>
      </c>
      <c r="D113" s="4" t="s">
        <v>421</v>
      </c>
      <c r="E113" s="44">
        <v>1</v>
      </c>
      <c r="F113" s="42">
        <v>-3.3408336394979976E-2</v>
      </c>
      <c r="G113" s="42" t="s">
        <v>48</v>
      </c>
      <c r="H113" s="40" t="s">
        <v>48</v>
      </c>
      <c r="I113" s="40" t="s">
        <v>48</v>
      </c>
      <c r="J113" s="40" t="s">
        <v>48</v>
      </c>
      <c r="K113" s="40" t="s">
        <v>48</v>
      </c>
      <c r="L113" s="40" t="s">
        <v>48</v>
      </c>
      <c r="M113" s="40" t="s">
        <v>48</v>
      </c>
      <c r="N113" s="40" t="s">
        <v>48</v>
      </c>
      <c r="O113" s="40" t="s">
        <v>48</v>
      </c>
      <c r="P113" s="40" t="s">
        <v>48</v>
      </c>
      <c r="Q113" s="40" t="s">
        <v>48</v>
      </c>
      <c r="R113" s="40" t="s">
        <v>48</v>
      </c>
      <c r="S113" s="40" t="s">
        <v>48</v>
      </c>
      <c r="T113" s="40" t="s">
        <v>48</v>
      </c>
      <c r="U113" s="40" t="s">
        <v>48</v>
      </c>
      <c r="W113" s="33"/>
      <c r="X113" s="38" t="str">
        <f>Notes!U114</f>
        <v xml:space="preserve">      Real estate activities</v>
      </c>
      <c r="Y113" s="4" t="s">
        <v>421</v>
      </c>
      <c r="Z113" s="44">
        <v>0.99999999999999978</v>
      </c>
      <c r="AA113" s="42">
        <v>-3.3408336394979976E-2</v>
      </c>
      <c r="AB113" s="42" t="s">
        <v>48</v>
      </c>
      <c r="AC113" s="40" t="s">
        <v>48</v>
      </c>
      <c r="AD113" s="40" t="s">
        <v>48</v>
      </c>
      <c r="AE113" s="40" t="s">
        <v>48</v>
      </c>
      <c r="AF113" s="40" t="s">
        <v>48</v>
      </c>
      <c r="AG113" s="40" t="s">
        <v>48</v>
      </c>
      <c r="AH113" s="40" t="s">
        <v>48</v>
      </c>
      <c r="AI113" s="40" t="s">
        <v>48</v>
      </c>
      <c r="AJ113" s="40" t="s">
        <v>48</v>
      </c>
      <c r="AK113" s="40" t="s">
        <v>48</v>
      </c>
      <c r="AL113" s="40" t="s">
        <v>48</v>
      </c>
      <c r="AM113" s="40" t="s">
        <v>48</v>
      </c>
      <c r="AN113" s="40" t="s">
        <v>48</v>
      </c>
      <c r="AO113" s="40" t="s">
        <v>48</v>
      </c>
      <c r="AP113" s="40" t="s">
        <v>48</v>
      </c>
      <c r="AR113" s="33"/>
      <c r="AS113" s="38" t="str">
        <f>Notes!U114</f>
        <v xml:space="preserve">      Real estate activities</v>
      </c>
      <c r="AT113" s="4" t="s">
        <v>421</v>
      </c>
      <c r="AU113" s="44" t="s">
        <v>48</v>
      </c>
      <c r="AV113" s="42" t="s">
        <v>48</v>
      </c>
      <c r="AW113" s="42" t="s">
        <v>48</v>
      </c>
      <c r="AX113" s="40" t="s">
        <v>48</v>
      </c>
      <c r="AY113" s="40" t="s">
        <v>48</v>
      </c>
      <c r="AZ113" s="40" t="s">
        <v>48</v>
      </c>
      <c r="BA113" s="40" t="s">
        <v>48</v>
      </c>
      <c r="BB113" s="40" t="s">
        <v>48</v>
      </c>
      <c r="BC113" s="40" t="s">
        <v>48</v>
      </c>
      <c r="BD113" s="40" t="s">
        <v>48</v>
      </c>
      <c r="BE113" s="40" t="s">
        <v>48</v>
      </c>
      <c r="BF113" s="40" t="s">
        <v>48</v>
      </c>
      <c r="BG113" s="40" t="s">
        <v>48</v>
      </c>
      <c r="BH113" s="40" t="s">
        <v>48</v>
      </c>
      <c r="BI113" s="40" t="s">
        <v>48</v>
      </c>
      <c r="BJ113" s="40" t="s">
        <v>48</v>
      </c>
      <c r="BK113" s="40" t="s">
        <v>48</v>
      </c>
      <c r="BM113" s="33"/>
      <c r="BN113" s="38" t="str">
        <f>Notes!U114</f>
        <v xml:space="preserve">      Real estate activities</v>
      </c>
      <c r="BO113" s="4" t="s">
        <v>421</v>
      </c>
      <c r="BP113" s="44" t="s">
        <v>48</v>
      </c>
      <c r="BQ113" s="42" t="s">
        <v>48</v>
      </c>
      <c r="BR113" s="42" t="s">
        <v>48</v>
      </c>
      <c r="BS113" s="40" t="s">
        <v>48</v>
      </c>
      <c r="BT113" s="40" t="s">
        <v>48</v>
      </c>
      <c r="BU113" s="40" t="s">
        <v>48</v>
      </c>
      <c r="BV113" s="40" t="s">
        <v>48</v>
      </c>
      <c r="BW113" s="40" t="s">
        <v>48</v>
      </c>
      <c r="BX113" s="40" t="s">
        <v>48</v>
      </c>
      <c r="BY113" s="40" t="s">
        <v>48</v>
      </c>
      <c r="BZ113" s="40" t="s">
        <v>48</v>
      </c>
      <c r="CA113" s="40" t="s">
        <v>48</v>
      </c>
      <c r="CB113" s="40" t="s">
        <v>48</v>
      </c>
      <c r="CC113" s="40" t="s">
        <v>48</v>
      </c>
      <c r="CD113" s="40" t="s">
        <v>48</v>
      </c>
      <c r="CE113" s="40" t="s">
        <v>48</v>
      </c>
      <c r="CF113" s="40" t="s">
        <v>48</v>
      </c>
      <c r="CH113" s="33"/>
      <c r="CI113" s="38" t="str">
        <f>Notes!U114</f>
        <v xml:space="preserve">      Real estate activities</v>
      </c>
      <c r="CJ113" s="4" t="s">
        <v>421</v>
      </c>
      <c r="CK113" s="44" t="s">
        <v>48</v>
      </c>
      <c r="CL113" s="42" t="s">
        <v>48</v>
      </c>
      <c r="CM113" s="42" t="s">
        <v>48</v>
      </c>
      <c r="CN113" s="40" t="s">
        <v>48</v>
      </c>
      <c r="CO113" s="40" t="s">
        <v>48</v>
      </c>
      <c r="CP113" s="40" t="s">
        <v>48</v>
      </c>
      <c r="CQ113" s="40" t="s">
        <v>48</v>
      </c>
      <c r="CR113" s="40" t="s">
        <v>48</v>
      </c>
      <c r="CS113" s="40" t="s">
        <v>48</v>
      </c>
      <c r="CT113" s="40" t="s">
        <v>48</v>
      </c>
      <c r="CU113" s="40" t="s">
        <v>48</v>
      </c>
      <c r="CV113" s="40" t="s">
        <v>48</v>
      </c>
      <c r="CW113" s="40" t="s">
        <v>48</v>
      </c>
      <c r="CX113" s="40" t="s">
        <v>48</v>
      </c>
      <c r="CY113" s="40" t="s">
        <v>48</v>
      </c>
      <c r="CZ113" s="40" t="s">
        <v>48</v>
      </c>
      <c r="DA113" s="40" t="s">
        <v>48</v>
      </c>
      <c r="DC113" s="33"/>
      <c r="DD113" s="38" t="str">
        <f>Notes!U114</f>
        <v xml:space="preserve">      Real estate activities</v>
      </c>
      <c r="DE113" s="4" t="s">
        <v>421</v>
      </c>
      <c r="DF113" s="44" t="s">
        <v>48</v>
      </c>
      <c r="DG113" s="42" t="s">
        <v>48</v>
      </c>
      <c r="DH113" s="42" t="s">
        <v>48</v>
      </c>
      <c r="DI113" s="40" t="s">
        <v>48</v>
      </c>
      <c r="DJ113" s="40" t="s">
        <v>48</v>
      </c>
      <c r="DK113" s="40" t="s">
        <v>48</v>
      </c>
      <c r="DL113" s="40" t="s">
        <v>48</v>
      </c>
      <c r="DM113" s="40" t="s">
        <v>48</v>
      </c>
      <c r="DN113" s="40" t="s">
        <v>48</v>
      </c>
      <c r="DO113" s="40" t="s">
        <v>48</v>
      </c>
      <c r="DP113" s="40" t="s">
        <v>48</v>
      </c>
      <c r="DQ113" s="40" t="s">
        <v>48</v>
      </c>
      <c r="DR113" s="40" t="s">
        <v>48</v>
      </c>
      <c r="DS113" s="40" t="s">
        <v>48</v>
      </c>
      <c r="DT113" s="40" t="s">
        <v>48</v>
      </c>
      <c r="DU113" s="40" t="s">
        <v>48</v>
      </c>
      <c r="DV113" s="40" t="s">
        <v>48</v>
      </c>
    </row>
    <row r="114" spans="1:126" x14ac:dyDescent="0.3">
      <c r="A114" s="12">
        <v>107</v>
      </c>
      <c r="B114" s="33"/>
      <c r="C114" s="38" t="str">
        <f>Notes!U115</f>
        <v xml:space="preserve">      Business services</v>
      </c>
      <c r="D114" s="4" t="s">
        <v>423</v>
      </c>
      <c r="E114" s="44">
        <v>1</v>
      </c>
      <c r="F114" s="42">
        <v>-3.9268800979863627E-2</v>
      </c>
      <c r="G114" s="42" t="s">
        <v>48</v>
      </c>
      <c r="H114" s="40" t="s">
        <v>48</v>
      </c>
      <c r="I114" s="40" t="s">
        <v>48</v>
      </c>
      <c r="J114" s="40" t="s">
        <v>48</v>
      </c>
      <c r="K114" s="40" t="s">
        <v>48</v>
      </c>
      <c r="L114" s="40" t="s">
        <v>48</v>
      </c>
      <c r="M114" s="40" t="s">
        <v>48</v>
      </c>
      <c r="N114" s="40" t="s">
        <v>48</v>
      </c>
      <c r="O114" s="40" t="s">
        <v>48</v>
      </c>
      <c r="P114" s="40" t="s">
        <v>48</v>
      </c>
      <c r="Q114" s="40" t="s">
        <v>48</v>
      </c>
      <c r="R114" s="40" t="s">
        <v>48</v>
      </c>
      <c r="S114" s="40" t="s">
        <v>48</v>
      </c>
      <c r="T114" s="40" t="s">
        <v>48</v>
      </c>
      <c r="U114" s="40" t="s">
        <v>48</v>
      </c>
      <c r="W114" s="33"/>
      <c r="X114" s="38" t="str">
        <f>Notes!U115</f>
        <v xml:space="preserve">      Business services</v>
      </c>
      <c r="Y114" s="4" t="s">
        <v>423</v>
      </c>
      <c r="Z114" s="44">
        <v>1.0000000000000002</v>
      </c>
      <c r="AA114" s="42">
        <v>-3.7433216306770323E-2</v>
      </c>
      <c r="AB114" s="42" t="s">
        <v>48</v>
      </c>
      <c r="AC114" s="40" t="s">
        <v>48</v>
      </c>
      <c r="AD114" s="40" t="s">
        <v>48</v>
      </c>
      <c r="AE114" s="40" t="s">
        <v>48</v>
      </c>
      <c r="AF114" s="40" t="s">
        <v>48</v>
      </c>
      <c r="AG114" s="40" t="s">
        <v>48</v>
      </c>
      <c r="AH114" s="40" t="s">
        <v>48</v>
      </c>
      <c r="AI114" s="40" t="s">
        <v>48</v>
      </c>
      <c r="AJ114" s="40" t="s">
        <v>48</v>
      </c>
      <c r="AK114" s="40" t="s">
        <v>48</v>
      </c>
      <c r="AL114" s="40" t="s">
        <v>48</v>
      </c>
      <c r="AM114" s="40" t="s">
        <v>48</v>
      </c>
      <c r="AN114" s="40" t="s">
        <v>48</v>
      </c>
      <c r="AO114" s="40" t="s">
        <v>48</v>
      </c>
      <c r="AP114" s="40" t="s">
        <v>48</v>
      </c>
      <c r="AR114" s="33"/>
      <c r="AS114" s="38" t="str">
        <f>Notes!U115</f>
        <v xml:space="preserve">      Business services</v>
      </c>
      <c r="AT114" s="4" t="s">
        <v>423</v>
      </c>
      <c r="AU114" s="44">
        <v>1</v>
      </c>
      <c r="AV114" s="42">
        <v>-1.8013938786776151E-2</v>
      </c>
      <c r="AW114" s="42" t="s">
        <v>48</v>
      </c>
      <c r="AX114" s="40" t="s">
        <v>48</v>
      </c>
      <c r="AY114" s="40" t="s">
        <v>48</v>
      </c>
      <c r="AZ114" s="40" t="s">
        <v>48</v>
      </c>
      <c r="BA114" s="40" t="s">
        <v>48</v>
      </c>
      <c r="BB114" s="40" t="s">
        <v>48</v>
      </c>
      <c r="BC114" s="40" t="s">
        <v>48</v>
      </c>
      <c r="BD114" s="40" t="s">
        <v>48</v>
      </c>
      <c r="BE114" s="40" t="s">
        <v>48</v>
      </c>
      <c r="BF114" s="40" t="s">
        <v>48</v>
      </c>
      <c r="BG114" s="40" t="s">
        <v>48</v>
      </c>
      <c r="BH114" s="40" t="s">
        <v>48</v>
      </c>
      <c r="BI114" s="40" t="s">
        <v>48</v>
      </c>
      <c r="BJ114" s="40" t="s">
        <v>48</v>
      </c>
      <c r="BK114" s="40" t="s">
        <v>48</v>
      </c>
      <c r="BM114" s="33"/>
      <c r="BN114" s="38" t="str">
        <f>Notes!U115</f>
        <v xml:space="preserve">      Business services</v>
      </c>
      <c r="BO114" s="4" t="s">
        <v>423</v>
      </c>
      <c r="BP114" s="44">
        <v>1</v>
      </c>
      <c r="BQ114" s="42">
        <v>-1.8013938786765049E-2</v>
      </c>
      <c r="BR114" s="42" t="s">
        <v>48</v>
      </c>
      <c r="BS114" s="40" t="s">
        <v>48</v>
      </c>
      <c r="BT114" s="40" t="s">
        <v>48</v>
      </c>
      <c r="BU114" s="40" t="s">
        <v>48</v>
      </c>
      <c r="BV114" s="40" t="s">
        <v>48</v>
      </c>
      <c r="BW114" s="40" t="s">
        <v>48</v>
      </c>
      <c r="BX114" s="40" t="s">
        <v>48</v>
      </c>
      <c r="BY114" s="40" t="s">
        <v>48</v>
      </c>
      <c r="BZ114" s="40" t="s">
        <v>48</v>
      </c>
      <c r="CA114" s="40" t="s">
        <v>48</v>
      </c>
      <c r="CB114" s="40" t="s">
        <v>48</v>
      </c>
      <c r="CC114" s="40" t="s">
        <v>48</v>
      </c>
      <c r="CD114" s="40" t="s">
        <v>48</v>
      </c>
      <c r="CE114" s="40" t="s">
        <v>48</v>
      </c>
      <c r="CF114" s="40" t="s">
        <v>48</v>
      </c>
      <c r="CH114" s="33"/>
      <c r="CI114" s="38" t="str">
        <f>Notes!U115</f>
        <v xml:space="preserve">      Business services</v>
      </c>
      <c r="CJ114" s="4" t="s">
        <v>423</v>
      </c>
      <c r="CK114" s="44">
        <v>1</v>
      </c>
      <c r="CL114" s="42" t="s">
        <v>48</v>
      </c>
      <c r="CM114" s="42" t="s">
        <v>48</v>
      </c>
      <c r="CN114" s="40" t="s">
        <v>48</v>
      </c>
      <c r="CO114" s="40" t="s">
        <v>48</v>
      </c>
      <c r="CP114" s="40" t="s">
        <v>48</v>
      </c>
      <c r="CQ114" s="40" t="s">
        <v>48</v>
      </c>
      <c r="CR114" s="40" t="s">
        <v>48</v>
      </c>
      <c r="CS114" s="40" t="s">
        <v>48</v>
      </c>
      <c r="CT114" s="40" t="s">
        <v>48</v>
      </c>
      <c r="CU114" s="40" t="s">
        <v>48</v>
      </c>
      <c r="CV114" s="40" t="s">
        <v>48</v>
      </c>
      <c r="CW114" s="40" t="s">
        <v>48</v>
      </c>
      <c r="CX114" s="40" t="s">
        <v>48</v>
      </c>
      <c r="CY114" s="40" t="s">
        <v>48</v>
      </c>
      <c r="CZ114" s="40" t="s">
        <v>48</v>
      </c>
      <c r="DA114" s="40" t="s">
        <v>48</v>
      </c>
      <c r="DC114" s="33"/>
      <c r="DD114" s="38" t="str">
        <f>Notes!U115</f>
        <v xml:space="preserve">      Business services</v>
      </c>
      <c r="DE114" s="4" t="s">
        <v>423</v>
      </c>
      <c r="DF114" s="44">
        <v>1</v>
      </c>
      <c r="DG114" s="42" t="s">
        <v>48</v>
      </c>
      <c r="DH114" s="42" t="s">
        <v>48</v>
      </c>
      <c r="DI114" s="40" t="s">
        <v>48</v>
      </c>
      <c r="DJ114" s="40" t="s">
        <v>48</v>
      </c>
      <c r="DK114" s="40" t="s">
        <v>48</v>
      </c>
      <c r="DL114" s="40" t="s">
        <v>48</v>
      </c>
      <c r="DM114" s="40" t="s">
        <v>48</v>
      </c>
      <c r="DN114" s="40" t="s">
        <v>48</v>
      </c>
      <c r="DO114" s="40" t="s">
        <v>48</v>
      </c>
      <c r="DP114" s="40" t="s">
        <v>48</v>
      </c>
      <c r="DQ114" s="40" t="s">
        <v>48</v>
      </c>
      <c r="DR114" s="40" t="s">
        <v>48</v>
      </c>
      <c r="DS114" s="40" t="s">
        <v>48</v>
      </c>
      <c r="DT114" s="40" t="s">
        <v>48</v>
      </c>
      <c r="DU114" s="40" t="s">
        <v>48</v>
      </c>
      <c r="DV114" s="40" t="s">
        <v>48</v>
      </c>
    </row>
    <row r="115" spans="1:126" x14ac:dyDescent="0.3">
      <c r="A115" s="12">
        <v>108</v>
      </c>
      <c r="B115" s="33"/>
      <c r="C115" s="38" t="str">
        <f>Notes!U116</f>
        <v xml:space="preserve">   Public and social services</v>
      </c>
      <c r="D115" s="4" t="s">
        <v>425</v>
      </c>
      <c r="E115" s="44">
        <v>1</v>
      </c>
      <c r="F115" s="42">
        <v>9.3417567092113352E-2</v>
      </c>
      <c r="G115" s="42" t="s">
        <v>48</v>
      </c>
      <c r="H115" s="40" t="s">
        <v>48</v>
      </c>
      <c r="I115" s="40" t="s">
        <v>48</v>
      </c>
      <c r="J115" s="40" t="s">
        <v>48</v>
      </c>
      <c r="K115" s="40" t="s">
        <v>48</v>
      </c>
      <c r="L115" s="40" t="s">
        <v>48</v>
      </c>
      <c r="M115" s="40" t="s">
        <v>48</v>
      </c>
      <c r="N115" s="40" t="s">
        <v>48</v>
      </c>
      <c r="O115" s="40" t="s">
        <v>48</v>
      </c>
      <c r="P115" s="40" t="s">
        <v>48</v>
      </c>
      <c r="Q115" s="40" t="s">
        <v>48</v>
      </c>
      <c r="R115" s="40" t="s">
        <v>48</v>
      </c>
      <c r="S115" s="40" t="s">
        <v>48</v>
      </c>
      <c r="T115" s="40" t="s">
        <v>48</v>
      </c>
      <c r="U115" s="40" t="s">
        <v>48</v>
      </c>
      <c r="W115" s="33"/>
      <c r="X115" s="38" t="str">
        <f>Notes!U116</f>
        <v xml:space="preserve">   Public and social services</v>
      </c>
      <c r="Y115" s="4" t="s">
        <v>425</v>
      </c>
      <c r="Z115" s="44">
        <v>1.0000000000000004</v>
      </c>
      <c r="AA115" s="42">
        <v>9.3417567092091147E-2</v>
      </c>
      <c r="AB115" s="42" t="s">
        <v>48</v>
      </c>
      <c r="AC115" s="40" t="s">
        <v>48</v>
      </c>
      <c r="AD115" s="40" t="s">
        <v>48</v>
      </c>
      <c r="AE115" s="40" t="s">
        <v>48</v>
      </c>
      <c r="AF115" s="40" t="s">
        <v>48</v>
      </c>
      <c r="AG115" s="40" t="s">
        <v>48</v>
      </c>
      <c r="AH115" s="40" t="s">
        <v>48</v>
      </c>
      <c r="AI115" s="40" t="s">
        <v>48</v>
      </c>
      <c r="AJ115" s="40" t="s">
        <v>48</v>
      </c>
      <c r="AK115" s="40" t="s">
        <v>48</v>
      </c>
      <c r="AL115" s="40" t="s">
        <v>48</v>
      </c>
      <c r="AM115" s="40" t="s">
        <v>48</v>
      </c>
      <c r="AN115" s="40" t="s">
        <v>48</v>
      </c>
      <c r="AO115" s="40" t="s">
        <v>48</v>
      </c>
      <c r="AP115" s="40" t="s">
        <v>48</v>
      </c>
      <c r="AR115" s="33"/>
      <c r="AS115" s="38" t="str">
        <f>Notes!U116</f>
        <v xml:space="preserve">   Public and social services</v>
      </c>
      <c r="AT115" s="4" t="s">
        <v>425</v>
      </c>
      <c r="AU115" s="44" t="s">
        <v>48</v>
      </c>
      <c r="AV115" s="42" t="s">
        <v>48</v>
      </c>
      <c r="AW115" s="42" t="s">
        <v>48</v>
      </c>
      <c r="AX115" s="40" t="s">
        <v>48</v>
      </c>
      <c r="AY115" s="40" t="s">
        <v>48</v>
      </c>
      <c r="AZ115" s="40" t="s">
        <v>48</v>
      </c>
      <c r="BA115" s="40" t="s">
        <v>48</v>
      </c>
      <c r="BB115" s="40" t="s">
        <v>48</v>
      </c>
      <c r="BC115" s="40" t="s">
        <v>48</v>
      </c>
      <c r="BD115" s="40" t="s">
        <v>48</v>
      </c>
      <c r="BE115" s="40" t="s">
        <v>48</v>
      </c>
      <c r="BF115" s="40" t="s">
        <v>48</v>
      </c>
      <c r="BG115" s="40" t="s">
        <v>48</v>
      </c>
      <c r="BH115" s="40" t="s">
        <v>48</v>
      </c>
      <c r="BI115" s="40" t="s">
        <v>48</v>
      </c>
      <c r="BJ115" s="40" t="s">
        <v>48</v>
      </c>
      <c r="BK115" s="40" t="s">
        <v>48</v>
      </c>
      <c r="BM115" s="33"/>
      <c r="BN115" s="38" t="str">
        <f>Notes!U116</f>
        <v xml:space="preserve">   Public and social services</v>
      </c>
      <c r="BO115" s="4" t="s">
        <v>425</v>
      </c>
      <c r="BP115" s="44" t="s">
        <v>48</v>
      </c>
      <c r="BQ115" s="42" t="s">
        <v>48</v>
      </c>
      <c r="BR115" s="42" t="s">
        <v>48</v>
      </c>
      <c r="BS115" s="40" t="s">
        <v>48</v>
      </c>
      <c r="BT115" s="40" t="s">
        <v>48</v>
      </c>
      <c r="BU115" s="40" t="s">
        <v>48</v>
      </c>
      <c r="BV115" s="40" t="s">
        <v>48</v>
      </c>
      <c r="BW115" s="40" t="s">
        <v>48</v>
      </c>
      <c r="BX115" s="40" t="s">
        <v>48</v>
      </c>
      <c r="BY115" s="40" t="s">
        <v>48</v>
      </c>
      <c r="BZ115" s="40" t="s">
        <v>48</v>
      </c>
      <c r="CA115" s="40" t="s">
        <v>48</v>
      </c>
      <c r="CB115" s="40" t="s">
        <v>48</v>
      </c>
      <c r="CC115" s="40" t="s">
        <v>48</v>
      </c>
      <c r="CD115" s="40" t="s">
        <v>48</v>
      </c>
      <c r="CE115" s="40" t="s">
        <v>48</v>
      </c>
      <c r="CF115" s="40" t="s">
        <v>48</v>
      </c>
      <c r="CH115" s="33"/>
      <c r="CI115" s="38" t="str">
        <f>Notes!U116</f>
        <v xml:space="preserve">   Public and social services</v>
      </c>
      <c r="CJ115" s="4" t="s">
        <v>425</v>
      </c>
      <c r="CK115" s="44" t="s">
        <v>48</v>
      </c>
      <c r="CL115" s="42" t="s">
        <v>48</v>
      </c>
      <c r="CM115" s="42" t="s">
        <v>48</v>
      </c>
      <c r="CN115" s="40" t="s">
        <v>48</v>
      </c>
      <c r="CO115" s="40" t="s">
        <v>48</v>
      </c>
      <c r="CP115" s="40" t="s">
        <v>48</v>
      </c>
      <c r="CQ115" s="40" t="s">
        <v>48</v>
      </c>
      <c r="CR115" s="40" t="s">
        <v>48</v>
      </c>
      <c r="CS115" s="40" t="s">
        <v>48</v>
      </c>
      <c r="CT115" s="40" t="s">
        <v>48</v>
      </c>
      <c r="CU115" s="40" t="s">
        <v>48</v>
      </c>
      <c r="CV115" s="40" t="s">
        <v>48</v>
      </c>
      <c r="CW115" s="40" t="s">
        <v>48</v>
      </c>
      <c r="CX115" s="40" t="s">
        <v>48</v>
      </c>
      <c r="CY115" s="40" t="s">
        <v>48</v>
      </c>
      <c r="CZ115" s="40" t="s">
        <v>48</v>
      </c>
      <c r="DA115" s="40" t="s">
        <v>48</v>
      </c>
      <c r="DC115" s="33"/>
      <c r="DD115" s="38" t="str">
        <f>Notes!U116</f>
        <v xml:space="preserve">   Public and social services</v>
      </c>
      <c r="DE115" s="4" t="s">
        <v>425</v>
      </c>
      <c r="DF115" s="44" t="s">
        <v>48</v>
      </c>
      <c r="DG115" s="42" t="s">
        <v>48</v>
      </c>
      <c r="DH115" s="42" t="s">
        <v>48</v>
      </c>
      <c r="DI115" s="40" t="s">
        <v>48</v>
      </c>
      <c r="DJ115" s="40" t="s">
        <v>48</v>
      </c>
      <c r="DK115" s="40" t="s">
        <v>48</v>
      </c>
      <c r="DL115" s="40" t="s">
        <v>48</v>
      </c>
      <c r="DM115" s="40" t="s">
        <v>48</v>
      </c>
      <c r="DN115" s="40" t="s">
        <v>48</v>
      </c>
      <c r="DO115" s="40" t="s">
        <v>48</v>
      </c>
      <c r="DP115" s="40" t="s">
        <v>48</v>
      </c>
      <c r="DQ115" s="40" t="s">
        <v>48</v>
      </c>
      <c r="DR115" s="40" t="s">
        <v>48</v>
      </c>
      <c r="DS115" s="40" t="s">
        <v>48</v>
      </c>
      <c r="DT115" s="40" t="s">
        <v>48</v>
      </c>
      <c r="DU115" s="40" t="s">
        <v>48</v>
      </c>
      <c r="DV115" s="40" t="s">
        <v>48</v>
      </c>
    </row>
    <row r="116" spans="1:126" x14ac:dyDescent="0.3">
      <c r="A116" s="12">
        <v>109</v>
      </c>
      <c r="B116" s="33"/>
      <c r="C116" s="38" t="str">
        <f>Notes!U117</f>
        <v xml:space="preserve">      Public administration</v>
      </c>
      <c r="D116" s="4" t="s">
        <v>427</v>
      </c>
      <c r="E116" s="44">
        <v>1</v>
      </c>
      <c r="F116" s="42">
        <v>0.12338684797230659</v>
      </c>
      <c r="G116" s="42" t="s">
        <v>48</v>
      </c>
      <c r="H116" s="40" t="s">
        <v>48</v>
      </c>
      <c r="I116" s="40" t="s">
        <v>48</v>
      </c>
      <c r="J116" s="40" t="s">
        <v>48</v>
      </c>
      <c r="K116" s="40" t="s">
        <v>48</v>
      </c>
      <c r="L116" s="40" t="s">
        <v>48</v>
      </c>
      <c r="M116" s="40" t="s">
        <v>48</v>
      </c>
      <c r="N116" s="40" t="s">
        <v>48</v>
      </c>
      <c r="O116" s="40" t="s">
        <v>48</v>
      </c>
      <c r="P116" s="40" t="s">
        <v>48</v>
      </c>
      <c r="Q116" s="40" t="s">
        <v>48</v>
      </c>
      <c r="R116" s="40" t="s">
        <v>48</v>
      </c>
      <c r="S116" s="40" t="s">
        <v>48</v>
      </c>
      <c r="T116" s="40" t="s">
        <v>48</v>
      </c>
      <c r="U116" s="40" t="s">
        <v>48</v>
      </c>
      <c r="W116" s="33"/>
      <c r="X116" s="38" t="str">
        <f>Notes!U117</f>
        <v xml:space="preserve">      Public administration</v>
      </c>
      <c r="Y116" s="4" t="s">
        <v>427</v>
      </c>
      <c r="Z116" s="44">
        <v>1.0000000000000004</v>
      </c>
      <c r="AA116" s="42">
        <v>0.12338684797230659</v>
      </c>
      <c r="AB116" s="42" t="s">
        <v>48</v>
      </c>
      <c r="AC116" s="40" t="s">
        <v>48</v>
      </c>
      <c r="AD116" s="40" t="s">
        <v>48</v>
      </c>
      <c r="AE116" s="40" t="s">
        <v>48</v>
      </c>
      <c r="AF116" s="40" t="s">
        <v>48</v>
      </c>
      <c r="AG116" s="40" t="s">
        <v>48</v>
      </c>
      <c r="AH116" s="40" t="s">
        <v>48</v>
      </c>
      <c r="AI116" s="40" t="s">
        <v>48</v>
      </c>
      <c r="AJ116" s="40" t="s">
        <v>48</v>
      </c>
      <c r="AK116" s="40" t="s">
        <v>48</v>
      </c>
      <c r="AL116" s="40" t="s">
        <v>48</v>
      </c>
      <c r="AM116" s="40" t="s">
        <v>48</v>
      </c>
      <c r="AN116" s="40" t="s">
        <v>48</v>
      </c>
      <c r="AO116" s="40" t="s">
        <v>48</v>
      </c>
      <c r="AP116" s="40" t="s">
        <v>48</v>
      </c>
      <c r="AR116" s="33"/>
      <c r="AS116" s="38" t="str">
        <f>Notes!U117</f>
        <v xml:space="preserve">      Public administration</v>
      </c>
      <c r="AT116" s="4" t="s">
        <v>427</v>
      </c>
      <c r="AU116" s="44" t="s">
        <v>48</v>
      </c>
      <c r="AV116" s="42" t="s">
        <v>48</v>
      </c>
      <c r="AW116" s="42" t="s">
        <v>48</v>
      </c>
      <c r="AX116" s="40" t="s">
        <v>48</v>
      </c>
      <c r="AY116" s="40" t="s">
        <v>48</v>
      </c>
      <c r="AZ116" s="40" t="s">
        <v>48</v>
      </c>
      <c r="BA116" s="40" t="s">
        <v>48</v>
      </c>
      <c r="BB116" s="40" t="s">
        <v>48</v>
      </c>
      <c r="BC116" s="40" t="s">
        <v>48</v>
      </c>
      <c r="BD116" s="40" t="s">
        <v>48</v>
      </c>
      <c r="BE116" s="40" t="s">
        <v>48</v>
      </c>
      <c r="BF116" s="40" t="s">
        <v>48</v>
      </c>
      <c r="BG116" s="40" t="s">
        <v>48</v>
      </c>
      <c r="BH116" s="40" t="s">
        <v>48</v>
      </c>
      <c r="BI116" s="40" t="s">
        <v>48</v>
      </c>
      <c r="BJ116" s="40" t="s">
        <v>48</v>
      </c>
      <c r="BK116" s="40" t="s">
        <v>48</v>
      </c>
      <c r="BM116" s="33"/>
      <c r="BN116" s="38" t="str">
        <f>Notes!U117</f>
        <v xml:space="preserve">      Public administration</v>
      </c>
      <c r="BO116" s="4" t="s">
        <v>427</v>
      </c>
      <c r="BP116" s="44" t="s">
        <v>48</v>
      </c>
      <c r="BQ116" s="42" t="s">
        <v>48</v>
      </c>
      <c r="BR116" s="42" t="s">
        <v>48</v>
      </c>
      <c r="BS116" s="40" t="s">
        <v>48</v>
      </c>
      <c r="BT116" s="40" t="s">
        <v>48</v>
      </c>
      <c r="BU116" s="40" t="s">
        <v>48</v>
      </c>
      <c r="BV116" s="40" t="s">
        <v>48</v>
      </c>
      <c r="BW116" s="40" t="s">
        <v>48</v>
      </c>
      <c r="BX116" s="40" t="s">
        <v>48</v>
      </c>
      <c r="BY116" s="40" t="s">
        <v>48</v>
      </c>
      <c r="BZ116" s="40" t="s">
        <v>48</v>
      </c>
      <c r="CA116" s="40" t="s">
        <v>48</v>
      </c>
      <c r="CB116" s="40" t="s">
        <v>48</v>
      </c>
      <c r="CC116" s="40" t="s">
        <v>48</v>
      </c>
      <c r="CD116" s="40" t="s">
        <v>48</v>
      </c>
      <c r="CE116" s="40" t="s">
        <v>48</v>
      </c>
      <c r="CF116" s="40" t="s">
        <v>48</v>
      </c>
      <c r="CH116" s="33"/>
      <c r="CI116" s="38" t="str">
        <f>Notes!U117</f>
        <v xml:space="preserve">      Public administration</v>
      </c>
      <c r="CJ116" s="4" t="s">
        <v>427</v>
      </c>
      <c r="CK116" s="44" t="s">
        <v>48</v>
      </c>
      <c r="CL116" s="42" t="s">
        <v>48</v>
      </c>
      <c r="CM116" s="42" t="s">
        <v>48</v>
      </c>
      <c r="CN116" s="40" t="s">
        <v>48</v>
      </c>
      <c r="CO116" s="40" t="s">
        <v>48</v>
      </c>
      <c r="CP116" s="40" t="s">
        <v>48</v>
      </c>
      <c r="CQ116" s="40" t="s">
        <v>48</v>
      </c>
      <c r="CR116" s="40" t="s">
        <v>48</v>
      </c>
      <c r="CS116" s="40" t="s">
        <v>48</v>
      </c>
      <c r="CT116" s="40" t="s">
        <v>48</v>
      </c>
      <c r="CU116" s="40" t="s">
        <v>48</v>
      </c>
      <c r="CV116" s="40" t="s">
        <v>48</v>
      </c>
      <c r="CW116" s="40" t="s">
        <v>48</v>
      </c>
      <c r="CX116" s="40" t="s">
        <v>48</v>
      </c>
      <c r="CY116" s="40" t="s">
        <v>48</v>
      </c>
      <c r="CZ116" s="40" t="s">
        <v>48</v>
      </c>
      <c r="DA116" s="40" t="s">
        <v>48</v>
      </c>
      <c r="DC116" s="33"/>
      <c r="DD116" s="38" t="str">
        <f>Notes!U117</f>
        <v xml:space="preserve">      Public administration</v>
      </c>
      <c r="DE116" s="4" t="s">
        <v>427</v>
      </c>
      <c r="DF116" s="44" t="s">
        <v>48</v>
      </c>
      <c r="DG116" s="42" t="s">
        <v>48</v>
      </c>
      <c r="DH116" s="42" t="s">
        <v>48</v>
      </c>
      <c r="DI116" s="40" t="s">
        <v>48</v>
      </c>
      <c r="DJ116" s="40" t="s">
        <v>48</v>
      </c>
      <c r="DK116" s="40" t="s">
        <v>48</v>
      </c>
      <c r="DL116" s="40" t="s">
        <v>48</v>
      </c>
      <c r="DM116" s="40" t="s">
        <v>48</v>
      </c>
      <c r="DN116" s="40" t="s">
        <v>48</v>
      </c>
      <c r="DO116" s="40" t="s">
        <v>48</v>
      </c>
      <c r="DP116" s="40" t="s">
        <v>48</v>
      </c>
      <c r="DQ116" s="40" t="s">
        <v>48</v>
      </c>
      <c r="DR116" s="40" t="s">
        <v>48</v>
      </c>
      <c r="DS116" s="40" t="s">
        <v>48</v>
      </c>
      <c r="DT116" s="40" t="s">
        <v>48</v>
      </c>
      <c r="DU116" s="40" t="s">
        <v>48</v>
      </c>
      <c r="DV116" s="40" t="s">
        <v>48</v>
      </c>
    </row>
    <row r="117" spans="1:126" x14ac:dyDescent="0.3">
      <c r="A117" s="12">
        <v>110</v>
      </c>
      <c r="B117" s="33"/>
      <c r="C117" s="38" t="str">
        <f>Notes!U118</f>
        <v xml:space="preserve">      Education</v>
      </c>
      <c r="D117" s="4" t="s">
        <v>429</v>
      </c>
      <c r="E117" s="44">
        <v>1</v>
      </c>
      <c r="F117" s="42">
        <v>0.11061499078341974</v>
      </c>
      <c r="G117" s="42" t="s">
        <v>48</v>
      </c>
      <c r="H117" s="40" t="s">
        <v>48</v>
      </c>
      <c r="I117" s="40" t="s">
        <v>48</v>
      </c>
      <c r="J117" s="40" t="s">
        <v>48</v>
      </c>
      <c r="K117" s="40" t="s">
        <v>48</v>
      </c>
      <c r="L117" s="40" t="s">
        <v>48</v>
      </c>
      <c r="M117" s="40" t="s">
        <v>48</v>
      </c>
      <c r="N117" s="40" t="s">
        <v>48</v>
      </c>
      <c r="O117" s="40" t="s">
        <v>48</v>
      </c>
      <c r="P117" s="40" t="s">
        <v>48</v>
      </c>
      <c r="Q117" s="40" t="s">
        <v>48</v>
      </c>
      <c r="R117" s="40" t="s">
        <v>48</v>
      </c>
      <c r="S117" s="40" t="s">
        <v>48</v>
      </c>
      <c r="T117" s="40" t="s">
        <v>48</v>
      </c>
      <c r="U117" s="40" t="s">
        <v>48</v>
      </c>
      <c r="W117" s="33"/>
      <c r="X117" s="38" t="str">
        <f>Notes!U118</f>
        <v xml:space="preserve">      Education</v>
      </c>
      <c r="Y117" s="4" t="s">
        <v>429</v>
      </c>
      <c r="Z117" s="44">
        <v>1.0000000000000002</v>
      </c>
      <c r="AA117" s="42">
        <v>0.11061499078341974</v>
      </c>
      <c r="AB117" s="42" t="s">
        <v>48</v>
      </c>
      <c r="AC117" s="40" t="s">
        <v>48</v>
      </c>
      <c r="AD117" s="40" t="s">
        <v>48</v>
      </c>
      <c r="AE117" s="40" t="s">
        <v>48</v>
      </c>
      <c r="AF117" s="40" t="s">
        <v>48</v>
      </c>
      <c r="AG117" s="40" t="s">
        <v>48</v>
      </c>
      <c r="AH117" s="40" t="s">
        <v>48</v>
      </c>
      <c r="AI117" s="40" t="s">
        <v>48</v>
      </c>
      <c r="AJ117" s="40" t="s">
        <v>48</v>
      </c>
      <c r="AK117" s="40" t="s">
        <v>48</v>
      </c>
      <c r="AL117" s="40" t="s">
        <v>48</v>
      </c>
      <c r="AM117" s="40" t="s">
        <v>48</v>
      </c>
      <c r="AN117" s="40" t="s">
        <v>48</v>
      </c>
      <c r="AO117" s="40" t="s">
        <v>48</v>
      </c>
      <c r="AP117" s="40" t="s">
        <v>48</v>
      </c>
      <c r="AR117" s="33"/>
      <c r="AS117" s="38" t="str">
        <f>Notes!U118</f>
        <v xml:space="preserve">      Education</v>
      </c>
      <c r="AT117" s="4" t="s">
        <v>429</v>
      </c>
      <c r="AU117" s="44" t="s">
        <v>48</v>
      </c>
      <c r="AV117" s="42" t="s">
        <v>48</v>
      </c>
      <c r="AW117" s="42" t="s">
        <v>48</v>
      </c>
      <c r="AX117" s="40" t="s">
        <v>48</v>
      </c>
      <c r="AY117" s="40" t="s">
        <v>48</v>
      </c>
      <c r="AZ117" s="40" t="s">
        <v>48</v>
      </c>
      <c r="BA117" s="40" t="s">
        <v>48</v>
      </c>
      <c r="BB117" s="40" t="s">
        <v>48</v>
      </c>
      <c r="BC117" s="40" t="s">
        <v>48</v>
      </c>
      <c r="BD117" s="40" t="s">
        <v>48</v>
      </c>
      <c r="BE117" s="40" t="s">
        <v>48</v>
      </c>
      <c r="BF117" s="40" t="s">
        <v>48</v>
      </c>
      <c r="BG117" s="40" t="s">
        <v>48</v>
      </c>
      <c r="BH117" s="40" t="s">
        <v>48</v>
      </c>
      <c r="BI117" s="40" t="s">
        <v>48</v>
      </c>
      <c r="BJ117" s="40" t="s">
        <v>48</v>
      </c>
      <c r="BK117" s="40" t="s">
        <v>48</v>
      </c>
      <c r="BM117" s="33"/>
      <c r="BN117" s="38" t="str">
        <f>Notes!U118</f>
        <v xml:space="preserve">      Education</v>
      </c>
      <c r="BO117" s="4" t="s">
        <v>429</v>
      </c>
      <c r="BP117" s="44" t="s">
        <v>48</v>
      </c>
      <c r="BQ117" s="42" t="s">
        <v>48</v>
      </c>
      <c r="BR117" s="42" t="s">
        <v>48</v>
      </c>
      <c r="BS117" s="40" t="s">
        <v>48</v>
      </c>
      <c r="BT117" s="40" t="s">
        <v>48</v>
      </c>
      <c r="BU117" s="40" t="s">
        <v>48</v>
      </c>
      <c r="BV117" s="40" t="s">
        <v>48</v>
      </c>
      <c r="BW117" s="40" t="s">
        <v>48</v>
      </c>
      <c r="BX117" s="40" t="s">
        <v>48</v>
      </c>
      <c r="BY117" s="40" t="s">
        <v>48</v>
      </c>
      <c r="BZ117" s="40" t="s">
        <v>48</v>
      </c>
      <c r="CA117" s="40" t="s">
        <v>48</v>
      </c>
      <c r="CB117" s="40" t="s">
        <v>48</v>
      </c>
      <c r="CC117" s="40" t="s">
        <v>48</v>
      </c>
      <c r="CD117" s="40" t="s">
        <v>48</v>
      </c>
      <c r="CE117" s="40" t="s">
        <v>48</v>
      </c>
      <c r="CF117" s="40" t="s">
        <v>48</v>
      </c>
      <c r="CH117" s="33"/>
      <c r="CI117" s="38" t="str">
        <f>Notes!U118</f>
        <v xml:space="preserve">      Education</v>
      </c>
      <c r="CJ117" s="4" t="s">
        <v>429</v>
      </c>
      <c r="CK117" s="44" t="s">
        <v>48</v>
      </c>
      <c r="CL117" s="42" t="s">
        <v>48</v>
      </c>
      <c r="CM117" s="42" t="s">
        <v>48</v>
      </c>
      <c r="CN117" s="40" t="s">
        <v>48</v>
      </c>
      <c r="CO117" s="40" t="s">
        <v>48</v>
      </c>
      <c r="CP117" s="40" t="s">
        <v>48</v>
      </c>
      <c r="CQ117" s="40" t="s">
        <v>48</v>
      </c>
      <c r="CR117" s="40" t="s">
        <v>48</v>
      </c>
      <c r="CS117" s="40" t="s">
        <v>48</v>
      </c>
      <c r="CT117" s="40" t="s">
        <v>48</v>
      </c>
      <c r="CU117" s="40" t="s">
        <v>48</v>
      </c>
      <c r="CV117" s="40" t="s">
        <v>48</v>
      </c>
      <c r="CW117" s="40" t="s">
        <v>48</v>
      </c>
      <c r="CX117" s="40" t="s">
        <v>48</v>
      </c>
      <c r="CY117" s="40" t="s">
        <v>48</v>
      </c>
      <c r="CZ117" s="40" t="s">
        <v>48</v>
      </c>
      <c r="DA117" s="40" t="s">
        <v>48</v>
      </c>
      <c r="DC117" s="33"/>
      <c r="DD117" s="38" t="str">
        <f>Notes!U118</f>
        <v xml:space="preserve">      Education</v>
      </c>
      <c r="DE117" s="4" t="s">
        <v>429</v>
      </c>
      <c r="DF117" s="44" t="s">
        <v>48</v>
      </c>
      <c r="DG117" s="42" t="s">
        <v>48</v>
      </c>
      <c r="DH117" s="42" t="s">
        <v>48</v>
      </c>
      <c r="DI117" s="40" t="s">
        <v>48</v>
      </c>
      <c r="DJ117" s="40" t="s">
        <v>48</v>
      </c>
      <c r="DK117" s="40" t="s">
        <v>48</v>
      </c>
      <c r="DL117" s="40" t="s">
        <v>48</v>
      </c>
      <c r="DM117" s="40" t="s">
        <v>48</v>
      </c>
      <c r="DN117" s="40" t="s">
        <v>48</v>
      </c>
      <c r="DO117" s="40" t="s">
        <v>48</v>
      </c>
      <c r="DP117" s="40" t="s">
        <v>48</v>
      </c>
      <c r="DQ117" s="40" t="s">
        <v>48</v>
      </c>
      <c r="DR117" s="40" t="s">
        <v>48</v>
      </c>
      <c r="DS117" s="40" t="s">
        <v>48</v>
      </c>
      <c r="DT117" s="40" t="s">
        <v>48</v>
      </c>
      <c r="DU117" s="40" t="s">
        <v>48</v>
      </c>
      <c r="DV117" s="40" t="s">
        <v>48</v>
      </c>
    </row>
    <row r="118" spans="1:126" x14ac:dyDescent="0.3">
      <c r="A118" s="12">
        <v>111</v>
      </c>
      <c r="B118" s="33"/>
      <c r="C118" s="38" t="str">
        <f>Notes!U119</f>
        <v xml:space="preserve">      Health and social work</v>
      </c>
      <c r="D118" s="4" t="s">
        <v>431</v>
      </c>
      <c r="E118" s="44">
        <v>1</v>
      </c>
      <c r="F118" s="42">
        <v>7.154951859860148E-2</v>
      </c>
      <c r="G118" s="42" t="s">
        <v>48</v>
      </c>
      <c r="H118" s="40" t="s">
        <v>48</v>
      </c>
      <c r="I118" s="40" t="s">
        <v>48</v>
      </c>
      <c r="J118" s="40" t="s">
        <v>48</v>
      </c>
      <c r="K118" s="40" t="s">
        <v>48</v>
      </c>
      <c r="L118" s="40" t="s">
        <v>48</v>
      </c>
      <c r="M118" s="40" t="s">
        <v>48</v>
      </c>
      <c r="N118" s="40" t="s">
        <v>48</v>
      </c>
      <c r="O118" s="40" t="s">
        <v>48</v>
      </c>
      <c r="P118" s="40" t="s">
        <v>48</v>
      </c>
      <c r="Q118" s="40" t="s">
        <v>48</v>
      </c>
      <c r="R118" s="40" t="s">
        <v>48</v>
      </c>
      <c r="S118" s="40" t="s">
        <v>48</v>
      </c>
      <c r="T118" s="40" t="s">
        <v>48</v>
      </c>
      <c r="U118" s="40" t="s">
        <v>48</v>
      </c>
      <c r="W118" s="33"/>
      <c r="X118" s="38" t="str">
        <f>Notes!U119</f>
        <v xml:space="preserve">      Health and social work</v>
      </c>
      <c r="Y118" s="4" t="s">
        <v>431</v>
      </c>
      <c r="Z118" s="44">
        <v>1.0000000000000002</v>
      </c>
      <c r="AA118" s="42">
        <v>7.154951859860148E-2</v>
      </c>
      <c r="AB118" s="42" t="s">
        <v>48</v>
      </c>
      <c r="AC118" s="40" t="s">
        <v>48</v>
      </c>
      <c r="AD118" s="40" t="s">
        <v>48</v>
      </c>
      <c r="AE118" s="40" t="s">
        <v>48</v>
      </c>
      <c r="AF118" s="40" t="s">
        <v>48</v>
      </c>
      <c r="AG118" s="40" t="s">
        <v>48</v>
      </c>
      <c r="AH118" s="40" t="s">
        <v>48</v>
      </c>
      <c r="AI118" s="40" t="s">
        <v>48</v>
      </c>
      <c r="AJ118" s="40" t="s">
        <v>48</v>
      </c>
      <c r="AK118" s="40" t="s">
        <v>48</v>
      </c>
      <c r="AL118" s="40" t="s">
        <v>48</v>
      </c>
      <c r="AM118" s="40" t="s">
        <v>48</v>
      </c>
      <c r="AN118" s="40" t="s">
        <v>48</v>
      </c>
      <c r="AO118" s="40" t="s">
        <v>48</v>
      </c>
      <c r="AP118" s="40" t="s">
        <v>48</v>
      </c>
      <c r="AR118" s="33"/>
      <c r="AS118" s="38" t="str">
        <f>Notes!U119</f>
        <v xml:space="preserve">      Health and social work</v>
      </c>
      <c r="AT118" s="4" t="s">
        <v>431</v>
      </c>
      <c r="AU118" s="44" t="s">
        <v>48</v>
      </c>
      <c r="AV118" s="42" t="s">
        <v>48</v>
      </c>
      <c r="AW118" s="42" t="s">
        <v>48</v>
      </c>
      <c r="AX118" s="40" t="s">
        <v>48</v>
      </c>
      <c r="AY118" s="40" t="s">
        <v>48</v>
      </c>
      <c r="AZ118" s="40" t="s">
        <v>48</v>
      </c>
      <c r="BA118" s="40" t="s">
        <v>48</v>
      </c>
      <c r="BB118" s="40" t="s">
        <v>48</v>
      </c>
      <c r="BC118" s="40" t="s">
        <v>48</v>
      </c>
      <c r="BD118" s="40" t="s">
        <v>48</v>
      </c>
      <c r="BE118" s="40" t="s">
        <v>48</v>
      </c>
      <c r="BF118" s="40" t="s">
        <v>48</v>
      </c>
      <c r="BG118" s="40" t="s">
        <v>48</v>
      </c>
      <c r="BH118" s="40" t="s">
        <v>48</v>
      </c>
      <c r="BI118" s="40" t="s">
        <v>48</v>
      </c>
      <c r="BJ118" s="40" t="s">
        <v>48</v>
      </c>
      <c r="BK118" s="40" t="s">
        <v>48</v>
      </c>
      <c r="BM118" s="33"/>
      <c r="BN118" s="38" t="str">
        <f>Notes!U119</f>
        <v xml:space="preserve">      Health and social work</v>
      </c>
      <c r="BO118" s="4" t="s">
        <v>431</v>
      </c>
      <c r="BP118" s="44" t="s">
        <v>48</v>
      </c>
      <c r="BQ118" s="42" t="s">
        <v>48</v>
      </c>
      <c r="BR118" s="42" t="s">
        <v>48</v>
      </c>
      <c r="BS118" s="40" t="s">
        <v>48</v>
      </c>
      <c r="BT118" s="40" t="s">
        <v>48</v>
      </c>
      <c r="BU118" s="40" t="s">
        <v>48</v>
      </c>
      <c r="BV118" s="40" t="s">
        <v>48</v>
      </c>
      <c r="BW118" s="40" t="s">
        <v>48</v>
      </c>
      <c r="BX118" s="40" t="s">
        <v>48</v>
      </c>
      <c r="BY118" s="40" t="s">
        <v>48</v>
      </c>
      <c r="BZ118" s="40" t="s">
        <v>48</v>
      </c>
      <c r="CA118" s="40" t="s">
        <v>48</v>
      </c>
      <c r="CB118" s="40" t="s">
        <v>48</v>
      </c>
      <c r="CC118" s="40" t="s">
        <v>48</v>
      </c>
      <c r="CD118" s="40" t="s">
        <v>48</v>
      </c>
      <c r="CE118" s="40" t="s">
        <v>48</v>
      </c>
      <c r="CF118" s="40" t="s">
        <v>48</v>
      </c>
      <c r="CH118" s="33"/>
      <c r="CI118" s="38" t="str">
        <f>Notes!U119</f>
        <v xml:space="preserve">      Health and social work</v>
      </c>
      <c r="CJ118" s="4" t="s">
        <v>431</v>
      </c>
      <c r="CK118" s="44" t="s">
        <v>48</v>
      </c>
      <c r="CL118" s="42" t="s">
        <v>48</v>
      </c>
      <c r="CM118" s="42" t="s">
        <v>48</v>
      </c>
      <c r="CN118" s="40" t="s">
        <v>48</v>
      </c>
      <c r="CO118" s="40" t="s">
        <v>48</v>
      </c>
      <c r="CP118" s="40" t="s">
        <v>48</v>
      </c>
      <c r="CQ118" s="40" t="s">
        <v>48</v>
      </c>
      <c r="CR118" s="40" t="s">
        <v>48</v>
      </c>
      <c r="CS118" s="40" t="s">
        <v>48</v>
      </c>
      <c r="CT118" s="40" t="s">
        <v>48</v>
      </c>
      <c r="CU118" s="40" t="s">
        <v>48</v>
      </c>
      <c r="CV118" s="40" t="s">
        <v>48</v>
      </c>
      <c r="CW118" s="40" t="s">
        <v>48</v>
      </c>
      <c r="CX118" s="40" t="s">
        <v>48</v>
      </c>
      <c r="CY118" s="40" t="s">
        <v>48</v>
      </c>
      <c r="CZ118" s="40" t="s">
        <v>48</v>
      </c>
      <c r="DA118" s="40" t="s">
        <v>48</v>
      </c>
      <c r="DC118" s="33"/>
      <c r="DD118" s="38" t="str">
        <f>Notes!U119</f>
        <v xml:space="preserve">      Health and social work</v>
      </c>
      <c r="DE118" s="4" t="s">
        <v>431</v>
      </c>
      <c r="DF118" s="44" t="s">
        <v>48</v>
      </c>
      <c r="DG118" s="42" t="s">
        <v>48</v>
      </c>
      <c r="DH118" s="42" t="s">
        <v>48</v>
      </c>
      <c r="DI118" s="40" t="s">
        <v>48</v>
      </c>
      <c r="DJ118" s="40" t="s">
        <v>48</v>
      </c>
      <c r="DK118" s="40" t="s">
        <v>48</v>
      </c>
      <c r="DL118" s="40" t="s">
        <v>48</v>
      </c>
      <c r="DM118" s="40" t="s">
        <v>48</v>
      </c>
      <c r="DN118" s="40" t="s">
        <v>48</v>
      </c>
      <c r="DO118" s="40" t="s">
        <v>48</v>
      </c>
      <c r="DP118" s="40" t="s">
        <v>48</v>
      </c>
      <c r="DQ118" s="40" t="s">
        <v>48</v>
      </c>
      <c r="DR118" s="40" t="s">
        <v>48</v>
      </c>
      <c r="DS118" s="40" t="s">
        <v>48</v>
      </c>
      <c r="DT118" s="40" t="s">
        <v>48</v>
      </c>
      <c r="DU118" s="40" t="s">
        <v>48</v>
      </c>
      <c r="DV118" s="40" t="s">
        <v>48</v>
      </c>
    </row>
    <row r="119" spans="1:126" x14ac:dyDescent="0.3">
      <c r="A119" s="12">
        <v>112</v>
      </c>
      <c r="B119" s="33"/>
      <c r="C119" s="38" t="str">
        <f>Notes!U120</f>
        <v xml:space="preserve">   Other services</v>
      </c>
      <c r="D119" s="4" t="s">
        <v>433</v>
      </c>
      <c r="E119" s="44">
        <v>1</v>
      </c>
      <c r="F119" s="42">
        <v>-9.1403180345794866E-2</v>
      </c>
      <c r="G119" s="42" t="s">
        <v>48</v>
      </c>
      <c r="H119" s="40" t="s">
        <v>48</v>
      </c>
      <c r="I119" s="40" t="s">
        <v>48</v>
      </c>
      <c r="J119" s="40" t="s">
        <v>48</v>
      </c>
      <c r="K119" s="40" t="s">
        <v>48</v>
      </c>
      <c r="L119" s="40" t="s">
        <v>48</v>
      </c>
      <c r="M119" s="40" t="s">
        <v>48</v>
      </c>
      <c r="N119" s="40" t="s">
        <v>48</v>
      </c>
      <c r="O119" s="40" t="s">
        <v>48</v>
      </c>
      <c r="P119" s="40" t="s">
        <v>48</v>
      </c>
      <c r="Q119" s="40" t="s">
        <v>48</v>
      </c>
      <c r="R119" s="40" t="s">
        <v>48</v>
      </c>
      <c r="S119" s="40" t="s">
        <v>48</v>
      </c>
      <c r="T119" s="40" t="s">
        <v>48</v>
      </c>
      <c r="U119" s="40" t="s">
        <v>48</v>
      </c>
      <c r="W119" s="33"/>
      <c r="X119" s="38" t="str">
        <f>Notes!U120</f>
        <v xml:space="preserve">   Other services</v>
      </c>
      <c r="Y119" s="4" t="s">
        <v>433</v>
      </c>
      <c r="Z119" s="44">
        <v>1</v>
      </c>
      <c r="AA119" s="42">
        <v>-9.1403180345794866E-2</v>
      </c>
      <c r="AB119" s="42" t="s">
        <v>48</v>
      </c>
      <c r="AC119" s="40" t="s">
        <v>48</v>
      </c>
      <c r="AD119" s="40" t="s">
        <v>48</v>
      </c>
      <c r="AE119" s="40" t="s">
        <v>48</v>
      </c>
      <c r="AF119" s="40" t="s">
        <v>48</v>
      </c>
      <c r="AG119" s="40" t="s">
        <v>48</v>
      </c>
      <c r="AH119" s="40" t="s">
        <v>48</v>
      </c>
      <c r="AI119" s="40" t="s">
        <v>48</v>
      </c>
      <c r="AJ119" s="40" t="s">
        <v>48</v>
      </c>
      <c r="AK119" s="40" t="s">
        <v>48</v>
      </c>
      <c r="AL119" s="40" t="s">
        <v>48</v>
      </c>
      <c r="AM119" s="40" t="s">
        <v>48</v>
      </c>
      <c r="AN119" s="40" t="s">
        <v>48</v>
      </c>
      <c r="AO119" s="40" t="s">
        <v>48</v>
      </c>
      <c r="AP119" s="40" t="s">
        <v>48</v>
      </c>
      <c r="AR119" s="33"/>
      <c r="AS119" s="38" t="str">
        <f>Notes!U120</f>
        <v xml:space="preserve">   Other services</v>
      </c>
      <c r="AT119" s="4" t="s">
        <v>433</v>
      </c>
      <c r="AU119" s="44" t="s">
        <v>48</v>
      </c>
      <c r="AV119" s="42" t="s">
        <v>48</v>
      </c>
      <c r="AW119" s="42" t="s">
        <v>48</v>
      </c>
      <c r="AX119" s="40" t="s">
        <v>48</v>
      </c>
      <c r="AY119" s="40" t="s">
        <v>48</v>
      </c>
      <c r="AZ119" s="40" t="s">
        <v>48</v>
      </c>
      <c r="BA119" s="40" t="s">
        <v>48</v>
      </c>
      <c r="BB119" s="40" t="s">
        <v>48</v>
      </c>
      <c r="BC119" s="40" t="s">
        <v>48</v>
      </c>
      <c r="BD119" s="40" t="s">
        <v>48</v>
      </c>
      <c r="BE119" s="40" t="s">
        <v>48</v>
      </c>
      <c r="BF119" s="40" t="s">
        <v>48</v>
      </c>
      <c r="BG119" s="40" t="s">
        <v>48</v>
      </c>
      <c r="BH119" s="40" t="s">
        <v>48</v>
      </c>
      <c r="BI119" s="40" t="s">
        <v>48</v>
      </c>
      <c r="BJ119" s="40" t="s">
        <v>48</v>
      </c>
      <c r="BK119" s="40" t="s">
        <v>48</v>
      </c>
      <c r="BM119" s="33"/>
      <c r="BN119" s="38" t="str">
        <f>Notes!U120</f>
        <v xml:space="preserve">   Other services</v>
      </c>
      <c r="BO119" s="4" t="s">
        <v>433</v>
      </c>
      <c r="BP119" s="44" t="s">
        <v>48</v>
      </c>
      <c r="BQ119" s="42" t="s">
        <v>48</v>
      </c>
      <c r="BR119" s="42" t="s">
        <v>48</v>
      </c>
      <c r="BS119" s="40" t="s">
        <v>48</v>
      </c>
      <c r="BT119" s="40" t="s">
        <v>48</v>
      </c>
      <c r="BU119" s="40" t="s">
        <v>48</v>
      </c>
      <c r="BV119" s="40" t="s">
        <v>48</v>
      </c>
      <c r="BW119" s="40" t="s">
        <v>48</v>
      </c>
      <c r="BX119" s="40" t="s">
        <v>48</v>
      </c>
      <c r="BY119" s="40" t="s">
        <v>48</v>
      </c>
      <c r="BZ119" s="40" t="s">
        <v>48</v>
      </c>
      <c r="CA119" s="40" t="s">
        <v>48</v>
      </c>
      <c r="CB119" s="40" t="s">
        <v>48</v>
      </c>
      <c r="CC119" s="40" t="s">
        <v>48</v>
      </c>
      <c r="CD119" s="40" t="s">
        <v>48</v>
      </c>
      <c r="CE119" s="40" t="s">
        <v>48</v>
      </c>
      <c r="CF119" s="40" t="s">
        <v>48</v>
      </c>
      <c r="CH119" s="33"/>
      <c r="CI119" s="38" t="str">
        <f>Notes!U120</f>
        <v xml:space="preserve">   Other services</v>
      </c>
      <c r="CJ119" s="4" t="s">
        <v>433</v>
      </c>
      <c r="CK119" s="44" t="s">
        <v>48</v>
      </c>
      <c r="CL119" s="42" t="s">
        <v>48</v>
      </c>
      <c r="CM119" s="42" t="s">
        <v>48</v>
      </c>
      <c r="CN119" s="40" t="s">
        <v>48</v>
      </c>
      <c r="CO119" s="40" t="s">
        <v>48</v>
      </c>
      <c r="CP119" s="40" t="s">
        <v>48</v>
      </c>
      <c r="CQ119" s="40" t="s">
        <v>48</v>
      </c>
      <c r="CR119" s="40" t="s">
        <v>48</v>
      </c>
      <c r="CS119" s="40" t="s">
        <v>48</v>
      </c>
      <c r="CT119" s="40" t="s">
        <v>48</v>
      </c>
      <c r="CU119" s="40" t="s">
        <v>48</v>
      </c>
      <c r="CV119" s="40" t="s">
        <v>48</v>
      </c>
      <c r="CW119" s="40" t="s">
        <v>48</v>
      </c>
      <c r="CX119" s="40" t="s">
        <v>48</v>
      </c>
      <c r="CY119" s="40" t="s">
        <v>48</v>
      </c>
      <c r="CZ119" s="40" t="s">
        <v>48</v>
      </c>
      <c r="DA119" s="40" t="s">
        <v>48</v>
      </c>
      <c r="DC119" s="33"/>
      <c r="DD119" s="38" t="str">
        <f>Notes!U120</f>
        <v xml:space="preserve">   Other services</v>
      </c>
      <c r="DE119" s="4" t="s">
        <v>433</v>
      </c>
      <c r="DF119" s="44" t="s">
        <v>48</v>
      </c>
      <c r="DG119" s="42" t="s">
        <v>48</v>
      </c>
      <c r="DH119" s="42" t="s">
        <v>48</v>
      </c>
      <c r="DI119" s="40" t="s">
        <v>48</v>
      </c>
      <c r="DJ119" s="40" t="s">
        <v>48</v>
      </c>
      <c r="DK119" s="40" t="s">
        <v>48</v>
      </c>
      <c r="DL119" s="40" t="s">
        <v>48</v>
      </c>
      <c r="DM119" s="40" t="s">
        <v>48</v>
      </c>
      <c r="DN119" s="40" t="s">
        <v>48</v>
      </c>
      <c r="DO119" s="40" t="s">
        <v>48</v>
      </c>
      <c r="DP119" s="40" t="s">
        <v>48</v>
      </c>
      <c r="DQ119" s="40" t="s">
        <v>48</v>
      </c>
      <c r="DR119" s="40" t="s">
        <v>48</v>
      </c>
      <c r="DS119" s="40" t="s">
        <v>48</v>
      </c>
      <c r="DT119" s="40" t="s">
        <v>48</v>
      </c>
      <c r="DU119" s="40" t="s">
        <v>48</v>
      </c>
      <c r="DV119" s="40" t="s">
        <v>48</v>
      </c>
    </row>
    <row r="120" spans="1:126" x14ac:dyDescent="0.3">
      <c r="A120" s="12">
        <v>113</v>
      </c>
      <c r="B120" s="33"/>
      <c r="C120" s="38" t="str">
        <f>Notes!U121</f>
        <v xml:space="preserve">               </v>
      </c>
      <c r="D120" s="4" t="s">
        <v>427</v>
      </c>
      <c r="E120" s="44"/>
      <c r="F120" s="42"/>
      <c r="G120" s="4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W120" s="33"/>
      <c r="X120" s="38" t="str">
        <f>Notes!U121</f>
        <v xml:space="preserve">               </v>
      </c>
      <c r="Y120" s="4" t="s">
        <v>427</v>
      </c>
      <c r="Z120" s="44"/>
      <c r="AA120" s="42"/>
      <c r="AB120" s="42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R120" s="33"/>
      <c r="AS120" s="38" t="str">
        <f>Notes!U121</f>
        <v xml:space="preserve">               </v>
      </c>
      <c r="AT120" s="4" t="s">
        <v>427</v>
      </c>
      <c r="AU120" s="44"/>
      <c r="AV120" s="42"/>
      <c r="AW120" s="42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M120" s="33"/>
      <c r="BN120" s="38" t="str">
        <f>Notes!U121</f>
        <v xml:space="preserve">               </v>
      </c>
      <c r="BO120" s="4" t="s">
        <v>427</v>
      </c>
      <c r="BP120" s="44"/>
      <c r="BQ120" s="42"/>
      <c r="BR120" s="42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H120" s="33"/>
      <c r="CI120" s="38" t="str">
        <f>Notes!U121</f>
        <v xml:space="preserve">               </v>
      </c>
      <c r="CJ120" s="4" t="s">
        <v>427</v>
      </c>
      <c r="CK120" s="44"/>
      <c r="CL120" s="42"/>
      <c r="CM120" s="42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C120" s="33"/>
      <c r="DD120" s="38" t="str">
        <f>Notes!U121</f>
        <v xml:space="preserve">               </v>
      </c>
      <c r="DE120" s="4" t="s">
        <v>427</v>
      </c>
      <c r="DF120" s="44"/>
      <c r="DG120" s="42"/>
      <c r="DH120" s="42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</row>
    <row r="121" spans="1:126" x14ac:dyDescent="0.3">
      <c r="A121" s="12">
        <v>114</v>
      </c>
      <c r="B121" s="33"/>
      <c r="C121" s="38" t="str">
        <f>Notes!U122</f>
        <v xml:space="preserve">               </v>
      </c>
      <c r="D121" s="4" t="s">
        <v>429</v>
      </c>
      <c r="E121" s="44"/>
      <c r="F121" s="42"/>
      <c r="G121" s="4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W121" s="33"/>
      <c r="X121" s="38" t="str">
        <f>Notes!U122</f>
        <v xml:space="preserve">               </v>
      </c>
      <c r="Y121" s="4" t="s">
        <v>429</v>
      </c>
      <c r="Z121" s="44"/>
      <c r="AA121" s="42"/>
      <c r="AB121" s="42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R121" s="33"/>
      <c r="AS121" s="38" t="str">
        <f>Notes!U122</f>
        <v xml:space="preserve">               </v>
      </c>
      <c r="AT121" s="4" t="s">
        <v>429</v>
      </c>
      <c r="AU121" s="44"/>
      <c r="AV121" s="42"/>
      <c r="AW121" s="42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M121" s="33"/>
      <c r="BN121" s="38" t="str">
        <f>Notes!U122</f>
        <v xml:space="preserve">               </v>
      </c>
      <c r="BO121" s="4" t="s">
        <v>429</v>
      </c>
      <c r="BP121" s="44"/>
      <c r="BQ121" s="42"/>
      <c r="BR121" s="42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H121" s="33"/>
      <c r="CI121" s="38" t="str">
        <f>Notes!U122</f>
        <v xml:space="preserve">               </v>
      </c>
      <c r="CJ121" s="4" t="s">
        <v>429</v>
      </c>
      <c r="CK121" s="44"/>
      <c r="CL121" s="42"/>
      <c r="CM121" s="42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C121" s="33"/>
      <c r="DD121" s="38" t="str">
        <f>Notes!U122</f>
        <v xml:space="preserve">               </v>
      </c>
      <c r="DE121" s="4" t="s">
        <v>429</v>
      </c>
      <c r="DF121" s="44"/>
      <c r="DG121" s="42"/>
      <c r="DH121" s="42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</row>
    <row r="122" spans="1:126" x14ac:dyDescent="0.3">
      <c r="A122" s="12">
        <v>115</v>
      </c>
      <c r="B122" s="33"/>
      <c r="C122" s="38" t="str">
        <f>Notes!U123</f>
        <v xml:space="preserve">               </v>
      </c>
      <c r="D122" s="4" t="s">
        <v>431</v>
      </c>
      <c r="E122" s="44"/>
      <c r="F122" s="42"/>
      <c r="G122" s="4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W122" s="33"/>
      <c r="X122" s="38" t="str">
        <f>Notes!U123</f>
        <v xml:space="preserve">               </v>
      </c>
      <c r="Y122" s="4" t="s">
        <v>431</v>
      </c>
      <c r="Z122" s="44"/>
      <c r="AA122" s="42"/>
      <c r="AB122" s="42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R122" s="33"/>
      <c r="AS122" s="38" t="str">
        <f>Notes!U123</f>
        <v xml:space="preserve">               </v>
      </c>
      <c r="AT122" s="4" t="s">
        <v>431</v>
      </c>
      <c r="AU122" s="44"/>
      <c r="AV122" s="42"/>
      <c r="AW122" s="42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M122" s="33"/>
      <c r="BN122" s="38" t="str">
        <f>Notes!U123</f>
        <v xml:space="preserve">               </v>
      </c>
      <c r="BO122" s="4" t="s">
        <v>431</v>
      </c>
      <c r="BP122" s="44"/>
      <c r="BQ122" s="42"/>
      <c r="BR122" s="42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H122" s="33"/>
      <c r="CI122" s="38" t="str">
        <f>Notes!U123</f>
        <v xml:space="preserve">               </v>
      </c>
      <c r="CJ122" s="4" t="s">
        <v>431</v>
      </c>
      <c r="CK122" s="44"/>
      <c r="CL122" s="42"/>
      <c r="CM122" s="42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C122" s="33"/>
      <c r="DD122" s="38" t="str">
        <f>Notes!U123</f>
        <v xml:space="preserve">               </v>
      </c>
      <c r="DE122" s="4" t="s">
        <v>431</v>
      </c>
      <c r="DF122" s="44"/>
      <c r="DG122" s="42"/>
      <c r="DH122" s="42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</row>
    <row r="123" spans="1:126" x14ac:dyDescent="0.3">
      <c r="A123" s="12">
        <v>116</v>
      </c>
      <c r="B123" s="33"/>
      <c r="C123" s="38" t="str">
        <f>Notes!U124</f>
        <v xml:space="preserve">               </v>
      </c>
      <c r="D123" s="4" t="s">
        <v>433</v>
      </c>
      <c r="E123" s="44"/>
      <c r="F123" s="42"/>
      <c r="G123" s="4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W123" s="33"/>
      <c r="X123" s="38" t="str">
        <f>Notes!U124</f>
        <v xml:space="preserve">               </v>
      </c>
      <c r="Y123" s="4" t="s">
        <v>433</v>
      </c>
      <c r="Z123" s="44"/>
      <c r="AA123" s="42"/>
      <c r="AB123" s="42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R123" s="33"/>
      <c r="AS123" s="38" t="str">
        <f>Notes!U124</f>
        <v xml:space="preserve">               </v>
      </c>
      <c r="AT123" s="4" t="s">
        <v>433</v>
      </c>
      <c r="AU123" s="44"/>
      <c r="AV123" s="42"/>
      <c r="AW123" s="42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M123" s="33"/>
      <c r="BN123" s="38" t="str">
        <f>Notes!U124</f>
        <v xml:space="preserve">               </v>
      </c>
      <c r="BO123" s="4" t="s">
        <v>433</v>
      </c>
      <c r="BP123" s="44"/>
      <c r="BQ123" s="42"/>
      <c r="BR123" s="42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H123" s="33"/>
      <c r="CI123" s="38" t="str">
        <f>Notes!U124</f>
        <v xml:space="preserve">               </v>
      </c>
      <c r="CJ123" s="4" t="s">
        <v>433</v>
      </c>
      <c r="CK123" s="44"/>
      <c r="CL123" s="42"/>
      <c r="CM123" s="42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C123" s="33"/>
      <c r="DD123" s="38" t="str">
        <f>Notes!U124</f>
        <v xml:space="preserve">               </v>
      </c>
      <c r="DE123" s="4" t="s">
        <v>433</v>
      </c>
      <c r="DF123" s="44"/>
      <c r="DG123" s="42"/>
      <c r="DH123" s="42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</row>
    <row r="124" spans="1:126" x14ac:dyDescent="0.3">
      <c r="A124" s="12">
        <v>117</v>
      </c>
      <c r="B124" s="33"/>
      <c r="C124" s="38" t="str">
        <f>Notes!U125</f>
        <v xml:space="preserve">               </v>
      </c>
      <c r="D124" s="4"/>
      <c r="E124" s="44"/>
      <c r="F124" s="42"/>
      <c r="G124" s="4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W124" s="33"/>
      <c r="X124" s="38" t="str">
        <f>Notes!U125</f>
        <v xml:space="preserve">               </v>
      </c>
      <c r="Y124" s="4"/>
      <c r="Z124" s="44"/>
      <c r="AA124" s="42"/>
      <c r="AB124" s="42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R124" s="33"/>
      <c r="AS124" s="38" t="str">
        <f>Notes!U125</f>
        <v xml:space="preserve">               </v>
      </c>
      <c r="AT124" s="4"/>
      <c r="AU124" s="44"/>
      <c r="AV124" s="42"/>
      <c r="AW124" s="42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M124" s="33"/>
      <c r="BN124" s="38" t="str">
        <f>Notes!U125</f>
        <v xml:space="preserve">               </v>
      </c>
      <c r="BO124" s="4"/>
      <c r="BP124" s="44"/>
      <c r="BQ124" s="42"/>
      <c r="BR124" s="42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H124" s="33"/>
      <c r="CI124" s="38" t="str">
        <f>Notes!U125</f>
        <v xml:space="preserve">               </v>
      </c>
      <c r="CJ124" s="4"/>
      <c r="CK124" s="44"/>
      <c r="CL124" s="42"/>
      <c r="CM124" s="42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C124" s="33"/>
      <c r="DD124" s="38" t="str">
        <f>Notes!U125</f>
        <v xml:space="preserve">               </v>
      </c>
      <c r="DE124" s="4"/>
      <c r="DF124" s="44"/>
      <c r="DG124" s="42"/>
      <c r="DH124" s="42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</row>
    <row r="125" spans="1:126" x14ac:dyDescent="0.3">
      <c r="A125" s="12">
        <v>118</v>
      </c>
      <c r="B125" s="33"/>
      <c r="C125" s="38" t="str">
        <f>Notes!U126</f>
        <v xml:space="preserve">               </v>
      </c>
      <c r="D125" s="4"/>
      <c r="E125" s="44"/>
      <c r="F125" s="42"/>
      <c r="G125" s="4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W125" s="33"/>
      <c r="X125" s="38" t="str">
        <f>Notes!U126</f>
        <v xml:space="preserve">               </v>
      </c>
      <c r="Y125" s="4"/>
      <c r="Z125" s="44"/>
      <c r="AA125" s="42"/>
      <c r="AB125" s="42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R125" s="33"/>
      <c r="AS125" s="38" t="str">
        <f>Notes!U126</f>
        <v xml:space="preserve">               </v>
      </c>
      <c r="AT125" s="4"/>
      <c r="AU125" s="44"/>
      <c r="AV125" s="42"/>
      <c r="AW125" s="42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M125" s="33"/>
      <c r="BN125" s="38" t="str">
        <f>Notes!U126</f>
        <v xml:space="preserve">               </v>
      </c>
      <c r="BO125" s="4"/>
      <c r="BP125" s="44"/>
      <c r="BQ125" s="42"/>
      <c r="BR125" s="42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H125" s="33"/>
      <c r="CI125" s="38" t="str">
        <f>Notes!U126</f>
        <v xml:space="preserve">               </v>
      </c>
      <c r="CJ125" s="4"/>
      <c r="CK125" s="44"/>
      <c r="CL125" s="42"/>
      <c r="CM125" s="42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C125" s="33"/>
      <c r="DD125" s="38" t="str">
        <f>Notes!U126</f>
        <v xml:space="preserve">               </v>
      </c>
      <c r="DE125" s="4"/>
      <c r="DF125" s="44"/>
      <c r="DG125" s="42"/>
      <c r="DH125" s="42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</row>
    <row r="126" spans="1:126" x14ac:dyDescent="0.3">
      <c r="A126" s="12">
        <v>119</v>
      </c>
      <c r="B126" s="33"/>
      <c r="C126" s="38" t="str">
        <f>Notes!U127</f>
        <v xml:space="preserve">               </v>
      </c>
      <c r="D126" s="4"/>
      <c r="E126" s="44"/>
      <c r="F126" s="42"/>
      <c r="G126" s="4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W126" s="33"/>
      <c r="X126" s="38" t="str">
        <f>Notes!U127</f>
        <v xml:space="preserve">               </v>
      </c>
      <c r="Y126" s="4"/>
      <c r="Z126" s="44"/>
      <c r="AA126" s="42"/>
      <c r="AB126" s="42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R126" s="33"/>
      <c r="AS126" s="38" t="str">
        <f>Notes!U127</f>
        <v xml:space="preserve">               </v>
      </c>
      <c r="AT126" s="4"/>
      <c r="AU126" s="44"/>
      <c r="AV126" s="42"/>
      <c r="AW126" s="42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M126" s="33"/>
      <c r="BN126" s="38" t="str">
        <f>Notes!U127</f>
        <v xml:space="preserve">               </v>
      </c>
      <c r="BO126" s="4"/>
      <c r="BP126" s="44"/>
      <c r="BQ126" s="42"/>
      <c r="BR126" s="42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H126" s="33"/>
      <c r="CI126" s="38" t="str">
        <f>Notes!U127</f>
        <v xml:space="preserve">               </v>
      </c>
      <c r="CJ126" s="4"/>
      <c r="CK126" s="44"/>
      <c r="CL126" s="42"/>
      <c r="CM126" s="42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C126" s="33"/>
      <c r="DD126" s="38" t="str">
        <f>Notes!U127</f>
        <v xml:space="preserve">               </v>
      </c>
      <c r="DE126" s="4"/>
      <c r="DF126" s="44"/>
      <c r="DG126" s="42"/>
      <c r="DH126" s="42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</row>
    <row r="127" spans="1:126" x14ac:dyDescent="0.3">
      <c r="A127" s="12">
        <v>120</v>
      </c>
      <c r="B127" s="33"/>
      <c r="C127" s="38" t="str">
        <f>Notes!U128</f>
        <v xml:space="preserve">               </v>
      </c>
      <c r="D127" s="4"/>
      <c r="E127" s="44"/>
      <c r="F127" s="42"/>
      <c r="G127" s="4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W127" s="33"/>
      <c r="X127" s="38" t="str">
        <f>Notes!U128</f>
        <v xml:space="preserve">               </v>
      </c>
      <c r="Y127" s="4"/>
      <c r="Z127" s="44"/>
      <c r="AA127" s="42"/>
      <c r="AB127" s="42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R127" s="33"/>
      <c r="AS127" s="38" t="str">
        <f>Notes!U128</f>
        <v xml:space="preserve">               </v>
      </c>
      <c r="AT127" s="4"/>
      <c r="AU127" s="44"/>
      <c r="AV127" s="42"/>
      <c r="AW127" s="42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M127" s="33"/>
      <c r="BN127" s="38" t="str">
        <f>Notes!U128</f>
        <v xml:space="preserve">               </v>
      </c>
      <c r="BO127" s="4"/>
      <c r="BP127" s="44"/>
      <c r="BQ127" s="42"/>
      <c r="BR127" s="42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H127" s="33"/>
      <c r="CI127" s="38" t="str">
        <f>Notes!U128</f>
        <v xml:space="preserve">               </v>
      </c>
      <c r="CJ127" s="4"/>
      <c r="CK127" s="44"/>
      <c r="CL127" s="42"/>
      <c r="CM127" s="42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C127" s="33"/>
      <c r="DD127" s="38" t="str">
        <f>Notes!U128</f>
        <v xml:space="preserve">               </v>
      </c>
      <c r="DE127" s="4"/>
      <c r="DF127" s="44"/>
      <c r="DG127" s="42"/>
      <c r="DH127" s="42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</row>
    <row r="128" spans="1:126" x14ac:dyDescent="0.3">
      <c r="A128" s="12">
        <v>121</v>
      </c>
      <c r="B128" s="33"/>
      <c r="C128" s="38" t="str">
        <f>Notes!U129</f>
        <v xml:space="preserve">               </v>
      </c>
      <c r="D128" s="4"/>
      <c r="E128" s="44"/>
      <c r="F128" s="42"/>
      <c r="G128" s="4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W128" s="33"/>
      <c r="X128" s="38" t="str">
        <f>Notes!U129</f>
        <v xml:space="preserve">               </v>
      </c>
      <c r="Y128" s="4"/>
      <c r="Z128" s="44"/>
      <c r="AA128" s="42"/>
      <c r="AB128" s="42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R128" s="33"/>
      <c r="AS128" s="38" t="str">
        <f>Notes!U129</f>
        <v xml:space="preserve">               </v>
      </c>
      <c r="AT128" s="4"/>
      <c r="AU128" s="44"/>
      <c r="AV128" s="42"/>
      <c r="AW128" s="42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M128" s="33"/>
      <c r="BN128" s="38" t="str">
        <f>Notes!U129</f>
        <v xml:space="preserve">               </v>
      </c>
      <c r="BO128" s="4"/>
      <c r="BP128" s="44"/>
      <c r="BQ128" s="42"/>
      <c r="BR128" s="42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H128" s="33"/>
      <c r="CI128" s="38" t="str">
        <f>Notes!U129</f>
        <v xml:space="preserve">               </v>
      </c>
      <c r="CJ128" s="4"/>
      <c r="CK128" s="44"/>
      <c r="CL128" s="42"/>
      <c r="CM128" s="42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C128" s="33"/>
      <c r="DD128" s="38" t="str">
        <f>Notes!U129</f>
        <v xml:space="preserve">               </v>
      </c>
      <c r="DE128" s="4"/>
      <c r="DF128" s="44"/>
      <c r="DG128" s="42"/>
      <c r="DH128" s="42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</row>
    <row r="129" spans="1:126" x14ac:dyDescent="0.3">
      <c r="A129" s="12">
        <v>122</v>
      </c>
      <c r="B129" s="33"/>
      <c r="C129" s="38" t="str">
        <f>Notes!U130</f>
        <v xml:space="preserve">               </v>
      </c>
      <c r="D129" s="4"/>
      <c r="E129" s="44"/>
      <c r="F129" s="42"/>
      <c r="G129" s="4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W129" s="33"/>
      <c r="X129" s="38" t="str">
        <f>Notes!U130</f>
        <v xml:space="preserve">               </v>
      </c>
      <c r="Y129" s="4"/>
      <c r="Z129" s="44"/>
      <c r="AA129" s="42"/>
      <c r="AB129" s="42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R129" s="33"/>
      <c r="AS129" s="38" t="str">
        <f>Notes!U130</f>
        <v xml:space="preserve">               </v>
      </c>
      <c r="AT129" s="4"/>
      <c r="AU129" s="44"/>
      <c r="AV129" s="42"/>
      <c r="AW129" s="42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M129" s="33"/>
      <c r="BN129" s="38" t="str">
        <f>Notes!U130</f>
        <v xml:space="preserve">               </v>
      </c>
      <c r="BO129" s="4"/>
      <c r="BP129" s="44"/>
      <c r="BQ129" s="42"/>
      <c r="BR129" s="42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H129" s="33"/>
      <c r="CI129" s="38" t="str">
        <f>Notes!U130</f>
        <v xml:space="preserve">               </v>
      </c>
      <c r="CJ129" s="4"/>
      <c r="CK129" s="44"/>
      <c r="CL129" s="42"/>
      <c r="CM129" s="42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C129" s="33"/>
      <c r="DD129" s="38" t="str">
        <f>Notes!U130</f>
        <v xml:space="preserve">               </v>
      </c>
      <c r="DE129" s="4"/>
      <c r="DF129" s="44"/>
      <c r="DG129" s="42"/>
      <c r="DH129" s="42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</row>
    <row r="130" spans="1:126" x14ac:dyDescent="0.3">
      <c r="A130" s="12">
        <v>123</v>
      </c>
      <c r="B130" s="33"/>
      <c r="C130" s="38" t="str">
        <f>Notes!U131</f>
        <v xml:space="preserve">               </v>
      </c>
      <c r="D130" s="4"/>
      <c r="E130" s="44"/>
      <c r="F130" s="42"/>
      <c r="G130" s="4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W130" s="33"/>
      <c r="X130" s="38" t="str">
        <f>Notes!U131</f>
        <v xml:space="preserve">               </v>
      </c>
      <c r="Y130" s="4"/>
      <c r="Z130" s="44"/>
      <c r="AA130" s="42"/>
      <c r="AB130" s="42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R130" s="33"/>
      <c r="AS130" s="38" t="str">
        <f>Notes!U131</f>
        <v xml:space="preserve">               </v>
      </c>
      <c r="AT130" s="4"/>
      <c r="AU130" s="44"/>
      <c r="AV130" s="42"/>
      <c r="AW130" s="42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M130" s="33"/>
      <c r="BN130" s="38" t="str">
        <f>Notes!U131</f>
        <v xml:space="preserve">               </v>
      </c>
      <c r="BO130" s="4"/>
      <c r="BP130" s="44"/>
      <c r="BQ130" s="42"/>
      <c r="BR130" s="42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H130" s="33"/>
      <c r="CI130" s="38" t="str">
        <f>Notes!U131</f>
        <v xml:space="preserve">               </v>
      </c>
      <c r="CJ130" s="4"/>
      <c r="CK130" s="44"/>
      <c r="CL130" s="42"/>
      <c r="CM130" s="42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C130" s="33"/>
      <c r="DD130" s="38" t="str">
        <f>Notes!U131</f>
        <v xml:space="preserve">               </v>
      </c>
      <c r="DE130" s="4"/>
      <c r="DF130" s="44"/>
      <c r="DG130" s="42"/>
      <c r="DH130" s="42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</row>
    <row r="131" spans="1:126" x14ac:dyDescent="0.3">
      <c r="A131" s="12">
        <v>124</v>
      </c>
      <c r="B131" s="33"/>
      <c r="C131" s="38" t="str">
        <f>Notes!U132</f>
        <v xml:space="preserve">               </v>
      </c>
      <c r="D131" s="4"/>
      <c r="E131" s="44"/>
      <c r="F131" s="42"/>
      <c r="G131" s="4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W131" s="33"/>
      <c r="X131" s="38" t="str">
        <f>Notes!U132</f>
        <v xml:space="preserve">               </v>
      </c>
      <c r="Y131" s="4"/>
      <c r="Z131" s="44"/>
      <c r="AA131" s="42"/>
      <c r="AB131" s="42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R131" s="33"/>
      <c r="AS131" s="38" t="str">
        <f>Notes!U132</f>
        <v xml:space="preserve">               </v>
      </c>
      <c r="AT131" s="4"/>
      <c r="AU131" s="44"/>
      <c r="AV131" s="42"/>
      <c r="AW131" s="42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M131" s="33"/>
      <c r="BN131" s="38" t="str">
        <f>Notes!U132</f>
        <v xml:space="preserve">               </v>
      </c>
      <c r="BO131" s="4"/>
      <c r="BP131" s="44"/>
      <c r="BQ131" s="42"/>
      <c r="BR131" s="42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H131" s="33"/>
      <c r="CI131" s="38" t="str">
        <f>Notes!U132</f>
        <v xml:space="preserve">               </v>
      </c>
      <c r="CJ131" s="4"/>
      <c r="CK131" s="44"/>
      <c r="CL131" s="42"/>
      <c r="CM131" s="42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C131" s="33"/>
      <c r="DD131" s="38" t="str">
        <f>Notes!U132</f>
        <v xml:space="preserve">               </v>
      </c>
      <c r="DE131" s="4"/>
      <c r="DF131" s="44"/>
      <c r="DG131" s="42"/>
      <c r="DH131" s="42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</row>
    <row r="132" spans="1:126" x14ac:dyDescent="0.3">
      <c r="A132" s="12">
        <v>125</v>
      </c>
      <c r="B132" s="33"/>
      <c r="C132" s="38" t="str">
        <f>Notes!U133</f>
        <v xml:space="preserve">               </v>
      </c>
      <c r="D132" s="4"/>
      <c r="E132" s="44"/>
      <c r="F132" s="42"/>
      <c r="G132" s="4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W132" s="33"/>
      <c r="X132" s="38" t="str">
        <f>Notes!U133</f>
        <v xml:space="preserve">               </v>
      </c>
      <c r="Y132" s="4"/>
      <c r="Z132" s="44"/>
      <c r="AA132" s="42"/>
      <c r="AB132" s="42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R132" s="33"/>
      <c r="AS132" s="38" t="str">
        <f>Notes!U133</f>
        <v xml:space="preserve">               </v>
      </c>
      <c r="AT132" s="4"/>
      <c r="AU132" s="44"/>
      <c r="AV132" s="42"/>
      <c r="AW132" s="42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M132" s="33"/>
      <c r="BN132" s="38" t="str">
        <f>Notes!U133</f>
        <v xml:space="preserve">               </v>
      </c>
      <c r="BO132" s="4"/>
      <c r="BP132" s="44"/>
      <c r="BQ132" s="42"/>
      <c r="BR132" s="42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H132" s="33"/>
      <c r="CI132" s="38" t="str">
        <f>Notes!U133</f>
        <v xml:space="preserve">               </v>
      </c>
      <c r="CJ132" s="4"/>
      <c r="CK132" s="44"/>
      <c r="CL132" s="42"/>
      <c r="CM132" s="42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C132" s="33"/>
      <c r="DD132" s="38" t="str">
        <f>Notes!U133</f>
        <v xml:space="preserve">               </v>
      </c>
      <c r="DE132" s="4"/>
      <c r="DF132" s="44"/>
      <c r="DG132" s="42"/>
      <c r="DH132" s="42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</row>
    <row r="133" spans="1:126" x14ac:dyDescent="0.3">
      <c r="A133" s="12">
        <v>126</v>
      </c>
      <c r="B133" s="33"/>
      <c r="C133" s="38" t="str">
        <f>Notes!U134</f>
        <v xml:space="preserve">               </v>
      </c>
      <c r="D133" s="4"/>
      <c r="E133" s="44"/>
      <c r="F133" s="42"/>
      <c r="G133" s="4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W133" s="33"/>
      <c r="X133" s="38" t="str">
        <f>Notes!U134</f>
        <v xml:space="preserve">               </v>
      </c>
      <c r="Y133" s="4"/>
      <c r="Z133" s="44"/>
      <c r="AA133" s="42"/>
      <c r="AB133" s="42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R133" s="33"/>
      <c r="AS133" s="38" t="str">
        <f>Notes!U134</f>
        <v xml:space="preserve">               </v>
      </c>
      <c r="AT133" s="4"/>
      <c r="AU133" s="44"/>
      <c r="AV133" s="42"/>
      <c r="AW133" s="42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M133" s="33"/>
      <c r="BN133" s="38" t="str">
        <f>Notes!U134</f>
        <v xml:space="preserve">               </v>
      </c>
      <c r="BO133" s="4"/>
      <c r="BP133" s="44"/>
      <c r="BQ133" s="42"/>
      <c r="BR133" s="42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H133" s="33"/>
      <c r="CI133" s="38" t="str">
        <f>Notes!U134</f>
        <v xml:space="preserve">               </v>
      </c>
      <c r="CJ133" s="4"/>
      <c r="CK133" s="44"/>
      <c r="CL133" s="42"/>
      <c r="CM133" s="42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C133" s="33"/>
      <c r="DD133" s="38" t="str">
        <f>Notes!U134</f>
        <v xml:space="preserve">               </v>
      </c>
      <c r="DE133" s="4"/>
      <c r="DF133" s="44"/>
      <c r="DG133" s="42"/>
      <c r="DH133" s="42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</row>
    <row r="134" spans="1:126" x14ac:dyDescent="0.3">
      <c r="A134" s="12">
        <v>127</v>
      </c>
      <c r="B134" s="33"/>
      <c r="C134" s="38" t="str">
        <f>Notes!U135</f>
        <v xml:space="preserve">               </v>
      </c>
      <c r="D134" s="4"/>
      <c r="E134" s="44"/>
      <c r="F134" s="42"/>
      <c r="G134" s="4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W134" s="33"/>
      <c r="X134" s="38" t="str">
        <f>Notes!U135</f>
        <v xml:space="preserve">               </v>
      </c>
      <c r="Y134" s="4"/>
      <c r="Z134" s="44"/>
      <c r="AA134" s="42"/>
      <c r="AB134" s="42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R134" s="33"/>
      <c r="AS134" s="38" t="str">
        <f>Notes!U135</f>
        <v xml:space="preserve">               </v>
      </c>
      <c r="AT134" s="4"/>
      <c r="AU134" s="44"/>
      <c r="AV134" s="42"/>
      <c r="AW134" s="42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M134" s="33"/>
      <c r="BN134" s="38" t="str">
        <f>Notes!U135</f>
        <v xml:space="preserve">               </v>
      </c>
      <c r="BO134" s="4"/>
      <c r="BP134" s="44"/>
      <c r="BQ134" s="42"/>
      <c r="BR134" s="42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H134" s="33"/>
      <c r="CI134" s="38" t="str">
        <f>Notes!U135</f>
        <v xml:space="preserve">               </v>
      </c>
      <c r="CJ134" s="4"/>
      <c r="CK134" s="44"/>
      <c r="CL134" s="42"/>
      <c r="CM134" s="42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C134" s="33"/>
      <c r="DD134" s="38" t="str">
        <f>Notes!U135</f>
        <v xml:space="preserve">               </v>
      </c>
      <c r="DE134" s="4"/>
      <c r="DF134" s="44"/>
      <c r="DG134" s="42"/>
      <c r="DH134" s="42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</row>
    <row r="135" spans="1:126" x14ac:dyDescent="0.3">
      <c r="A135" s="12">
        <v>128</v>
      </c>
      <c r="B135" s="33"/>
      <c r="C135" s="38" t="str">
        <f>Notes!U136</f>
        <v xml:space="preserve">               </v>
      </c>
      <c r="D135" s="4"/>
      <c r="E135" s="44"/>
      <c r="F135" s="42"/>
      <c r="G135" s="4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W135" s="33"/>
      <c r="X135" s="38" t="str">
        <f>Notes!U136</f>
        <v xml:space="preserve">               </v>
      </c>
      <c r="Y135" s="4"/>
      <c r="Z135" s="44"/>
      <c r="AA135" s="42"/>
      <c r="AB135" s="42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R135" s="33"/>
      <c r="AS135" s="38" t="str">
        <f>Notes!U136</f>
        <v xml:space="preserve">               </v>
      </c>
      <c r="AT135" s="4"/>
      <c r="AU135" s="44"/>
      <c r="AV135" s="42"/>
      <c r="AW135" s="42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M135" s="33"/>
      <c r="BN135" s="38" t="str">
        <f>Notes!U136</f>
        <v xml:space="preserve">               </v>
      </c>
      <c r="BO135" s="4"/>
      <c r="BP135" s="44"/>
      <c r="BQ135" s="42"/>
      <c r="BR135" s="42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H135" s="33"/>
      <c r="CI135" s="38" t="str">
        <f>Notes!U136</f>
        <v xml:space="preserve">               </v>
      </c>
      <c r="CJ135" s="4"/>
      <c r="CK135" s="44"/>
      <c r="CL135" s="42"/>
      <c r="CM135" s="42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C135" s="33"/>
      <c r="DD135" s="38" t="str">
        <f>Notes!U136</f>
        <v xml:space="preserve">               </v>
      </c>
      <c r="DE135" s="4"/>
      <c r="DF135" s="44"/>
      <c r="DG135" s="42"/>
      <c r="DH135" s="42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</row>
    <row r="136" spans="1:126" x14ac:dyDescent="0.3">
      <c r="A136" s="12">
        <v>129</v>
      </c>
      <c r="B136" s="33"/>
      <c r="C136" s="38" t="str">
        <f>Notes!U137</f>
        <v xml:space="preserve">               </v>
      </c>
      <c r="D136" s="4"/>
      <c r="E136" s="44"/>
      <c r="F136" s="42"/>
      <c r="G136" s="4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W136" s="33"/>
      <c r="X136" s="38" t="str">
        <f>Notes!U137</f>
        <v xml:space="preserve">               </v>
      </c>
      <c r="Y136" s="4"/>
      <c r="Z136" s="44"/>
      <c r="AA136" s="42"/>
      <c r="AB136" s="42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R136" s="33"/>
      <c r="AS136" s="38" t="str">
        <f>Notes!U137</f>
        <v xml:space="preserve">               </v>
      </c>
      <c r="AT136" s="4"/>
      <c r="AU136" s="44"/>
      <c r="AV136" s="42"/>
      <c r="AW136" s="42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M136" s="33"/>
      <c r="BN136" s="38" t="str">
        <f>Notes!U137</f>
        <v xml:space="preserve">               </v>
      </c>
      <c r="BO136" s="4"/>
      <c r="BP136" s="44"/>
      <c r="BQ136" s="42"/>
      <c r="BR136" s="42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H136" s="33"/>
      <c r="CI136" s="38" t="str">
        <f>Notes!U137</f>
        <v xml:space="preserve">               </v>
      </c>
      <c r="CJ136" s="4"/>
      <c r="CK136" s="44"/>
      <c r="CL136" s="42"/>
      <c r="CM136" s="42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C136" s="33"/>
      <c r="DD136" s="38" t="str">
        <f>Notes!U137</f>
        <v xml:space="preserve">               </v>
      </c>
      <c r="DE136" s="4"/>
      <c r="DF136" s="44"/>
      <c r="DG136" s="42"/>
      <c r="DH136" s="42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</row>
    <row r="137" spans="1:126" x14ac:dyDescent="0.3">
      <c r="A137" s="12">
        <v>130</v>
      </c>
      <c r="B137" s="33"/>
      <c r="C137" s="38" t="str">
        <f>Notes!U138</f>
        <v xml:space="preserve">               </v>
      </c>
      <c r="D137" s="4"/>
      <c r="E137" s="44"/>
      <c r="F137" s="42"/>
      <c r="G137" s="4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W137" s="33"/>
      <c r="X137" s="38" t="str">
        <f>Notes!U138</f>
        <v xml:space="preserve">               </v>
      </c>
      <c r="Y137" s="4"/>
      <c r="Z137" s="44"/>
      <c r="AA137" s="42"/>
      <c r="AB137" s="42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R137" s="33"/>
      <c r="AS137" s="38" t="str">
        <f>Notes!U138</f>
        <v xml:space="preserve">               </v>
      </c>
      <c r="AT137" s="4"/>
      <c r="AU137" s="44"/>
      <c r="AV137" s="42"/>
      <c r="AW137" s="42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M137" s="33"/>
      <c r="BN137" s="38" t="str">
        <f>Notes!U138</f>
        <v xml:space="preserve">               </v>
      </c>
      <c r="BO137" s="4"/>
      <c r="BP137" s="44"/>
      <c r="BQ137" s="42"/>
      <c r="BR137" s="42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H137" s="33"/>
      <c r="CI137" s="38" t="str">
        <f>Notes!U138</f>
        <v xml:space="preserve">               </v>
      </c>
      <c r="CJ137" s="4"/>
      <c r="CK137" s="44"/>
      <c r="CL137" s="42"/>
      <c r="CM137" s="42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C137" s="33"/>
      <c r="DD137" s="38" t="str">
        <f>Notes!U138</f>
        <v xml:space="preserve">               </v>
      </c>
      <c r="DE137" s="4"/>
      <c r="DF137" s="44"/>
      <c r="DG137" s="42"/>
      <c r="DH137" s="42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</row>
    <row r="138" spans="1:126" x14ac:dyDescent="0.3">
      <c r="A138" s="12">
        <v>131</v>
      </c>
      <c r="B138" s="33"/>
      <c r="C138" s="38" t="str">
        <f>Notes!U139</f>
        <v xml:space="preserve">               </v>
      </c>
      <c r="D138" s="4"/>
      <c r="E138" s="44"/>
      <c r="F138" s="42"/>
      <c r="G138" s="4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W138" s="33"/>
      <c r="X138" s="38" t="str">
        <f>Notes!U139</f>
        <v xml:space="preserve">               </v>
      </c>
      <c r="Y138" s="4"/>
      <c r="Z138" s="44"/>
      <c r="AA138" s="42"/>
      <c r="AB138" s="42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R138" s="33"/>
      <c r="AS138" s="38" t="str">
        <f>Notes!U139</f>
        <v xml:space="preserve">               </v>
      </c>
      <c r="AT138" s="4"/>
      <c r="AU138" s="44"/>
      <c r="AV138" s="42"/>
      <c r="AW138" s="42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M138" s="33"/>
      <c r="BN138" s="38" t="str">
        <f>Notes!U139</f>
        <v xml:space="preserve">               </v>
      </c>
      <c r="BO138" s="4"/>
      <c r="BP138" s="44"/>
      <c r="BQ138" s="42"/>
      <c r="BR138" s="42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H138" s="33"/>
      <c r="CI138" s="38" t="str">
        <f>Notes!U139</f>
        <v xml:space="preserve">               </v>
      </c>
      <c r="CJ138" s="4"/>
      <c r="CK138" s="44"/>
      <c r="CL138" s="42"/>
      <c r="CM138" s="42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C138" s="33"/>
      <c r="DD138" s="38" t="str">
        <f>Notes!U139</f>
        <v xml:space="preserve">               </v>
      </c>
      <c r="DE138" s="4"/>
      <c r="DF138" s="44"/>
      <c r="DG138" s="42"/>
      <c r="DH138" s="42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</row>
    <row r="139" spans="1:126" x14ac:dyDescent="0.3">
      <c r="A139" s="12">
        <v>132</v>
      </c>
      <c r="B139" s="33"/>
      <c r="C139" s="38" t="str">
        <f>Notes!U140</f>
        <v xml:space="preserve">               </v>
      </c>
      <c r="D139" s="4"/>
      <c r="E139" s="44"/>
      <c r="F139" s="42"/>
      <c r="G139" s="4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W139" s="33"/>
      <c r="X139" s="38" t="str">
        <f>Notes!U140</f>
        <v xml:space="preserve">               </v>
      </c>
      <c r="Y139" s="4"/>
      <c r="Z139" s="44"/>
      <c r="AA139" s="42"/>
      <c r="AB139" s="42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R139" s="33"/>
      <c r="AS139" s="38" t="str">
        <f>Notes!U140</f>
        <v xml:space="preserve">               </v>
      </c>
      <c r="AT139" s="4"/>
      <c r="AU139" s="44"/>
      <c r="AV139" s="42"/>
      <c r="AW139" s="42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M139" s="33"/>
      <c r="BN139" s="38" t="str">
        <f>Notes!U140</f>
        <v xml:space="preserve">               </v>
      </c>
      <c r="BO139" s="4"/>
      <c r="BP139" s="44"/>
      <c r="BQ139" s="42"/>
      <c r="BR139" s="42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H139" s="33"/>
      <c r="CI139" s="38" t="str">
        <f>Notes!U140</f>
        <v xml:space="preserve">               </v>
      </c>
      <c r="CJ139" s="4"/>
      <c r="CK139" s="44"/>
      <c r="CL139" s="42"/>
      <c r="CM139" s="42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C139" s="33"/>
      <c r="DD139" s="38" t="str">
        <f>Notes!U140</f>
        <v xml:space="preserve">               </v>
      </c>
      <c r="DE139" s="4"/>
      <c r="DF139" s="44"/>
      <c r="DG139" s="42"/>
      <c r="DH139" s="42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</row>
    <row r="140" spans="1:126" x14ac:dyDescent="0.3">
      <c r="A140" s="12">
        <v>133</v>
      </c>
      <c r="B140" s="33"/>
      <c r="C140" s="38" t="str">
        <f>Notes!U141</f>
        <v xml:space="preserve">               </v>
      </c>
      <c r="D140" s="4"/>
      <c r="E140" s="44"/>
      <c r="F140" s="42"/>
      <c r="G140" s="4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W140" s="33"/>
      <c r="X140" s="38" t="str">
        <f>Notes!U141</f>
        <v xml:space="preserve">               </v>
      </c>
      <c r="Y140" s="4"/>
      <c r="Z140" s="44"/>
      <c r="AA140" s="42"/>
      <c r="AB140" s="42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R140" s="33"/>
      <c r="AS140" s="38" t="str">
        <f>Notes!U141</f>
        <v xml:space="preserve">               </v>
      </c>
      <c r="AT140" s="4"/>
      <c r="AU140" s="44"/>
      <c r="AV140" s="42"/>
      <c r="AW140" s="42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M140" s="33"/>
      <c r="BN140" s="38" t="str">
        <f>Notes!U141</f>
        <v xml:space="preserve">               </v>
      </c>
      <c r="BO140" s="4"/>
      <c r="BP140" s="44"/>
      <c r="BQ140" s="42"/>
      <c r="BR140" s="42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H140" s="33"/>
      <c r="CI140" s="38" t="str">
        <f>Notes!U141</f>
        <v xml:space="preserve">               </v>
      </c>
      <c r="CJ140" s="4"/>
      <c r="CK140" s="44"/>
      <c r="CL140" s="42"/>
      <c r="CM140" s="42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C140" s="33"/>
      <c r="DD140" s="38" t="str">
        <f>Notes!U141</f>
        <v xml:space="preserve">               </v>
      </c>
      <c r="DE140" s="4"/>
      <c r="DF140" s="44"/>
      <c r="DG140" s="42"/>
      <c r="DH140" s="42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</row>
    <row r="141" spans="1:126" x14ac:dyDescent="0.3">
      <c r="A141" s="12">
        <v>134</v>
      </c>
      <c r="B141" s="33"/>
      <c r="C141" s="38" t="str">
        <f>Notes!U142</f>
        <v xml:space="preserve">               </v>
      </c>
      <c r="D141" s="4"/>
      <c r="E141" s="44"/>
      <c r="F141" s="42"/>
      <c r="G141" s="4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W141" s="33"/>
      <c r="X141" s="38" t="str">
        <f>Notes!U142</f>
        <v xml:space="preserve">               </v>
      </c>
      <c r="Y141" s="4"/>
      <c r="Z141" s="44"/>
      <c r="AA141" s="42"/>
      <c r="AB141" s="42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R141" s="33"/>
      <c r="AS141" s="38" t="str">
        <f>Notes!U142</f>
        <v xml:space="preserve">               </v>
      </c>
      <c r="AT141" s="4"/>
      <c r="AU141" s="44"/>
      <c r="AV141" s="42"/>
      <c r="AW141" s="42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M141" s="33"/>
      <c r="BN141" s="38" t="str">
        <f>Notes!U142</f>
        <v xml:space="preserve">               </v>
      </c>
      <c r="BO141" s="4"/>
      <c r="BP141" s="44"/>
      <c r="BQ141" s="42"/>
      <c r="BR141" s="42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H141" s="33"/>
      <c r="CI141" s="38" t="str">
        <f>Notes!U142</f>
        <v xml:space="preserve">               </v>
      </c>
      <c r="CJ141" s="4"/>
      <c r="CK141" s="44"/>
      <c r="CL141" s="42"/>
      <c r="CM141" s="42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C141" s="33"/>
      <c r="DD141" s="38" t="str">
        <f>Notes!U142</f>
        <v xml:space="preserve">               </v>
      </c>
      <c r="DE141" s="4"/>
      <c r="DF141" s="44"/>
      <c r="DG141" s="42"/>
      <c r="DH141" s="42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</row>
    <row r="142" spans="1:126" x14ac:dyDescent="0.3">
      <c r="A142" s="12">
        <v>135</v>
      </c>
      <c r="B142" s="33"/>
      <c r="C142" s="38" t="str">
        <f>Notes!U143</f>
        <v xml:space="preserve">               </v>
      </c>
      <c r="D142" s="4"/>
      <c r="E142" s="44"/>
      <c r="F142" s="42"/>
      <c r="G142" s="4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W142" s="33"/>
      <c r="X142" s="38" t="str">
        <f>Notes!U143</f>
        <v xml:space="preserve">               </v>
      </c>
      <c r="Y142" s="4"/>
      <c r="Z142" s="44"/>
      <c r="AA142" s="42"/>
      <c r="AB142" s="42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R142" s="33"/>
      <c r="AS142" s="38" t="str">
        <f>Notes!U143</f>
        <v xml:space="preserve">               </v>
      </c>
      <c r="AT142" s="4"/>
      <c r="AU142" s="44"/>
      <c r="AV142" s="42"/>
      <c r="AW142" s="42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M142" s="33"/>
      <c r="BN142" s="38" t="str">
        <f>Notes!U143</f>
        <v xml:space="preserve">               </v>
      </c>
      <c r="BO142" s="4"/>
      <c r="BP142" s="44"/>
      <c r="BQ142" s="42"/>
      <c r="BR142" s="42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H142" s="33"/>
      <c r="CI142" s="38" t="str">
        <f>Notes!U143</f>
        <v xml:space="preserve">               </v>
      </c>
      <c r="CJ142" s="4"/>
      <c r="CK142" s="44"/>
      <c r="CL142" s="42"/>
      <c r="CM142" s="42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C142" s="33"/>
      <c r="DD142" s="38" t="str">
        <f>Notes!U143</f>
        <v xml:space="preserve">               </v>
      </c>
      <c r="DE142" s="4"/>
      <c r="DF142" s="44"/>
      <c r="DG142" s="42"/>
      <c r="DH142" s="42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</row>
    <row r="143" spans="1:126" x14ac:dyDescent="0.3">
      <c r="A143" s="12">
        <v>136</v>
      </c>
      <c r="B143" s="33"/>
      <c r="C143" s="38" t="str">
        <f>Notes!U144</f>
        <v xml:space="preserve">               </v>
      </c>
      <c r="D143" s="4"/>
      <c r="E143" s="44"/>
      <c r="F143" s="42"/>
      <c r="G143" s="4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W143" s="33"/>
      <c r="X143" s="38" t="str">
        <f>Notes!U144</f>
        <v xml:space="preserve">               </v>
      </c>
      <c r="Y143" s="4"/>
      <c r="Z143" s="44"/>
      <c r="AA143" s="42"/>
      <c r="AB143" s="42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R143" s="33"/>
      <c r="AS143" s="38" t="str">
        <f>Notes!U144</f>
        <v xml:space="preserve">               </v>
      </c>
      <c r="AT143" s="4"/>
      <c r="AU143" s="44"/>
      <c r="AV143" s="42"/>
      <c r="AW143" s="42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M143" s="33"/>
      <c r="BN143" s="38" t="str">
        <f>Notes!U144</f>
        <v xml:space="preserve">               </v>
      </c>
      <c r="BO143" s="4"/>
      <c r="BP143" s="44"/>
      <c r="BQ143" s="42"/>
      <c r="BR143" s="42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H143" s="33"/>
      <c r="CI143" s="38" t="str">
        <f>Notes!U144</f>
        <v xml:space="preserve">               </v>
      </c>
      <c r="CJ143" s="4"/>
      <c r="CK143" s="44"/>
      <c r="CL143" s="42"/>
      <c r="CM143" s="42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C143" s="33"/>
      <c r="DD143" s="38" t="str">
        <f>Notes!U144</f>
        <v xml:space="preserve">               </v>
      </c>
      <c r="DE143" s="4"/>
      <c r="DF143" s="44"/>
      <c r="DG143" s="42"/>
      <c r="DH143" s="42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</row>
    <row r="144" spans="1:126" x14ac:dyDescent="0.3">
      <c r="A144" s="12">
        <v>137</v>
      </c>
      <c r="B144" s="33"/>
      <c r="C144" s="38" t="str">
        <f>Notes!U145</f>
        <v xml:space="preserve">               </v>
      </c>
      <c r="D144" s="4"/>
      <c r="E144" s="44"/>
      <c r="F144" s="42"/>
      <c r="G144" s="4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W144" s="33"/>
      <c r="X144" s="38" t="str">
        <f>Notes!U145</f>
        <v xml:space="preserve">               </v>
      </c>
      <c r="Y144" s="4"/>
      <c r="Z144" s="44"/>
      <c r="AA144" s="42"/>
      <c r="AB144" s="42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R144" s="33"/>
      <c r="AS144" s="38" t="str">
        <f>Notes!U145</f>
        <v xml:space="preserve">               </v>
      </c>
      <c r="AT144" s="4"/>
      <c r="AU144" s="44"/>
      <c r="AV144" s="42"/>
      <c r="AW144" s="42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M144" s="33"/>
      <c r="BN144" s="38" t="str">
        <f>Notes!U145</f>
        <v xml:space="preserve">               </v>
      </c>
      <c r="BO144" s="4"/>
      <c r="BP144" s="44"/>
      <c r="BQ144" s="42"/>
      <c r="BR144" s="42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H144" s="33"/>
      <c r="CI144" s="38" t="str">
        <f>Notes!U145</f>
        <v xml:space="preserve">               </v>
      </c>
      <c r="CJ144" s="4"/>
      <c r="CK144" s="44"/>
      <c r="CL144" s="42"/>
      <c r="CM144" s="42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C144" s="33"/>
      <c r="DD144" s="38" t="str">
        <f>Notes!U145</f>
        <v xml:space="preserve">               </v>
      </c>
      <c r="DE144" s="4"/>
      <c r="DF144" s="44"/>
      <c r="DG144" s="42"/>
      <c r="DH144" s="42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</row>
    <row r="145" spans="1:126" x14ac:dyDescent="0.3">
      <c r="A145" s="12">
        <v>138</v>
      </c>
      <c r="B145" s="33"/>
      <c r="C145" s="38" t="str">
        <f>Notes!U146</f>
        <v xml:space="preserve">               </v>
      </c>
      <c r="D145" s="4"/>
      <c r="E145" s="44"/>
      <c r="F145" s="42"/>
      <c r="G145" s="4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W145" s="33"/>
      <c r="X145" s="38" t="str">
        <f>Notes!U146</f>
        <v xml:space="preserve">               </v>
      </c>
      <c r="Y145" s="4"/>
      <c r="Z145" s="44"/>
      <c r="AA145" s="42"/>
      <c r="AB145" s="42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R145" s="33"/>
      <c r="AS145" s="38" t="str">
        <f>Notes!U146</f>
        <v xml:space="preserve">               </v>
      </c>
      <c r="AT145" s="4"/>
      <c r="AU145" s="44"/>
      <c r="AV145" s="42"/>
      <c r="AW145" s="42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M145" s="33"/>
      <c r="BN145" s="38" t="str">
        <f>Notes!U146</f>
        <v xml:space="preserve">               </v>
      </c>
      <c r="BO145" s="4"/>
      <c r="BP145" s="44"/>
      <c r="BQ145" s="42"/>
      <c r="BR145" s="42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H145" s="33"/>
      <c r="CI145" s="38" t="str">
        <f>Notes!U146</f>
        <v xml:space="preserve">               </v>
      </c>
      <c r="CJ145" s="4"/>
      <c r="CK145" s="44"/>
      <c r="CL145" s="42"/>
      <c r="CM145" s="42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C145" s="33"/>
      <c r="DD145" s="38" t="str">
        <f>Notes!U146</f>
        <v xml:space="preserve">               </v>
      </c>
      <c r="DE145" s="4"/>
      <c r="DF145" s="44"/>
      <c r="DG145" s="42"/>
      <c r="DH145" s="42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</row>
    <row r="146" spans="1:126" x14ac:dyDescent="0.3">
      <c r="A146" s="12">
        <v>139</v>
      </c>
      <c r="B146" s="33"/>
      <c r="C146" s="38" t="str">
        <f>Notes!U147</f>
        <v xml:space="preserve">               </v>
      </c>
      <c r="D146" s="4"/>
      <c r="E146" s="44"/>
      <c r="F146" s="42"/>
      <c r="G146" s="4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W146" s="33"/>
      <c r="X146" s="38" t="str">
        <f>Notes!U147</f>
        <v xml:space="preserve">               </v>
      </c>
      <c r="Y146" s="4"/>
      <c r="Z146" s="44"/>
      <c r="AA146" s="42"/>
      <c r="AB146" s="42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R146" s="33"/>
      <c r="AS146" s="38" t="str">
        <f>Notes!U147</f>
        <v xml:space="preserve">               </v>
      </c>
      <c r="AT146" s="4"/>
      <c r="AU146" s="44"/>
      <c r="AV146" s="42"/>
      <c r="AW146" s="42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M146" s="33"/>
      <c r="BN146" s="38" t="str">
        <f>Notes!U147</f>
        <v xml:space="preserve">               </v>
      </c>
      <c r="BO146" s="4"/>
      <c r="BP146" s="44"/>
      <c r="BQ146" s="42"/>
      <c r="BR146" s="42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H146" s="33"/>
      <c r="CI146" s="38" t="str">
        <f>Notes!U147</f>
        <v xml:space="preserve">               </v>
      </c>
      <c r="CJ146" s="4"/>
      <c r="CK146" s="44"/>
      <c r="CL146" s="42"/>
      <c r="CM146" s="42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C146" s="33"/>
      <c r="DD146" s="38" t="str">
        <f>Notes!U147</f>
        <v xml:space="preserve">               </v>
      </c>
      <c r="DE146" s="4"/>
      <c r="DF146" s="44"/>
      <c r="DG146" s="42"/>
      <c r="DH146" s="42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</row>
    <row r="147" spans="1:126" x14ac:dyDescent="0.3">
      <c r="A147" s="12">
        <v>140</v>
      </c>
      <c r="B147" s="33"/>
      <c r="C147" s="38" t="str">
        <f>Notes!U148</f>
        <v xml:space="preserve">               </v>
      </c>
      <c r="D147" s="4"/>
      <c r="E147" s="44"/>
      <c r="F147" s="42"/>
      <c r="G147" s="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W147" s="33"/>
      <c r="X147" s="38" t="str">
        <f>Notes!U148</f>
        <v xml:space="preserve">               </v>
      </c>
      <c r="Y147" s="4"/>
      <c r="Z147" s="44"/>
      <c r="AA147" s="42"/>
      <c r="AB147" s="42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R147" s="33"/>
      <c r="AS147" s="38" t="str">
        <f>Notes!U148</f>
        <v xml:space="preserve">               </v>
      </c>
      <c r="AT147" s="4"/>
      <c r="AU147" s="44"/>
      <c r="AV147" s="42"/>
      <c r="AW147" s="42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M147" s="33"/>
      <c r="BN147" s="38" t="str">
        <f>Notes!U148</f>
        <v xml:space="preserve">               </v>
      </c>
      <c r="BO147" s="4"/>
      <c r="BP147" s="44"/>
      <c r="BQ147" s="42"/>
      <c r="BR147" s="42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H147" s="33"/>
      <c r="CI147" s="38" t="str">
        <f>Notes!U148</f>
        <v xml:space="preserve">               </v>
      </c>
      <c r="CJ147" s="4"/>
      <c r="CK147" s="44"/>
      <c r="CL147" s="42"/>
      <c r="CM147" s="42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C147" s="33"/>
      <c r="DD147" s="38" t="str">
        <f>Notes!U148</f>
        <v xml:space="preserve">               </v>
      </c>
      <c r="DE147" s="4"/>
      <c r="DF147" s="44"/>
      <c r="DG147" s="42"/>
      <c r="DH147" s="42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</row>
    <row r="148" spans="1:126" x14ac:dyDescent="0.3">
      <c r="A148" s="12">
        <v>141</v>
      </c>
      <c r="B148" s="33"/>
      <c r="C148" s="38" t="str">
        <f>Notes!U149</f>
        <v xml:space="preserve">               </v>
      </c>
      <c r="D148" s="4"/>
      <c r="E148" s="44"/>
      <c r="F148" s="42"/>
      <c r="G148" s="4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W148" s="33"/>
      <c r="X148" s="38" t="str">
        <f>Notes!U149</f>
        <v xml:space="preserve">               </v>
      </c>
      <c r="Y148" s="4"/>
      <c r="Z148" s="44"/>
      <c r="AA148" s="42"/>
      <c r="AB148" s="42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R148" s="33"/>
      <c r="AS148" s="38" t="str">
        <f>Notes!U149</f>
        <v xml:space="preserve">               </v>
      </c>
      <c r="AT148" s="4"/>
      <c r="AU148" s="44"/>
      <c r="AV148" s="42"/>
      <c r="AW148" s="42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M148" s="33"/>
      <c r="BN148" s="38" t="str">
        <f>Notes!U149</f>
        <v xml:space="preserve">               </v>
      </c>
      <c r="BO148" s="4"/>
      <c r="BP148" s="44"/>
      <c r="BQ148" s="42"/>
      <c r="BR148" s="42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H148" s="33"/>
      <c r="CI148" s="38" t="str">
        <f>Notes!U149</f>
        <v xml:space="preserve">               </v>
      </c>
      <c r="CJ148" s="4"/>
      <c r="CK148" s="44"/>
      <c r="CL148" s="42"/>
      <c r="CM148" s="42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C148" s="33"/>
      <c r="DD148" s="38" t="str">
        <f>Notes!U149</f>
        <v xml:space="preserve">               </v>
      </c>
      <c r="DE148" s="4"/>
      <c r="DF148" s="44"/>
      <c r="DG148" s="42"/>
      <c r="DH148" s="42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</row>
    <row r="149" spans="1:126" x14ac:dyDescent="0.3">
      <c r="A149" s="12">
        <v>142</v>
      </c>
      <c r="B149" s="33"/>
      <c r="C149" s="38" t="str">
        <f>Notes!U150</f>
        <v xml:space="preserve">               </v>
      </c>
      <c r="D149" s="4"/>
      <c r="E149" s="44"/>
      <c r="F149" s="42"/>
      <c r="G149" s="4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W149" s="33"/>
      <c r="X149" s="38" t="str">
        <f>Notes!U150</f>
        <v xml:space="preserve">               </v>
      </c>
      <c r="Y149" s="4"/>
      <c r="Z149" s="44"/>
      <c r="AA149" s="42"/>
      <c r="AB149" s="42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R149" s="33"/>
      <c r="AS149" s="38" t="str">
        <f>Notes!U150</f>
        <v xml:space="preserve">               </v>
      </c>
      <c r="AT149" s="4"/>
      <c r="AU149" s="44"/>
      <c r="AV149" s="42"/>
      <c r="AW149" s="42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M149" s="33"/>
      <c r="BN149" s="38" t="str">
        <f>Notes!U150</f>
        <v xml:space="preserve">               </v>
      </c>
      <c r="BO149" s="4"/>
      <c r="BP149" s="44"/>
      <c r="BQ149" s="42"/>
      <c r="BR149" s="42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H149" s="33"/>
      <c r="CI149" s="38" t="str">
        <f>Notes!U150</f>
        <v xml:space="preserve">               </v>
      </c>
      <c r="CJ149" s="4"/>
      <c r="CK149" s="44"/>
      <c r="CL149" s="42"/>
      <c r="CM149" s="42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C149" s="33"/>
      <c r="DD149" s="38" t="str">
        <f>Notes!U150</f>
        <v xml:space="preserve">               </v>
      </c>
      <c r="DE149" s="4"/>
      <c r="DF149" s="44"/>
      <c r="DG149" s="42"/>
      <c r="DH149" s="42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</row>
    <row r="150" spans="1:126" x14ac:dyDescent="0.3">
      <c r="A150" s="12">
        <v>143</v>
      </c>
      <c r="B150" s="33"/>
      <c r="C150" s="38" t="str">
        <f>Notes!U151</f>
        <v xml:space="preserve">               </v>
      </c>
      <c r="D150" s="4"/>
      <c r="E150" s="44"/>
      <c r="F150" s="42"/>
      <c r="G150" s="4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W150" s="33"/>
      <c r="X150" s="38" t="str">
        <f>Notes!U151</f>
        <v xml:space="preserve">               </v>
      </c>
      <c r="Y150" s="4"/>
      <c r="Z150" s="44"/>
      <c r="AA150" s="42"/>
      <c r="AB150" s="42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R150" s="33"/>
      <c r="AS150" s="38" t="str">
        <f>Notes!U151</f>
        <v xml:space="preserve">               </v>
      </c>
      <c r="AT150" s="4"/>
      <c r="AU150" s="44"/>
      <c r="AV150" s="42"/>
      <c r="AW150" s="42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M150" s="33"/>
      <c r="BN150" s="38" t="str">
        <f>Notes!U151</f>
        <v xml:space="preserve">               </v>
      </c>
      <c r="BO150" s="4"/>
      <c r="BP150" s="44"/>
      <c r="BQ150" s="42"/>
      <c r="BR150" s="42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H150" s="33"/>
      <c r="CI150" s="38" t="str">
        <f>Notes!U151</f>
        <v xml:space="preserve">               </v>
      </c>
      <c r="CJ150" s="4"/>
      <c r="CK150" s="44"/>
      <c r="CL150" s="42"/>
      <c r="CM150" s="42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C150" s="33"/>
      <c r="DD150" s="38" t="str">
        <f>Notes!U151</f>
        <v xml:space="preserve">               </v>
      </c>
      <c r="DE150" s="4"/>
      <c r="DF150" s="44"/>
      <c r="DG150" s="42"/>
      <c r="DH150" s="42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</row>
    <row r="151" spans="1:126" x14ac:dyDescent="0.3">
      <c r="A151" s="12">
        <v>144</v>
      </c>
      <c r="B151" s="33"/>
      <c r="C151" s="38" t="str">
        <f>Notes!U152</f>
        <v xml:space="preserve">               </v>
      </c>
      <c r="D151" s="4"/>
      <c r="E151" s="44"/>
      <c r="F151" s="42"/>
      <c r="G151" s="4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W151" s="33"/>
      <c r="X151" s="38" t="str">
        <f>Notes!U152</f>
        <v xml:space="preserve">               </v>
      </c>
      <c r="Y151" s="4"/>
      <c r="Z151" s="44"/>
      <c r="AA151" s="42"/>
      <c r="AB151" s="42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R151" s="33"/>
      <c r="AS151" s="38" t="str">
        <f>Notes!U152</f>
        <v xml:space="preserve">               </v>
      </c>
      <c r="AT151" s="4"/>
      <c r="AU151" s="44"/>
      <c r="AV151" s="42"/>
      <c r="AW151" s="42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M151" s="33"/>
      <c r="BN151" s="38" t="str">
        <f>Notes!U152</f>
        <v xml:space="preserve">               </v>
      </c>
      <c r="BO151" s="4"/>
      <c r="BP151" s="44"/>
      <c r="BQ151" s="42"/>
      <c r="BR151" s="42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H151" s="33"/>
      <c r="CI151" s="38" t="str">
        <f>Notes!U152</f>
        <v xml:space="preserve">               </v>
      </c>
      <c r="CJ151" s="4"/>
      <c r="CK151" s="44"/>
      <c r="CL151" s="42"/>
      <c r="CM151" s="42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C151" s="33"/>
      <c r="DD151" s="38" t="str">
        <f>Notes!U152</f>
        <v xml:space="preserve">               </v>
      </c>
      <c r="DE151" s="4"/>
      <c r="DF151" s="44"/>
      <c r="DG151" s="42"/>
      <c r="DH151" s="42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</row>
    <row r="152" spans="1:126" x14ac:dyDescent="0.3">
      <c r="A152" s="12">
        <v>145</v>
      </c>
      <c r="B152" s="33"/>
      <c r="C152" s="38" t="str">
        <f>Notes!U153</f>
        <v xml:space="preserve">               </v>
      </c>
      <c r="D152" s="4"/>
      <c r="E152" s="44"/>
      <c r="F152" s="42"/>
      <c r="G152" s="4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W152" s="33"/>
      <c r="X152" s="38" t="str">
        <f>Notes!U153</f>
        <v xml:space="preserve">               </v>
      </c>
      <c r="Y152" s="4"/>
      <c r="Z152" s="44"/>
      <c r="AA152" s="42"/>
      <c r="AB152" s="42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R152" s="33"/>
      <c r="AS152" s="38" t="str">
        <f>Notes!U153</f>
        <v xml:space="preserve">               </v>
      </c>
      <c r="AT152" s="4"/>
      <c r="AU152" s="44"/>
      <c r="AV152" s="42"/>
      <c r="AW152" s="42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M152" s="33"/>
      <c r="BN152" s="38" t="str">
        <f>Notes!U153</f>
        <v xml:space="preserve">               </v>
      </c>
      <c r="BO152" s="4"/>
      <c r="BP152" s="44"/>
      <c r="BQ152" s="42"/>
      <c r="BR152" s="42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H152" s="33"/>
      <c r="CI152" s="38" t="str">
        <f>Notes!U153</f>
        <v xml:space="preserve">               </v>
      </c>
      <c r="CJ152" s="4"/>
      <c r="CK152" s="44"/>
      <c r="CL152" s="42"/>
      <c r="CM152" s="42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C152" s="33"/>
      <c r="DD152" s="38" t="str">
        <f>Notes!U153</f>
        <v xml:space="preserve">               </v>
      </c>
      <c r="DE152" s="4"/>
      <c r="DF152" s="44"/>
      <c r="DG152" s="42"/>
      <c r="DH152" s="42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</row>
    <row r="153" spans="1:126" x14ac:dyDescent="0.3">
      <c r="A153" s="12">
        <v>146</v>
      </c>
      <c r="B153" s="33"/>
      <c r="C153" s="38" t="str">
        <f>Notes!U154</f>
        <v xml:space="preserve">               </v>
      </c>
      <c r="D153" s="4"/>
      <c r="E153" s="44"/>
      <c r="F153" s="42"/>
      <c r="G153" s="4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W153" s="33"/>
      <c r="X153" s="38" t="str">
        <f>Notes!U154</f>
        <v xml:space="preserve">               </v>
      </c>
      <c r="Y153" s="4"/>
      <c r="Z153" s="44"/>
      <c r="AA153" s="42"/>
      <c r="AB153" s="42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R153" s="33"/>
      <c r="AS153" s="38" t="str">
        <f>Notes!U154</f>
        <v xml:space="preserve">               </v>
      </c>
      <c r="AT153" s="4"/>
      <c r="AU153" s="44"/>
      <c r="AV153" s="42"/>
      <c r="AW153" s="42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M153" s="33"/>
      <c r="BN153" s="38" t="str">
        <f>Notes!U154</f>
        <v xml:space="preserve">               </v>
      </c>
      <c r="BO153" s="4"/>
      <c r="BP153" s="44"/>
      <c r="BQ153" s="42"/>
      <c r="BR153" s="42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H153" s="33"/>
      <c r="CI153" s="38" t="str">
        <f>Notes!U154</f>
        <v xml:space="preserve">               </v>
      </c>
      <c r="CJ153" s="4"/>
      <c r="CK153" s="44"/>
      <c r="CL153" s="42"/>
      <c r="CM153" s="42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C153" s="33"/>
      <c r="DD153" s="38" t="str">
        <f>Notes!U154</f>
        <v xml:space="preserve">               </v>
      </c>
      <c r="DE153" s="4"/>
      <c r="DF153" s="44"/>
      <c r="DG153" s="42"/>
      <c r="DH153" s="42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</row>
    <row r="154" spans="1:126" x14ac:dyDescent="0.3">
      <c r="A154" s="12">
        <v>147</v>
      </c>
      <c r="B154" s="33"/>
      <c r="C154" s="38" t="str">
        <f>Notes!U155</f>
        <v xml:space="preserve">               </v>
      </c>
      <c r="D154" s="4"/>
      <c r="E154" s="44"/>
      <c r="F154" s="42"/>
      <c r="G154" s="4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W154" s="33"/>
      <c r="X154" s="38" t="str">
        <f>Notes!U155</f>
        <v xml:space="preserve">               </v>
      </c>
      <c r="Y154" s="4"/>
      <c r="Z154" s="44"/>
      <c r="AA154" s="42"/>
      <c r="AB154" s="4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R154" s="33"/>
      <c r="AS154" s="38" t="str">
        <f>Notes!U155</f>
        <v xml:space="preserve">               </v>
      </c>
      <c r="AT154" s="4"/>
      <c r="AU154" s="44"/>
      <c r="AV154" s="42"/>
      <c r="AW154" s="42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M154" s="33"/>
      <c r="BN154" s="38" t="str">
        <f>Notes!U155</f>
        <v xml:space="preserve">               </v>
      </c>
      <c r="BO154" s="4"/>
      <c r="BP154" s="44"/>
      <c r="BQ154" s="42"/>
      <c r="BR154" s="42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H154" s="33"/>
      <c r="CI154" s="38" t="str">
        <f>Notes!U155</f>
        <v xml:space="preserve">               </v>
      </c>
      <c r="CJ154" s="4"/>
      <c r="CK154" s="44"/>
      <c r="CL154" s="42"/>
      <c r="CM154" s="42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C154" s="33"/>
      <c r="DD154" s="38" t="str">
        <f>Notes!U155</f>
        <v xml:space="preserve">               </v>
      </c>
      <c r="DE154" s="4"/>
      <c r="DF154" s="44"/>
      <c r="DG154" s="42"/>
      <c r="DH154" s="42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</row>
    <row r="155" spans="1:126" x14ac:dyDescent="0.3">
      <c r="A155" s="12">
        <v>148</v>
      </c>
      <c r="B155" s="33"/>
      <c r="C155" s="38" t="str">
        <f>Notes!U156</f>
        <v xml:space="preserve">               </v>
      </c>
      <c r="D155" s="4"/>
      <c r="E155" s="44"/>
      <c r="F155" s="42"/>
      <c r="G155" s="4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W155" s="33"/>
      <c r="X155" s="38" t="str">
        <f>Notes!U156</f>
        <v xml:space="preserve">               </v>
      </c>
      <c r="Y155" s="4"/>
      <c r="Z155" s="44"/>
      <c r="AA155" s="42"/>
      <c r="AB155" s="42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R155" s="33"/>
      <c r="AS155" s="38" t="str">
        <f>Notes!U156</f>
        <v xml:space="preserve">               </v>
      </c>
      <c r="AT155" s="4"/>
      <c r="AU155" s="44"/>
      <c r="AV155" s="42"/>
      <c r="AW155" s="42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M155" s="33"/>
      <c r="BN155" s="38" t="str">
        <f>Notes!U156</f>
        <v xml:space="preserve">               </v>
      </c>
      <c r="BO155" s="4"/>
      <c r="BP155" s="44"/>
      <c r="BQ155" s="42"/>
      <c r="BR155" s="42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H155" s="33"/>
      <c r="CI155" s="38" t="str">
        <f>Notes!U156</f>
        <v xml:space="preserve">               </v>
      </c>
      <c r="CJ155" s="4"/>
      <c r="CK155" s="44"/>
      <c r="CL155" s="42"/>
      <c r="CM155" s="42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C155" s="33"/>
      <c r="DD155" s="38" t="str">
        <f>Notes!U156</f>
        <v xml:space="preserve">               </v>
      </c>
      <c r="DE155" s="4"/>
      <c r="DF155" s="44"/>
      <c r="DG155" s="42"/>
      <c r="DH155" s="42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</row>
    <row r="156" spans="1:126" x14ac:dyDescent="0.3">
      <c r="A156" s="12">
        <v>149</v>
      </c>
      <c r="B156" s="33"/>
      <c r="C156" s="38" t="str">
        <f>Notes!U157</f>
        <v xml:space="preserve">               </v>
      </c>
      <c r="D156" s="4"/>
      <c r="E156" s="44"/>
      <c r="F156" s="42"/>
      <c r="G156" s="4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W156" s="33"/>
      <c r="X156" s="38" t="str">
        <f>Notes!U157</f>
        <v xml:space="preserve">               </v>
      </c>
      <c r="Y156" s="4"/>
      <c r="Z156" s="44"/>
      <c r="AA156" s="42"/>
      <c r="AB156" s="42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R156" s="33"/>
      <c r="AS156" s="38" t="str">
        <f>Notes!U157</f>
        <v xml:space="preserve">               </v>
      </c>
      <c r="AT156" s="4"/>
      <c r="AU156" s="44"/>
      <c r="AV156" s="42"/>
      <c r="AW156" s="42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M156" s="33"/>
      <c r="BN156" s="38" t="str">
        <f>Notes!U157</f>
        <v xml:space="preserve">               </v>
      </c>
      <c r="BO156" s="4"/>
      <c r="BP156" s="44"/>
      <c r="BQ156" s="42"/>
      <c r="BR156" s="42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H156" s="33"/>
      <c r="CI156" s="38" t="str">
        <f>Notes!U157</f>
        <v xml:space="preserve">               </v>
      </c>
      <c r="CJ156" s="4"/>
      <c r="CK156" s="44"/>
      <c r="CL156" s="42"/>
      <c r="CM156" s="42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C156" s="33"/>
      <c r="DD156" s="38" t="str">
        <f>Notes!U157</f>
        <v xml:space="preserve">               </v>
      </c>
      <c r="DE156" s="4"/>
      <c r="DF156" s="44"/>
      <c r="DG156" s="42"/>
      <c r="DH156" s="42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</row>
    <row r="157" spans="1:126" x14ac:dyDescent="0.3">
      <c r="A157" s="12">
        <v>150</v>
      </c>
      <c r="B157" s="33"/>
      <c r="C157" s="38" t="str">
        <f>Notes!U158</f>
        <v xml:space="preserve">               </v>
      </c>
      <c r="D157" s="4"/>
      <c r="E157" s="45"/>
      <c r="F157" s="42"/>
      <c r="G157" s="4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W157" s="33"/>
      <c r="X157" s="38" t="str">
        <f>Notes!U158</f>
        <v xml:space="preserve">               </v>
      </c>
      <c r="Y157" s="4"/>
      <c r="Z157" s="44"/>
      <c r="AA157" s="42"/>
      <c r="AB157" s="42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R157" s="33"/>
      <c r="AS157" s="38" t="str">
        <f>Notes!U158</f>
        <v xml:space="preserve">               </v>
      </c>
      <c r="AT157" s="4"/>
      <c r="AU157" s="44"/>
      <c r="AV157" s="42"/>
      <c r="AW157" s="42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M157" s="33"/>
      <c r="BN157" s="38" t="str">
        <f>Notes!U158</f>
        <v xml:space="preserve">               </v>
      </c>
      <c r="BO157" s="4"/>
      <c r="BP157" s="44"/>
      <c r="BQ157" s="42"/>
      <c r="BR157" s="42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H157" s="33"/>
      <c r="CI157" s="38" t="str">
        <f>Notes!U158</f>
        <v xml:space="preserve">               </v>
      </c>
      <c r="CJ157" s="4"/>
      <c r="CK157" s="44"/>
      <c r="CL157" s="42"/>
      <c r="CM157" s="42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C157" s="33"/>
      <c r="DD157" s="38" t="str">
        <f>Notes!U158</f>
        <v xml:space="preserve">               </v>
      </c>
      <c r="DE157" s="4"/>
      <c r="DF157" s="44"/>
      <c r="DG157" s="42"/>
      <c r="DH157" s="42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</row>
    <row r="158" spans="1:126" x14ac:dyDescent="0.3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</row>
  </sheetData>
  <sheetProtection sheet="1" objects="1" scenarios="1"/>
  <conditionalFormatting sqref="E8:U157">
    <cfRule type="cellIs" dxfId="13" priority="6" operator="equal">
      <formula>"Eps"</formula>
    </cfRule>
  </conditionalFormatting>
  <conditionalFormatting sqref="Z8:AP157">
    <cfRule type="cellIs" dxfId="12" priority="5" operator="equal">
      <formula>"Eps"</formula>
    </cfRule>
  </conditionalFormatting>
  <conditionalFormatting sqref="AU8:BK157">
    <cfRule type="cellIs" dxfId="11" priority="4" operator="equal">
      <formula>"Eps"</formula>
    </cfRule>
  </conditionalFormatting>
  <conditionalFormatting sqref="BP8:CF157">
    <cfRule type="cellIs" dxfId="10" priority="3" operator="equal">
      <formula>"Eps"</formula>
    </cfRule>
  </conditionalFormatting>
  <conditionalFormatting sqref="CK8:DA157">
    <cfRule type="cellIs" dxfId="9" priority="2" operator="equal">
      <formula>"Eps"</formula>
    </cfRule>
  </conditionalFormatting>
  <conditionalFormatting sqref="DF8:DV157">
    <cfRule type="cellIs" dxfId="8" priority="1" operator="equal">
      <formula>"Eps"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6A3F-C89A-4A7E-82B5-FCC71C2AF6B9}">
  <sheetPr>
    <tabColor theme="8" tint="-0.499984740745262"/>
  </sheetPr>
  <dimension ref="A1:BN158"/>
  <sheetViews>
    <sheetView zoomScale="85" zoomScaleNormal="85" workbookViewId="0">
      <pane ySplit="7" topLeftCell="A8" activePane="bottomLeft" state="frozen"/>
      <selection activeCell="E6" sqref="E6"/>
      <selection pane="bottomLeft" activeCell="C6" sqref="C6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 customWidth="1"/>
    <col min="5" max="21" width="9.109375" customWidth="1"/>
    <col min="22" max="23" width="2.44140625" customWidth="1"/>
    <col min="24" max="24" width="28.88671875" customWidth="1"/>
    <col min="25" max="25" width="9.109375" hidden="1" customWidth="1"/>
    <col min="26" max="42" width="9.109375" customWidth="1"/>
    <col min="43" max="44" width="2.44140625" customWidth="1"/>
    <col min="45" max="45" width="28.88671875" customWidth="1"/>
    <col min="46" max="46" width="9.109375" hidden="1" customWidth="1"/>
    <col min="47" max="63" width="9.109375" customWidth="1"/>
    <col min="64" max="64" width="2.44140625" customWidth="1"/>
    <col min="65" max="16384" width="9.109375" hidden="1"/>
  </cols>
  <sheetData>
    <row r="1" spans="1:66" ht="18" x14ac:dyDescent="0.35">
      <c r="A1" s="9" t="s">
        <v>54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65</v>
      </c>
      <c r="N1" s="8" t="str">
        <f>C5</f>
        <v>Total factor income (YF)</v>
      </c>
    </row>
    <row r="2" spans="1:66" x14ac:dyDescent="0.3">
      <c r="M2" s="8"/>
      <c r="N2" s="8" t="str">
        <f>X5</f>
        <v>Total factor supply (QFS)</v>
      </c>
    </row>
    <row r="3" spans="1:66" x14ac:dyDescent="0.3">
      <c r="M3" s="8"/>
      <c r="N3" s="8" t="str">
        <f>AS5</f>
        <v>Average economywide wages or rents (WF)</v>
      </c>
    </row>
    <row r="4" spans="1:66" x14ac:dyDescent="0.3"/>
    <row r="5" spans="1:66" ht="15.6" x14ac:dyDescent="0.3">
      <c r="B5" s="13"/>
      <c r="C5" s="11" t="s">
        <v>55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56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R5" s="13"/>
      <c r="AS5" s="11" t="s">
        <v>57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spans="1:66" x14ac:dyDescent="0.3">
      <c r="B6" s="29"/>
      <c r="C6" s="35" t="s">
        <v>499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W6" s="29"/>
      <c r="X6" s="35" t="s">
        <v>500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R6" s="29"/>
      <c r="AS6" s="35" t="s">
        <v>501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</row>
    <row r="7" spans="1:66" x14ac:dyDescent="0.3">
      <c r="B7" s="29"/>
      <c r="C7" s="34"/>
      <c r="D7" s="34"/>
      <c r="E7" s="43" t="s">
        <v>260</v>
      </c>
      <c r="F7" s="41" t="s">
        <v>42</v>
      </c>
      <c r="G7" s="41" t="s">
        <v>704</v>
      </c>
      <c r="H7" s="39" t="s">
        <v>481</v>
      </c>
      <c r="I7" s="39" t="s">
        <v>482</v>
      </c>
      <c r="J7" s="39" t="s">
        <v>483</v>
      </c>
      <c r="K7" s="39" t="s">
        <v>484</v>
      </c>
      <c r="L7" s="39" t="s">
        <v>485</v>
      </c>
      <c r="M7" s="39" t="s">
        <v>486</v>
      </c>
      <c r="N7" s="39" t="s">
        <v>487</v>
      </c>
      <c r="O7" s="39" t="s">
        <v>488</v>
      </c>
      <c r="P7" s="39" t="s">
        <v>489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  <c r="W7" s="29"/>
      <c r="X7" s="34"/>
      <c r="Y7" s="34"/>
      <c r="Z7" s="43" t="s">
        <v>260</v>
      </c>
      <c r="AA7" s="41" t="s">
        <v>42</v>
      </c>
      <c r="AB7" s="41" t="s">
        <v>704</v>
      </c>
      <c r="AC7" s="39" t="s">
        <v>481</v>
      </c>
      <c r="AD7" s="39" t="s">
        <v>482</v>
      </c>
      <c r="AE7" s="39" t="s">
        <v>483</v>
      </c>
      <c r="AF7" s="39" t="s">
        <v>484</v>
      </c>
      <c r="AG7" s="39" t="s">
        <v>485</v>
      </c>
      <c r="AH7" s="39" t="s">
        <v>486</v>
      </c>
      <c r="AI7" s="39" t="s">
        <v>487</v>
      </c>
      <c r="AJ7" s="39" t="s">
        <v>488</v>
      </c>
      <c r="AK7" s="39" t="s">
        <v>489</v>
      </c>
      <c r="AL7" s="39" t="s">
        <v>43</v>
      </c>
      <c r="AM7" s="39" t="s">
        <v>44</v>
      </c>
      <c r="AN7" s="39" t="s">
        <v>45</v>
      </c>
      <c r="AO7" s="39" t="s">
        <v>46</v>
      </c>
      <c r="AP7" s="39" t="s">
        <v>47</v>
      </c>
      <c r="AR7" s="29"/>
      <c r="AS7" s="34"/>
      <c r="AT7" s="34"/>
      <c r="AU7" s="43" t="s">
        <v>260</v>
      </c>
      <c r="AV7" s="41" t="s">
        <v>42</v>
      </c>
      <c r="AW7" s="41" t="s">
        <v>704</v>
      </c>
      <c r="AX7" s="39" t="s">
        <v>481</v>
      </c>
      <c r="AY7" s="39" t="s">
        <v>482</v>
      </c>
      <c r="AZ7" s="39" t="s">
        <v>483</v>
      </c>
      <c r="BA7" s="39" t="s">
        <v>484</v>
      </c>
      <c r="BB7" s="39" t="s">
        <v>485</v>
      </c>
      <c r="BC7" s="39" t="s">
        <v>486</v>
      </c>
      <c r="BD7" s="39" t="s">
        <v>487</v>
      </c>
      <c r="BE7" s="39" t="s">
        <v>488</v>
      </c>
      <c r="BF7" s="39" t="s">
        <v>489</v>
      </c>
      <c r="BG7" s="39" t="s">
        <v>43</v>
      </c>
      <c r="BH7" s="39" t="s">
        <v>44</v>
      </c>
      <c r="BI7" s="39" t="s">
        <v>45</v>
      </c>
      <c r="BJ7" s="39" t="s">
        <v>46</v>
      </c>
      <c r="BK7" s="39" t="s">
        <v>47</v>
      </c>
    </row>
    <row r="8" spans="1:66" x14ac:dyDescent="0.3">
      <c r="A8" s="12">
        <v>1</v>
      </c>
      <c r="B8" s="33"/>
      <c r="C8" s="38" t="str">
        <f>Notes!V9</f>
        <v>Labor</v>
      </c>
      <c r="D8" s="4" t="s">
        <v>300</v>
      </c>
      <c r="E8" s="91">
        <v>16843.614306185962</v>
      </c>
      <c r="F8" s="42">
        <v>3.103010748700652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W8" s="33"/>
      <c r="X8" s="38" t="str">
        <f>Notes!V9</f>
        <v>Labor</v>
      </c>
      <c r="Y8" s="4" t="s">
        <v>300</v>
      </c>
      <c r="Z8" s="91">
        <v>16831.960166363868</v>
      </c>
      <c r="AA8" s="42">
        <v>2.0000000000000018</v>
      </c>
      <c r="AB8" s="42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  <c r="AR8" s="33"/>
      <c r="AS8" s="38" t="str">
        <f>Notes!V9</f>
        <v>Labor</v>
      </c>
      <c r="AT8" s="4" t="s">
        <v>300</v>
      </c>
      <c r="AU8" s="44">
        <v>1</v>
      </c>
      <c r="AV8" s="42">
        <v>1.0833185693401637</v>
      </c>
      <c r="AW8" s="42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  <c r="BI8" s="40" t="s">
        <v>48</v>
      </c>
      <c r="BJ8" s="40" t="s">
        <v>48</v>
      </c>
      <c r="BK8" s="40" t="s">
        <v>48</v>
      </c>
    </row>
    <row r="9" spans="1:66" x14ac:dyDescent="0.3">
      <c r="A9" s="12">
        <v>2</v>
      </c>
      <c r="B9" s="33"/>
      <c r="C9" s="38" t="str">
        <f>Notes!V10</f>
        <v xml:space="preserve">      Labor - uneducated</v>
      </c>
      <c r="D9" s="4" t="s">
        <v>588</v>
      </c>
      <c r="E9" s="91">
        <v>5241.5960644212464</v>
      </c>
      <c r="F9" s="42">
        <v>3.0597704818077442</v>
      </c>
      <c r="G9" s="47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V9" s="49"/>
      <c r="W9" s="33"/>
      <c r="X9" s="38" t="str">
        <f>Notes!V10</f>
        <v xml:space="preserve">      Labor - uneducated</v>
      </c>
      <c r="Y9" s="4" t="s">
        <v>588</v>
      </c>
      <c r="Z9" s="91">
        <v>5237.9693906969933</v>
      </c>
      <c r="AA9" s="42">
        <v>2.0000000000000018</v>
      </c>
      <c r="AB9" s="42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Q9" s="49"/>
      <c r="AR9" s="50"/>
      <c r="AS9" s="38" t="str">
        <f>Notes!V10</f>
        <v xml:space="preserve">      Labor - uneducated</v>
      </c>
      <c r="AT9" s="4" t="s">
        <v>588</v>
      </c>
      <c r="AU9" s="44">
        <v>1</v>
      </c>
      <c r="AV9" s="42">
        <v>1.0409016426251361</v>
      </c>
      <c r="AW9" s="42" t="s">
        <v>48</v>
      </c>
      <c r="AX9" s="40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I9" s="48" t="s">
        <v>48</v>
      </c>
      <c r="BJ9" s="48" t="s">
        <v>48</v>
      </c>
      <c r="BK9" s="48" t="s">
        <v>48</v>
      </c>
      <c r="BL9" s="49"/>
      <c r="BM9" s="49"/>
      <c r="BN9" s="49"/>
    </row>
    <row r="10" spans="1:66" x14ac:dyDescent="0.3">
      <c r="A10" s="12">
        <v>3</v>
      </c>
      <c r="B10" s="33"/>
      <c r="C10" s="38" t="str">
        <f>Notes!V11</f>
        <v xml:space="preserve">      Labor - primary</v>
      </c>
      <c r="D10" s="4" t="s">
        <v>590</v>
      </c>
      <c r="E10" s="94">
        <v>3777.120409693217</v>
      </c>
      <c r="F10" s="47">
        <v>3.0768628857709812</v>
      </c>
      <c r="G10" s="42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W10" s="33"/>
      <c r="X10" s="38" t="str">
        <f>Notes!V11</f>
        <v xml:space="preserve">      Labor - primary</v>
      </c>
      <c r="Y10" s="4" t="s">
        <v>590</v>
      </c>
      <c r="Z10" s="94">
        <v>3774.5070104203969</v>
      </c>
      <c r="AA10" s="42">
        <v>2.0000000000000018</v>
      </c>
      <c r="AB10" s="47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  <c r="AR10" s="33"/>
      <c r="AS10" s="38" t="str">
        <f>Notes!V11</f>
        <v xml:space="preserve">      Labor - primary</v>
      </c>
      <c r="AT10" s="4" t="s">
        <v>590</v>
      </c>
      <c r="AU10" s="44">
        <v>1</v>
      </c>
      <c r="AV10" s="42">
        <v>1.0576685963671784</v>
      </c>
      <c r="AW10" s="42" t="s">
        <v>48</v>
      </c>
      <c r="AX10" s="48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  <c r="BI10" s="40" t="s">
        <v>48</v>
      </c>
      <c r="BJ10" s="40" t="s">
        <v>48</v>
      </c>
      <c r="BK10" s="40" t="s">
        <v>48</v>
      </c>
    </row>
    <row r="11" spans="1:66" x14ac:dyDescent="0.3">
      <c r="A11" s="12">
        <v>4</v>
      </c>
      <c r="B11" s="33"/>
      <c r="C11" s="38" t="str">
        <f>Notes!V12</f>
        <v xml:space="preserve">      Labor - secondary</v>
      </c>
      <c r="D11" s="4" t="s">
        <v>591</v>
      </c>
      <c r="E11" s="94">
        <v>3633.4459263278709</v>
      </c>
      <c r="F11" s="47">
        <v>3.1323522371553558</v>
      </c>
      <c r="G11" s="42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W11" s="33"/>
      <c r="X11" s="38" t="str">
        <f>Notes!V12</f>
        <v xml:space="preserve">      Labor - secondary</v>
      </c>
      <c r="Y11" s="4" t="s">
        <v>591</v>
      </c>
      <c r="Z11" s="94">
        <v>3630.9319357975905</v>
      </c>
      <c r="AA11" s="42">
        <v>2.0000000000000018</v>
      </c>
      <c r="AB11" s="47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  <c r="AR11" s="33"/>
      <c r="AS11" s="38" t="str">
        <f>Notes!V12</f>
        <v xml:space="preserve">      Labor - secondary</v>
      </c>
      <c r="AT11" s="4" t="s">
        <v>591</v>
      </c>
      <c r="AU11" s="44">
        <v>1</v>
      </c>
      <c r="AV11" s="42">
        <v>1.1121013310350536</v>
      </c>
      <c r="AW11" s="42" t="s">
        <v>48</v>
      </c>
      <c r="AX11" s="48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  <c r="BI11" s="40" t="s">
        <v>48</v>
      </c>
      <c r="BJ11" s="40" t="s">
        <v>48</v>
      </c>
      <c r="BK11" s="40" t="s">
        <v>48</v>
      </c>
    </row>
    <row r="12" spans="1:66" x14ac:dyDescent="0.3">
      <c r="A12" s="12">
        <v>5</v>
      </c>
      <c r="B12" s="33"/>
      <c r="C12" s="38" t="str">
        <f>Notes!V13</f>
        <v xml:space="preserve">      Labor - tertiary</v>
      </c>
      <c r="D12" s="4" t="s">
        <v>592</v>
      </c>
      <c r="E12" s="94">
        <v>4191.4519057436273</v>
      </c>
      <c r="F12" s="47">
        <v>3.1550260286736131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W12" s="33"/>
      <c r="X12" s="38" t="str">
        <f>Notes!V13</f>
        <v xml:space="preserve">      Labor - tertiary</v>
      </c>
      <c r="Y12" s="4" t="s">
        <v>592</v>
      </c>
      <c r="Z12" s="94">
        <v>4188.5518294488866</v>
      </c>
      <c r="AA12" s="42">
        <v>2.0000000000000018</v>
      </c>
      <c r="AB12" s="47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O12" s="40" t="s">
        <v>48</v>
      </c>
      <c r="AP12" s="40" t="s">
        <v>48</v>
      </c>
      <c r="AR12" s="33"/>
      <c r="AS12" s="38" t="str">
        <f>Notes!V13</f>
        <v xml:space="preserve">      Labor - tertiary</v>
      </c>
      <c r="AT12" s="4" t="s">
        <v>592</v>
      </c>
      <c r="AU12" s="44">
        <v>1</v>
      </c>
      <c r="AV12" s="42">
        <v>1.1343433447192686</v>
      </c>
      <c r="AW12" s="42" t="s">
        <v>48</v>
      </c>
      <c r="AX12" s="48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  <c r="BI12" s="40" t="s">
        <v>48</v>
      </c>
      <c r="BJ12" s="40" t="s">
        <v>48</v>
      </c>
      <c r="BK12" s="40" t="s">
        <v>48</v>
      </c>
    </row>
    <row r="13" spans="1:66" x14ac:dyDescent="0.3">
      <c r="A13" s="12">
        <v>6</v>
      </c>
      <c r="B13" s="33"/>
      <c r="C13" s="38" t="str">
        <f>Notes!V14</f>
        <v xml:space="preserve">   Labor - rural</v>
      </c>
      <c r="D13" s="4" t="s">
        <v>593</v>
      </c>
      <c r="E13" s="94">
        <v>8343.2521660117218</v>
      </c>
      <c r="F13" s="47">
        <v>3.1043630867395811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W13" s="33"/>
      <c r="X13" s="38" t="str">
        <f>Notes!V14</f>
        <v xml:space="preserve">   Labor - rural</v>
      </c>
      <c r="Y13" s="4" t="s">
        <v>593</v>
      </c>
      <c r="Z13" s="94">
        <v>8337.4794484971699</v>
      </c>
      <c r="AA13" s="42">
        <v>2.0000000000000018</v>
      </c>
      <c r="AB13" s="47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O13" s="40" t="s">
        <v>48</v>
      </c>
      <c r="AP13" s="40" t="s">
        <v>48</v>
      </c>
      <c r="AR13" s="33"/>
      <c r="AS13" s="38" t="str">
        <f>Notes!V14</f>
        <v xml:space="preserve">   Labor - rural</v>
      </c>
      <c r="AT13" s="4" t="s">
        <v>593</v>
      </c>
      <c r="AU13" s="44">
        <v>1</v>
      </c>
      <c r="AV13" s="42">
        <v>1.0846451564780146</v>
      </c>
      <c r="AW13" s="42" t="s">
        <v>48</v>
      </c>
      <c r="AX13" s="48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  <c r="BI13" s="40" t="s">
        <v>48</v>
      </c>
      <c r="BJ13" s="40" t="s">
        <v>48</v>
      </c>
      <c r="BK13" s="40" t="s">
        <v>48</v>
      </c>
    </row>
    <row r="14" spans="1:66" x14ac:dyDescent="0.3">
      <c r="A14" s="12">
        <v>7</v>
      </c>
      <c r="B14" s="33"/>
      <c r="C14" s="38" t="str">
        <f>Notes!V15</f>
        <v xml:space="preserve">      Labor - rural uneducated</v>
      </c>
      <c r="D14" s="4" t="s">
        <v>312</v>
      </c>
      <c r="E14" s="94">
        <v>3224.8856604347061</v>
      </c>
      <c r="F14" s="47">
        <v>3.0712091083467286</v>
      </c>
      <c r="G14" s="42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U14" s="40" t="s">
        <v>48</v>
      </c>
      <c r="W14" s="33"/>
      <c r="X14" s="38" t="str">
        <f>Notes!V15</f>
        <v xml:space="preserve">      Labor - rural uneducated</v>
      </c>
      <c r="Y14" s="4" t="s">
        <v>312</v>
      </c>
      <c r="Z14" s="94">
        <v>3222.654353797438</v>
      </c>
      <c r="AA14" s="42">
        <v>2.0000000000000018</v>
      </c>
      <c r="AB14" s="47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O14" s="40" t="s">
        <v>48</v>
      </c>
      <c r="AP14" s="40" t="s">
        <v>48</v>
      </c>
      <c r="AR14" s="33"/>
      <c r="AS14" s="38" t="str">
        <f>Notes!V15</f>
        <v xml:space="preserve">      Labor - rural uneducated</v>
      </c>
      <c r="AT14" s="4" t="s">
        <v>312</v>
      </c>
      <c r="AU14" s="44">
        <v>1</v>
      </c>
      <c r="AV14" s="42">
        <v>1.052122471487138</v>
      </c>
      <c r="AW14" s="42" t="s">
        <v>48</v>
      </c>
      <c r="AX14" s="48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  <c r="BI14" s="40" t="s">
        <v>48</v>
      </c>
      <c r="BJ14" s="40" t="s">
        <v>48</v>
      </c>
      <c r="BK14" s="40" t="s">
        <v>48</v>
      </c>
    </row>
    <row r="15" spans="1:66" x14ac:dyDescent="0.3">
      <c r="A15" s="12">
        <v>8</v>
      </c>
      <c r="B15" s="33"/>
      <c r="C15" s="38" t="str">
        <f>Notes!V16</f>
        <v xml:space="preserve">      Labor - rural primary</v>
      </c>
      <c r="D15" s="4" t="s">
        <v>316</v>
      </c>
      <c r="E15" s="94">
        <v>1984.3947881385466</v>
      </c>
      <c r="F15" s="47">
        <v>3.0729701404907495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W15" s="33"/>
      <c r="X15" s="38" t="str">
        <f>Notes!V16</f>
        <v xml:space="preserve">      Labor - rural primary</v>
      </c>
      <c r="Y15" s="4" t="s">
        <v>316</v>
      </c>
      <c r="Z15" s="94">
        <v>1983.0217803088251</v>
      </c>
      <c r="AA15" s="42">
        <v>2.0000000000000018</v>
      </c>
      <c r="AB15" s="47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O15" s="40" t="s">
        <v>48</v>
      </c>
      <c r="AP15" s="40" t="s">
        <v>48</v>
      </c>
      <c r="AR15" s="33"/>
      <c r="AS15" s="38" t="str">
        <f>Notes!V16</f>
        <v xml:space="preserve">      Labor - rural primary</v>
      </c>
      <c r="AT15" s="4" t="s">
        <v>316</v>
      </c>
      <c r="AU15" s="44">
        <v>1</v>
      </c>
      <c r="AV15" s="42">
        <v>1.0538499722489547</v>
      </c>
      <c r="AW15" s="42" t="s">
        <v>48</v>
      </c>
      <c r="AX15" s="48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  <c r="BI15" s="40" t="s">
        <v>48</v>
      </c>
      <c r="BJ15" s="40" t="s">
        <v>48</v>
      </c>
      <c r="BK15" s="40" t="s">
        <v>48</v>
      </c>
    </row>
    <row r="16" spans="1:66" x14ac:dyDescent="0.3">
      <c r="A16" s="12">
        <v>9</v>
      </c>
      <c r="B16" s="33"/>
      <c r="C16" s="38" t="str">
        <f>Notes!V17</f>
        <v xml:space="preserve">      Labor - rural secondary</v>
      </c>
      <c r="D16" s="4" t="s">
        <v>319</v>
      </c>
      <c r="E16" s="94">
        <v>2019.1586640704327</v>
      </c>
      <c r="F16" s="47">
        <v>3.1452925881653826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W16" s="33"/>
      <c r="X16" s="38" t="str">
        <f>Notes!V17</f>
        <v xml:space="preserve">      Labor - rural secondary</v>
      </c>
      <c r="Y16" s="4" t="s">
        <v>319</v>
      </c>
      <c r="Z16" s="94">
        <v>2017.7616030260326</v>
      </c>
      <c r="AA16" s="42">
        <v>2.0000000000000018</v>
      </c>
      <c r="AB16" s="47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O16" s="40" t="s">
        <v>48</v>
      </c>
      <c r="AP16" s="40" t="s">
        <v>48</v>
      </c>
      <c r="AR16" s="33"/>
      <c r="AS16" s="38" t="str">
        <f>Notes!V17</f>
        <v xml:space="preserve">      Labor - rural secondary</v>
      </c>
      <c r="AT16" s="4" t="s">
        <v>319</v>
      </c>
      <c r="AU16" s="44">
        <v>1</v>
      </c>
      <c r="AV16" s="42">
        <v>1.1247952604724887</v>
      </c>
      <c r="AW16" s="42" t="s">
        <v>48</v>
      </c>
      <c r="AX16" s="48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  <c r="BI16" s="40" t="s">
        <v>48</v>
      </c>
      <c r="BJ16" s="40" t="s">
        <v>48</v>
      </c>
      <c r="BK16" s="40" t="s">
        <v>48</v>
      </c>
    </row>
    <row r="17" spans="1:63" x14ac:dyDescent="0.3">
      <c r="A17" s="12">
        <v>10</v>
      </c>
      <c r="B17" s="33"/>
      <c r="C17" s="38" t="str">
        <f>Notes!V18</f>
        <v xml:space="preserve">      Labor - rural tertiary</v>
      </c>
      <c r="D17" s="4" t="s">
        <v>320</v>
      </c>
      <c r="E17" s="91">
        <v>1114.8130533680376</v>
      </c>
      <c r="F17" s="42">
        <v>3.1816122496882926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W17" s="33"/>
      <c r="X17" s="38" t="str">
        <f>Notes!V18</f>
        <v xml:space="preserve">      Labor - rural tertiary</v>
      </c>
      <c r="Y17" s="4" t="s">
        <v>320</v>
      </c>
      <c r="Z17" s="91">
        <v>1114.0417113648741</v>
      </c>
      <c r="AA17" s="42">
        <v>2.0000000000000018</v>
      </c>
      <c r="AB17" s="42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  <c r="AR17" s="33"/>
      <c r="AS17" s="38" t="str">
        <f>Notes!V18</f>
        <v xml:space="preserve">      Labor - rural tertiary</v>
      </c>
      <c r="AT17" s="4" t="s">
        <v>320</v>
      </c>
      <c r="AU17" s="44">
        <v>1</v>
      </c>
      <c r="AV17" s="42">
        <v>1.1604232625810784</v>
      </c>
      <c r="AW17" s="42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  <c r="BI17" s="40" t="s">
        <v>48</v>
      </c>
      <c r="BJ17" s="40" t="s">
        <v>48</v>
      </c>
      <c r="BK17" s="40" t="s">
        <v>48</v>
      </c>
    </row>
    <row r="18" spans="1:63" x14ac:dyDescent="0.3">
      <c r="A18" s="12">
        <v>11</v>
      </c>
      <c r="B18" s="33"/>
      <c r="C18" s="38" t="str">
        <f>Notes!V19</f>
        <v xml:space="preserve">   Labor - urban</v>
      </c>
      <c r="D18" s="4" t="s">
        <v>322</v>
      </c>
      <c r="E18" s="91">
        <v>8500.3621401742403</v>
      </c>
      <c r="F18" s="42">
        <v>3.1016833020703238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W18" s="33"/>
      <c r="X18" s="38" t="str">
        <f>Notes!V19</f>
        <v xml:space="preserve">   Labor - urban</v>
      </c>
      <c r="Y18" s="4" t="s">
        <v>322</v>
      </c>
      <c r="Z18" s="91">
        <v>8494.4807178666961</v>
      </c>
      <c r="AA18" s="42">
        <v>2.0000000000000018</v>
      </c>
      <c r="AB18" s="42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O18" s="40" t="s">
        <v>48</v>
      </c>
      <c r="AP18" s="40" t="s">
        <v>48</v>
      </c>
      <c r="AR18" s="33"/>
      <c r="AS18" s="38" t="str">
        <f>Notes!V19</f>
        <v xml:space="preserve">   Labor - urban</v>
      </c>
      <c r="AT18" s="4" t="s">
        <v>322</v>
      </c>
      <c r="AU18" s="44">
        <v>1</v>
      </c>
      <c r="AV18" s="42">
        <v>1.0820163995779009</v>
      </c>
      <c r="AW18" s="42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  <c r="BI18" s="40" t="s">
        <v>48</v>
      </c>
      <c r="BJ18" s="40" t="s">
        <v>48</v>
      </c>
      <c r="BK18" s="40" t="s">
        <v>48</v>
      </c>
    </row>
    <row r="19" spans="1:63" x14ac:dyDescent="0.3">
      <c r="A19" s="12">
        <v>12</v>
      </c>
      <c r="B19" s="33"/>
      <c r="C19" s="38" t="str">
        <f>Notes!V20</f>
        <v xml:space="preserve">      Labor - urban uneducated</v>
      </c>
      <c r="D19" s="4" t="s">
        <v>323</v>
      </c>
      <c r="E19" s="91">
        <v>2016.7104039865405</v>
      </c>
      <c r="F19" s="42">
        <v>3.04146333325086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W19" s="33"/>
      <c r="X19" s="38" t="str">
        <f>Notes!V20</f>
        <v xml:space="preserve">      Labor - urban uneducated</v>
      </c>
      <c r="Y19" s="4" t="s">
        <v>323</v>
      </c>
      <c r="Z19" s="91">
        <v>2015.3150368995548</v>
      </c>
      <c r="AA19" s="42">
        <v>2.0000000000000018</v>
      </c>
      <c r="AB19" s="42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O19" s="40" t="s">
        <v>48</v>
      </c>
      <c r="AP19" s="40" t="s">
        <v>48</v>
      </c>
      <c r="AR19" s="33"/>
      <c r="AS19" s="38" t="str">
        <f>Notes!V20</f>
        <v xml:space="preserve">      Labor - urban uneducated</v>
      </c>
      <c r="AT19" s="4" t="s">
        <v>323</v>
      </c>
      <c r="AU19" s="44">
        <v>1</v>
      </c>
      <c r="AV19" s="42">
        <v>1.0229430634358883</v>
      </c>
      <c r="AW19" s="42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  <c r="BI19" s="40" t="s">
        <v>48</v>
      </c>
      <c r="BJ19" s="40" t="s">
        <v>48</v>
      </c>
      <c r="BK19" s="40" t="s">
        <v>48</v>
      </c>
    </row>
    <row r="20" spans="1:63" x14ac:dyDescent="0.3">
      <c r="A20" s="12">
        <v>13</v>
      </c>
      <c r="B20" s="33"/>
      <c r="C20" s="38" t="str">
        <f>Notes!V21</f>
        <v xml:space="preserve">      Labor - urban primary</v>
      </c>
      <c r="D20" s="4" t="s">
        <v>324</v>
      </c>
      <c r="E20" s="91">
        <v>1792.7256215546704</v>
      </c>
      <c r="F20" s="42">
        <v>3.0811707953926737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W20" s="33"/>
      <c r="X20" s="38" t="str">
        <f>Notes!V21</f>
        <v xml:space="preserve">      Labor - urban primary</v>
      </c>
      <c r="Y20" s="4" t="s">
        <v>324</v>
      </c>
      <c r="Z20" s="91">
        <v>1791.4852301115716</v>
      </c>
      <c r="AA20" s="42">
        <v>2.0000000000000018</v>
      </c>
      <c r="AB20" s="42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  <c r="AR20" s="33"/>
      <c r="AS20" s="38" t="str">
        <f>Notes!V21</f>
        <v xml:space="preserve">      Labor - urban primary</v>
      </c>
      <c r="AT20" s="4" t="s">
        <v>324</v>
      </c>
      <c r="AU20" s="44">
        <v>1</v>
      </c>
      <c r="AV20" s="42">
        <v>1.0618944791826568</v>
      </c>
      <c r="AW20" s="42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  <c r="BI20" s="40" t="s">
        <v>48</v>
      </c>
      <c r="BJ20" s="40" t="s">
        <v>48</v>
      </c>
      <c r="BK20" s="40" t="s">
        <v>48</v>
      </c>
    </row>
    <row r="21" spans="1:63" x14ac:dyDescent="0.3">
      <c r="A21" s="12">
        <v>14</v>
      </c>
      <c r="B21" s="33"/>
      <c r="C21" s="38" t="str">
        <f>Notes!V22</f>
        <v xml:space="preserve">      Labor - urban secondary</v>
      </c>
      <c r="D21" s="4" t="s">
        <v>326</v>
      </c>
      <c r="E21" s="91">
        <v>1614.2872622574382</v>
      </c>
      <c r="F21" s="42">
        <v>3.1161526550968599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W21" s="33"/>
      <c r="X21" s="38" t="str">
        <f>Notes!V22</f>
        <v xml:space="preserve">      Labor - urban secondary</v>
      </c>
      <c r="Y21" s="4" t="s">
        <v>326</v>
      </c>
      <c r="Z21" s="91">
        <v>1613.1703327715579</v>
      </c>
      <c r="AA21" s="42">
        <v>2.0000000000000018</v>
      </c>
      <c r="AB21" s="42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  <c r="AR21" s="33"/>
      <c r="AS21" s="38" t="str">
        <f>Notes!V22</f>
        <v xml:space="preserve">      Labor - urban secondary</v>
      </c>
      <c r="AT21" s="4" t="s">
        <v>326</v>
      </c>
      <c r="AU21" s="44">
        <v>1</v>
      </c>
      <c r="AV21" s="42">
        <v>1.096210228194705</v>
      </c>
      <c r="AW21" s="42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  <c r="BI21" s="40" t="s">
        <v>48</v>
      </c>
      <c r="BJ21" s="40" t="s">
        <v>48</v>
      </c>
      <c r="BK21" s="40" t="s">
        <v>48</v>
      </c>
    </row>
    <row r="22" spans="1:63" x14ac:dyDescent="0.3">
      <c r="A22" s="12">
        <v>15</v>
      </c>
      <c r="B22" s="33"/>
      <c r="C22" s="38" t="str">
        <f>Notes!V23</f>
        <v xml:space="preserve">      Labor - urban tertiary</v>
      </c>
      <c r="D22" s="4" t="s">
        <v>328</v>
      </c>
      <c r="E22" s="91">
        <v>3076.63885237559</v>
      </c>
      <c r="F22" s="42">
        <v>3.1453824163408806</v>
      </c>
      <c r="G22" s="42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W22" s="33"/>
      <c r="X22" s="38" t="str">
        <f>Notes!V23</f>
        <v xml:space="preserve">      Labor - urban tertiary</v>
      </c>
      <c r="Y22" s="4" t="s">
        <v>328</v>
      </c>
      <c r="Z22" s="91">
        <v>3074.5101180840129</v>
      </c>
      <c r="AA22" s="42">
        <v>2.0000000000000018</v>
      </c>
      <c r="AB22" s="42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  <c r="AR22" s="33"/>
      <c r="AS22" s="38" t="str">
        <f>Notes!V23</f>
        <v xml:space="preserve">      Labor - urban tertiary</v>
      </c>
      <c r="AT22" s="4" t="s">
        <v>328</v>
      </c>
      <c r="AU22" s="44">
        <v>1</v>
      </c>
      <c r="AV22" s="42">
        <v>1.1248833780416856</v>
      </c>
      <c r="AW22" s="42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  <c r="BI22" s="40" t="s">
        <v>48</v>
      </c>
      <c r="BJ22" s="40" t="s">
        <v>48</v>
      </c>
      <c r="BK22" s="40" t="s">
        <v>48</v>
      </c>
    </row>
    <row r="23" spans="1:63" x14ac:dyDescent="0.3">
      <c r="A23" s="12">
        <v>16</v>
      </c>
      <c r="B23" s="33"/>
      <c r="C23" s="38" t="str">
        <f>Notes!V24</f>
        <v>Crop land</v>
      </c>
      <c r="D23" s="4" t="s">
        <v>7</v>
      </c>
      <c r="E23" s="91">
        <v>1409.6911147336962</v>
      </c>
      <c r="F23" s="42">
        <v>3.0802477562912989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W23" s="33"/>
      <c r="X23" s="38" t="str">
        <f>Notes!V24</f>
        <v>Crop land</v>
      </c>
      <c r="Y23" s="4" t="s">
        <v>7</v>
      </c>
      <c r="Z23" s="91">
        <v>1409.6911147336962</v>
      </c>
      <c r="AA23" s="42">
        <v>2.0000000000000018</v>
      </c>
      <c r="AB23" s="42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  <c r="AR23" s="33"/>
      <c r="AS23" s="38" t="str">
        <f>Notes!V24</f>
        <v>Crop land</v>
      </c>
      <c r="AT23" s="4" t="s">
        <v>7</v>
      </c>
      <c r="AU23" s="44">
        <v>1</v>
      </c>
      <c r="AV23" s="42">
        <v>1.059066427736588</v>
      </c>
      <c r="AW23" s="42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  <c r="BI23" s="40" t="s">
        <v>48</v>
      </c>
      <c r="BJ23" s="40" t="s">
        <v>48</v>
      </c>
      <c r="BK23" s="40" t="s">
        <v>48</v>
      </c>
    </row>
    <row r="24" spans="1:63" x14ac:dyDescent="0.3">
      <c r="A24" s="12">
        <v>17</v>
      </c>
      <c r="B24" s="33"/>
      <c r="C24" s="38" t="str">
        <f>Notes!V25</f>
        <v>Capital</v>
      </c>
      <c r="D24" s="4" t="s">
        <v>331</v>
      </c>
      <c r="E24" s="91">
        <v>30155.22294757772</v>
      </c>
      <c r="F24" s="42">
        <v>3.0430805504421565</v>
      </c>
      <c r="G24" s="42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U24" s="40" t="s">
        <v>48</v>
      </c>
      <c r="W24" s="33"/>
      <c r="X24" s="38" t="str">
        <f>Notes!V25</f>
        <v>Capital</v>
      </c>
      <c r="Y24" s="4" t="s">
        <v>331</v>
      </c>
      <c r="Z24" s="91">
        <v>30117.771198859205</v>
      </c>
      <c r="AA24" s="42">
        <v>2.059155343295993</v>
      </c>
      <c r="AB24" s="42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O24" s="40" t="s">
        <v>48</v>
      </c>
      <c r="AP24" s="40" t="s">
        <v>48</v>
      </c>
      <c r="AR24" s="33"/>
      <c r="AS24" s="38" t="str">
        <f>Notes!V25</f>
        <v>Capital</v>
      </c>
      <c r="AT24" s="4" t="s">
        <v>331</v>
      </c>
      <c r="AU24" s="44">
        <v>1</v>
      </c>
      <c r="AV24" s="42">
        <v>0.96748637555490458</v>
      </c>
      <c r="AW24" s="42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  <c r="BI24" s="40" t="s">
        <v>48</v>
      </c>
      <c r="BJ24" s="40" t="s">
        <v>48</v>
      </c>
      <c r="BK24" s="40" t="s">
        <v>48</v>
      </c>
    </row>
    <row r="25" spans="1:63" x14ac:dyDescent="0.3">
      <c r="A25" s="12">
        <v>18</v>
      </c>
      <c r="B25" s="33"/>
      <c r="C25" s="38" t="str">
        <f>Notes!V26</f>
        <v xml:space="preserve">   Capital - crops</v>
      </c>
      <c r="D25" s="4" t="s">
        <v>335</v>
      </c>
      <c r="E25" s="91">
        <v>74.33553311879794</v>
      </c>
      <c r="F25" s="42">
        <v>2.9222787296115049</v>
      </c>
      <c r="G25" s="42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U25" s="40" t="s">
        <v>48</v>
      </c>
      <c r="W25" s="33"/>
      <c r="X25" s="38" t="str">
        <f>Notes!V26</f>
        <v xml:space="preserve">   Capital - crops</v>
      </c>
      <c r="Y25" s="4" t="s">
        <v>335</v>
      </c>
      <c r="Z25" s="91">
        <v>74.243210945884087</v>
      </c>
      <c r="AA25" s="42">
        <v>2.0491055886095122</v>
      </c>
      <c r="AB25" s="42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O25" s="40" t="s">
        <v>48</v>
      </c>
      <c r="AP25" s="40" t="s">
        <v>48</v>
      </c>
      <c r="AR25" s="33"/>
      <c r="AS25" s="38" t="str">
        <f>Notes!V26</f>
        <v xml:space="preserve">   Capital - crops</v>
      </c>
      <c r="AT25" s="4" t="s">
        <v>335</v>
      </c>
      <c r="AU25" s="44">
        <v>1</v>
      </c>
      <c r="AV25" s="42">
        <v>0.8589298580545357</v>
      </c>
      <c r="AW25" s="42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  <c r="BI25" s="40" t="s">
        <v>48</v>
      </c>
      <c r="BJ25" s="40" t="s">
        <v>48</v>
      </c>
      <c r="BK25" s="40" t="s">
        <v>48</v>
      </c>
    </row>
    <row r="26" spans="1:63" x14ac:dyDescent="0.3">
      <c r="A26" s="12">
        <v>19</v>
      </c>
      <c r="B26" s="33"/>
      <c r="C26" s="38" t="str">
        <f>Notes!V27</f>
        <v xml:space="preserve">   Capital - livestock</v>
      </c>
      <c r="D26" s="4" t="s">
        <v>338</v>
      </c>
      <c r="E26" s="91">
        <v>1306.8473950230489</v>
      </c>
      <c r="F26" s="42">
        <v>2.9653708122576949</v>
      </c>
      <c r="G26" s="42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U26" s="40" t="s">
        <v>48</v>
      </c>
      <c r="W26" s="33"/>
      <c r="X26" s="38" t="str">
        <f>Notes!V27</f>
        <v xml:space="preserve">   Capital - livestock</v>
      </c>
      <c r="Y26" s="4" t="s">
        <v>338</v>
      </c>
      <c r="Z26" s="91">
        <v>1305.2243355505013</v>
      </c>
      <c r="AA26" s="42">
        <v>2.0517456954761704</v>
      </c>
      <c r="AB26" s="42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O26" s="40" t="s">
        <v>48</v>
      </c>
      <c r="AP26" s="40" t="s">
        <v>48</v>
      </c>
      <c r="AR26" s="33"/>
      <c r="AS26" s="38" t="str">
        <f>Notes!V27</f>
        <v xml:space="preserve">   Capital - livestock</v>
      </c>
      <c r="AT26" s="4" t="s">
        <v>338</v>
      </c>
      <c r="AU26" s="44">
        <v>1</v>
      </c>
      <c r="AV26" s="42">
        <v>0.89859050903957627</v>
      </c>
      <c r="AW26" s="42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  <c r="BI26" s="40" t="s">
        <v>48</v>
      </c>
      <c r="BJ26" s="40" t="s">
        <v>48</v>
      </c>
      <c r="BK26" s="40" t="s">
        <v>48</v>
      </c>
    </row>
    <row r="27" spans="1:63" x14ac:dyDescent="0.3">
      <c r="A27" s="12">
        <v>20</v>
      </c>
      <c r="B27" s="33"/>
      <c r="C27" s="38" t="str">
        <f>Notes!V28</f>
        <v xml:space="preserve">   Capital - mining</v>
      </c>
      <c r="D27" s="4" t="s">
        <v>341</v>
      </c>
      <c r="E27" s="91">
        <v>585.54254961874108</v>
      </c>
      <c r="F27" s="42">
        <v>2.8778901938481871</v>
      </c>
      <c r="G27" s="42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U27" s="40" t="s">
        <v>48</v>
      </c>
      <c r="W27" s="33"/>
      <c r="X27" s="38" t="str">
        <f>Notes!V28</f>
        <v xml:space="preserve">   Capital - mining</v>
      </c>
      <c r="Y27" s="4" t="s">
        <v>341</v>
      </c>
      <c r="Z27" s="91">
        <v>584.81532593114173</v>
      </c>
      <c r="AA27" s="42">
        <v>2.0388972055422672</v>
      </c>
      <c r="AB27" s="42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O27" s="40" t="s">
        <v>48</v>
      </c>
      <c r="AP27" s="40" t="s">
        <v>48</v>
      </c>
      <c r="AR27" s="33"/>
      <c r="AS27" s="38" t="str">
        <f>Notes!V28</f>
        <v xml:space="preserve">   Capital - mining</v>
      </c>
      <c r="AT27" s="4" t="s">
        <v>341</v>
      </c>
      <c r="AU27" s="44">
        <v>1</v>
      </c>
      <c r="AV27" s="42">
        <v>0.82547298048982753</v>
      </c>
      <c r="AW27" s="42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  <c r="BI27" s="40" t="s">
        <v>48</v>
      </c>
      <c r="BJ27" s="40" t="s">
        <v>48</v>
      </c>
      <c r="BK27" s="40" t="s">
        <v>48</v>
      </c>
    </row>
    <row r="28" spans="1:63" x14ac:dyDescent="0.3">
      <c r="A28" s="12">
        <v>21</v>
      </c>
      <c r="B28" s="33"/>
      <c r="C28" s="38" t="str">
        <f>Notes!V29</f>
        <v xml:space="preserve">   Capital - non-primary</v>
      </c>
      <c r="D28" s="4" t="s">
        <v>607</v>
      </c>
      <c r="E28" s="91">
        <v>28188.497469817132</v>
      </c>
      <c r="F28" s="42">
        <v>3.0504059367017833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W28" s="33"/>
      <c r="X28" s="38" t="str">
        <f>Notes!V29</f>
        <v xml:space="preserve">   Capital - non-primary</v>
      </c>
      <c r="Y28" s="4" t="s">
        <v>607</v>
      </c>
      <c r="Z28" s="91">
        <v>28153.488326431678</v>
      </c>
      <c r="AA28" s="42">
        <v>2.0599458226745915</v>
      </c>
      <c r="AB28" s="42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O28" s="40" t="s">
        <v>48</v>
      </c>
      <c r="AP28" s="40" t="s">
        <v>48</v>
      </c>
      <c r="AR28" s="33"/>
      <c r="AS28" s="38" t="str">
        <f>Notes!V29</f>
        <v xml:space="preserve">   Capital - non-primary</v>
      </c>
      <c r="AT28" s="4" t="s">
        <v>607</v>
      </c>
      <c r="AU28" s="44">
        <v>1</v>
      </c>
      <c r="AV28" s="42">
        <v>0.97388935691220535</v>
      </c>
      <c r="AW28" s="42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  <c r="BI28" s="40" t="s">
        <v>48</v>
      </c>
      <c r="BJ28" s="40" t="s">
        <v>48</v>
      </c>
      <c r="BK28" s="40" t="s">
        <v>48</v>
      </c>
    </row>
    <row r="29" spans="1:63" x14ac:dyDescent="0.3">
      <c r="A29" s="12">
        <v>22</v>
      </c>
      <c r="B29" s="33"/>
      <c r="C29" s="38" t="str">
        <f>Notes!V30</f>
        <v xml:space="preserve">               </v>
      </c>
      <c r="D29" s="4"/>
      <c r="E29" s="91"/>
      <c r="F29" s="42"/>
      <c r="G29" s="42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W29" s="33"/>
      <c r="X29" s="38" t="str">
        <f>Notes!V30</f>
        <v xml:space="preserve">               </v>
      </c>
      <c r="Y29" s="4"/>
      <c r="Z29" s="91"/>
      <c r="AA29" s="42"/>
      <c r="AB29" s="42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R29" s="33"/>
      <c r="AS29" s="38" t="str">
        <f>Notes!V30</f>
        <v xml:space="preserve">               </v>
      </c>
      <c r="AT29" s="4"/>
      <c r="AU29" s="44"/>
      <c r="AV29" s="42"/>
      <c r="AW29" s="42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</row>
    <row r="30" spans="1:63" x14ac:dyDescent="0.3">
      <c r="A30" s="12">
        <v>23</v>
      </c>
      <c r="B30" s="33"/>
      <c r="C30" s="38" t="str">
        <f>Notes!V31</f>
        <v xml:space="preserve">               </v>
      </c>
      <c r="D30" s="4"/>
      <c r="E30" s="91"/>
      <c r="F30" s="42"/>
      <c r="G30" s="42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W30" s="33"/>
      <c r="X30" s="38" t="str">
        <f>Notes!V31</f>
        <v xml:space="preserve">               </v>
      </c>
      <c r="Y30" s="4"/>
      <c r="Z30" s="91"/>
      <c r="AA30" s="42"/>
      <c r="AB30" s="42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R30" s="33"/>
      <c r="AS30" s="38" t="str">
        <f>Notes!V31</f>
        <v xml:space="preserve">               </v>
      </c>
      <c r="AT30" s="4"/>
      <c r="AU30" s="44"/>
      <c r="AV30" s="42"/>
      <c r="AW30" s="42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</row>
    <row r="31" spans="1:63" x14ac:dyDescent="0.3">
      <c r="A31" s="12">
        <v>24</v>
      </c>
      <c r="B31" s="33"/>
      <c r="C31" s="38" t="str">
        <f>Notes!V32</f>
        <v xml:space="preserve">               </v>
      </c>
      <c r="D31" s="4"/>
      <c r="E31" s="91"/>
      <c r="F31" s="42"/>
      <c r="G31" s="42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W31" s="33"/>
      <c r="X31" s="38" t="str">
        <f>Notes!V32</f>
        <v xml:space="preserve">               </v>
      </c>
      <c r="Y31" s="4"/>
      <c r="Z31" s="91"/>
      <c r="AA31" s="42"/>
      <c r="AB31" s="42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R31" s="33"/>
      <c r="AS31" s="38" t="str">
        <f>Notes!V32</f>
        <v xml:space="preserve">               </v>
      </c>
      <c r="AT31" s="4"/>
      <c r="AU31" s="44"/>
      <c r="AV31" s="42"/>
      <c r="AW31" s="42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</row>
    <row r="32" spans="1:63" x14ac:dyDescent="0.3">
      <c r="A32" s="12">
        <v>25</v>
      </c>
      <c r="B32" s="33"/>
      <c r="C32" s="38" t="str">
        <f>Notes!V33</f>
        <v xml:space="preserve">               </v>
      </c>
      <c r="D32" s="4"/>
      <c r="E32" s="91"/>
      <c r="F32" s="42"/>
      <c r="G32" s="42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W32" s="33"/>
      <c r="X32" s="38" t="str">
        <f>Notes!V33</f>
        <v xml:space="preserve">               </v>
      </c>
      <c r="Y32" s="4"/>
      <c r="Z32" s="91"/>
      <c r="AA32" s="42"/>
      <c r="AB32" s="42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R32" s="33"/>
      <c r="AS32" s="38" t="str">
        <f>Notes!V33</f>
        <v xml:space="preserve">               </v>
      </c>
      <c r="AT32" s="4"/>
      <c r="AU32" s="44"/>
      <c r="AV32" s="42"/>
      <c r="AW32" s="42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</row>
    <row r="33" spans="1:63" x14ac:dyDescent="0.3">
      <c r="A33" s="12">
        <v>26</v>
      </c>
      <c r="B33" s="33"/>
      <c r="C33" s="38" t="str">
        <f>Notes!V34</f>
        <v xml:space="preserve">               </v>
      </c>
      <c r="D33" s="4"/>
      <c r="E33" s="91"/>
      <c r="F33" s="42"/>
      <c r="G33" s="42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W33" s="33"/>
      <c r="X33" s="38" t="str">
        <f>Notes!V34</f>
        <v xml:space="preserve">               </v>
      </c>
      <c r="Y33" s="4"/>
      <c r="Z33" s="91"/>
      <c r="AA33" s="42"/>
      <c r="AB33" s="42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R33" s="33"/>
      <c r="AS33" s="38" t="str">
        <f>Notes!V34</f>
        <v xml:space="preserve">               </v>
      </c>
      <c r="AT33" s="4"/>
      <c r="AU33" s="44"/>
      <c r="AV33" s="42"/>
      <c r="AW33" s="42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</row>
    <row r="34" spans="1:63" x14ac:dyDescent="0.3">
      <c r="A34" s="12">
        <v>27</v>
      </c>
      <c r="B34" s="33"/>
      <c r="C34" s="38" t="str">
        <f>Notes!V35</f>
        <v xml:space="preserve">               </v>
      </c>
      <c r="D34" s="4"/>
      <c r="E34" s="91"/>
      <c r="F34" s="42"/>
      <c r="G34" s="42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W34" s="33"/>
      <c r="X34" s="38" t="str">
        <f>Notes!V35</f>
        <v xml:space="preserve">               </v>
      </c>
      <c r="Y34" s="4"/>
      <c r="Z34" s="91"/>
      <c r="AA34" s="42"/>
      <c r="AB34" s="42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R34" s="33"/>
      <c r="AS34" s="38" t="str">
        <f>Notes!V35</f>
        <v xml:space="preserve">               </v>
      </c>
      <c r="AT34" s="4"/>
      <c r="AU34" s="44"/>
      <c r="AV34" s="42"/>
      <c r="AW34" s="42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</row>
    <row r="35" spans="1:63" x14ac:dyDescent="0.3">
      <c r="A35" s="12">
        <v>28</v>
      </c>
      <c r="B35" s="33"/>
      <c r="C35" s="38" t="str">
        <f>Notes!V36</f>
        <v xml:space="preserve">               </v>
      </c>
      <c r="D35" s="4"/>
      <c r="E35" s="91"/>
      <c r="F35" s="42"/>
      <c r="G35" s="42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W35" s="33"/>
      <c r="X35" s="38" t="str">
        <f>Notes!V36</f>
        <v xml:space="preserve">               </v>
      </c>
      <c r="Y35" s="4"/>
      <c r="Z35" s="91"/>
      <c r="AA35" s="42"/>
      <c r="AB35" s="42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R35" s="33"/>
      <c r="AS35" s="38" t="str">
        <f>Notes!V36</f>
        <v xml:space="preserve">               </v>
      </c>
      <c r="AT35" s="4"/>
      <c r="AU35" s="44"/>
      <c r="AV35" s="42"/>
      <c r="AW35" s="42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</row>
    <row r="36" spans="1:63" x14ac:dyDescent="0.3">
      <c r="A36" s="12">
        <v>29</v>
      </c>
      <c r="B36" s="33"/>
      <c r="C36" s="38" t="str">
        <f>Notes!V37</f>
        <v xml:space="preserve">               </v>
      </c>
      <c r="D36" s="4"/>
      <c r="E36" s="91"/>
      <c r="F36" s="42"/>
      <c r="G36" s="42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W36" s="33"/>
      <c r="X36" s="38" t="str">
        <f>Notes!V37</f>
        <v xml:space="preserve">               </v>
      </c>
      <c r="Y36" s="4"/>
      <c r="Z36" s="91"/>
      <c r="AA36" s="42"/>
      <c r="AB36" s="42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R36" s="33"/>
      <c r="AS36" s="38" t="str">
        <f>Notes!V37</f>
        <v xml:space="preserve">               </v>
      </c>
      <c r="AT36" s="4"/>
      <c r="AU36" s="44"/>
      <c r="AV36" s="42"/>
      <c r="AW36" s="42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</row>
    <row r="37" spans="1:63" x14ac:dyDescent="0.3">
      <c r="A37" s="12">
        <v>30</v>
      </c>
      <c r="B37" s="33"/>
      <c r="C37" s="38" t="str">
        <f>Notes!V38</f>
        <v xml:space="preserve">               </v>
      </c>
      <c r="D37" s="4"/>
      <c r="E37" s="91"/>
      <c r="F37" s="42"/>
      <c r="G37" s="42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W37" s="33"/>
      <c r="X37" s="38" t="str">
        <f>Notes!V38</f>
        <v xml:space="preserve">               </v>
      </c>
      <c r="Y37" s="4"/>
      <c r="Z37" s="91"/>
      <c r="AA37" s="42"/>
      <c r="AB37" s="42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R37" s="33"/>
      <c r="AS37" s="38" t="str">
        <f>Notes!V38</f>
        <v xml:space="preserve">               </v>
      </c>
      <c r="AT37" s="4"/>
      <c r="AU37" s="44"/>
      <c r="AV37" s="42"/>
      <c r="AW37" s="42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</row>
    <row r="38" spans="1:63" x14ac:dyDescent="0.3">
      <c r="A38" s="12">
        <v>31</v>
      </c>
      <c r="B38" s="33"/>
      <c r="C38" s="38" t="str">
        <f>Notes!V39</f>
        <v xml:space="preserve">               </v>
      </c>
      <c r="D38" s="4"/>
      <c r="E38" s="91"/>
      <c r="F38" s="42"/>
      <c r="G38" s="42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W38" s="33"/>
      <c r="X38" s="38" t="str">
        <f>Notes!V39</f>
        <v xml:space="preserve">               </v>
      </c>
      <c r="Y38" s="4"/>
      <c r="Z38" s="91"/>
      <c r="AA38" s="42"/>
      <c r="AB38" s="42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R38" s="33"/>
      <c r="AS38" s="38" t="str">
        <f>Notes!V39</f>
        <v xml:space="preserve">               </v>
      </c>
      <c r="AT38" s="4"/>
      <c r="AU38" s="44"/>
      <c r="AV38" s="42"/>
      <c r="AW38" s="42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</row>
    <row r="39" spans="1:63" x14ac:dyDescent="0.3">
      <c r="A39" s="12">
        <v>32</v>
      </c>
      <c r="B39" s="33"/>
      <c r="C39" s="38" t="str">
        <f>Notes!V40</f>
        <v xml:space="preserve">               </v>
      </c>
      <c r="D39" s="4"/>
      <c r="E39" s="91"/>
      <c r="F39" s="42"/>
      <c r="G39" s="42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W39" s="33"/>
      <c r="X39" s="38" t="str">
        <f>Notes!V40</f>
        <v xml:space="preserve">               </v>
      </c>
      <c r="Y39" s="4"/>
      <c r="Z39" s="91"/>
      <c r="AA39" s="42"/>
      <c r="AB39" s="42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R39" s="33"/>
      <c r="AS39" s="38" t="str">
        <f>Notes!V40</f>
        <v xml:space="preserve">               </v>
      </c>
      <c r="AT39" s="4"/>
      <c r="AU39" s="44"/>
      <c r="AV39" s="42"/>
      <c r="AW39" s="42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</row>
    <row r="40" spans="1:63" x14ac:dyDescent="0.3">
      <c r="A40" s="12">
        <v>33</v>
      </c>
      <c r="B40" s="33"/>
      <c r="C40" s="38" t="str">
        <f>Notes!V41</f>
        <v xml:space="preserve">               </v>
      </c>
      <c r="D40" s="4"/>
      <c r="E40" s="91"/>
      <c r="F40" s="42"/>
      <c r="G40" s="42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W40" s="33"/>
      <c r="X40" s="38" t="str">
        <f>Notes!V41</f>
        <v xml:space="preserve">               </v>
      </c>
      <c r="Y40" s="4"/>
      <c r="Z40" s="91"/>
      <c r="AA40" s="42"/>
      <c r="AB40" s="42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R40" s="33"/>
      <c r="AS40" s="38" t="str">
        <f>Notes!V41</f>
        <v xml:space="preserve">               </v>
      </c>
      <c r="AT40" s="4"/>
      <c r="AU40" s="44"/>
      <c r="AV40" s="42"/>
      <c r="AW40" s="42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</row>
    <row r="41" spans="1:63" x14ac:dyDescent="0.3">
      <c r="A41" s="12">
        <v>34</v>
      </c>
      <c r="B41" s="33"/>
      <c r="C41" s="38" t="str">
        <f>Notes!V42</f>
        <v xml:space="preserve">               </v>
      </c>
      <c r="D41" s="4"/>
      <c r="E41" s="91"/>
      <c r="F41" s="42"/>
      <c r="G41" s="42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W41" s="33"/>
      <c r="X41" s="38" t="str">
        <f>Notes!V42</f>
        <v xml:space="preserve">               </v>
      </c>
      <c r="Y41" s="4"/>
      <c r="Z41" s="91"/>
      <c r="AA41" s="42"/>
      <c r="AB41" s="42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R41" s="33"/>
      <c r="AS41" s="38" t="str">
        <f>Notes!V42</f>
        <v xml:space="preserve">               </v>
      </c>
      <c r="AT41" s="4"/>
      <c r="AU41" s="44"/>
      <c r="AV41" s="42"/>
      <c r="AW41" s="42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</row>
    <row r="42" spans="1:63" x14ac:dyDescent="0.3">
      <c r="A42" s="12">
        <v>35</v>
      </c>
      <c r="B42" s="33"/>
      <c r="C42" s="38" t="str">
        <f>Notes!V43</f>
        <v xml:space="preserve">               </v>
      </c>
      <c r="D42" s="4"/>
      <c r="E42" s="91"/>
      <c r="F42" s="42"/>
      <c r="G42" s="42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W42" s="33"/>
      <c r="X42" s="38" t="str">
        <f>Notes!V43</f>
        <v xml:space="preserve">               </v>
      </c>
      <c r="Y42" s="4"/>
      <c r="Z42" s="91"/>
      <c r="AA42" s="42"/>
      <c r="AB42" s="42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R42" s="33"/>
      <c r="AS42" s="38" t="str">
        <f>Notes!V43</f>
        <v xml:space="preserve">               </v>
      </c>
      <c r="AT42" s="4"/>
      <c r="AU42" s="44"/>
      <c r="AV42" s="42"/>
      <c r="AW42" s="42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</row>
    <row r="43" spans="1:63" x14ac:dyDescent="0.3">
      <c r="A43" s="12">
        <v>36</v>
      </c>
      <c r="B43" s="33"/>
      <c r="C43" s="38" t="str">
        <f>Notes!V44</f>
        <v xml:space="preserve">               </v>
      </c>
      <c r="D43" s="4"/>
      <c r="E43" s="91"/>
      <c r="F43" s="42"/>
      <c r="G43" s="42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W43" s="33"/>
      <c r="X43" s="38" t="str">
        <f>Notes!V44</f>
        <v xml:space="preserve">               </v>
      </c>
      <c r="Y43" s="4"/>
      <c r="Z43" s="91"/>
      <c r="AA43" s="42"/>
      <c r="AB43" s="42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R43" s="33"/>
      <c r="AS43" s="38" t="str">
        <f>Notes!V44</f>
        <v xml:space="preserve">               </v>
      </c>
      <c r="AT43" s="4"/>
      <c r="AU43" s="44"/>
      <c r="AV43" s="42"/>
      <c r="AW43" s="42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</row>
    <row r="44" spans="1:63" x14ac:dyDescent="0.3">
      <c r="A44" s="12">
        <v>37</v>
      </c>
      <c r="B44" s="33"/>
      <c r="C44" s="38" t="str">
        <f>Notes!V45</f>
        <v xml:space="preserve">               </v>
      </c>
      <c r="D44" s="4"/>
      <c r="E44" s="91"/>
      <c r="F44" s="42"/>
      <c r="G44" s="42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W44" s="33"/>
      <c r="X44" s="38" t="str">
        <f>Notes!V45</f>
        <v xml:space="preserve">               </v>
      </c>
      <c r="Y44" s="4"/>
      <c r="Z44" s="91"/>
      <c r="AA44" s="42"/>
      <c r="AB44" s="42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R44" s="33"/>
      <c r="AS44" s="38" t="str">
        <f>Notes!V45</f>
        <v xml:space="preserve">               </v>
      </c>
      <c r="AT44" s="4"/>
      <c r="AU44" s="44"/>
      <c r="AV44" s="42"/>
      <c r="AW44" s="42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</row>
    <row r="45" spans="1:63" x14ac:dyDescent="0.3">
      <c r="A45" s="12">
        <v>38</v>
      </c>
      <c r="B45" s="33"/>
      <c r="C45" s="38" t="str">
        <f>Notes!V46</f>
        <v xml:space="preserve">               </v>
      </c>
      <c r="D45" s="4"/>
      <c r="E45" s="91"/>
      <c r="F45" s="42"/>
      <c r="G45" s="42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W45" s="33"/>
      <c r="X45" s="38" t="str">
        <f>Notes!V46</f>
        <v xml:space="preserve">               </v>
      </c>
      <c r="Y45" s="4"/>
      <c r="Z45" s="91"/>
      <c r="AA45" s="42"/>
      <c r="AB45" s="42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R45" s="33"/>
      <c r="AS45" s="38" t="str">
        <f>Notes!V46</f>
        <v xml:space="preserve">               </v>
      </c>
      <c r="AT45" s="4"/>
      <c r="AU45" s="44"/>
      <c r="AV45" s="42"/>
      <c r="AW45" s="42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</row>
    <row r="46" spans="1:63" x14ac:dyDescent="0.3">
      <c r="A46" s="12">
        <v>39</v>
      </c>
      <c r="B46" s="33"/>
      <c r="C46" s="38" t="str">
        <f>Notes!V47</f>
        <v xml:space="preserve">               </v>
      </c>
      <c r="D46" s="4"/>
      <c r="E46" s="91"/>
      <c r="F46" s="42"/>
      <c r="G46" s="42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W46" s="33"/>
      <c r="X46" s="38" t="str">
        <f>Notes!V47</f>
        <v xml:space="preserve">               </v>
      </c>
      <c r="Y46" s="4"/>
      <c r="Z46" s="91"/>
      <c r="AA46" s="42"/>
      <c r="AB46" s="42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R46" s="33"/>
      <c r="AS46" s="38" t="str">
        <f>Notes!V47</f>
        <v xml:space="preserve">               </v>
      </c>
      <c r="AT46" s="4"/>
      <c r="AU46" s="44"/>
      <c r="AV46" s="42"/>
      <c r="AW46" s="42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</row>
    <row r="47" spans="1:63" x14ac:dyDescent="0.3">
      <c r="A47" s="12">
        <v>40</v>
      </c>
      <c r="B47" s="33"/>
      <c r="C47" s="38" t="str">
        <f>Notes!V48</f>
        <v xml:space="preserve">               </v>
      </c>
      <c r="D47" s="4"/>
      <c r="E47" s="91"/>
      <c r="F47" s="42"/>
      <c r="G47" s="42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W47" s="33"/>
      <c r="X47" s="38" t="str">
        <f>Notes!V48</f>
        <v xml:space="preserve">               </v>
      </c>
      <c r="Y47" s="4"/>
      <c r="Z47" s="91"/>
      <c r="AA47" s="42"/>
      <c r="AB47" s="42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R47" s="33"/>
      <c r="AS47" s="38" t="str">
        <f>Notes!V48</f>
        <v xml:space="preserve">               </v>
      </c>
      <c r="AT47" s="4"/>
      <c r="AU47" s="44"/>
      <c r="AV47" s="42"/>
      <c r="AW47" s="42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</row>
    <row r="48" spans="1:63" x14ac:dyDescent="0.3">
      <c r="A48" s="12">
        <v>41</v>
      </c>
      <c r="B48" s="33"/>
      <c r="C48" s="38" t="str">
        <f>Notes!V49</f>
        <v xml:space="preserve">               </v>
      </c>
      <c r="D48" s="4"/>
      <c r="E48" s="91"/>
      <c r="F48" s="42"/>
      <c r="G48" s="42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W48" s="33"/>
      <c r="X48" s="38" t="str">
        <f>Notes!V49</f>
        <v xml:space="preserve">               </v>
      </c>
      <c r="Y48" s="4"/>
      <c r="Z48" s="91"/>
      <c r="AA48" s="42"/>
      <c r="AB48" s="42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R48" s="33"/>
      <c r="AS48" s="38" t="str">
        <f>Notes!V49</f>
        <v xml:space="preserve">               </v>
      </c>
      <c r="AT48" s="4"/>
      <c r="AU48" s="44"/>
      <c r="AV48" s="42"/>
      <c r="AW48" s="42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</row>
    <row r="49" spans="1:63" x14ac:dyDescent="0.3">
      <c r="A49" s="12">
        <v>42</v>
      </c>
      <c r="B49" s="33"/>
      <c r="C49" s="38" t="str">
        <f>Notes!V50</f>
        <v xml:space="preserve">               </v>
      </c>
      <c r="D49" s="4"/>
      <c r="E49" s="91"/>
      <c r="F49" s="42"/>
      <c r="G49" s="42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W49" s="33"/>
      <c r="X49" s="38" t="str">
        <f>Notes!V50</f>
        <v xml:space="preserve">               </v>
      </c>
      <c r="Y49" s="4"/>
      <c r="Z49" s="91"/>
      <c r="AA49" s="42"/>
      <c r="AB49" s="42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R49" s="33"/>
      <c r="AS49" s="38" t="str">
        <f>Notes!V50</f>
        <v xml:space="preserve">               </v>
      </c>
      <c r="AT49" s="4"/>
      <c r="AU49" s="44"/>
      <c r="AV49" s="42"/>
      <c r="AW49" s="42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</row>
    <row r="50" spans="1:63" x14ac:dyDescent="0.3">
      <c r="A50" s="12">
        <v>43</v>
      </c>
      <c r="B50" s="33"/>
      <c r="C50" s="38" t="str">
        <f>Notes!V51</f>
        <v xml:space="preserve">               </v>
      </c>
      <c r="D50" s="4"/>
      <c r="E50" s="91"/>
      <c r="F50" s="42"/>
      <c r="G50" s="42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W50" s="33"/>
      <c r="X50" s="38" t="str">
        <f>Notes!V51</f>
        <v xml:space="preserve">               </v>
      </c>
      <c r="Y50" s="4"/>
      <c r="Z50" s="91"/>
      <c r="AA50" s="42"/>
      <c r="AB50" s="42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R50" s="33"/>
      <c r="AS50" s="38" t="str">
        <f>Notes!V51</f>
        <v xml:space="preserve">               </v>
      </c>
      <c r="AT50" s="4"/>
      <c r="AU50" s="44"/>
      <c r="AV50" s="42"/>
      <c r="AW50" s="42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</row>
    <row r="51" spans="1:63" x14ac:dyDescent="0.3">
      <c r="A51" s="12">
        <v>44</v>
      </c>
      <c r="B51" s="33"/>
      <c r="C51" s="38" t="str">
        <f>Notes!V52</f>
        <v xml:space="preserve">               </v>
      </c>
      <c r="D51" s="4"/>
      <c r="E51" s="91"/>
      <c r="F51" s="42"/>
      <c r="G51" s="42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W51" s="33"/>
      <c r="X51" s="38" t="str">
        <f>Notes!V52</f>
        <v xml:space="preserve">               </v>
      </c>
      <c r="Y51" s="4"/>
      <c r="Z51" s="91"/>
      <c r="AA51" s="42"/>
      <c r="AB51" s="42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R51" s="33"/>
      <c r="AS51" s="38" t="str">
        <f>Notes!V52</f>
        <v xml:space="preserve">               </v>
      </c>
      <c r="AT51" s="4"/>
      <c r="AU51" s="44"/>
      <c r="AV51" s="42"/>
      <c r="AW51" s="42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</row>
    <row r="52" spans="1:63" x14ac:dyDescent="0.3">
      <c r="A52" s="12">
        <v>45</v>
      </c>
      <c r="B52" s="33"/>
      <c r="C52" s="38" t="str">
        <f>Notes!V53</f>
        <v xml:space="preserve">               </v>
      </c>
      <c r="D52" s="4"/>
      <c r="E52" s="91"/>
      <c r="F52" s="42"/>
      <c r="G52" s="42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W52" s="33"/>
      <c r="X52" s="38" t="str">
        <f>Notes!V53</f>
        <v xml:space="preserve">               </v>
      </c>
      <c r="Y52" s="4"/>
      <c r="Z52" s="91"/>
      <c r="AA52" s="42"/>
      <c r="AB52" s="42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R52" s="33"/>
      <c r="AS52" s="38" t="str">
        <f>Notes!V53</f>
        <v xml:space="preserve">               </v>
      </c>
      <c r="AT52" s="4"/>
      <c r="AU52" s="44"/>
      <c r="AV52" s="42"/>
      <c r="AW52" s="42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</row>
    <row r="53" spans="1:63" x14ac:dyDescent="0.3">
      <c r="A53" s="12">
        <v>46</v>
      </c>
      <c r="B53" s="33"/>
      <c r="C53" s="38" t="str">
        <f>Notes!V54</f>
        <v xml:space="preserve">               </v>
      </c>
      <c r="D53" s="4"/>
      <c r="E53" s="91"/>
      <c r="F53" s="42"/>
      <c r="G53" s="42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W53" s="33"/>
      <c r="X53" s="38" t="str">
        <f>Notes!V54</f>
        <v xml:space="preserve">               </v>
      </c>
      <c r="Y53" s="4"/>
      <c r="Z53" s="91"/>
      <c r="AA53" s="42"/>
      <c r="AB53" s="42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R53" s="33"/>
      <c r="AS53" s="38" t="str">
        <f>Notes!V54</f>
        <v xml:space="preserve">               </v>
      </c>
      <c r="AT53" s="4"/>
      <c r="AU53" s="44"/>
      <c r="AV53" s="42"/>
      <c r="AW53" s="42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</row>
    <row r="54" spans="1:63" x14ac:dyDescent="0.3">
      <c r="A54" s="12">
        <v>47</v>
      </c>
      <c r="B54" s="33"/>
      <c r="C54" s="38" t="str">
        <f>Notes!V55</f>
        <v xml:space="preserve">               </v>
      </c>
      <c r="D54" s="4"/>
      <c r="E54" s="91"/>
      <c r="F54" s="42"/>
      <c r="G54" s="42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W54" s="33"/>
      <c r="X54" s="38" t="str">
        <f>Notes!V55</f>
        <v xml:space="preserve">               </v>
      </c>
      <c r="Y54" s="4"/>
      <c r="Z54" s="91"/>
      <c r="AA54" s="42"/>
      <c r="AB54" s="42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R54" s="33"/>
      <c r="AS54" s="38" t="str">
        <f>Notes!V55</f>
        <v xml:space="preserve">               </v>
      </c>
      <c r="AT54" s="4"/>
      <c r="AU54" s="44"/>
      <c r="AV54" s="42"/>
      <c r="AW54" s="42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</row>
    <row r="55" spans="1:63" x14ac:dyDescent="0.3">
      <c r="A55" s="12">
        <v>48</v>
      </c>
      <c r="B55" s="33"/>
      <c r="C55" s="38" t="str">
        <f>Notes!V56</f>
        <v xml:space="preserve">               </v>
      </c>
      <c r="D55" s="4"/>
      <c r="E55" s="91"/>
      <c r="F55" s="42"/>
      <c r="G55" s="42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W55" s="33"/>
      <c r="X55" s="38" t="str">
        <f>Notes!V56</f>
        <v xml:space="preserve">               </v>
      </c>
      <c r="Y55" s="4"/>
      <c r="Z55" s="91"/>
      <c r="AA55" s="42"/>
      <c r="AB55" s="42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R55" s="33"/>
      <c r="AS55" s="38" t="str">
        <f>Notes!V56</f>
        <v xml:space="preserve">               </v>
      </c>
      <c r="AT55" s="4"/>
      <c r="AU55" s="44"/>
      <c r="AV55" s="42"/>
      <c r="AW55" s="42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</row>
    <row r="56" spans="1:63" x14ac:dyDescent="0.3">
      <c r="A56" s="12">
        <v>49</v>
      </c>
      <c r="B56" s="33"/>
      <c r="C56" s="38" t="str">
        <f>Notes!V57</f>
        <v xml:space="preserve">               </v>
      </c>
      <c r="D56" s="4"/>
      <c r="E56" s="91"/>
      <c r="F56" s="42"/>
      <c r="G56" s="42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W56" s="33"/>
      <c r="X56" s="38" t="str">
        <f>Notes!V57</f>
        <v xml:space="preserve">               </v>
      </c>
      <c r="Y56" s="4"/>
      <c r="Z56" s="91"/>
      <c r="AA56" s="42"/>
      <c r="AB56" s="42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R56" s="33"/>
      <c r="AS56" s="38" t="str">
        <f>Notes!V57</f>
        <v xml:space="preserve">               </v>
      </c>
      <c r="AT56" s="4"/>
      <c r="AU56" s="44"/>
      <c r="AV56" s="42"/>
      <c r="AW56" s="42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</row>
    <row r="57" spans="1:63" x14ac:dyDescent="0.3">
      <c r="A57" s="12">
        <v>50</v>
      </c>
      <c r="B57" s="33"/>
      <c r="C57" s="38" t="str">
        <f>Notes!V58</f>
        <v xml:space="preserve">               </v>
      </c>
      <c r="D57" s="4"/>
      <c r="E57" s="91"/>
      <c r="F57" s="42"/>
      <c r="G57" s="42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W57" s="33"/>
      <c r="X57" s="38" t="str">
        <f>Notes!V58</f>
        <v xml:space="preserve">               </v>
      </c>
      <c r="Y57" s="4"/>
      <c r="Z57" s="91"/>
      <c r="AA57" s="42"/>
      <c r="AB57" s="42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R57" s="33"/>
      <c r="AS57" s="38" t="str">
        <f>Notes!V58</f>
        <v xml:space="preserve">               </v>
      </c>
      <c r="AT57" s="4"/>
      <c r="AU57" s="44"/>
      <c r="AV57" s="42"/>
      <c r="AW57" s="42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</row>
    <row r="58" spans="1:63" x14ac:dyDescent="0.3">
      <c r="A58" s="12">
        <v>51</v>
      </c>
      <c r="B58" s="33"/>
      <c r="C58" s="38" t="str">
        <f>Notes!V59</f>
        <v xml:space="preserve">               </v>
      </c>
      <c r="D58" s="4"/>
      <c r="E58" s="91"/>
      <c r="F58" s="42"/>
      <c r="G58" s="42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W58" s="33"/>
      <c r="X58" s="38" t="str">
        <f>Notes!V59</f>
        <v xml:space="preserve">               </v>
      </c>
      <c r="Y58" s="4"/>
      <c r="Z58" s="91"/>
      <c r="AA58" s="42"/>
      <c r="AB58" s="42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R58" s="33"/>
      <c r="AS58" s="38" t="str">
        <f>Notes!V59</f>
        <v xml:space="preserve">               </v>
      </c>
      <c r="AT58" s="4"/>
      <c r="AU58" s="44"/>
      <c r="AV58" s="42"/>
      <c r="AW58" s="42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</row>
    <row r="59" spans="1:63" x14ac:dyDescent="0.3">
      <c r="A59" s="12">
        <v>52</v>
      </c>
      <c r="B59" s="33"/>
      <c r="C59" s="38" t="str">
        <f>Notes!V60</f>
        <v xml:space="preserve">               </v>
      </c>
      <c r="D59" s="4"/>
      <c r="E59" s="91"/>
      <c r="F59" s="42"/>
      <c r="G59" s="42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W59" s="33"/>
      <c r="X59" s="38" t="str">
        <f>Notes!V60</f>
        <v xml:space="preserve">               </v>
      </c>
      <c r="Y59" s="4"/>
      <c r="Z59" s="91"/>
      <c r="AA59" s="42"/>
      <c r="AB59" s="42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R59" s="33"/>
      <c r="AS59" s="38" t="str">
        <f>Notes!V60</f>
        <v xml:space="preserve">               </v>
      </c>
      <c r="AT59" s="4"/>
      <c r="AU59" s="44"/>
      <c r="AV59" s="42"/>
      <c r="AW59" s="42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</row>
    <row r="60" spans="1:63" x14ac:dyDescent="0.3">
      <c r="A60" s="12">
        <v>53</v>
      </c>
      <c r="B60" s="33"/>
      <c r="C60" s="38" t="str">
        <f>Notes!V61</f>
        <v xml:space="preserve">               </v>
      </c>
      <c r="D60" s="4"/>
      <c r="E60" s="91"/>
      <c r="F60" s="42"/>
      <c r="G60" s="42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W60" s="33"/>
      <c r="X60" s="38" t="str">
        <f>Notes!V61</f>
        <v xml:space="preserve">               </v>
      </c>
      <c r="Y60" s="4"/>
      <c r="Z60" s="91"/>
      <c r="AA60" s="42"/>
      <c r="AB60" s="42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R60" s="33"/>
      <c r="AS60" s="38" t="str">
        <f>Notes!V61</f>
        <v xml:space="preserve">               </v>
      </c>
      <c r="AT60" s="4"/>
      <c r="AU60" s="44"/>
      <c r="AV60" s="42"/>
      <c r="AW60" s="42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</row>
    <row r="61" spans="1:63" x14ac:dyDescent="0.3">
      <c r="A61" s="12">
        <v>54</v>
      </c>
      <c r="B61" s="33"/>
      <c r="C61" s="38" t="str">
        <f>Notes!V62</f>
        <v xml:space="preserve">               </v>
      </c>
      <c r="D61" s="4"/>
      <c r="E61" s="91"/>
      <c r="F61" s="42"/>
      <c r="G61" s="42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W61" s="33"/>
      <c r="X61" s="38" t="str">
        <f>Notes!V62</f>
        <v xml:space="preserve">               </v>
      </c>
      <c r="Y61" s="4"/>
      <c r="Z61" s="91"/>
      <c r="AA61" s="42"/>
      <c r="AB61" s="42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R61" s="33"/>
      <c r="AS61" s="38" t="str">
        <f>Notes!V62</f>
        <v xml:space="preserve">               </v>
      </c>
      <c r="AT61" s="4"/>
      <c r="AU61" s="44"/>
      <c r="AV61" s="42"/>
      <c r="AW61" s="42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</row>
    <row r="62" spans="1:63" x14ac:dyDescent="0.3">
      <c r="A62" s="12">
        <v>55</v>
      </c>
      <c r="B62" s="33"/>
      <c r="C62" s="38" t="str">
        <f>Notes!V63</f>
        <v xml:space="preserve">               </v>
      </c>
      <c r="D62" s="4"/>
      <c r="E62" s="91"/>
      <c r="F62" s="42"/>
      <c r="G62" s="42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W62" s="33"/>
      <c r="X62" s="38" t="str">
        <f>Notes!V63</f>
        <v xml:space="preserve">               </v>
      </c>
      <c r="Y62" s="4"/>
      <c r="Z62" s="91"/>
      <c r="AA62" s="42"/>
      <c r="AB62" s="42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R62" s="33"/>
      <c r="AS62" s="38" t="str">
        <f>Notes!V63</f>
        <v xml:space="preserve">               </v>
      </c>
      <c r="AT62" s="4"/>
      <c r="AU62" s="44"/>
      <c r="AV62" s="42"/>
      <c r="AW62" s="42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</row>
    <row r="63" spans="1:63" x14ac:dyDescent="0.3">
      <c r="A63" s="12">
        <v>56</v>
      </c>
      <c r="B63" s="33"/>
      <c r="C63" s="38" t="str">
        <f>Notes!V64</f>
        <v xml:space="preserve">               </v>
      </c>
      <c r="D63" s="4"/>
      <c r="E63" s="91"/>
      <c r="F63" s="42"/>
      <c r="G63" s="42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W63" s="33"/>
      <c r="X63" s="38" t="str">
        <f>Notes!V64</f>
        <v xml:space="preserve">               </v>
      </c>
      <c r="Y63" s="4"/>
      <c r="Z63" s="91"/>
      <c r="AA63" s="42"/>
      <c r="AB63" s="42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R63" s="33"/>
      <c r="AS63" s="38" t="str">
        <f>Notes!V64</f>
        <v xml:space="preserve">               </v>
      </c>
      <c r="AT63" s="4"/>
      <c r="AU63" s="44"/>
      <c r="AV63" s="42"/>
      <c r="AW63" s="42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</row>
    <row r="64" spans="1:63" x14ac:dyDescent="0.3">
      <c r="A64" s="12">
        <v>57</v>
      </c>
      <c r="B64" s="33"/>
      <c r="C64" s="38" t="str">
        <f>Notes!V65</f>
        <v xml:space="preserve">               </v>
      </c>
      <c r="D64" s="4"/>
      <c r="E64" s="91"/>
      <c r="F64" s="42"/>
      <c r="G64" s="42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W64" s="33"/>
      <c r="X64" s="38" t="str">
        <f>Notes!V65</f>
        <v xml:space="preserve">               </v>
      </c>
      <c r="Y64" s="4"/>
      <c r="Z64" s="91"/>
      <c r="AA64" s="42"/>
      <c r="AB64" s="42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R64" s="33"/>
      <c r="AS64" s="38" t="str">
        <f>Notes!V65</f>
        <v xml:space="preserve">               </v>
      </c>
      <c r="AT64" s="4"/>
      <c r="AU64" s="44"/>
      <c r="AV64" s="42"/>
      <c r="AW64" s="42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</row>
    <row r="65" spans="1:63" x14ac:dyDescent="0.3">
      <c r="A65" s="12">
        <v>58</v>
      </c>
      <c r="B65" s="33"/>
      <c r="C65" s="38" t="str">
        <f>Notes!V66</f>
        <v xml:space="preserve">               </v>
      </c>
      <c r="D65" s="4"/>
      <c r="E65" s="91"/>
      <c r="F65" s="42"/>
      <c r="G65" s="42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W65" s="33"/>
      <c r="X65" s="38" t="str">
        <f>Notes!V66</f>
        <v xml:space="preserve">               </v>
      </c>
      <c r="Y65" s="4"/>
      <c r="Z65" s="91"/>
      <c r="AA65" s="42"/>
      <c r="AB65" s="42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R65" s="33"/>
      <c r="AS65" s="38" t="str">
        <f>Notes!V66</f>
        <v xml:space="preserve">               </v>
      </c>
      <c r="AT65" s="4"/>
      <c r="AU65" s="44"/>
      <c r="AV65" s="42"/>
      <c r="AW65" s="42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</row>
    <row r="66" spans="1:63" x14ac:dyDescent="0.3">
      <c r="A66" s="12">
        <v>59</v>
      </c>
      <c r="B66" s="33"/>
      <c r="C66" s="38" t="str">
        <f>Notes!V67</f>
        <v xml:space="preserve">               </v>
      </c>
      <c r="D66" s="4"/>
      <c r="E66" s="91"/>
      <c r="F66" s="42"/>
      <c r="G66" s="42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W66" s="33"/>
      <c r="X66" s="38" t="str">
        <f>Notes!V67</f>
        <v xml:space="preserve">               </v>
      </c>
      <c r="Y66" s="4"/>
      <c r="Z66" s="91"/>
      <c r="AA66" s="42"/>
      <c r="AB66" s="42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R66" s="33"/>
      <c r="AS66" s="38" t="str">
        <f>Notes!V67</f>
        <v xml:space="preserve">               </v>
      </c>
      <c r="AT66" s="4"/>
      <c r="AU66" s="44"/>
      <c r="AV66" s="42"/>
      <c r="AW66" s="42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</row>
    <row r="67" spans="1:63" x14ac:dyDescent="0.3">
      <c r="A67" s="12">
        <v>60</v>
      </c>
      <c r="B67" s="33"/>
      <c r="C67" s="38" t="str">
        <f>Notes!V68</f>
        <v xml:space="preserve">               </v>
      </c>
      <c r="D67" s="4"/>
      <c r="E67" s="91"/>
      <c r="F67" s="42"/>
      <c r="G67" s="42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W67" s="33"/>
      <c r="X67" s="38" t="str">
        <f>Notes!V68</f>
        <v xml:space="preserve">               </v>
      </c>
      <c r="Y67" s="4"/>
      <c r="Z67" s="91"/>
      <c r="AA67" s="42"/>
      <c r="AB67" s="42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R67" s="33"/>
      <c r="AS67" s="38" t="str">
        <f>Notes!V68</f>
        <v xml:space="preserve">               </v>
      </c>
      <c r="AT67" s="4"/>
      <c r="AU67" s="44"/>
      <c r="AV67" s="42"/>
      <c r="AW67" s="42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</row>
    <row r="68" spans="1:63" x14ac:dyDescent="0.3">
      <c r="A68" s="12">
        <v>61</v>
      </c>
      <c r="B68" s="33"/>
      <c r="C68" s="38" t="str">
        <f>Notes!V69</f>
        <v xml:space="preserve">               </v>
      </c>
      <c r="D68" s="4"/>
      <c r="E68" s="91"/>
      <c r="F68" s="42"/>
      <c r="G68" s="42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W68" s="33"/>
      <c r="X68" s="38" t="str">
        <f>Notes!V69</f>
        <v xml:space="preserve">               </v>
      </c>
      <c r="Y68" s="4"/>
      <c r="Z68" s="91"/>
      <c r="AA68" s="42"/>
      <c r="AB68" s="42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R68" s="33"/>
      <c r="AS68" s="38" t="str">
        <f>Notes!V69</f>
        <v xml:space="preserve">               </v>
      </c>
      <c r="AT68" s="4"/>
      <c r="AU68" s="44"/>
      <c r="AV68" s="42"/>
      <c r="AW68" s="42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</row>
    <row r="69" spans="1:63" x14ac:dyDescent="0.3">
      <c r="A69" s="12">
        <v>62</v>
      </c>
      <c r="B69" s="33"/>
      <c r="C69" s="38" t="str">
        <f>Notes!V70</f>
        <v xml:space="preserve">               </v>
      </c>
      <c r="D69" s="4"/>
      <c r="E69" s="91"/>
      <c r="F69" s="42"/>
      <c r="G69" s="42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W69" s="33"/>
      <c r="X69" s="38" t="str">
        <f>Notes!V70</f>
        <v xml:space="preserve">               </v>
      </c>
      <c r="Y69" s="4"/>
      <c r="Z69" s="91"/>
      <c r="AA69" s="42"/>
      <c r="AB69" s="42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R69" s="33"/>
      <c r="AS69" s="38" t="str">
        <f>Notes!V70</f>
        <v xml:space="preserve">               </v>
      </c>
      <c r="AT69" s="4"/>
      <c r="AU69" s="44"/>
      <c r="AV69" s="42"/>
      <c r="AW69" s="42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</row>
    <row r="70" spans="1:63" x14ac:dyDescent="0.3">
      <c r="A70" s="12">
        <v>63</v>
      </c>
      <c r="B70" s="33"/>
      <c r="C70" s="38" t="str">
        <f>Notes!V71</f>
        <v xml:space="preserve">               </v>
      </c>
      <c r="D70" s="4"/>
      <c r="E70" s="91"/>
      <c r="F70" s="42"/>
      <c r="G70" s="42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W70" s="33"/>
      <c r="X70" s="38" t="str">
        <f>Notes!V71</f>
        <v xml:space="preserve">               </v>
      </c>
      <c r="Y70" s="4"/>
      <c r="Z70" s="91"/>
      <c r="AA70" s="42"/>
      <c r="AB70" s="42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R70" s="33"/>
      <c r="AS70" s="38" t="str">
        <f>Notes!V71</f>
        <v xml:space="preserve">               </v>
      </c>
      <c r="AT70" s="4"/>
      <c r="AU70" s="44"/>
      <c r="AV70" s="42"/>
      <c r="AW70" s="42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</row>
    <row r="71" spans="1:63" x14ac:dyDescent="0.3">
      <c r="A71" s="12">
        <v>64</v>
      </c>
      <c r="B71" s="33"/>
      <c r="C71" s="38" t="str">
        <f>Notes!V72</f>
        <v xml:space="preserve">               </v>
      </c>
      <c r="D71" s="4"/>
      <c r="E71" s="91"/>
      <c r="F71" s="42"/>
      <c r="G71" s="42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W71" s="33"/>
      <c r="X71" s="38" t="str">
        <f>Notes!V72</f>
        <v xml:space="preserve">               </v>
      </c>
      <c r="Y71" s="4"/>
      <c r="Z71" s="91"/>
      <c r="AA71" s="42"/>
      <c r="AB71" s="42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R71" s="33"/>
      <c r="AS71" s="38" t="str">
        <f>Notes!V72</f>
        <v xml:space="preserve">               </v>
      </c>
      <c r="AT71" s="4"/>
      <c r="AU71" s="44"/>
      <c r="AV71" s="42"/>
      <c r="AW71" s="42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</row>
    <row r="72" spans="1:63" x14ac:dyDescent="0.3">
      <c r="A72" s="12">
        <v>65</v>
      </c>
      <c r="B72" s="33"/>
      <c r="C72" s="38" t="str">
        <f>Notes!V73</f>
        <v xml:space="preserve">               </v>
      </c>
      <c r="D72" s="4"/>
      <c r="E72" s="91"/>
      <c r="F72" s="42"/>
      <c r="G72" s="42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W72" s="33"/>
      <c r="X72" s="38" t="str">
        <f>Notes!V73</f>
        <v xml:space="preserve">               </v>
      </c>
      <c r="Y72" s="4"/>
      <c r="Z72" s="91"/>
      <c r="AA72" s="42"/>
      <c r="AB72" s="42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R72" s="33"/>
      <c r="AS72" s="38" t="str">
        <f>Notes!V73</f>
        <v xml:space="preserve">               </v>
      </c>
      <c r="AT72" s="4"/>
      <c r="AU72" s="44"/>
      <c r="AV72" s="42"/>
      <c r="AW72" s="42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</row>
    <row r="73" spans="1:63" x14ac:dyDescent="0.3">
      <c r="A73" s="12">
        <v>66</v>
      </c>
      <c r="B73" s="33"/>
      <c r="C73" s="38" t="str">
        <f>Notes!V74</f>
        <v xml:space="preserve">               </v>
      </c>
      <c r="D73" s="4"/>
      <c r="E73" s="91"/>
      <c r="F73" s="42"/>
      <c r="G73" s="42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W73" s="33"/>
      <c r="X73" s="38" t="str">
        <f>Notes!V74</f>
        <v xml:space="preserve">               </v>
      </c>
      <c r="Y73" s="4"/>
      <c r="Z73" s="91"/>
      <c r="AA73" s="42"/>
      <c r="AB73" s="42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R73" s="33"/>
      <c r="AS73" s="38" t="str">
        <f>Notes!V74</f>
        <v xml:space="preserve">               </v>
      </c>
      <c r="AT73" s="4"/>
      <c r="AU73" s="44"/>
      <c r="AV73" s="42"/>
      <c r="AW73" s="42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</row>
    <row r="74" spans="1:63" x14ac:dyDescent="0.3">
      <c r="A74" s="12">
        <v>67</v>
      </c>
      <c r="B74" s="33"/>
      <c r="C74" s="38" t="str">
        <f>Notes!V75</f>
        <v xml:space="preserve">               </v>
      </c>
      <c r="D74" s="4"/>
      <c r="E74" s="91"/>
      <c r="F74" s="42"/>
      <c r="G74" s="42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W74" s="33"/>
      <c r="X74" s="38" t="str">
        <f>Notes!V75</f>
        <v xml:space="preserve">               </v>
      </c>
      <c r="Y74" s="4"/>
      <c r="Z74" s="91"/>
      <c r="AA74" s="42"/>
      <c r="AB74" s="42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R74" s="33"/>
      <c r="AS74" s="38" t="str">
        <f>Notes!V75</f>
        <v xml:space="preserve">               </v>
      </c>
      <c r="AT74" s="4"/>
      <c r="AU74" s="44"/>
      <c r="AV74" s="42"/>
      <c r="AW74" s="42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</row>
    <row r="75" spans="1:63" x14ac:dyDescent="0.3">
      <c r="A75" s="12">
        <v>68</v>
      </c>
      <c r="B75" s="33"/>
      <c r="C75" s="38" t="str">
        <f>Notes!V76</f>
        <v xml:space="preserve">               </v>
      </c>
      <c r="D75" s="4"/>
      <c r="E75" s="91"/>
      <c r="F75" s="42"/>
      <c r="G75" s="42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W75" s="33"/>
      <c r="X75" s="38" t="str">
        <f>Notes!V76</f>
        <v xml:space="preserve">               </v>
      </c>
      <c r="Y75" s="4"/>
      <c r="Z75" s="91"/>
      <c r="AA75" s="42"/>
      <c r="AB75" s="42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R75" s="33"/>
      <c r="AS75" s="38" t="str">
        <f>Notes!V76</f>
        <v xml:space="preserve">               </v>
      </c>
      <c r="AT75" s="4"/>
      <c r="AU75" s="44"/>
      <c r="AV75" s="42"/>
      <c r="AW75" s="42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</row>
    <row r="76" spans="1:63" x14ac:dyDescent="0.3">
      <c r="A76" s="12">
        <v>69</v>
      </c>
      <c r="B76" s="33"/>
      <c r="C76" s="38" t="str">
        <f>Notes!V77</f>
        <v xml:space="preserve">               </v>
      </c>
      <c r="D76" s="4"/>
      <c r="E76" s="91"/>
      <c r="F76" s="42"/>
      <c r="G76" s="42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W76" s="33"/>
      <c r="X76" s="38" t="str">
        <f>Notes!V77</f>
        <v xml:space="preserve">               </v>
      </c>
      <c r="Y76" s="4"/>
      <c r="Z76" s="91"/>
      <c r="AA76" s="42"/>
      <c r="AB76" s="42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R76" s="33"/>
      <c r="AS76" s="38" t="str">
        <f>Notes!V77</f>
        <v xml:space="preserve">               </v>
      </c>
      <c r="AT76" s="4"/>
      <c r="AU76" s="44"/>
      <c r="AV76" s="42"/>
      <c r="AW76" s="42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</row>
    <row r="77" spans="1:63" x14ac:dyDescent="0.3">
      <c r="A77" s="12">
        <v>70</v>
      </c>
      <c r="B77" s="33"/>
      <c r="C77" s="38" t="str">
        <f>Notes!V78</f>
        <v xml:space="preserve">               </v>
      </c>
      <c r="D77" s="4"/>
      <c r="E77" s="91"/>
      <c r="F77" s="42"/>
      <c r="G77" s="42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W77" s="33"/>
      <c r="X77" s="38" t="str">
        <f>Notes!V78</f>
        <v xml:space="preserve">               </v>
      </c>
      <c r="Y77" s="4"/>
      <c r="Z77" s="91"/>
      <c r="AA77" s="42"/>
      <c r="AB77" s="42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R77" s="33"/>
      <c r="AS77" s="38" t="str">
        <f>Notes!V78</f>
        <v xml:space="preserve">               </v>
      </c>
      <c r="AT77" s="4"/>
      <c r="AU77" s="44"/>
      <c r="AV77" s="42"/>
      <c r="AW77" s="42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</row>
    <row r="78" spans="1:63" x14ac:dyDescent="0.3">
      <c r="A78" s="12">
        <v>71</v>
      </c>
      <c r="B78" s="33"/>
      <c r="C78" s="38" t="str">
        <f>Notes!V79</f>
        <v xml:space="preserve">               </v>
      </c>
      <c r="D78" s="4"/>
      <c r="E78" s="91"/>
      <c r="F78" s="42"/>
      <c r="G78" s="42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W78" s="33"/>
      <c r="X78" s="38" t="str">
        <f>Notes!V79</f>
        <v xml:space="preserve">               </v>
      </c>
      <c r="Y78" s="4"/>
      <c r="Z78" s="91"/>
      <c r="AA78" s="42"/>
      <c r="AB78" s="42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R78" s="33"/>
      <c r="AS78" s="38" t="str">
        <f>Notes!V79</f>
        <v xml:space="preserve">               </v>
      </c>
      <c r="AT78" s="4"/>
      <c r="AU78" s="44"/>
      <c r="AV78" s="42"/>
      <c r="AW78" s="42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</row>
    <row r="79" spans="1:63" x14ac:dyDescent="0.3">
      <c r="A79" s="12">
        <v>72</v>
      </c>
      <c r="B79" s="33"/>
      <c r="C79" s="38" t="str">
        <f>Notes!V80</f>
        <v xml:space="preserve">               </v>
      </c>
      <c r="D79" s="4"/>
      <c r="E79" s="91"/>
      <c r="F79" s="42"/>
      <c r="G79" s="42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W79" s="33"/>
      <c r="X79" s="38" t="str">
        <f>Notes!V80</f>
        <v xml:space="preserve">               </v>
      </c>
      <c r="Y79" s="4"/>
      <c r="Z79" s="91"/>
      <c r="AA79" s="42"/>
      <c r="AB79" s="42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R79" s="33"/>
      <c r="AS79" s="38" t="str">
        <f>Notes!V80</f>
        <v xml:space="preserve">               </v>
      </c>
      <c r="AT79" s="4"/>
      <c r="AU79" s="44"/>
      <c r="AV79" s="42"/>
      <c r="AW79" s="42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</row>
    <row r="80" spans="1:63" x14ac:dyDescent="0.3">
      <c r="A80" s="12">
        <v>73</v>
      </c>
      <c r="B80" s="33"/>
      <c r="C80" s="38" t="str">
        <f>Notes!V81</f>
        <v xml:space="preserve">               </v>
      </c>
      <c r="D80" s="4"/>
      <c r="E80" s="91"/>
      <c r="F80" s="42"/>
      <c r="G80" s="42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W80" s="33"/>
      <c r="X80" s="38" t="str">
        <f>Notes!V81</f>
        <v xml:space="preserve">               </v>
      </c>
      <c r="Y80" s="4"/>
      <c r="Z80" s="91"/>
      <c r="AA80" s="42"/>
      <c r="AB80" s="42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R80" s="33"/>
      <c r="AS80" s="38" t="str">
        <f>Notes!V81</f>
        <v xml:space="preserve">               </v>
      </c>
      <c r="AT80" s="4"/>
      <c r="AU80" s="44"/>
      <c r="AV80" s="42"/>
      <c r="AW80" s="42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</row>
    <row r="81" spans="1:63" x14ac:dyDescent="0.3">
      <c r="A81" s="12">
        <v>74</v>
      </c>
      <c r="B81" s="33"/>
      <c r="C81" s="38" t="str">
        <f>Notes!V82</f>
        <v xml:space="preserve">               </v>
      </c>
      <c r="D81" s="4"/>
      <c r="E81" s="91"/>
      <c r="F81" s="42"/>
      <c r="G81" s="42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W81" s="33"/>
      <c r="X81" s="38" t="str">
        <f>Notes!V82</f>
        <v xml:space="preserve">               </v>
      </c>
      <c r="Y81" s="4"/>
      <c r="Z81" s="91"/>
      <c r="AA81" s="42"/>
      <c r="AB81" s="42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R81" s="33"/>
      <c r="AS81" s="38" t="str">
        <f>Notes!V82</f>
        <v xml:space="preserve">               </v>
      </c>
      <c r="AT81" s="4"/>
      <c r="AU81" s="44"/>
      <c r="AV81" s="42"/>
      <c r="AW81" s="42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</row>
    <row r="82" spans="1:63" x14ac:dyDescent="0.3">
      <c r="A82" s="12">
        <v>75</v>
      </c>
      <c r="B82" s="33"/>
      <c r="C82" s="38" t="str">
        <f>Notes!V83</f>
        <v xml:space="preserve">               </v>
      </c>
      <c r="D82" s="4"/>
      <c r="E82" s="91"/>
      <c r="F82" s="42"/>
      <c r="G82" s="42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W82" s="33"/>
      <c r="X82" s="38" t="str">
        <f>Notes!V83</f>
        <v xml:space="preserve">               </v>
      </c>
      <c r="Y82" s="4"/>
      <c r="Z82" s="91"/>
      <c r="AA82" s="42"/>
      <c r="AB82" s="42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R82" s="33"/>
      <c r="AS82" s="38" t="str">
        <f>Notes!V83</f>
        <v xml:space="preserve">               </v>
      </c>
      <c r="AT82" s="4"/>
      <c r="AU82" s="44"/>
      <c r="AV82" s="42"/>
      <c r="AW82" s="42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</row>
    <row r="83" spans="1:63" x14ac:dyDescent="0.3">
      <c r="A83" s="12">
        <v>76</v>
      </c>
      <c r="B83" s="33"/>
      <c r="C83" s="38" t="str">
        <f>Notes!V84</f>
        <v xml:space="preserve">               </v>
      </c>
      <c r="D83" s="4"/>
      <c r="E83" s="91"/>
      <c r="F83" s="42"/>
      <c r="G83" s="42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W83" s="33"/>
      <c r="X83" s="38" t="str">
        <f>Notes!V84</f>
        <v xml:space="preserve">               </v>
      </c>
      <c r="Y83" s="4"/>
      <c r="Z83" s="91"/>
      <c r="AA83" s="42"/>
      <c r="AB83" s="42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R83" s="33"/>
      <c r="AS83" s="38" t="str">
        <f>Notes!V84</f>
        <v xml:space="preserve">               </v>
      </c>
      <c r="AT83" s="4"/>
      <c r="AU83" s="44"/>
      <c r="AV83" s="42"/>
      <c r="AW83" s="42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</row>
    <row r="84" spans="1:63" x14ac:dyDescent="0.3">
      <c r="A84" s="12">
        <v>77</v>
      </c>
      <c r="B84" s="33"/>
      <c r="C84" s="38" t="str">
        <f>Notes!V85</f>
        <v xml:space="preserve">               </v>
      </c>
      <c r="D84" s="4"/>
      <c r="E84" s="91"/>
      <c r="F84" s="42"/>
      <c r="G84" s="42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W84" s="33"/>
      <c r="X84" s="38" t="str">
        <f>Notes!V85</f>
        <v xml:space="preserve">               </v>
      </c>
      <c r="Y84" s="4"/>
      <c r="Z84" s="91"/>
      <c r="AA84" s="42"/>
      <c r="AB84" s="42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R84" s="33"/>
      <c r="AS84" s="38" t="str">
        <f>Notes!V85</f>
        <v xml:space="preserve">               </v>
      </c>
      <c r="AT84" s="4"/>
      <c r="AU84" s="44"/>
      <c r="AV84" s="42"/>
      <c r="AW84" s="42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</row>
    <row r="85" spans="1:63" x14ac:dyDescent="0.3">
      <c r="A85" s="12">
        <v>78</v>
      </c>
      <c r="B85" s="33"/>
      <c r="C85" s="38" t="str">
        <f>Notes!V86</f>
        <v xml:space="preserve">               </v>
      </c>
      <c r="D85" s="4"/>
      <c r="E85" s="91"/>
      <c r="F85" s="42"/>
      <c r="G85" s="42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W85" s="33"/>
      <c r="X85" s="38" t="str">
        <f>Notes!V86</f>
        <v xml:space="preserve">               </v>
      </c>
      <c r="Y85" s="4"/>
      <c r="Z85" s="91"/>
      <c r="AA85" s="42"/>
      <c r="AB85" s="42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R85" s="33"/>
      <c r="AS85" s="38" t="str">
        <f>Notes!V86</f>
        <v xml:space="preserve">               </v>
      </c>
      <c r="AT85" s="4"/>
      <c r="AU85" s="44"/>
      <c r="AV85" s="42"/>
      <c r="AW85" s="42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</row>
    <row r="86" spans="1:63" x14ac:dyDescent="0.3">
      <c r="A86" s="12">
        <v>79</v>
      </c>
      <c r="B86" s="33"/>
      <c r="C86" s="38" t="str">
        <f>Notes!V87</f>
        <v xml:space="preserve">               </v>
      </c>
      <c r="D86" s="4"/>
      <c r="E86" s="91"/>
      <c r="F86" s="42"/>
      <c r="G86" s="42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W86" s="33"/>
      <c r="X86" s="38" t="str">
        <f>Notes!V87</f>
        <v xml:space="preserve">               </v>
      </c>
      <c r="Y86" s="4"/>
      <c r="Z86" s="91"/>
      <c r="AA86" s="42"/>
      <c r="AB86" s="42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R86" s="33"/>
      <c r="AS86" s="38" t="str">
        <f>Notes!V87</f>
        <v xml:space="preserve">               </v>
      </c>
      <c r="AT86" s="4"/>
      <c r="AU86" s="44"/>
      <c r="AV86" s="42"/>
      <c r="AW86" s="42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</row>
    <row r="87" spans="1:63" x14ac:dyDescent="0.3">
      <c r="A87" s="12">
        <v>80</v>
      </c>
      <c r="B87" s="33"/>
      <c r="C87" s="38" t="str">
        <f>Notes!V88</f>
        <v xml:space="preserve">               </v>
      </c>
      <c r="D87" s="4"/>
      <c r="E87" s="91"/>
      <c r="F87" s="42"/>
      <c r="G87" s="42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W87" s="33"/>
      <c r="X87" s="38" t="str">
        <f>Notes!V88</f>
        <v xml:space="preserve">               </v>
      </c>
      <c r="Y87" s="4"/>
      <c r="Z87" s="91"/>
      <c r="AA87" s="42"/>
      <c r="AB87" s="42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R87" s="33"/>
      <c r="AS87" s="38" t="str">
        <f>Notes!V88</f>
        <v xml:space="preserve">               </v>
      </c>
      <c r="AT87" s="4"/>
      <c r="AU87" s="44"/>
      <c r="AV87" s="42"/>
      <c r="AW87" s="42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</row>
    <row r="88" spans="1:63" x14ac:dyDescent="0.3">
      <c r="A88" s="12">
        <v>81</v>
      </c>
      <c r="B88" s="33"/>
      <c r="C88" s="38" t="str">
        <f>Notes!V89</f>
        <v xml:space="preserve">               </v>
      </c>
      <c r="D88" s="4"/>
      <c r="E88" s="91"/>
      <c r="F88" s="42"/>
      <c r="G88" s="42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W88" s="33"/>
      <c r="X88" s="38" t="str">
        <f>Notes!V89</f>
        <v xml:space="preserve">               </v>
      </c>
      <c r="Y88" s="4"/>
      <c r="Z88" s="91"/>
      <c r="AA88" s="42"/>
      <c r="AB88" s="42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R88" s="33"/>
      <c r="AS88" s="38" t="str">
        <f>Notes!V89</f>
        <v xml:space="preserve">               </v>
      </c>
      <c r="AT88" s="4"/>
      <c r="AU88" s="44"/>
      <c r="AV88" s="42"/>
      <c r="AW88" s="42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</row>
    <row r="89" spans="1:63" x14ac:dyDescent="0.3">
      <c r="A89" s="12">
        <v>82</v>
      </c>
      <c r="B89" s="33"/>
      <c r="C89" s="38" t="str">
        <f>Notes!V90</f>
        <v xml:space="preserve">               </v>
      </c>
      <c r="D89" s="4"/>
      <c r="E89" s="91"/>
      <c r="F89" s="42"/>
      <c r="G89" s="42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W89" s="33"/>
      <c r="X89" s="38" t="str">
        <f>Notes!V90</f>
        <v xml:space="preserve">               </v>
      </c>
      <c r="Y89" s="4"/>
      <c r="Z89" s="91"/>
      <c r="AA89" s="42"/>
      <c r="AB89" s="42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R89" s="33"/>
      <c r="AS89" s="38" t="str">
        <f>Notes!V90</f>
        <v xml:space="preserve">               </v>
      </c>
      <c r="AT89" s="4"/>
      <c r="AU89" s="44"/>
      <c r="AV89" s="42"/>
      <c r="AW89" s="42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</row>
    <row r="90" spans="1:63" x14ac:dyDescent="0.3">
      <c r="A90" s="12">
        <v>83</v>
      </c>
      <c r="B90" s="33"/>
      <c r="C90" s="38" t="str">
        <f>Notes!V91</f>
        <v xml:space="preserve">               </v>
      </c>
      <c r="D90" s="4"/>
      <c r="E90" s="91"/>
      <c r="F90" s="42"/>
      <c r="G90" s="42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W90" s="33"/>
      <c r="X90" s="38" t="str">
        <f>Notes!V91</f>
        <v xml:space="preserve">               </v>
      </c>
      <c r="Y90" s="4"/>
      <c r="Z90" s="91"/>
      <c r="AA90" s="42"/>
      <c r="AB90" s="42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R90" s="33"/>
      <c r="AS90" s="38" t="str">
        <f>Notes!V91</f>
        <v xml:space="preserve">               </v>
      </c>
      <c r="AT90" s="4"/>
      <c r="AU90" s="44"/>
      <c r="AV90" s="42"/>
      <c r="AW90" s="42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</row>
    <row r="91" spans="1:63" x14ac:dyDescent="0.3">
      <c r="A91" s="12">
        <v>84</v>
      </c>
      <c r="B91" s="33"/>
      <c r="C91" s="38" t="str">
        <f>Notes!V92</f>
        <v xml:space="preserve">               </v>
      </c>
      <c r="D91" s="4"/>
      <c r="E91" s="91"/>
      <c r="F91" s="42"/>
      <c r="G91" s="42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W91" s="33"/>
      <c r="X91" s="38" t="str">
        <f>Notes!V92</f>
        <v xml:space="preserve">               </v>
      </c>
      <c r="Y91" s="4"/>
      <c r="Z91" s="91"/>
      <c r="AA91" s="42"/>
      <c r="AB91" s="42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R91" s="33"/>
      <c r="AS91" s="38" t="str">
        <f>Notes!V92</f>
        <v xml:space="preserve">               </v>
      </c>
      <c r="AT91" s="4"/>
      <c r="AU91" s="44"/>
      <c r="AV91" s="42"/>
      <c r="AW91" s="42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</row>
    <row r="92" spans="1:63" x14ac:dyDescent="0.3">
      <c r="A92" s="12">
        <v>85</v>
      </c>
      <c r="B92" s="33"/>
      <c r="C92" s="38" t="str">
        <f>Notes!V93</f>
        <v xml:space="preserve">               </v>
      </c>
      <c r="D92" s="4"/>
      <c r="E92" s="91"/>
      <c r="F92" s="42"/>
      <c r="G92" s="42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W92" s="33"/>
      <c r="X92" s="38" t="str">
        <f>Notes!V93</f>
        <v xml:space="preserve">               </v>
      </c>
      <c r="Y92" s="4"/>
      <c r="Z92" s="91"/>
      <c r="AA92" s="42"/>
      <c r="AB92" s="42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R92" s="33"/>
      <c r="AS92" s="38" t="str">
        <f>Notes!V93</f>
        <v xml:space="preserve">               </v>
      </c>
      <c r="AT92" s="4"/>
      <c r="AU92" s="44"/>
      <c r="AV92" s="42"/>
      <c r="AW92" s="42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</row>
    <row r="93" spans="1:63" x14ac:dyDescent="0.3">
      <c r="A93" s="12">
        <v>86</v>
      </c>
      <c r="B93" s="33"/>
      <c r="C93" s="38" t="str">
        <f>Notes!V94</f>
        <v xml:space="preserve">               </v>
      </c>
      <c r="D93" s="4"/>
      <c r="E93" s="91"/>
      <c r="F93" s="42"/>
      <c r="G93" s="42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W93" s="33"/>
      <c r="X93" s="38" t="str">
        <f>Notes!V94</f>
        <v xml:space="preserve">               </v>
      </c>
      <c r="Y93" s="4"/>
      <c r="Z93" s="91"/>
      <c r="AA93" s="42"/>
      <c r="AB93" s="42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R93" s="33"/>
      <c r="AS93" s="38" t="str">
        <f>Notes!V94</f>
        <v xml:space="preserve">               </v>
      </c>
      <c r="AT93" s="4"/>
      <c r="AU93" s="44"/>
      <c r="AV93" s="42"/>
      <c r="AW93" s="42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</row>
    <row r="94" spans="1:63" x14ac:dyDescent="0.3">
      <c r="A94" s="12">
        <v>87</v>
      </c>
      <c r="B94" s="33"/>
      <c r="C94" s="38" t="str">
        <f>Notes!V95</f>
        <v xml:space="preserve">               </v>
      </c>
      <c r="D94" s="4"/>
      <c r="E94" s="91"/>
      <c r="F94" s="42"/>
      <c r="G94" s="42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W94" s="33"/>
      <c r="X94" s="38" t="str">
        <f>Notes!V95</f>
        <v xml:space="preserve">               </v>
      </c>
      <c r="Y94" s="4"/>
      <c r="Z94" s="91"/>
      <c r="AA94" s="42"/>
      <c r="AB94" s="42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R94" s="33"/>
      <c r="AS94" s="38" t="str">
        <f>Notes!V95</f>
        <v xml:space="preserve">               </v>
      </c>
      <c r="AT94" s="4"/>
      <c r="AU94" s="44"/>
      <c r="AV94" s="42"/>
      <c r="AW94" s="42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</row>
    <row r="95" spans="1:63" x14ac:dyDescent="0.3">
      <c r="A95" s="12">
        <v>88</v>
      </c>
      <c r="B95" s="33"/>
      <c r="C95" s="38" t="str">
        <f>Notes!V96</f>
        <v xml:space="preserve">               </v>
      </c>
      <c r="D95" s="4"/>
      <c r="E95" s="91"/>
      <c r="F95" s="42"/>
      <c r="G95" s="42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W95" s="33"/>
      <c r="X95" s="38" t="str">
        <f>Notes!V96</f>
        <v xml:space="preserve">               </v>
      </c>
      <c r="Y95" s="4"/>
      <c r="Z95" s="91"/>
      <c r="AA95" s="42"/>
      <c r="AB95" s="42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R95" s="33"/>
      <c r="AS95" s="38" t="str">
        <f>Notes!V96</f>
        <v xml:space="preserve">               </v>
      </c>
      <c r="AT95" s="4"/>
      <c r="AU95" s="44"/>
      <c r="AV95" s="42"/>
      <c r="AW95" s="42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</row>
    <row r="96" spans="1:63" x14ac:dyDescent="0.3">
      <c r="A96" s="12">
        <v>89</v>
      </c>
      <c r="B96" s="33"/>
      <c r="C96" s="38" t="str">
        <f>Notes!V97</f>
        <v xml:space="preserve">               </v>
      </c>
      <c r="D96" s="4"/>
      <c r="E96" s="91"/>
      <c r="F96" s="42"/>
      <c r="G96" s="42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W96" s="33"/>
      <c r="X96" s="38" t="str">
        <f>Notes!V97</f>
        <v xml:space="preserve">               </v>
      </c>
      <c r="Y96" s="4"/>
      <c r="Z96" s="91"/>
      <c r="AA96" s="42"/>
      <c r="AB96" s="42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R96" s="33"/>
      <c r="AS96" s="38" t="str">
        <f>Notes!V97</f>
        <v xml:space="preserve">               </v>
      </c>
      <c r="AT96" s="4"/>
      <c r="AU96" s="44"/>
      <c r="AV96" s="42"/>
      <c r="AW96" s="42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</row>
    <row r="97" spans="1:63" x14ac:dyDescent="0.3">
      <c r="A97" s="12">
        <v>90</v>
      </c>
      <c r="B97" s="33"/>
      <c r="C97" s="38" t="str">
        <f>Notes!V98</f>
        <v xml:space="preserve">               </v>
      </c>
      <c r="D97" s="4"/>
      <c r="E97" s="91"/>
      <c r="F97" s="42"/>
      <c r="G97" s="42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W97" s="33"/>
      <c r="X97" s="38" t="str">
        <f>Notes!V98</f>
        <v xml:space="preserve">               </v>
      </c>
      <c r="Y97" s="4"/>
      <c r="Z97" s="91"/>
      <c r="AA97" s="42"/>
      <c r="AB97" s="42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R97" s="33"/>
      <c r="AS97" s="38" t="str">
        <f>Notes!V98</f>
        <v xml:space="preserve">               </v>
      </c>
      <c r="AT97" s="4"/>
      <c r="AU97" s="44"/>
      <c r="AV97" s="42"/>
      <c r="AW97" s="42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</row>
    <row r="98" spans="1:63" x14ac:dyDescent="0.3">
      <c r="A98" s="12">
        <v>91</v>
      </c>
      <c r="B98" s="33"/>
      <c r="C98" s="38" t="str">
        <f>Notes!V99</f>
        <v xml:space="preserve">               </v>
      </c>
      <c r="D98" s="4"/>
      <c r="E98" s="91"/>
      <c r="F98" s="42"/>
      <c r="G98" s="42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W98" s="33"/>
      <c r="X98" s="38" t="str">
        <f>Notes!V99</f>
        <v xml:space="preserve">               </v>
      </c>
      <c r="Y98" s="4"/>
      <c r="Z98" s="91"/>
      <c r="AA98" s="42"/>
      <c r="AB98" s="42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R98" s="33"/>
      <c r="AS98" s="38" t="str">
        <f>Notes!V99</f>
        <v xml:space="preserve">               </v>
      </c>
      <c r="AT98" s="4"/>
      <c r="AU98" s="44"/>
      <c r="AV98" s="42"/>
      <c r="AW98" s="42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</row>
    <row r="99" spans="1:63" x14ac:dyDescent="0.3">
      <c r="A99" s="12">
        <v>92</v>
      </c>
      <c r="B99" s="33"/>
      <c r="C99" s="38" t="str">
        <f>Notes!V100</f>
        <v xml:space="preserve">               </v>
      </c>
      <c r="D99" s="4"/>
      <c r="E99" s="91"/>
      <c r="F99" s="42"/>
      <c r="G99" s="42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W99" s="33"/>
      <c r="X99" s="38" t="str">
        <f>Notes!V100</f>
        <v xml:space="preserve">               </v>
      </c>
      <c r="Y99" s="4"/>
      <c r="Z99" s="91"/>
      <c r="AA99" s="42"/>
      <c r="AB99" s="42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R99" s="33"/>
      <c r="AS99" s="38" t="str">
        <f>Notes!V100</f>
        <v xml:space="preserve">               </v>
      </c>
      <c r="AT99" s="4"/>
      <c r="AU99" s="44"/>
      <c r="AV99" s="42"/>
      <c r="AW99" s="42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</row>
    <row r="100" spans="1:63" x14ac:dyDescent="0.3">
      <c r="A100" s="12">
        <v>93</v>
      </c>
      <c r="B100" s="33"/>
      <c r="C100" s="38" t="str">
        <f>Notes!V101</f>
        <v xml:space="preserve">               </v>
      </c>
      <c r="D100" s="4"/>
      <c r="E100" s="91"/>
      <c r="F100" s="42"/>
      <c r="G100" s="42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W100" s="33"/>
      <c r="X100" s="38" t="str">
        <f>Notes!V101</f>
        <v xml:space="preserve">               </v>
      </c>
      <c r="Y100" s="4"/>
      <c r="Z100" s="91"/>
      <c r="AA100" s="42"/>
      <c r="AB100" s="42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R100" s="33"/>
      <c r="AS100" s="38" t="str">
        <f>Notes!V101</f>
        <v xml:space="preserve">               </v>
      </c>
      <c r="AT100" s="4"/>
      <c r="AU100" s="44"/>
      <c r="AV100" s="42"/>
      <c r="AW100" s="42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</row>
    <row r="101" spans="1:63" x14ac:dyDescent="0.3">
      <c r="A101" s="12">
        <v>94</v>
      </c>
      <c r="B101" s="33"/>
      <c r="C101" s="38" t="str">
        <f>Notes!V102</f>
        <v xml:space="preserve">               </v>
      </c>
      <c r="D101" s="4"/>
      <c r="E101" s="91"/>
      <c r="F101" s="42"/>
      <c r="G101" s="42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W101" s="33"/>
      <c r="X101" s="38" t="str">
        <f>Notes!V102</f>
        <v xml:space="preserve">               </v>
      </c>
      <c r="Y101" s="4"/>
      <c r="Z101" s="91"/>
      <c r="AA101" s="42"/>
      <c r="AB101" s="42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R101" s="33"/>
      <c r="AS101" s="38" t="str">
        <f>Notes!V102</f>
        <v xml:space="preserve">               </v>
      </c>
      <c r="AT101" s="4"/>
      <c r="AU101" s="44"/>
      <c r="AV101" s="42"/>
      <c r="AW101" s="42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</row>
    <row r="102" spans="1:63" x14ac:dyDescent="0.3">
      <c r="A102" s="12">
        <v>95</v>
      </c>
      <c r="B102" s="33"/>
      <c r="C102" s="38" t="str">
        <f>Notes!V103</f>
        <v xml:space="preserve">               </v>
      </c>
      <c r="D102" s="4"/>
      <c r="E102" s="91"/>
      <c r="F102" s="42"/>
      <c r="G102" s="42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W102" s="33"/>
      <c r="X102" s="38" t="str">
        <f>Notes!V103</f>
        <v xml:space="preserve">               </v>
      </c>
      <c r="Y102" s="4"/>
      <c r="Z102" s="91"/>
      <c r="AA102" s="42"/>
      <c r="AB102" s="42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R102" s="33"/>
      <c r="AS102" s="38" t="str">
        <f>Notes!V103</f>
        <v xml:space="preserve">               </v>
      </c>
      <c r="AT102" s="4"/>
      <c r="AU102" s="44"/>
      <c r="AV102" s="42"/>
      <c r="AW102" s="42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</row>
    <row r="103" spans="1:63" x14ac:dyDescent="0.3">
      <c r="A103" s="12">
        <v>96</v>
      </c>
      <c r="B103" s="33"/>
      <c r="C103" s="38" t="str">
        <f>Notes!V104</f>
        <v xml:space="preserve">               </v>
      </c>
      <c r="D103" s="4"/>
      <c r="E103" s="91"/>
      <c r="F103" s="42"/>
      <c r="G103" s="42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W103" s="33"/>
      <c r="X103" s="38" t="str">
        <f>Notes!V104</f>
        <v xml:space="preserve">               </v>
      </c>
      <c r="Y103" s="4"/>
      <c r="Z103" s="91"/>
      <c r="AA103" s="42"/>
      <c r="AB103" s="42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R103" s="33"/>
      <c r="AS103" s="38" t="str">
        <f>Notes!V104</f>
        <v xml:space="preserve">               </v>
      </c>
      <c r="AT103" s="4"/>
      <c r="AU103" s="44"/>
      <c r="AV103" s="42"/>
      <c r="AW103" s="42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</row>
    <row r="104" spans="1:63" x14ac:dyDescent="0.3">
      <c r="A104" s="12">
        <v>97</v>
      </c>
      <c r="B104" s="33"/>
      <c r="C104" s="38" t="str">
        <f>Notes!V105</f>
        <v xml:space="preserve">               </v>
      </c>
      <c r="D104" s="4"/>
      <c r="E104" s="91"/>
      <c r="F104" s="42"/>
      <c r="G104" s="42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W104" s="33"/>
      <c r="X104" s="38" t="str">
        <f>Notes!V105</f>
        <v xml:space="preserve">               </v>
      </c>
      <c r="Y104" s="4"/>
      <c r="Z104" s="91"/>
      <c r="AA104" s="42"/>
      <c r="AB104" s="42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R104" s="33"/>
      <c r="AS104" s="38" t="str">
        <f>Notes!V105</f>
        <v xml:space="preserve">               </v>
      </c>
      <c r="AT104" s="4"/>
      <c r="AU104" s="44"/>
      <c r="AV104" s="42"/>
      <c r="AW104" s="42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</row>
    <row r="105" spans="1:63" x14ac:dyDescent="0.3">
      <c r="A105" s="12">
        <v>98</v>
      </c>
      <c r="B105" s="33"/>
      <c r="C105" s="38" t="str">
        <f>Notes!V106</f>
        <v xml:space="preserve">               </v>
      </c>
      <c r="D105" s="4"/>
      <c r="E105" s="91"/>
      <c r="F105" s="42"/>
      <c r="G105" s="42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W105" s="33"/>
      <c r="X105" s="38" t="str">
        <f>Notes!V106</f>
        <v xml:space="preserve">               </v>
      </c>
      <c r="Y105" s="4"/>
      <c r="Z105" s="91"/>
      <c r="AA105" s="42"/>
      <c r="AB105" s="42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R105" s="33"/>
      <c r="AS105" s="38" t="str">
        <f>Notes!V106</f>
        <v xml:space="preserve">               </v>
      </c>
      <c r="AT105" s="4"/>
      <c r="AU105" s="44"/>
      <c r="AV105" s="42"/>
      <c r="AW105" s="42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</row>
    <row r="106" spans="1:63" x14ac:dyDescent="0.3">
      <c r="A106" s="12">
        <v>99</v>
      </c>
      <c r="B106" s="33"/>
      <c r="C106" s="38" t="str">
        <f>Notes!V107</f>
        <v xml:space="preserve">               </v>
      </c>
      <c r="D106" s="4"/>
      <c r="E106" s="91"/>
      <c r="F106" s="42"/>
      <c r="G106" s="42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W106" s="33"/>
      <c r="X106" s="38" t="str">
        <f>Notes!V107</f>
        <v xml:space="preserve">               </v>
      </c>
      <c r="Y106" s="4"/>
      <c r="Z106" s="91"/>
      <c r="AA106" s="42"/>
      <c r="AB106" s="42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R106" s="33"/>
      <c r="AS106" s="38" t="str">
        <f>Notes!V107</f>
        <v xml:space="preserve">               </v>
      </c>
      <c r="AT106" s="4"/>
      <c r="AU106" s="44"/>
      <c r="AV106" s="42"/>
      <c r="AW106" s="42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</row>
    <row r="107" spans="1:63" x14ac:dyDescent="0.3">
      <c r="A107" s="12">
        <v>100</v>
      </c>
      <c r="B107" s="33"/>
      <c r="C107" s="38" t="str">
        <f>Notes!V108</f>
        <v xml:space="preserve">               </v>
      </c>
      <c r="D107" s="4"/>
      <c r="E107" s="91"/>
      <c r="F107" s="42"/>
      <c r="G107" s="42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W107" s="33"/>
      <c r="X107" s="38" t="str">
        <f>Notes!V108</f>
        <v xml:space="preserve">               </v>
      </c>
      <c r="Y107" s="4"/>
      <c r="Z107" s="91"/>
      <c r="AA107" s="42"/>
      <c r="AB107" s="42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R107" s="33"/>
      <c r="AS107" s="38" t="str">
        <f>Notes!V108</f>
        <v xml:space="preserve">               </v>
      </c>
      <c r="AT107" s="4"/>
      <c r="AU107" s="44"/>
      <c r="AV107" s="42"/>
      <c r="AW107" s="42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</row>
    <row r="108" spans="1:63" x14ac:dyDescent="0.3">
      <c r="A108" s="12">
        <v>101</v>
      </c>
      <c r="B108" s="33"/>
      <c r="C108" s="38" t="str">
        <f>Notes!V109</f>
        <v xml:space="preserve">               </v>
      </c>
      <c r="D108" s="4"/>
      <c r="E108" s="91"/>
      <c r="F108" s="42"/>
      <c r="G108" s="42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W108" s="33"/>
      <c r="X108" s="38" t="str">
        <f>Notes!V109</f>
        <v xml:space="preserve">               </v>
      </c>
      <c r="Y108" s="4"/>
      <c r="Z108" s="91"/>
      <c r="AA108" s="42"/>
      <c r="AB108" s="42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R108" s="33"/>
      <c r="AS108" s="38" t="str">
        <f>Notes!V109</f>
        <v xml:space="preserve">               </v>
      </c>
      <c r="AT108" s="4"/>
      <c r="AU108" s="44"/>
      <c r="AV108" s="42"/>
      <c r="AW108" s="42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</row>
    <row r="109" spans="1:63" x14ac:dyDescent="0.3">
      <c r="A109" s="12">
        <v>102</v>
      </c>
      <c r="B109" s="33"/>
      <c r="C109" s="38" t="str">
        <f>Notes!V110</f>
        <v xml:space="preserve">               </v>
      </c>
      <c r="D109" s="4"/>
      <c r="E109" s="91"/>
      <c r="F109" s="42"/>
      <c r="G109" s="42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W109" s="33"/>
      <c r="X109" s="38" t="str">
        <f>Notes!V110</f>
        <v xml:space="preserve">               </v>
      </c>
      <c r="Y109" s="4"/>
      <c r="Z109" s="91"/>
      <c r="AA109" s="42"/>
      <c r="AB109" s="42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R109" s="33"/>
      <c r="AS109" s="38" t="str">
        <f>Notes!V110</f>
        <v xml:space="preserve">               </v>
      </c>
      <c r="AT109" s="4"/>
      <c r="AU109" s="44"/>
      <c r="AV109" s="42"/>
      <c r="AW109" s="42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</row>
    <row r="110" spans="1:63" x14ac:dyDescent="0.3">
      <c r="A110" s="12">
        <v>103</v>
      </c>
      <c r="B110" s="33"/>
      <c r="C110" s="38" t="str">
        <f>Notes!V111</f>
        <v xml:space="preserve">               </v>
      </c>
      <c r="D110" s="4"/>
      <c r="E110" s="91"/>
      <c r="F110" s="42"/>
      <c r="G110" s="42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W110" s="33"/>
      <c r="X110" s="38" t="str">
        <f>Notes!V111</f>
        <v xml:space="preserve">               </v>
      </c>
      <c r="Y110" s="4"/>
      <c r="Z110" s="91"/>
      <c r="AA110" s="42"/>
      <c r="AB110" s="42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R110" s="33"/>
      <c r="AS110" s="38" t="str">
        <f>Notes!V111</f>
        <v xml:space="preserve">               </v>
      </c>
      <c r="AT110" s="4"/>
      <c r="AU110" s="44"/>
      <c r="AV110" s="42"/>
      <c r="AW110" s="42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</row>
    <row r="111" spans="1:63" x14ac:dyDescent="0.3">
      <c r="A111" s="12">
        <v>104</v>
      </c>
      <c r="B111" s="33"/>
      <c r="C111" s="38" t="str">
        <f>Notes!V112</f>
        <v xml:space="preserve">               </v>
      </c>
      <c r="D111" s="4"/>
      <c r="E111" s="91"/>
      <c r="F111" s="42"/>
      <c r="G111" s="42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W111" s="33"/>
      <c r="X111" s="38" t="str">
        <f>Notes!V112</f>
        <v xml:space="preserve">               </v>
      </c>
      <c r="Y111" s="4"/>
      <c r="Z111" s="91"/>
      <c r="AA111" s="42"/>
      <c r="AB111" s="42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R111" s="33"/>
      <c r="AS111" s="38" t="str">
        <f>Notes!V112</f>
        <v xml:space="preserve">               </v>
      </c>
      <c r="AT111" s="4"/>
      <c r="AU111" s="44"/>
      <c r="AV111" s="42"/>
      <c r="AW111" s="42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</row>
    <row r="112" spans="1:63" x14ac:dyDescent="0.3">
      <c r="A112" s="12">
        <v>105</v>
      </c>
      <c r="B112" s="33"/>
      <c r="C112" s="38" t="str">
        <f>Notes!V113</f>
        <v xml:space="preserve">               </v>
      </c>
      <c r="D112" s="4"/>
      <c r="E112" s="91"/>
      <c r="F112" s="42"/>
      <c r="G112" s="42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W112" s="33"/>
      <c r="X112" s="38" t="str">
        <f>Notes!V113</f>
        <v xml:space="preserve">               </v>
      </c>
      <c r="Y112" s="4"/>
      <c r="Z112" s="91"/>
      <c r="AA112" s="42"/>
      <c r="AB112" s="42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R112" s="33"/>
      <c r="AS112" s="38" t="str">
        <f>Notes!V113</f>
        <v xml:space="preserve">               </v>
      </c>
      <c r="AT112" s="4"/>
      <c r="AU112" s="44"/>
      <c r="AV112" s="42"/>
      <c r="AW112" s="42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</row>
    <row r="113" spans="1:63" x14ac:dyDescent="0.3">
      <c r="A113" s="12">
        <v>106</v>
      </c>
      <c r="B113" s="33"/>
      <c r="C113" s="38" t="str">
        <f>Notes!V114</f>
        <v xml:space="preserve">               </v>
      </c>
      <c r="D113" s="4"/>
      <c r="E113" s="91"/>
      <c r="F113" s="42"/>
      <c r="G113" s="42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W113" s="33"/>
      <c r="X113" s="38" t="str">
        <f>Notes!V114</f>
        <v xml:space="preserve">               </v>
      </c>
      <c r="Y113" s="4"/>
      <c r="Z113" s="91"/>
      <c r="AA113" s="42"/>
      <c r="AB113" s="42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R113" s="33"/>
      <c r="AS113" s="38" t="str">
        <f>Notes!V114</f>
        <v xml:space="preserve">               </v>
      </c>
      <c r="AT113" s="4"/>
      <c r="AU113" s="44"/>
      <c r="AV113" s="42"/>
      <c r="AW113" s="42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</row>
    <row r="114" spans="1:63" x14ac:dyDescent="0.3">
      <c r="A114" s="12">
        <v>107</v>
      </c>
      <c r="B114" s="33"/>
      <c r="C114" s="38" t="str">
        <f>Notes!V115</f>
        <v xml:space="preserve">               </v>
      </c>
      <c r="D114" s="4"/>
      <c r="E114" s="91"/>
      <c r="F114" s="42"/>
      <c r="G114" s="42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W114" s="33"/>
      <c r="X114" s="38" t="str">
        <f>Notes!V115</f>
        <v xml:space="preserve">               </v>
      </c>
      <c r="Y114" s="4"/>
      <c r="Z114" s="91"/>
      <c r="AA114" s="42"/>
      <c r="AB114" s="42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R114" s="33"/>
      <c r="AS114" s="38" t="str">
        <f>Notes!V115</f>
        <v xml:space="preserve">               </v>
      </c>
      <c r="AT114" s="4"/>
      <c r="AU114" s="44"/>
      <c r="AV114" s="42"/>
      <c r="AW114" s="42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</row>
    <row r="115" spans="1:63" x14ac:dyDescent="0.3">
      <c r="A115" s="12">
        <v>108</v>
      </c>
      <c r="B115" s="33"/>
      <c r="C115" s="38" t="str">
        <f>Notes!V116</f>
        <v xml:space="preserve">               </v>
      </c>
      <c r="D115" s="4"/>
      <c r="E115" s="91"/>
      <c r="F115" s="42"/>
      <c r="G115" s="42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W115" s="33"/>
      <c r="X115" s="38" t="str">
        <f>Notes!V116</f>
        <v xml:space="preserve">               </v>
      </c>
      <c r="Y115" s="4"/>
      <c r="Z115" s="91"/>
      <c r="AA115" s="42"/>
      <c r="AB115" s="42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R115" s="33"/>
      <c r="AS115" s="38" t="str">
        <f>Notes!V116</f>
        <v xml:space="preserve">               </v>
      </c>
      <c r="AT115" s="4"/>
      <c r="AU115" s="44"/>
      <c r="AV115" s="42"/>
      <c r="AW115" s="42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</row>
    <row r="116" spans="1:63" x14ac:dyDescent="0.3">
      <c r="A116" s="12">
        <v>109</v>
      </c>
      <c r="B116" s="33"/>
      <c r="C116" s="38" t="str">
        <f>Notes!V117</f>
        <v xml:space="preserve">               </v>
      </c>
      <c r="D116" s="4"/>
      <c r="E116" s="91"/>
      <c r="F116" s="42"/>
      <c r="G116" s="42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W116" s="33"/>
      <c r="X116" s="38" t="str">
        <f>Notes!V117</f>
        <v xml:space="preserve">               </v>
      </c>
      <c r="Y116" s="4"/>
      <c r="Z116" s="91"/>
      <c r="AA116" s="42"/>
      <c r="AB116" s="42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R116" s="33"/>
      <c r="AS116" s="38" t="str">
        <f>Notes!V117</f>
        <v xml:space="preserve">               </v>
      </c>
      <c r="AT116" s="4"/>
      <c r="AU116" s="44"/>
      <c r="AV116" s="42"/>
      <c r="AW116" s="42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</row>
    <row r="117" spans="1:63" x14ac:dyDescent="0.3">
      <c r="A117" s="12">
        <v>110</v>
      </c>
      <c r="B117" s="33"/>
      <c r="C117" s="38" t="str">
        <f>Notes!V118</f>
        <v xml:space="preserve">               </v>
      </c>
      <c r="D117" s="4"/>
      <c r="E117" s="91"/>
      <c r="F117" s="42"/>
      <c r="G117" s="42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W117" s="33"/>
      <c r="X117" s="38" t="str">
        <f>Notes!V118</f>
        <v xml:space="preserve">               </v>
      </c>
      <c r="Y117" s="4"/>
      <c r="Z117" s="91"/>
      <c r="AA117" s="42"/>
      <c r="AB117" s="42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R117" s="33"/>
      <c r="AS117" s="38" t="str">
        <f>Notes!V118</f>
        <v xml:space="preserve">               </v>
      </c>
      <c r="AT117" s="4"/>
      <c r="AU117" s="44"/>
      <c r="AV117" s="42"/>
      <c r="AW117" s="42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</row>
    <row r="118" spans="1:63" x14ac:dyDescent="0.3">
      <c r="A118" s="12">
        <v>111</v>
      </c>
      <c r="B118" s="33"/>
      <c r="C118" s="38" t="str">
        <f>Notes!V119</f>
        <v xml:space="preserve">               </v>
      </c>
      <c r="D118" s="4"/>
      <c r="E118" s="91"/>
      <c r="F118" s="42"/>
      <c r="G118" s="42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W118" s="33"/>
      <c r="X118" s="38" t="str">
        <f>Notes!V119</f>
        <v xml:space="preserve">               </v>
      </c>
      <c r="Y118" s="4"/>
      <c r="Z118" s="91"/>
      <c r="AA118" s="42"/>
      <c r="AB118" s="42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R118" s="33"/>
      <c r="AS118" s="38" t="str">
        <f>Notes!V119</f>
        <v xml:space="preserve">               </v>
      </c>
      <c r="AT118" s="4"/>
      <c r="AU118" s="44"/>
      <c r="AV118" s="42"/>
      <c r="AW118" s="42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</row>
    <row r="119" spans="1:63" x14ac:dyDescent="0.3">
      <c r="A119" s="12">
        <v>112</v>
      </c>
      <c r="B119" s="33"/>
      <c r="C119" s="38" t="str">
        <f>Notes!V120</f>
        <v xml:space="preserve">               </v>
      </c>
      <c r="D119" s="4"/>
      <c r="E119" s="91"/>
      <c r="F119" s="42"/>
      <c r="G119" s="42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W119" s="33"/>
      <c r="X119" s="38" t="str">
        <f>Notes!V120</f>
        <v xml:space="preserve">               </v>
      </c>
      <c r="Y119" s="4"/>
      <c r="Z119" s="91"/>
      <c r="AA119" s="42"/>
      <c r="AB119" s="42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R119" s="33"/>
      <c r="AS119" s="38" t="str">
        <f>Notes!V120</f>
        <v xml:space="preserve">               </v>
      </c>
      <c r="AT119" s="4"/>
      <c r="AU119" s="44"/>
      <c r="AV119" s="42"/>
      <c r="AW119" s="42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</row>
    <row r="120" spans="1:63" x14ac:dyDescent="0.3">
      <c r="A120" s="12">
        <v>113</v>
      </c>
      <c r="B120" s="33"/>
      <c r="C120" s="38" t="str">
        <f>Notes!V121</f>
        <v xml:space="preserve">               </v>
      </c>
      <c r="D120" s="4"/>
      <c r="E120" s="91"/>
      <c r="F120" s="42"/>
      <c r="G120" s="4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W120" s="33"/>
      <c r="X120" s="38" t="str">
        <f>Notes!V121</f>
        <v xml:space="preserve">               </v>
      </c>
      <c r="Y120" s="4"/>
      <c r="Z120" s="91"/>
      <c r="AA120" s="42"/>
      <c r="AB120" s="42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R120" s="33"/>
      <c r="AS120" s="38" t="str">
        <f>Notes!V121</f>
        <v xml:space="preserve">               </v>
      </c>
      <c r="AT120" s="4"/>
      <c r="AU120" s="44"/>
      <c r="AV120" s="42"/>
      <c r="AW120" s="42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</row>
    <row r="121" spans="1:63" x14ac:dyDescent="0.3">
      <c r="A121" s="12">
        <v>114</v>
      </c>
      <c r="B121" s="33"/>
      <c r="C121" s="38" t="str">
        <f>Notes!V122</f>
        <v xml:space="preserve">               </v>
      </c>
      <c r="D121" s="4"/>
      <c r="E121" s="91"/>
      <c r="F121" s="42"/>
      <c r="G121" s="4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W121" s="33"/>
      <c r="X121" s="38" t="str">
        <f>Notes!V122</f>
        <v xml:space="preserve">               </v>
      </c>
      <c r="Y121" s="4"/>
      <c r="Z121" s="91"/>
      <c r="AA121" s="42"/>
      <c r="AB121" s="42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R121" s="33"/>
      <c r="AS121" s="38" t="str">
        <f>Notes!V122</f>
        <v xml:space="preserve">               </v>
      </c>
      <c r="AT121" s="4"/>
      <c r="AU121" s="44"/>
      <c r="AV121" s="42"/>
      <c r="AW121" s="42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</row>
    <row r="122" spans="1:63" x14ac:dyDescent="0.3">
      <c r="A122" s="12">
        <v>115</v>
      </c>
      <c r="B122" s="33"/>
      <c r="C122" s="38" t="str">
        <f>Notes!V123</f>
        <v xml:space="preserve">               </v>
      </c>
      <c r="D122" s="4"/>
      <c r="E122" s="91"/>
      <c r="F122" s="42"/>
      <c r="G122" s="4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W122" s="33"/>
      <c r="X122" s="38" t="str">
        <f>Notes!V123</f>
        <v xml:space="preserve">               </v>
      </c>
      <c r="Y122" s="4"/>
      <c r="Z122" s="91"/>
      <c r="AA122" s="42"/>
      <c r="AB122" s="42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R122" s="33"/>
      <c r="AS122" s="38" t="str">
        <f>Notes!V123</f>
        <v xml:space="preserve">               </v>
      </c>
      <c r="AT122" s="4"/>
      <c r="AU122" s="44"/>
      <c r="AV122" s="42"/>
      <c r="AW122" s="42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</row>
    <row r="123" spans="1:63" x14ac:dyDescent="0.3">
      <c r="A123" s="12">
        <v>116</v>
      </c>
      <c r="B123" s="33"/>
      <c r="C123" s="38" t="str">
        <f>Notes!V124</f>
        <v xml:space="preserve">               </v>
      </c>
      <c r="D123" s="4"/>
      <c r="E123" s="91"/>
      <c r="F123" s="42"/>
      <c r="G123" s="4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W123" s="33"/>
      <c r="X123" s="38" t="str">
        <f>Notes!V124</f>
        <v xml:space="preserve">               </v>
      </c>
      <c r="Y123" s="4"/>
      <c r="Z123" s="91"/>
      <c r="AA123" s="42"/>
      <c r="AB123" s="42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R123" s="33"/>
      <c r="AS123" s="38" t="str">
        <f>Notes!V124</f>
        <v xml:space="preserve">               </v>
      </c>
      <c r="AT123" s="4"/>
      <c r="AU123" s="44"/>
      <c r="AV123" s="42"/>
      <c r="AW123" s="42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</row>
    <row r="124" spans="1:63" x14ac:dyDescent="0.3">
      <c r="A124" s="12">
        <v>117</v>
      </c>
      <c r="B124" s="33"/>
      <c r="C124" s="38" t="str">
        <f>Notes!V125</f>
        <v xml:space="preserve">               </v>
      </c>
      <c r="D124" s="4"/>
      <c r="E124" s="91"/>
      <c r="F124" s="42"/>
      <c r="G124" s="4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W124" s="33"/>
      <c r="X124" s="38" t="str">
        <f>Notes!V125</f>
        <v xml:space="preserve">               </v>
      </c>
      <c r="Y124" s="4"/>
      <c r="Z124" s="91"/>
      <c r="AA124" s="42"/>
      <c r="AB124" s="42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R124" s="33"/>
      <c r="AS124" s="38" t="str">
        <f>Notes!V125</f>
        <v xml:space="preserve">               </v>
      </c>
      <c r="AT124" s="4"/>
      <c r="AU124" s="44"/>
      <c r="AV124" s="42"/>
      <c r="AW124" s="42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</row>
    <row r="125" spans="1:63" x14ac:dyDescent="0.3">
      <c r="A125" s="12">
        <v>118</v>
      </c>
      <c r="B125" s="33"/>
      <c r="C125" s="38" t="str">
        <f>Notes!V126</f>
        <v xml:space="preserve">               </v>
      </c>
      <c r="D125" s="4"/>
      <c r="E125" s="91"/>
      <c r="F125" s="42"/>
      <c r="G125" s="4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W125" s="33"/>
      <c r="X125" s="38" t="str">
        <f>Notes!V126</f>
        <v xml:space="preserve">               </v>
      </c>
      <c r="Y125" s="4"/>
      <c r="Z125" s="91"/>
      <c r="AA125" s="42"/>
      <c r="AB125" s="42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R125" s="33"/>
      <c r="AS125" s="38" t="str">
        <f>Notes!V126</f>
        <v xml:space="preserve">               </v>
      </c>
      <c r="AT125" s="4"/>
      <c r="AU125" s="44"/>
      <c r="AV125" s="42"/>
      <c r="AW125" s="42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</row>
    <row r="126" spans="1:63" x14ac:dyDescent="0.3">
      <c r="A126" s="12">
        <v>119</v>
      </c>
      <c r="B126" s="33"/>
      <c r="C126" s="38" t="str">
        <f>Notes!V127</f>
        <v xml:space="preserve">               </v>
      </c>
      <c r="D126" s="4"/>
      <c r="E126" s="91"/>
      <c r="F126" s="42"/>
      <c r="G126" s="4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W126" s="33"/>
      <c r="X126" s="38" t="str">
        <f>Notes!V127</f>
        <v xml:space="preserve">               </v>
      </c>
      <c r="Y126" s="4"/>
      <c r="Z126" s="91"/>
      <c r="AA126" s="42"/>
      <c r="AB126" s="42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R126" s="33"/>
      <c r="AS126" s="38" t="str">
        <f>Notes!V127</f>
        <v xml:space="preserve">               </v>
      </c>
      <c r="AT126" s="4"/>
      <c r="AU126" s="44"/>
      <c r="AV126" s="42"/>
      <c r="AW126" s="42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</row>
    <row r="127" spans="1:63" x14ac:dyDescent="0.3">
      <c r="A127" s="12">
        <v>120</v>
      </c>
      <c r="B127" s="33"/>
      <c r="C127" s="38" t="str">
        <f>Notes!V128</f>
        <v xml:space="preserve">               </v>
      </c>
      <c r="D127" s="4"/>
      <c r="E127" s="91"/>
      <c r="F127" s="42"/>
      <c r="G127" s="4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W127" s="33"/>
      <c r="X127" s="38" t="str">
        <f>Notes!V128</f>
        <v xml:space="preserve">               </v>
      </c>
      <c r="Y127" s="4"/>
      <c r="Z127" s="91"/>
      <c r="AA127" s="42"/>
      <c r="AB127" s="42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R127" s="33"/>
      <c r="AS127" s="38" t="str">
        <f>Notes!V128</f>
        <v xml:space="preserve">               </v>
      </c>
      <c r="AT127" s="4"/>
      <c r="AU127" s="44"/>
      <c r="AV127" s="42"/>
      <c r="AW127" s="42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</row>
    <row r="128" spans="1:63" x14ac:dyDescent="0.3">
      <c r="A128" s="12">
        <v>121</v>
      </c>
      <c r="B128" s="33"/>
      <c r="C128" s="38" t="str">
        <f>Notes!V129</f>
        <v xml:space="preserve">               </v>
      </c>
      <c r="D128" s="4"/>
      <c r="E128" s="91"/>
      <c r="F128" s="42"/>
      <c r="G128" s="4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W128" s="33"/>
      <c r="X128" s="38" t="str">
        <f>Notes!V129</f>
        <v xml:space="preserve">               </v>
      </c>
      <c r="Y128" s="4"/>
      <c r="Z128" s="91"/>
      <c r="AA128" s="42"/>
      <c r="AB128" s="42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R128" s="33"/>
      <c r="AS128" s="38" t="str">
        <f>Notes!V129</f>
        <v xml:space="preserve">               </v>
      </c>
      <c r="AT128" s="4"/>
      <c r="AU128" s="44"/>
      <c r="AV128" s="42"/>
      <c r="AW128" s="42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</row>
    <row r="129" spans="1:63" x14ac:dyDescent="0.3">
      <c r="A129" s="12">
        <v>122</v>
      </c>
      <c r="B129" s="33"/>
      <c r="C129" s="38" t="str">
        <f>Notes!V130</f>
        <v xml:space="preserve">               </v>
      </c>
      <c r="D129" s="4"/>
      <c r="E129" s="91"/>
      <c r="F129" s="42"/>
      <c r="G129" s="4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W129" s="33"/>
      <c r="X129" s="38" t="str">
        <f>Notes!V130</f>
        <v xml:space="preserve">               </v>
      </c>
      <c r="Y129" s="4"/>
      <c r="Z129" s="91"/>
      <c r="AA129" s="42"/>
      <c r="AB129" s="42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R129" s="33"/>
      <c r="AS129" s="38" t="str">
        <f>Notes!V130</f>
        <v xml:space="preserve">               </v>
      </c>
      <c r="AT129" s="4"/>
      <c r="AU129" s="44"/>
      <c r="AV129" s="42"/>
      <c r="AW129" s="42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</row>
    <row r="130" spans="1:63" x14ac:dyDescent="0.3">
      <c r="A130" s="12">
        <v>123</v>
      </c>
      <c r="B130" s="33"/>
      <c r="C130" s="38" t="str">
        <f>Notes!V131</f>
        <v xml:space="preserve">               </v>
      </c>
      <c r="D130" s="4"/>
      <c r="E130" s="91"/>
      <c r="F130" s="42"/>
      <c r="G130" s="4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W130" s="33"/>
      <c r="X130" s="38" t="str">
        <f>Notes!V131</f>
        <v xml:space="preserve">               </v>
      </c>
      <c r="Y130" s="4"/>
      <c r="Z130" s="91"/>
      <c r="AA130" s="42"/>
      <c r="AB130" s="42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R130" s="33"/>
      <c r="AS130" s="38" t="str">
        <f>Notes!V131</f>
        <v xml:space="preserve">               </v>
      </c>
      <c r="AT130" s="4"/>
      <c r="AU130" s="44"/>
      <c r="AV130" s="42"/>
      <c r="AW130" s="42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</row>
    <row r="131" spans="1:63" x14ac:dyDescent="0.3">
      <c r="A131" s="12">
        <v>124</v>
      </c>
      <c r="B131" s="33"/>
      <c r="C131" s="38" t="str">
        <f>Notes!V132</f>
        <v xml:space="preserve">               </v>
      </c>
      <c r="D131" s="4"/>
      <c r="E131" s="91"/>
      <c r="F131" s="42"/>
      <c r="G131" s="4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W131" s="33"/>
      <c r="X131" s="38" t="str">
        <f>Notes!V132</f>
        <v xml:space="preserve">               </v>
      </c>
      <c r="Y131" s="4"/>
      <c r="Z131" s="91"/>
      <c r="AA131" s="42"/>
      <c r="AB131" s="42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R131" s="33"/>
      <c r="AS131" s="38" t="str">
        <f>Notes!V132</f>
        <v xml:space="preserve">               </v>
      </c>
      <c r="AT131" s="4"/>
      <c r="AU131" s="44"/>
      <c r="AV131" s="42"/>
      <c r="AW131" s="42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</row>
    <row r="132" spans="1:63" x14ac:dyDescent="0.3">
      <c r="A132" s="12">
        <v>125</v>
      </c>
      <c r="B132" s="33"/>
      <c r="C132" s="38" t="str">
        <f>Notes!V133</f>
        <v xml:space="preserve">               </v>
      </c>
      <c r="D132" s="4"/>
      <c r="E132" s="91"/>
      <c r="F132" s="42"/>
      <c r="G132" s="4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W132" s="33"/>
      <c r="X132" s="38" t="str">
        <f>Notes!V133</f>
        <v xml:space="preserve">               </v>
      </c>
      <c r="Y132" s="4"/>
      <c r="Z132" s="91"/>
      <c r="AA132" s="42"/>
      <c r="AB132" s="42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R132" s="33"/>
      <c r="AS132" s="38" t="str">
        <f>Notes!V133</f>
        <v xml:space="preserve">               </v>
      </c>
      <c r="AT132" s="4"/>
      <c r="AU132" s="44"/>
      <c r="AV132" s="42"/>
      <c r="AW132" s="42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</row>
    <row r="133" spans="1:63" x14ac:dyDescent="0.3">
      <c r="A133" s="12">
        <v>126</v>
      </c>
      <c r="B133" s="33"/>
      <c r="C133" s="38" t="str">
        <f>Notes!V134</f>
        <v xml:space="preserve">               </v>
      </c>
      <c r="D133" s="4"/>
      <c r="E133" s="91"/>
      <c r="F133" s="42"/>
      <c r="G133" s="4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W133" s="33"/>
      <c r="X133" s="38" t="str">
        <f>Notes!V134</f>
        <v xml:space="preserve">               </v>
      </c>
      <c r="Y133" s="4"/>
      <c r="Z133" s="91"/>
      <c r="AA133" s="42"/>
      <c r="AB133" s="42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R133" s="33"/>
      <c r="AS133" s="38" t="str">
        <f>Notes!V134</f>
        <v xml:space="preserve">               </v>
      </c>
      <c r="AT133" s="4"/>
      <c r="AU133" s="44"/>
      <c r="AV133" s="42"/>
      <c r="AW133" s="42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</row>
    <row r="134" spans="1:63" x14ac:dyDescent="0.3">
      <c r="A134" s="12">
        <v>127</v>
      </c>
      <c r="B134" s="33"/>
      <c r="C134" s="38" t="str">
        <f>Notes!V135</f>
        <v xml:space="preserve">               </v>
      </c>
      <c r="D134" s="4"/>
      <c r="E134" s="91"/>
      <c r="F134" s="42"/>
      <c r="G134" s="4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W134" s="33"/>
      <c r="X134" s="38" t="str">
        <f>Notes!V135</f>
        <v xml:space="preserve">               </v>
      </c>
      <c r="Y134" s="4"/>
      <c r="Z134" s="91"/>
      <c r="AA134" s="42"/>
      <c r="AB134" s="42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R134" s="33"/>
      <c r="AS134" s="38" t="str">
        <f>Notes!V135</f>
        <v xml:space="preserve">               </v>
      </c>
      <c r="AT134" s="4"/>
      <c r="AU134" s="44"/>
      <c r="AV134" s="42"/>
      <c r="AW134" s="42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</row>
    <row r="135" spans="1:63" x14ac:dyDescent="0.3">
      <c r="A135" s="12">
        <v>128</v>
      </c>
      <c r="B135" s="33"/>
      <c r="C135" s="38" t="str">
        <f>Notes!V136</f>
        <v xml:space="preserve">               </v>
      </c>
      <c r="D135" s="4"/>
      <c r="E135" s="91"/>
      <c r="F135" s="42"/>
      <c r="G135" s="4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W135" s="33"/>
      <c r="X135" s="38" t="str">
        <f>Notes!V136</f>
        <v xml:space="preserve">               </v>
      </c>
      <c r="Y135" s="4"/>
      <c r="Z135" s="91"/>
      <c r="AA135" s="42"/>
      <c r="AB135" s="42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R135" s="33"/>
      <c r="AS135" s="38" t="str">
        <f>Notes!V136</f>
        <v xml:space="preserve">               </v>
      </c>
      <c r="AT135" s="4"/>
      <c r="AU135" s="44"/>
      <c r="AV135" s="42"/>
      <c r="AW135" s="42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</row>
    <row r="136" spans="1:63" x14ac:dyDescent="0.3">
      <c r="A136" s="12">
        <v>129</v>
      </c>
      <c r="B136" s="33"/>
      <c r="C136" s="38" t="str">
        <f>Notes!V137</f>
        <v xml:space="preserve">               </v>
      </c>
      <c r="D136" s="4"/>
      <c r="E136" s="91"/>
      <c r="F136" s="42"/>
      <c r="G136" s="4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W136" s="33"/>
      <c r="X136" s="38" t="str">
        <f>Notes!V137</f>
        <v xml:space="preserve">               </v>
      </c>
      <c r="Y136" s="4"/>
      <c r="Z136" s="91"/>
      <c r="AA136" s="42"/>
      <c r="AB136" s="42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R136" s="33"/>
      <c r="AS136" s="38" t="str">
        <f>Notes!V137</f>
        <v xml:space="preserve">               </v>
      </c>
      <c r="AT136" s="4"/>
      <c r="AU136" s="44"/>
      <c r="AV136" s="42"/>
      <c r="AW136" s="42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</row>
    <row r="137" spans="1:63" x14ac:dyDescent="0.3">
      <c r="A137" s="12">
        <v>130</v>
      </c>
      <c r="B137" s="33"/>
      <c r="C137" s="38" t="str">
        <f>Notes!V138</f>
        <v xml:space="preserve">               </v>
      </c>
      <c r="D137" s="4"/>
      <c r="E137" s="91"/>
      <c r="F137" s="42"/>
      <c r="G137" s="4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W137" s="33"/>
      <c r="X137" s="38" t="str">
        <f>Notes!V138</f>
        <v xml:space="preserve">               </v>
      </c>
      <c r="Y137" s="4"/>
      <c r="Z137" s="91"/>
      <c r="AA137" s="42"/>
      <c r="AB137" s="42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R137" s="33"/>
      <c r="AS137" s="38" t="str">
        <f>Notes!V138</f>
        <v xml:space="preserve">               </v>
      </c>
      <c r="AT137" s="4"/>
      <c r="AU137" s="44"/>
      <c r="AV137" s="42"/>
      <c r="AW137" s="42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</row>
    <row r="138" spans="1:63" x14ac:dyDescent="0.3">
      <c r="A138" s="12">
        <v>131</v>
      </c>
      <c r="B138" s="33"/>
      <c r="C138" s="38" t="str">
        <f>Notes!V139</f>
        <v xml:space="preserve">               </v>
      </c>
      <c r="D138" s="4"/>
      <c r="E138" s="91"/>
      <c r="F138" s="42"/>
      <c r="G138" s="4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W138" s="33"/>
      <c r="X138" s="38" t="str">
        <f>Notes!V139</f>
        <v xml:space="preserve">               </v>
      </c>
      <c r="Y138" s="4"/>
      <c r="Z138" s="91"/>
      <c r="AA138" s="42"/>
      <c r="AB138" s="42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R138" s="33"/>
      <c r="AS138" s="38" t="str">
        <f>Notes!V139</f>
        <v xml:space="preserve">               </v>
      </c>
      <c r="AT138" s="4"/>
      <c r="AU138" s="44"/>
      <c r="AV138" s="42"/>
      <c r="AW138" s="42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</row>
    <row r="139" spans="1:63" x14ac:dyDescent="0.3">
      <c r="A139" s="12">
        <v>132</v>
      </c>
      <c r="B139" s="33"/>
      <c r="C139" s="38" t="str">
        <f>Notes!V140</f>
        <v xml:space="preserve">               </v>
      </c>
      <c r="D139" s="4"/>
      <c r="E139" s="91"/>
      <c r="F139" s="42"/>
      <c r="G139" s="4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W139" s="33"/>
      <c r="X139" s="38" t="str">
        <f>Notes!V140</f>
        <v xml:space="preserve">               </v>
      </c>
      <c r="Y139" s="4"/>
      <c r="Z139" s="91"/>
      <c r="AA139" s="42"/>
      <c r="AB139" s="42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R139" s="33"/>
      <c r="AS139" s="38" t="str">
        <f>Notes!V140</f>
        <v xml:space="preserve">               </v>
      </c>
      <c r="AT139" s="4"/>
      <c r="AU139" s="44"/>
      <c r="AV139" s="42"/>
      <c r="AW139" s="42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</row>
    <row r="140" spans="1:63" x14ac:dyDescent="0.3">
      <c r="A140" s="12">
        <v>133</v>
      </c>
      <c r="B140" s="33"/>
      <c r="C140" s="38" t="str">
        <f>Notes!V141</f>
        <v xml:space="preserve">               </v>
      </c>
      <c r="D140" s="4"/>
      <c r="E140" s="91"/>
      <c r="F140" s="42"/>
      <c r="G140" s="4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W140" s="33"/>
      <c r="X140" s="38" t="str">
        <f>Notes!V141</f>
        <v xml:space="preserve">               </v>
      </c>
      <c r="Y140" s="4"/>
      <c r="Z140" s="91"/>
      <c r="AA140" s="42"/>
      <c r="AB140" s="42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R140" s="33"/>
      <c r="AS140" s="38" t="str">
        <f>Notes!V141</f>
        <v xml:space="preserve">               </v>
      </c>
      <c r="AT140" s="4"/>
      <c r="AU140" s="44"/>
      <c r="AV140" s="42"/>
      <c r="AW140" s="42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</row>
    <row r="141" spans="1:63" x14ac:dyDescent="0.3">
      <c r="A141" s="12">
        <v>134</v>
      </c>
      <c r="B141" s="33"/>
      <c r="C141" s="38" t="str">
        <f>Notes!V142</f>
        <v xml:space="preserve">               </v>
      </c>
      <c r="D141" s="4"/>
      <c r="E141" s="91"/>
      <c r="F141" s="42"/>
      <c r="G141" s="4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W141" s="33"/>
      <c r="X141" s="38" t="str">
        <f>Notes!V142</f>
        <v xml:space="preserve">               </v>
      </c>
      <c r="Y141" s="4"/>
      <c r="Z141" s="91"/>
      <c r="AA141" s="42"/>
      <c r="AB141" s="42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R141" s="33"/>
      <c r="AS141" s="38" t="str">
        <f>Notes!V142</f>
        <v xml:space="preserve">               </v>
      </c>
      <c r="AT141" s="4"/>
      <c r="AU141" s="44"/>
      <c r="AV141" s="42"/>
      <c r="AW141" s="42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</row>
    <row r="142" spans="1:63" x14ac:dyDescent="0.3">
      <c r="A142" s="12">
        <v>135</v>
      </c>
      <c r="B142" s="33"/>
      <c r="C142" s="38" t="str">
        <f>Notes!V143</f>
        <v xml:space="preserve">               </v>
      </c>
      <c r="D142" s="4"/>
      <c r="E142" s="91"/>
      <c r="F142" s="42"/>
      <c r="G142" s="4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W142" s="33"/>
      <c r="X142" s="38" t="str">
        <f>Notes!V143</f>
        <v xml:space="preserve">               </v>
      </c>
      <c r="Y142" s="4"/>
      <c r="Z142" s="91"/>
      <c r="AA142" s="42"/>
      <c r="AB142" s="42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R142" s="33"/>
      <c r="AS142" s="38" t="str">
        <f>Notes!V143</f>
        <v xml:space="preserve">               </v>
      </c>
      <c r="AT142" s="4"/>
      <c r="AU142" s="44"/>
      <c r="AV142" s="42"/>
      <c r="AW142" s="42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</row>
    <row r="143" spans="1:63" x14ac:dyDescent="0.3">
      <c r="A143" s="12">
        <v>136</v>
      </c>
      <c r="B143" s="33"/>
      <c r="C143" s="38" t="str">
        <f>Notes!V144</f>
        <v xml:space="preserve">               </v>
      </c>
      <c r="D143" s="4"/>
      <c r="E143" s="91"/>
      <c r="F143" s="42"/>
      <c r="G143" s="4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W143" s="33"/>
      <c r="X143" s="38" t="str">
        <f>Notes!V144</f>
        <v xml:space="preserve">               </v>
      </c>
      <c r="Y143" s="4"/>
      <c r="Z143" s="91"/>
      <c r="AA143" s="42"/>
      <c r="AB143" s="42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R143" s="33"/>
      <c r="AS143" s="38" t="str">
        <f>Notes!V144</f>
        <v xml:space="preserve">               </v>
      </c>
      <c r="AT143" s="4"/>
      <c r="AU143" s="44"/>
      <c r="AV143" s="42"/>
      <c r="AW143" s="42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</row>
    <row r="144" spans="1:63" x14ac:dyDescent="0.3">
      <c r="A144" s="12">
        <v>137</v>
      </c>
      <c r="B144" s="33"/>
      <c r="C144" s="38" t="str">
        <f>Notes!V145</f>
        <v xml:space="preserve">               </v>
      </c>
      <c r="D144" s="4"/>
      <c r="E144" s="91"/>
      <c r="F144" s="42"/>
      <c r="G144" s="4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W144" s="33"/>
      <c r="X144" s="38" t="str">
        <f>Notes!V145</f>
        <v xml:space="preserve">               </v>
      </c>
      <c r="Y144" s="4"/>
      <c r="Z144" s="91"/>
      <c r="AA144" s="42"/>
      <c r="AB144" s="42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R144" s="33"/>
      <c r="AS144" s="38" t="str">
        <f>Notes!V145</f>
        <v xml:space="preserve">               </v>
      </c>
      <c r="AT144" s="4"/>
      <c r="AU144" s="44"/>
      <c r="AV144" s="42"/>
      <c r="AW144" s="42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</row>
    <row r="145" spans="1:63" x14ac:dyDescent="0.3">
      <c r="A145" s="12">
        <v>138</v>
      </c>
      <c r="B145" s="33"/>
      <c r="C145" s="38" t="str">
        <f>Notes!V146</f>
        <v xml:space="preserve">               </v>
      </c>
      <c r="D145" s="4"/>
      <c r="E145" s="91"/>
      <c r="F145" s="42"/>
      <c r="G145" s="4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W145" s="33"/>
      <c r="X145" s="38" t="str">
        <f>Notes!V146</f>
        <v xml:space="preserve">               </v>
      </c>
      <c r="Y145" s="4"/>
      <c r="Z145" s="91"/>
      <c r="AA145" s="42"/>
      <c r="AB145" s="42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R145" s="33"/>
      <c r="AS145" s="38" t="str">
        <f>Notes!V146</f>
        <v xml:space="preserve">               </v>
      </c>
      <c r="AT145" s="4"/>
      <c r="AU145" s="44"/>
      <c r="AV145" s="42"/>
      <c r="AW145" s="42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</row>
    <row r="146" spans="1:63" x14ac:dyDescent="0.3">
      <c r="A146" s="12">
        <v>139</v>
      </c>
      <c r="B146" s="33"/>
      <c r="C146" s="38" t="str">
        <f>Notes!V147</f>
        <v xml:space="preserve">               </v>
      </c>
      <c r="D146" s="4"/>
      <c r="E146" s="91"/>
      <c r="F146" s="42"/>
      <c r="G146" s="4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W146" s="33"/>
      <c r="X146" s="38" t="str">
        <f>Notes!V147</f>
        <v xml:space="preserve">               </v>
      </c>
      <c r="Y146" s="4"/>
      <c r="Z146" s="91"/>
      <c r="AA146" s="42"/>
      <c r="AB146" s="42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R146" s="33"/>
      <c r="AS146" s="38" t="str">
        <f>Notes!V147</f>
        <v xml:space="preserve">               </v>
      </c>
      <c r="AT146" s="4"/>
      <c r="AU146" s="44"/>
      <c r="AV146" s="42"/>
      <c r="AW146" s="42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</row>
    <row r="147" spans="1:63" x14ac:dyDescent="0.3">
      <c r="A147" s="12">
        <v>140</v>
      </c>
      <c r="B147" s="33"/>
      <c r="C147" s="38" t="str">
        <f>Notes!V148</f>
        <v xml:space="preserve">               </v>
      </c>
      <c r="D147" s="4"/>
      <c r="E147" s="91"/>
      <c r="F147" s="42"/>
      <c r="G147" s="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W147" s="33"/>
      <c r="X147" s="38" t="str">
        <f>Notes!V148</f>
        <v xml:space="preserve">               </v>
      </c>
      <c r="Y147" s="4"/>
      <c r="Z147" s="91"/>
      <c r="AA147" s="42"/>
      <c r="AB147" s="42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R147" s="33"/>
      <c r="AS147" s="38" t="str">
        <f>Notes!V148</f>
        <v xml:space="preserve">               </v>
      </c>
      <c r="AT147" s="4"/>
      <c r="AU147" s="44"/>
      <c r="AV147" s="42"/>
      <c r="AW147" s="42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</row>
    <row r="148" spans="1:63" x14ac:dyDescent="0.3">
      <c r="A148" s="12">
        <v>141</v>
      </c>
      <c r="B148" s="33"/>
      <c r="C148" s="38" t="str">
        <f>Notes!V149</f>
        <v xml:space="preserve">               </v>
      </c>
      <c r="D148" s="4"/>
      <c r="E148" s="91"/>
      <c r="F148" s="42"/>
      <c r="G148" s="4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W148" s="33"/>
      <c r="X148" s="38" t="str">
        <f>Notes!V149</f>
        <v xml:space="preserve">               </v>
      </c>
      <c r="Y148" s="4"/>
      <c r="Z148" s="91"/>
      <c r="AA148" s="42"/>
      <c r="AB148" s="42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R148" s="33"/>
      <c r="AS148" s="38" t="str">
        <f>Notes!V149</f>
        <v xml:space="preserve">               </v>
      </c>
      <c r="AT148" s="4"/>
      <c r="AU148" s="44"/>
      <c r="AV148" s="42"/>
      <c r="AW148" s="42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</row>
    <row r="149" spans="1:63" x14ac:dyDescent="0.3">
      <c r="A149" s="12">
        <v>142</v>
      </c>
      <c r="B149" s="33"/>
      <c r="C149" s="38" t="str">
        <f>Notes!V150</f>
        <v xml:space="preserve">               </v>
      </c>
      <c r="D149" s="4"/>
      <c r="E149" s="91"/>
      <c r="F149" s="42"/>
      <c r="G149" s="4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W149" s="33"/>
      <c r="X149" s="38" t="str">
        <f>Notes!V150</f>
        <v xml:space="preserve">               </v>
      </c>
      <c r="Y149" s="4"/>
      <c r="Z149" s="91"/>
      <c r="AA149" s="42"/>
      <c r="AB149" s="42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R149" s="33"/>
      <c r="AS149" s="38" t="str">
        <f>Notes!V150</f>
        <v xml:space="preserve">               </v>
      </c>
      <c r="AT149" s="4"/>
      <c r="AU149" s="44"/>
      <c r="AV149" s="42"/>
      <c r="AW149" s="42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</row>
    <row r="150" spans="1:63" x14ac:dyDescent="0.3">
      <c r="A150" s="12">
        <v>143</v>
      </c>
      <c r="B150" s="33"/>
      <c r="C150" s="38" t="str">
        <f>Notes!V151</f>
        <v xml:space="preserve">               </v>
      </c>
      <c r="D150" s="4"/>
      <c r="E150" s="91"/>
      <c r="F150" s="42"/>
      <c r="G150" s="4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W150" s="33"/>
      <c r="X150" s="38" t="str">
        <f>Notes!V151</f>
        <v xml:space="preserve">               </v>
      </c>
      <c r="Y150" s="4"/>
      <c r="Z150" s="91"/>
      <c r="AA150" s="42"/>
      <c r="AB150" s="42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R150" s="33"/>
      <c r="AS150" s="38" t="str">
        <f>Notes!V151</f>
        <v xml:space="preserve">               </v>
      </c>
      <c r="AT150" s="4"/>
      <c r="AU150" s="44"/>
      <c r="AV150" s="42"/>
      <c r="AW150" s="42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</row>
    <row r="151" spans="1:63" x14ac:dyDescent="0.3">
      <c r="A151" s="12">
        <v>144</v>
      </c>
      <c r="B151" s="33"/>
      <c r="C151" s="38" t="str">
        <f>Notes!V152</f>
        <v xml:space="preserve">               </v>
      </c>
      <c r="D151" s="4"/>
      <c r="E151" s="91"/>
      <c r="F151" s="42"/>
      <c r="G151" s="4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W151" s="33"/>
      <c r="X151" s="38" t="str">
        <f>Notes!V152</f>
        <v xml:space="preserve">               </v>
      </c>
      <c r="Y151" s="4"/>
      <c r="Z151" s="91"/>
      <c r="AA151" s="42"/>
      <c r="AB151" s="42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R151" s="33"/>
      <c r="AS151" s="38" t="str">
        <f>Notes!V152</f>
        <v xml:space="preserve">               </v>
      </c>
      <c r="AT151" s="4"/>
      <c r="AU151" s="44"/>
      <c r="AV151" s="42"/>
      <c r="AW151" s="42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</row>
    <row r="152" spans="1:63" x14ac:dyDescent="0.3">
      <c r="A152" s="12">
        <v>145</v>
      </c>
      <c r="B152" s="33"/>
      <c r="C152" s="38" t="str">
        <f>Notes!V153</f>
        <v xml:space="preserve">               </v>
      </c>
      <c r="D152" s="4"/>
      <c r="E152" s="91"/>
      <c r="F152" s="42"/>
      <c r="G152" s="4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W152" s="33"/>
      <c r="X152" s="38" t="str">
        <f>Notes!V153</f>
        <v xml:space="preserve">               </v>
      </c>
      <c r="Y152" s="4"/>
      <c r="Z152" s="91"/>
      <c r="AA152" s="42"/>
      <c r="AB152" s="42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R152" s="33"/>
      <c r="AS152" s="38" t="str">
        <f>Notes!V153</f>
        <v xml:space="preserve">               </v>
      </c>
      <c r="AT152" s="4"/>
      <c r="AU152" s="44"/>
      <c r="AV152" s="42"/>
      <c r="AW152" s="42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</row>
    <row r="153" spans="1:63" x14ac:dyDescent="0.3">
      <c r="A153" s="12">
        <v>146</v>
      </c>
      <c r="B153" s="33"/>
      <c r="C153" s="38" t="str">
        <f>Notes!V154</f>
        <v xml:space="preserve">               </v>
      </c>
      <c r="D153" s="4"/>
      <c r="E153" s="91"/>
      <c r="F153" s="42"/>
      <c r="G153" s="4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W153" s="33"/>
      <c r="X153" s="38" t="str">
        <f>Notes!V154</f>
        <v xml:space="preserve">               </v>
      </c>
      <c r="Y153" s="4"/>
      <c r="Z153" s="91"/>
      <c r="AA153" s="42"/>
      <c r="AB153" s="42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R153" s="33"/>
      <c r="AS153" s="38" t="str">
        <f>Notes!V154</f>
        <v xml:space="preserve">               </v>
      </c>
      <c r="AT153" s="4"/>
      <c r="AU153" s="44"/>
      <c r="AV153" s="42"/>
      <c r="AW153" s="42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</row>
    <row r="154" spans="1:63" x14ac:dyDescent="0.3">
      <c r="A154" s="12">
        <v>147</v>
      </c>
      <c r="B154" s="33"/>
      <c r="C154" s="38" t="str">
        <f>Notes!V155</f>
        <v xml:space="preserve">               </v>
      </c>
      <c r="D154" s="4"/>
      <c r="E154" s="91"/>
      <c r="F154" s="42"/>
      <c r="G154" s="4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W154" s="33"/>
      <c r="X154" s="38" t="str">
        <f>Notes!V155</f>
        <v xml:space="preserve">               </v>
      </c>
      <c r="Y154" s="4"/>
      <c r="Z154" s="91"/>
      <c r="AA154" s="42"/>
      <c r="AB154" s="4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R154" s="33"/>
      <c r="AS154" s="38" t="str">
        <f>Notes!V155</f>
        <v xml:space="preserve">               </v>
      </c>
      <c r="AT154" s="4"/>
      <c r="AU154" s="44"/>
      <c r="AV154" s="42"/>
      <c r="AW154" s="42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</row>
    <row r="155" spans="1:63" x14ac:dyDescent="0.3">
      <c r="A155" s="12">
        <v>148</v>
      </c>
      <c r="B155" s="33"/>
      <c r="C155" s="38" t="str">
        <f>Notes!V156</f>
        <v xml:space="preserve">               </v>
      </c>
      <c r="D155" s="4"/>
      <c r="E155" s="91"/>
      <c r="F155" s="42"/>
      <c r="G155" s="4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W155" s="33"/>
      <c r="X155" s="38" t="str">
        <f>Notes!V156</f>
        <v xml:space="preserve">               </v>
      </c>
      <c r="Y155" s="4"/>
      <c r="Z155" s="91"/>
      <c r="AA155" s="42"/>
      <c r="AB155" s="42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R155" s="33"/>
      <c r="AS155" s="38" t="str">
        <f>Notes!V156</f>
        <v xml:space="preserve">               </v>
      </c>
      <c r="AT155" s="4"/>
      <c r="AU155" s="44"/>
      <c r="AV155" s="42"/>
      <c r="AW155" s="42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</row>
    <row r="156" spans="1:63" x14ac:dyDescent="0.3">
      <c r="A156" s="12">
        <v>149</v>
      </c>
      <c r="B156" s="33"/>
      <c r="C156" s="38" t="str">
        <f>Notes!V157</f>
        <v xml:space="preserve">               </v>
      </c>
      <c r="D156" s="4"/>
      <c r="E156" s="91"/>
      <c r="F156" s="42"/>
      <c r="G156" s="4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W156" s="33"/>
      <c r="X156" s="38" t="str">
        <f>Notes!V157</f>
        <v xml:space="preserve">               </v>
      </c>
      <c r="Y156" s="4"/>
      <c r="Z156" s="91"/>
      <c r="AA156" s="42"/>
      <c r="AB156" s="42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R156" s="33"/>
      <c r="AS156" s="38" t="str">
        <f>Notes!V157</f>
        <v xml:space="preserve">               </v>
      </c>
      <c r="AT156" s="4"/>
      <c r="AU156" s="44"/>
      <c r="AV156" s="42"/>
      <c r="AW156" s="42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</row>
    <row r="157" spans="1:63" x14ac:dyDescent="0.3">
      <c r="A157" s="12">
        <v>150</v>
      </c>
      <c r="B157" s="33"/>
      <c r="C157" s="38" t="str">
        <f>Notes!V158</f>
        <v xml:space="preserve">               </v>
      </c>
      <c r="D157" s="4"/>
      <c r="E157" s="95"/>
      <c r="F157" s="42"/>
      <c r="G157" s="4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W157" s="33"/>
      <c r="X157" s="38" t="str">
        <f>Notes!V158</f>
        <v xml:space="preserve">               </v>
      </c>
      <c r="Y157" s="4"/>
      <c r="Z157" s="95"/>
      <c r="AA157" s="42"/>
      <c r="AB157" s="42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R157" s="33"/>
      <c r="AS157" s="38" t="str">
        <f>Notes!V158</f>
        <v xml:space="preserve">               </v>
      </c>
      <c r="AT157" s="4"/>
      <c r="AU157" s="44"/>
      <c r="AV157" s="42"/>
      <c r="AW157" s="42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</row>
    <row r="158" spans="1:63" x14ac:dyDescent="0.3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</row>
  </sheetData>
  <sheetProtection sheet="1" objects="1" scenarios="1"/>
  <conditionalFormatting sqref="E8:U157">
    <cfRule type="cellIs" dxfId="7" priority="4" operator="equal">
      <formula>"Eps"</formula>
    </cfRule>
  </conditionalFormatting>
  <conditionalFormatting sqref="Z8:AP157">
    <cfRule type="cellIs" dxfId="6" priority="1" operator="equal">
      <formula>"Eps"</formula>
    </cfRule>
  </conditionalFormatting>
  <conditionalFormatting sqref="AU8:BK157">
    <cfRule type="cellIs" dxfId="5" priority="2" operator="equal">
      <formula>"Eps"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13B1-5273-482A-B0C6-1685ABC0AE6B}">
  <sheetPr>
    <tabColor theme="8" tint="-0.499984740745262"/>
  </sheetPr>
  <dimension ref="A1:DG158"/>
  <sheetViews>
    <sheetView zoomScale="85" zoomScaleNormal="85" workbookViewId="0">
      <pane ySplit="7" topLeftCell="A8" activePane="bottomLeft" state="frozen"/>
      <selection activeCell="E6" sqref="E6"/>
      <selection pane="bottomLeft" activeCell="C9" sqref="C9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9.109375" hidden="1" customWidth="1"/>
    <col min="5" max="21" width="9.109375" customWidth="1"/>
    <col min="22" max="23" width="2.44140625" customWidth="1"/>
    <col min="24" max="24" width="28.88671875" customWidth="1"/>
    <col min="25" max="25" width="9.109375" hidden="1" customWidth="1"/>
    <col min="26" max="42" width="9.109375" customWidth="1"/>
    <col min="43" max="44" width="2.44140625" customWidth="1"/>
    <col min="45" max="45" width="28.88671875" customWidth="1"/>
    <col min="46" max="46" width="9.109375" hidden="1" customWidth="1"/>
    <col min="47" max="63" width="9.109375" customWidth="1"/>
    <col min="64" max="65" width="2.44140625" customWidth="1"/>
    <col min="66" max="66" width="28.88671875" customWidth="1"/>
    <col min="67" max="67" width="9.109375" hidden="1" customWidth="1"/>
    <col min="68" max="84" width="9.109375" customWidth="1"/>
    <col min="85" max="86" width="2.44140625" customWidth="1"/>
    <col min="87" max="87" width="19.88671875" customWidth="1"/>
    <col min="88" max="88" width="9.109375" hidden="1" customWidth="1"/>
    <col min="89" max="105" width="9.109375" customWidth="1"/>
    <col min="106" max="106" width="2.44140625" customWidth="1"/>
    <col min="107" max="111" width="0" hidden="1" customWidth="1"/>
    <col min="112" max="16384" width="9.109375" hidden="1"/>
  </cols>
  <sheetData>
    <row r="1" spans="1:105" ht="18" x14ac:dyDescent="0.35">
      <c r="A1" s="9" t="s">
        <v>49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7" t="s">
        <v>65</v>
      </c>
      <c r="N1" s="8" t="str">
        <f>C5</f>
        <v>Total household income (YI)</v>
      </c>
      <c r="R1" s="8" t="str">
        <f>BN5</f>
        <v>Household direct tax rates (TINS)</v>
      </c>
    </row>
    <row r="2" spans="1:105" x14ac:dyDescent="0.3">
      <c r="M2" s="8"/>
      <c r="N2" s="8" t="str">
        <f>X5</f>
        <v>Total household consumption (QH)</v>
      </c>
      <c r="R2" s="8" t="str">
        <f>CI5</f>
        <v>Household marginal savings rates (MPS)</v>
      </c>
    </row>
    <row r="3" spans="1:105" x14ac:dyDescent="0.3">
      <c r="M3" s="8"/>
      <c r="N3" s="8" t="str">
        <f>AS5</f>
        <v>Household commodity consumption (QH+QHA)</v>
      </c>
    </row>
    <row r="4" spans="1:105" x14ac:dyDescent="0.3"/>
    <row r="5" spans="1:105" ht="15.6" x14ac:dyDescent="0.3">
      <c r="B5" s="13"/>
      <c r="C5" s="11" t="s">
        <v>50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3"/>
      <c r="X5" s="11" t="s">
        <v>51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R5" s="13"/>
      <c r="AS5" s="11" t="s">
        <v>64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M5" s="13"/>
      <c r="BN5" s="11" t="s">
        <v>52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H5" s="13"/>
      <c r="CI5" s="11" t="s">
        <v>53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</row>
    <row r="6" spans="1:105" x14ac:dyDescent="0.3">
      <c r="B6" s="29"/>
      <c r="C6" s="35" t="s">
        <v>502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W6" s="29"/>
      <c r="X6" s="35" t="s">
        <v>503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R6" s="29"/>
      <c r="AS6" s="35" t="s">
        <v>503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M6" s="29"/>
      <c r="BN6" s="35" t="s">
        <v>504</v>
      </c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H6" s="29"/>
      <c r="CI6" s="35" t="s">
        <v>505</v>
      </c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</row>
    <row r="7" spans="1:105" x14ac:dyDescent="0.3">
      <c r="B7" s="29"/>
      <c r="C7" s="34"/>
      <c r="D7" s="34"/>
      <c r="E7" s="43" t="s">
        <v>260</v>
      </c>
      <c r="F7" s="41" t="s">
        <v>42</v>
      </c>
      <c r="G7" s="41" t="s">
        <v>704</v>
      </c>
      <c r="H7" s="39" t="s">
        <v>481</v>
      </c>
      <c r="I7" s="39" t="s">
        <v>482</v>
      </c>
      <c r="J7" s="39" t="s">
        <v>483</v>
      </c>
      <c r="K7" s="39" t="s">
        <v>484</v>
      </c>
      <c r="L7" s="39" t="s">
        <v>485</v>
      </c>
      <c r="M7" s="39" t="s">
        <v>486</v>
      </c>
      <c r="N7" s="39" t="s">
        <v>487</v>
      </c>
      <c r="O7" s="39" t="s">
        <v>488</v>
      </c>
      <c r="P7" s="39" t="s">
        <v>489</v>
      </c>
      <c r="Q7" s="39" t="s">
        <v>43</v>
      </c>
      <c r="R7" s="39" t="s">
        <v>44</v>
      </c>
      <c r="S7" s="39" t="s">
        <v>45</v>
      </c>
      <c r="T7" s="39" t="s">
        <v>46</v>
      </c>
      <c r="U7" s="39" t="s">
        <v>47</v>
      </c>
      <c r="W7" s="29"/>
      <c r="X7" s="34"/>
      <c r="Y7" s="34"/>
      <c r="Z7" s="43" t="s">
        <v>260</v>
      </c>
      <c r="AA7" s="41" t="s">
        <v>42</v>
      </c>
      <c r="AB7" s="41" t="s">
        <v>704</v>
      </c>
      <c r="AC7" s="39" t="s">
        <v>481</v>
      </c>
      <c r="AD7" s="39" t="s">
        <v>482</v>
      </c>
      <c r="AE7" s="39" t="s">
        <v>483</v>
      </c>
      <c r="AF7" s="39" t="s">
        <v>484</v>
      </c>
      <c r="AG7" s="39" t="s">
        <v>485</v>
      </c>
      <c r="AH7" s="39" t="s">
        <v>486</v>
      </c>
      <c r="AI7" s="39" t="s">
        <v>487</v>
      </c>
      <c r="AJ7" s="39" t="s">
        <v>488</v>
      </c>
      <c r="AK7" s="39" t="s">
        <v>489</v>
      </c>
      <c r="AL7" s="39" t="s">
        <v>43</v>
      </c>
      <c r="AM7" s="39" t="s">
        <v>44</v>
      </c>
      <c r="AN7" s="39" t="s">
        <v>45</v>
      </c>
      <c r="AO7" s="39" t="s">
        <v>46</v>
      </c>
      <c r="AP7" s="39" t="s">
        <v>47</v>
      </c>
      <c r="AR7" s="29"/>
      <c r="AS7" s="34"/>
      <c r="AT7" s="34"/>
      <c r="AU7" s="43" t="s">
        <v>260</v>
      </c>
      <c r="AV7" s="41" t="s">
        <v>42</v>
      </c>
      <c r="AW7" s="41" t="s">
        <v>704</v>
      </c>
      <c r="AX7" s="39" t="s">
        <v>481</v>
      </c>
      <c r="AY7" s="39" t="s">
        <v>482</v>
      </c>
      <c r="AZ7" s="39" t="s">
        <v>483</v>
      </c>
      <c r="BA7" s="39" t="s">
        <v>484</v>
      </c>
      <c r="BB7" s="39" t="s">
        <v>485</v>
      </c>
      <c r="BC7" s="39" t="s">
        <v>486</v>
      </c>
      <c r="BD7" s="39" t="s">
        <v>487</v>
      </c>
      <c r="BE7" s="39" t="s">
        <v>488</v>
      </c>
      <c r="BF7" s="39" t="s">
        <v>489</v>
      </c>
      <c r="BG7" s="39" t="s">
        <v>43</v>
      </c>
      <c r="BH7" s="39" t="s">
        <v>44</v>
      </c>
      <c r="BI7" s="39" t="s">
        <v>45</v>
      </c>
      <c r="BJ7" s="39" t="s">
        <v>46</v>
      </c>
      <c r="BK7" s="39" t="s">
        <v>47</v>
      </c>
      <c r="BM7" s="29"/>
      <c r="BN7" s="34"/>
      <c r="BO7" s="34"/>
      <c r="BP7" s="43" t="s">
        <v>260</v>
      </c>
      <c r="BQ7" s="41" t="s">
        <v>42</v>
      </c>
      <c r="BR7" s="41" t="s">
        <v>704</v>
      </c>
      <c r="BS7" s="39" t="s">
        <v>481</v>
      </c>
      <c r="BT7" s="39" t="s">
        <v>482</v>
      </c>
      <c r="BU7" s="39" t="s">
        <v>483</v>
      </c>
      <c r="BV7" s="39" t="s">
        <v>484</v>
      </c>
      <c r="BW7" s="39" t="s">
        <v>485</v>
      </c>
      <c r="BX7" s="39" t="s">
        <v>486</v>
      </c>
      <c r="BY7" s="39" t="s">
        <v>487</v>
      </c>
      <c r="BZ7" s="39" t="s">
        <v>488</v>
      </c>
      <c r="CA7" s="39" t="s">
        <v>489</v>
      </c>
      <c r="CB7" s="39" t="s">
        <v>43</v>
      </c>
      <c r="CC7" s="39" t="s">
        <v>44</v>
      </c>
      <c r="CD7" s="39" t="s">
        <v>45</v>
      </c>
      <c r="CE7" s="39" t="s">
        <v>46</v>
      </c>
      <c r="CF7" s="39" t="s">
        <v>47</v>
      </c>
      <c r="CH7" s="29"/>
      <c r="CI7" s="34"/>
      <c r="CJ7" s="34"/>
      <c r="CK7" s="43" t="s">
        <v>260</v>
      </c>
      <c r="CL7" s="41" t="s">
        <v>42</v>
      </c>
      <c r="CM7" s="41" t="s">
        <v>704</v>
      </c>
      <c r="CN7" s="39" t="s">
        <v>481</v>
      </c>
      <c r="CO7" s="39" t="s">
        <v>482</v>
      </c>
      <c r="CP7" s="39" t="s">
        <v>483</v>
      </c>
      <c r="CQ7" s="39" t="s">
        <v>484</v>
      </c>
      <c r="CR7" s="39" t="s">
        <v>485</v>
      </c>
      <c r="CS7" s="39" t="s">
        <v>486</v>
      </c>
      <c r="CT7" s="39" t="s">
        <v>487</v>
      </c>
      <c r="CU7" s="39" t="s">
        <v>488</v>
      </c>
      <c r="CV7" s="39" t="s">
        <v>489</v>
      </c>
      <c r="CW7" s="39" t="s">
        <v>43</v>
      </c>
      <c r="CX7" s="39" t="s">
        <v>44</v>
      </c>
      <c r="CY7" s="39" t="s">
        <v>45</v>
      </c>
      <c r="CZ7" s="39" t="s">
        <v>46</v>
      </c>
      <c r="DA7" s="39" t="s">
        <v>47</v>
      </c>
    </row>
    <row r="8" spans="1:105" x14ac:dyDescent="0.3">
      <c r="A8" s="12">
        <v>1</v>
      </c>
      <c r="B8" s="33"/>
      <c r="C8" s="38" t="str">
        <f>Notes!W9</f>
        <v>All households</v>
      </c>
      <c r="D8" s="4" t="s">
        <v>302</v>
      </c>
      <c r="E8" s="44">
        <v>100</v>
      </c>
      <c r="F8" s="42">
        <v>3.0405116033205948</v>
      </c>
      <c r="G8" s="42" t="s">
        <v>48</v>
      </c>
      <c r="H8" s="40" t="s">
        <v>48</v>
      </c>
      <c r="I8" s="40" t="s">
        <v>48</v>
      </c>
      <c r="J8" s="40" t="s">
        <v>48</v>
      </c>
      <c r="K8" s="40" t="s">
        <v>48</v>
      </c>
      <c r="L8" s="40" t="s">
        <v>48</v>
      </c>
      <c r="M8" s="40" t="s">
        <v>48</v>
      </c>
      <c r="N8" s="40" t="s">
        <v>48</v>
      </c>
      <c r="O8" s="40" t="s">
        <v>48</v>
      </c>
      <c r="P8" s="40" t="s">
        <v>48</v>
      </c>
      <c r="Q8" s="40" t="s">
        <v>48</v>
      </c>
      <c r="R8" s="40" t="s">
        <v>48</v>
      </c>
      <c r="S8" s="40" t="s">
        <v>48</v>
      </c>
      <c r="T8" s="40" t="s">
        <v>48</v>
      </c>
      <c r="U8" s="40" t="s">
        <v>48</v>
      </c>
      <c r="W8" s="33"/>
      <c r="X8" s="38" t="str">
        <f>Notes!W9</f>
        <v>All households</v>
      </c>
      <c r="Y8" s="4" t="s">
        <v>302</v>
      </c>
      <c r="Z8" s="44">
        <v>100</v>
      </c>
      <c r="AA8" s="42">
        <v>3.0405703619693636</v>
      </c>
      <c r="AB8" s="42" t="s">
        <v>48</v>
      </c>
      <c r="AC8" s="40" t="s">
        <v>48</v>
      </c>
      <c r="AD8" s="40" t="s">
        <v>48</v>
      </c>
      <c r="AE8" s="40" t="s">
        <v>48</v>
      </c>
      <c r="AF8" s="40" t="s">
        <v>48</v>
      </c>
      <c r="AG8" s="40" t="s">
        <v>48</v>
      </c>
      <c r="AH8" s="40" t="s">
        <v>48</v>
      </c>
      <c r="AI8" s="40" t="s">
        <v>48</v>
      </c>
      <c r="AJ8" s="40" t="s">
        <v>48</v>
      </c>
      <c r="AK8" s="40" t="s">
        <v>48</v>
      </c>
      <c r="AL8" s="40" t="s">
        <v>48</v>
      </c>
      <c r="AM8" s="40" t="s">
        <v>48</v>
      </c>
      <c r="AN8" s="40" t="s">
        <v>48</v>
      </c>
      <c r="AO8" s="40" t="s">
        <v>48</v>
      </c>
      <c r="AP8" s="40" t="s">
        <v>48</v>
      </c>
      <c r="AR8" s="33"/>
      <c r="AS8" s="38" t="str">
        <f>Notes!U9</f>
        <v>All products</v>
      </c>
      <c r="AT8" s="4" t="s">
        <v>296</v>
      </c>
      <c r="AU8" s="44">
        <v>100</v>
      </c>
      <c r="AV8" s="42">
        <v>3.0405703619693636</v>
      </c>
      <c r="AW8" s="42" t="s">
        <v>48</v>
      </c>
      <c r="AX8" s="40" t="s">
        <v>48</v>
      </c>
      <c r="AY8" s="40" t="s">
        <v>48</v>
      </c>
      <c r="AZ8" s="40" t="s">
        <v>48</v>
      </c>
      <c r="BA8" s="40" t="s">
        <v>48</v>
      </c>
      <c r="BB8" s="40" t="s">
        <v>48</v>
      </c>
      <c r="BC8" s="40" t="s">
        <v>48</v>
      </c>
      <c r="BD8" s="40" t="s">
        <v>48</v>
      </c>
      <c r="BE8" s="40" t="s">
        <v>48</v>
      </c>
      <c r="BF8" s="40" t="s">
        <v>48</v>
      </c>
      <c r="BG8" s="40" t="s">
        <v>48</v>
      </c>
      <c r="BH8" s="40" t="s">
        <v>48</v>
      </c>
      <c r="BI8" s="40" t="s">
        <v>48</v>
      </c>
      <c r="BJ8" s="40" t="s">
        <v>48</v>
      </c>
      <c r="BK8" s="40" t="s">
        <v>48</v>
      </c>
      <c r="BM8" s="33"/>
      <c r="BN8" s="38" t="str">
        <f>Notes!W9</f>
        <v>All households</v>
      </c>
      <c r="BO8" s="4" t="s">
        <v>302</v>
      </c>
      <c r="BP8" s="44">
        <v>0.64874427085446995</v>
      </c>
      <c r="BQ8" s="42" t="s">
        <v>48</v>
      </c>
      <c r="BR8" s="42" t="s">
        <v>48</v>
      </c>
      <c r="BS8" s="40" t="s">
        <v>48</v>
      </c>
      <c r="BT8" s="40" t="s">
        <v>48</v>
      </c>
      <c r="BU8" s="40" t="s">
        <v>48</v>
      </c>
      <c r="BV8" s="40" t="s">
        <v>48</v>
      </c>
      <c r="BW8" s="40" t="s">
        <v>48</v>
      </c>
      <c r="BX8" s="40" t="s">
        <v>48</v>
      </c>
      <c r="BY8" s="40" t="s">
        <v>48</v>
      </c>
      <c r="BZ8" s="40" t="s">
        <v>48</v>
      </c>
      <c r="CA8" s="40" t="s">
        <v>48</v>
      </c>
      <c r="CB8" s="40" t="s">
        <v>48</v>
      </c>
      <c r="CC8" s="40" t="s">
        <v>48</v>
      </c>
      <c r="CD8" s="40" t="s">
        <v>48</v>
      </c>
      <c r="CE8" s="40" t="s">
        <v>48</v>
      </c>
      <c r="CF8" s="40" t="s">
        <v>48</v>
      </c>
      <c r="CH8" s="33"/>
      <c r="CI8" s="38" t="str">
        <f>Notes!W9</f>
        <v>All households</v>
      </c>
      <c r="CJ8" s="4" t="s">
        <v>302</v>
      </c>
      <c r="CK8" s="44">
        <v>21.801856293998668</v>
      </c>
      <c r="CL8" s="42" t="s">
        <v>48</v>
      </c>
      <c r="CM8" s="42" t="s">
        <v>48</v>
      </c>
      <c r="CN8" s="40" t="s">
        <v>48</v>
      </c>
      <c r="CO8" s="40" t="s">
        <v>48</v>
      </c>
      <c r="CP8" s="40" t="s">
        <v>48</v>
      </c>
      <c r="CQ8" s="40" t="s">
        <v>48</v>
      </c>
      <c r="CR8" s="40" t="s">
        <v>48</v>
      </c>
      <c r="CS8" s="40" t="s">
        <v>48</v>
      </c>
      <c r="CT8" s="40" t="s">
        <v>48</v>
      </c>
      <c r="CU8" s="40" t="s">
        <v>48</v>
      </c>
      <c r="CV8" s="40" t="s">
        <v>48</v>
      </c>
      <c r="CW8" s="40" t="s">
        <v>48</v>
      </c>
      <c r="CX8" s="40" t="s">
        <v>48</v>
      </c>
      <c r="CY8" s="40" t="s">
        <v>48</v>
      </c>
      <c r="CZ8" s="40" t="s">
        <v>48</v>
      </c>
      <c r="DA8" s="40" t="s">
        <v>48</v>
      </c>
    </row>
    <row r="9" spans="1:105" x14ac:dyDescent="0.3">
      <c r="A9" s="12">
        <v>2</v>
      </c>
      <c r="B9" s="33"/>
      <c r="C9" s="38" t="str">
        <f>Notes!W10</f>
        <v xml:space="preserve">      Decile 1 (low)</v>
      </c>
      <c r="D9" s="4" t="s">
        <v>609</v>
      </c>
      <c r="E9" s="46">
        <v>3.0454444717111242</v>
      </c>
      <c r="F9" s="47">
        <v>3.0415703705577668</v>
      </c>
      <c r="G9" s="47" t="s">
        <v>48</v>
      </c>
      <c r="H9" s="48" t="s">
        <v>48</v>
      </c>
      <c r="I9" s="48" t="s">
        <v>48</v>
      </c>
      <c r="J9" s="48" t="s">
        <v>48</v>
      </c>
      <c r="K9" s="48" t="s">
        <v>48</v>
      </c>
      <c r="L9" s="48" t="s">
        <v>48</v>
      </c>
      <c r="M9" s="48" t="s">
        <v>48</v>
      </c>
      <c r="N9" s="48" t="s">
        <v>48</v>
      </c>
      <c r="O9" s="48" t="s">
        <v>48</v>
      </c>
      <c r="P9" s="48" t="s">
        <v>48</v>
      </c>
      <c r="Q9" s="48" t="s">
        <v>48</v>
      </c>
      <c r="R9" s="48" t="s">
        <v>48</v>
      </c>
      <c r="S9" s="48" t="s">
        <v>48</v>
      </c>
      <c r="T9" s="48" t="s">
        <v>48</v>
      </c>
      <c r="U9" s="48" t="s">
        <v>48</v>
      </c>
      <c r="W9" s="33"/>
      <c r="X9" s="38" t="str">
        <f>Notes!W10</f>
        <v xml:space="preserve">      Decile 1 (low)</v>
      </c>
      <c r="Y9" s="4" t="s">
        <v>609</v>
      </c>
      <c r="Z9" s="46">
        <v>3.3686991560221604</v>
      </c>
      <c r="AA9" s="47">
        <v>3.0363616909446334</v>
      </c>
      <c r="AB9" s="47" t="s">
        <v>48</v>
      </c>
      <c r="AC9" s="48" t="s">
        <v>48</v>
      </c>
      <c r="AD9" s="48" t="s">
        <v>48</v>
      </c>
      <c r="AE9" s="48" t="s">
        <v>48</v>
      </c>
      <c r="AF9" s="48" t="s">
        <v>48</v>
      </c>
      <c r="AG9" s="48" t="s">
        <v>48</v>
      </c>
      <c r="AH9" s="48" t="s">
        <v>48</v>
      </c>
      <c r="AI9" s="48" t="s">
        <v>48</v>
      </c>
      <c r="AJ9" s="48" t="s">
        <v>48</v>
      </c>
      <c r="AK9" s="48" t="s">
        <v>48</v>
      </c>
      <c r="AL9" s="48" t="s">
        <v>48</v>
      </c>
      <c r="AM9" s="48" t="s">
        <v>48</v>
      </c>
      <c r="AN9" s="48" t="s">
        <v>48</v>
      </c>
      <c r="AO9" s="48" t="s">
        <v>48</v>
      </c>
      <c r="AP9" s="48" t="s">
        <v>48</v>
      </c>
      <c r="AR9" s="33"/>
      <c r="AS9" s="38" t="str">
        <f>Notes!U10</f>
        <v>Agriculture</v>
      </c>
      <c r="AT9" s="4" t="s">
        <v>303</v>
      </c>
      <c r="AU9" s="46">
        <v>12.187736842732615</v>
      </c>
      <c r="AV9" s="47">
        <v>3.0538526947298195</v>
      </c>
      <c r="AW9" s="47" t="s">
        <v>48</v>
      </c>
      <c r="AX9" s="48" t="s">
        <v>48</v>
      </c>
      <c r="AY9" s="48" t="s">
        <v>48</v>
      </c>
      <c r="AZ9" s="48" t="s">
        <v>48</v>
      </c>
      <c r="BA9" s="48" t="s">
        <v>48</v>
      </c>
      <c r="BB9" s="48" t="s">
        <v>48</v>
      </c>
      <c r="BC9" s="48" t="s">
        <v>48</v>
      </c>
      <c r="BD9" s="48" t="s">
        <v>48</v>
      </c>
      <c r="BE9" s="48" t="s">
        <v>48</v>
      </c>
      <c r="BF9" s="48" t="s">
        <v>48</v>
      </c>
      <c r="BG9" s="48" t="s">
        <v>48</v>
      </c>
      <c r="BH9" s="48" t="s">
        <v>48</v>
      </c>
      <c r="BI9" s="48" t="s">
        <v>48</v>
      </c>
      <c r="BJ9" s="48" t="s">
        <v>48</v>
      </c>
      <c r="BK9" s="48" t="s">
        <v>48</v>
      </c>
      <c r="BM9" s="33"/>
      <c r="BN9" s="38" t="str">
        <f>Notes!W10</f>
        <v xml:space="preserve">      Decile 1 (low)</v>
      </c>
      <c r="BO9" s="4" t="s">
        <v>609</v>
      </c>
      <c r="BP9" s="46">
        <v>9.5766076975623032E-2</v>
      </c>
      <c r="BQ9" s="47" t="s">
        <v>48</v>
      </c>
      <c r="BR9" s="47" t="s">
        <v>48</v>
      </c>
      <c r="BS9" s="48" t="s">
        <v>48</v>
      </c>
      <c r="BT9" s="48" t="s">
        <v>48</v>
      </c>
      <c r="BU9" s="48" t="s">
        <v>48</v>
      </c>
      <c r="BV9" s="48" t="s">
        <v>48</v>
      </c>
      <c r="BW9" s="48" t="s">
        <v>48</v>
      </c>
      <c r="BX9" s="48" t="s">
        <v>48</v>
      </c>
      <c r="BY9" s="48" t="s">
        <v>48</v>
      </c>
      <c r="BZ9" s="48" t="s">
        <v>48</v>
      </c>
      <c r="CA9" s="48" t="s">
        <v>48</v>
      </c>
      <c r="CB9" s="48" t="s">
        <v>48</v>
      </c>
      <c r="CC9" s="48" t="s">
        <v>48</v>
      </c>
      <c r="CD9" s="48" t="s">
        <v>48</v>
      </c>
      <c r="CE9" s="48" t="s">
        <v>48</v>
      </c>
      <c r="CF9" s="48" t="s">
        <v>48</v>
      </c>
      <c r="CH9" s="33"/>
      <c r="CI9" s="38" t="str">
        <f>Notes!W10</f>
        <v xml:space="preserve">      Decile 1 (low)</v>
      </c>
      <c r="CJ9" s="4" t="s">
        <v>609</v>
      </c>
      <c r="CK9" s="46">
        <v>14.766829136724965</v>
      </c>
      <c r="CL9" s="47" t="s">
        <v>48</v>
      </c>
      <c r="CM9" s="47" t="s">
        <v>48</v>
      </c>
      <c r="CN9" s="48" t="s">
        <v>48</v>
      </c>
      <c r="CO9" s="48" t="s">
        <v>48</v>
      </c>
      <c r="CP9" s="48" t="s">
        <v>48</v>
      </c>
      <c r="CQ9" s="48" t="s">
        <v>48</v>
      </c>
      <c r="CR9" s="48" t="s">
        <v>48</v>
      </c>
      <c r="CS9" s="48" t="s">
        <v>48</v>
      </c>
      <c r="CT9" s="48" t="s">
        <v>48</v>
      </c>
      <c r="CU9" s="48" t="s">
        <v>48</v>
      </c>
      <c r="CV9" s="48" t="s">
        <v>48</v>
      </c>
      <c r="CW9" s="48" t="s">
        <v>48</v>
      </c>
      <c r="CX9" s="48" t="s">
        <v>48</v>
      </c>
      <c r="CY9" s="48" t="s">
        <v>48</v>
      </c>
      <c r="CZ9" s="48" t="s">
        <v>48</v>
      </c>
      <c r="DA9" s="48" t="s">
        <v>48</v>
      </c>
    </row>
    <row r="10" spans="1:105" x14ac:dyDescent="0.3">
      <c r="A10" s="12">
        <v>3</v>
      </c>
      <c r="B10" s="33"/>
      <c r="C10" s="38" t="str">
        <f>Notes!W11</f>
        <v xml:space="preserve">      Decile 2</v>
      </c>
      <c r="D10" s="4" t="s">
        <v>611</v>
      </c>
      <c r="E10" s="44">
        <v>4.2079482374259642</v>
      </c>
      <c r="F10" s="42">
        <v>3.0356088963450212</v>
      </c>
      <c r="G10" s="42" t="s">
        <v>48</v>
      </c>
      <c r="H10" s="40" t="s">
        <v>48</v>
      </c>
      <c r="I10" s="40" t="s">
        <v>48</v>
      </c>
      <c r="J10" s="40" t="s">
        <v>48</v>
      </c>
      <c r="K10" s="40" t="s">
        <v>48</v>
      </c>
      <c r="L10" s="40" t="s">
        <v>48</v>
      </c>
      <c r="M10" s="40" t="s">
        <v>48</v>
      </c>
      <c r="N10" s="40" t="s">
        <v>48</v>
      </c>
      <c r="O10" s="40" t="s">
        <v>48</v>
      </c>
      <c r="P10" s="40" t="s">
        <v>48</v>
      </c>
      <c r="Q10" s="40" t="s">
        <v>48</v>
      </c>
      <c r="R10" s="40" t="s">
        <v>48</v>
      </c>
      <c r="S10" s="40" t="s">
        <v>48</v>
      </c>
      <c r="T10" s="40" t="s">
        <v>48</v>
      </c>
      <c r="U10" s="40" t="s">
        <v>48</v>
      </c>
      <c r="W10" s="33"/>
      <c r="X10" s="38" t="str">
        <f>Notes!W11</f>
        <v xml:space="preserve">      Decile 2</v>
      </c>
      <c r="Y10" s="4" t="s">
        <v>611</v>
      </c>
      <c r="Z10" s="44">
        <v>4.7499957354849052</v>
      </c>
      <c r="AA10" s="42">
        <v>3.0313798753589749</v>
      </c>
      <c r="AB10" s="42" t="s">
        <v>48</v>
      </c>
      <c r="AC10" s="40" t="s">
        <v>48</v>
      </c>
      <c r="AD10" s="40" t="s">
        <v>48</v>
      </c>
      <c r="AE10" s="40" t="s">
        <v>48</v>
      </c>
      <c r="AF10" s="40" t="s">
        <v>48</v>
      </c>
      <c r="AG10" s="40" t="s">
        <v>48</v>
      </c>
      <c r="AH10" s="40" t="s">
        <v>48</v>
      </c>
      <c r="AI10" s="40" t="s">
        <v>48</v>
      </c>
      <c r="AJ10" s="40" t="s">
        <v>48</v>
      </c>
      <c r="AK10" s="40" t="s">
        <v>48</v>
      </c>
      <c r="AL10" s="40" t="s">
        <v>48</v>
      </c>
      <c r="AM10" s="40" t="s">
        <v>48</v>
      </c>
      <c r="AN10" s="40" t="s">
        <v>48</v>
      </c>
      <c r="AO10" s="40" t="s">
        <v>48</v>
      </c>
      <c r="AP10" s="40" t="s">
        <v>48</v>
      </c>
      <c r="AR10" s="33"/>
      <c r="AS10" s="38" t="str">
        <f>Notes!U11</f>
        <v xml:space="preserve">   Crops</v>
      </c>
      <c r="AT10" s="4" t="s">
        <v>305</v>
      </c>
      <c r="AU10" s="44">
        <v>3.5585991889251245</v>
      </c>
      <c r="AV10" s="42">
        <v>3.0343713477933854</v>
      </c>
      <c r="AW10" s="42" t="s">
        <v>48</v>
      </c>
      <c r="AX10" s="40" t="s">
        <v>48</v>
      </c>
      <c r="AY10" s="40" t="s">
        <v>48</v>
      </c>
      <c r="AZ10" s="40" t="s">
        <v>48</v>
      </c>
      <c r="BA10" s="40" t="s">
        <v>48</v>
      </c>
      <c r="BB10" s="40" t="s">
        <v>48</v>
      </c>
      <c r="BC10" s="40" t="s">
        <v>48</v>
      </c>
      <c r="BD10" s="40" t="s">
        <v>48</v>
      </c>
      <c r="BE10" s="40" t="s">
        <v>48</v>
      </c>
      <c r="BF10" s="40" t="s">
        <v>48</v>
      </c>
      <c r="BG10" s="40" t="s">
        <v>48</v>
      </c>
      <c r="BH10" s="40" t="s">
        <v>48</v>
      </c>
      <c r="BI10" s="40" t="s">
        <v>48</v>
      </c>
      <c r="BJ10" s="40" t="s">
        <v>48</v>
      </c>
      <c r="BK10" s="40" t="s">
        <v>48</v>
      </c>
      <c r="BM10" s="33"/>
      <c r="BN10" s="38" t="str">
        <f>Notes!W11</f>
        <v xml:space="preserve">      Decile 2</v>
      </c>
      <c r="BO10" s="4" t="s">
        <v>611</v>
      </c>
      <c r="BP10" s="44">
        <v>0.13500783631593707</v>
      </c>
      <c r="BQ10" s="42" t="s">
        <v>48</v>
      </c>
      <c r="BR10" s="42" t="s">
        <v>48</v>
      </c>
      <c r="BS10" s="40" t="s">
        <v>48</v>
      </c>
      <c r="BT10" s="40" t="s">
        <v>48</v>
      </c>
      <c r="BU10" s="40" t="s">
        <v>48</v>
      </c>
      <c r="BV10" s="40" t="s">
        <v>48</v>
      </c>
      <c r="BW10" s="40" t="s">
        <v>48</v>
      </c>
      <c r="BX10" s="40" t="s">
        <v>48</v>
      </c>
      <c r="BY10" s="40" t="s">
        <v>48</v>
      </c>
      <c r="BZ10" s="40" t="s">
        <v>48</v>
      </c>
      <c r="CA10" s="40" t="s">
        <v>48</v>
      </c>
      <c r="CB10" s="40" t="s">
        <v>48</v>
      </c>
      <c r="CC10" s="40" t="s">
        <v>48</v>
      </c>
      <c r="CD10" s="40" t="s">
        <v>48</v>
      </c>
      <c r="CE10" s="40" t="s">
        <v>48</v>
      </c>
      <c r="CF10" s="40" t="s">
        <v>48</v>
      </c>
      <c r="CH10" s="33"/>
      <c r="CI10" s="38" t="str">
        <f>Notes!W11</f>
        <v xml:space="preserve">      Decile 2</v>
      </c>
      <c r="CJ10" s="4" t="s">
        <v>611</v>
      </c>
      <c r="CK10" s="44">
        <v>12.978046721677869</v>
      </c>
      <c r="CL10" s="42" t="s">
        <v>48</v>
      </c>
      <c r="CM10" s="42" t="s">
        <v>48</v>
      </c>
      <c r="CN10" s="40" t="s">
        <v>48</v>
      </c>
      <c r="CO10" s="40" t="s">
        <v>48</v>
      </c>
      <c r="CP10" s="40" t="s">
        <v>48</v>
      </c>
      <c r="CQ10" s="40" t="s">
        <v>48</v>
      </c>
      <c r="CR10" s="40" t="s">
        <v>48</v>
      </c>
      <c r="CS10" s="40" t="s">
        <v>48</v>
      </c>
      <c r="CT10" s="40" t="s">
        <v>48</v>
      </c>
      <c r="CU10" s="40" t="s">
        <v>48</v>
      </c>
      <c r="CV10" s="40" t="s">
        <v>48</v>
      </c>
      <c r="CW10" s="40" t="s">
        <v>48</v>
      </c>
      <c r="CX10" s="40" t="s">
        <v>48</v>
      </c>
      <c r="CY10" s="40" t="s">
        <v>48</v>
      </c>
      <c r="CZ10" s="40" t="s">
        <v>48</v>
      </c>
      <c r="DA10" s="40" t="s">
        <v>48</v>
      </c>
    </row>
    <row r="11" spans="1:105" x14ac:dyDescent="0.3">
      <c r="A11" s="12">
        <v>4</v>
      </c>
      <c r="B11" s="33"/>
      <c r="C11" s="38" t="str">
        <f>Notes!W12</f>
        <v xml:space="preserve">      Decile 3</v>
      </c>
      <c r="D11" s="4" t="s">
        <v>613</v>
      </c>
      <c r="E11" s="44">
        <v>5.3286272139876178</v>
      </c>
      <c r="F11" s="42">
        <v>3.0432765199892353</v>
      </c>
      <c r="G11" s="42" t="s">
        <v>48</v>
      </c>
      <c r="H11" s="40" t="s">
        <v>48</v>
      </c>
      <c r="I11" s="40" t="s">
        <v>48</v>
      </c>
      <c r="J11" s="40" t="s">
        <v>48</v>
      </c>
      <c r="K11" s="40" t="s">
        <v>48</v>
      </c>
      <c r="L11" s="40" t="s">
        <v>48</v>
      </c>
      <c r="M11" s="40" t="s">
        <v>48</v>
      </c>
      <c r="N11" s="40" t="s">
        <v>48</v>
      </c>
      <c r="O11" s="40" t="s">
        <v>48</v>
      </c>
      <c r="P11" s="40" t="s">
        <v>48</v>
      </c>
      <c r="Q11" s="40" t="s">
        <v>48</v>
      </c>
      <c r="R11" s="40" t="s">
        <v>48</v>
      </c>
      <c r="S11" s="40" t="s">
        <v>48</v>
      </c>
      <c r="T11" s="40" t="s">
        <v>48</v>
      </c>
      <c r="U11" s="40" t="s">
        <v>48</v>
      </c>
      <c r="W11" s="33"/>
      <c r="X11" s="38" t="str">
        <f>Notes!W12</f>
        <v xml:space="preserve">      Decile 3</v>
      </c>
      <c r="Y11" s="4" t="s">
        <v>613</v>
      </c>
      <c r="Z11" s="44">
        <v>5.6752481787106399</v>
      </c>
      <c r="AA11" s="42">
        <v>3.0394224740716513</v>
      </c>
      <c r="AB11" s="42" t="s">
        <v>48</v>
      </c>
      <c r="AC11" s="40" t="s">
        <v>48</v>
      </c>
      <c r="AD11" s="40" t="s">
        <v>48</v>
      </c>
      <c r="AE11" s="40" t="s">
        <v>48</v>
      </c>
      <c r="AF11" s="40" t="s">
        <v>48</v>
      </c>
      <c r="AG11" s="40" t="s">
        <v>48</v>
      </c>
      <c r="AH11" s="40" t="s">
        <v>48</v>
      </c>
      <c r="AI11" s="40" t="s">
        <v>48</v>
      </c>
      <c r="AJ11" s="40" t="s">
        <v>48</v>
      </c>
      <c r="AK11" s="40" t="s">
        <v>48</v>
      </c>
      <c r="AL11" s="40" t="s">
        <v>48</v>
      </c>
      <c r="AM11" s="40" t="s">
        <v>48</v>
      </c>
      <c r="AN11" s="40" t="s">
        <v>48</v>
      </c>
      <c r="AO11" s="40" t="s">
        <v>48</v>
      </c>
      <c r="AP11" s="40" t="s">
        <v>48</v>
      </c>
      <c r="AR11" s="33"/>
      <c r="AS11" s="38" t="str">
        <f>Notes!U12</f>
        <v xml:space="preserve">      Maize</v>
      </c>
      <c r="AT11" s="4" t="s">
        <v>308</v>
      </c>
      <c r="AU11" s="44">
        <v>9.5890009481559E-4</v>
      </c>
      <c r="AV11" s="42">
        <v>3.0081874436992617</v>
      </c>
      <c r="AW11" s="42" t="s">
        <v>48</v>
      </c>
      <c r="AX11" s="40" t="s">
        <v>48</v>
      </c>
      <c r="AY11" s="40" t="s">
        <v>48</v>
      </c>
      <c r="AZ11" s="40" t="s">
        <v>48</v>
      </c>
      <c r="BA11" s="40" t="s">
        <v>48</v>
      </c>
      <c r="BB11" s="40" t="s">
        <v>48</v>
      </c>
      <c r="BC11" s="40" t="s">
        <v>48</v>
      </c>
      <c r="BD11" s="40" t="s">
        <v>48</v>
      </c>
      <c r="BE11" s="40" t="s">
        <v>48</v>
      </c>
      <c r="BF11" s="40" t="s">
        <v>48</v>
      </c>
      <c r="BG11" s="40" t="s">
        <v>48</v>
      </c>
      <c r="BH11" s="40" t="s">
        <v>48</v>
      </c>
      <c r="BI11" s="40" t="s">
        <v>48</v>
      </c>
      <c r="BJ11" s="40" t="s">
        <v>48</v>
      </c>
      <c r="BK11" s="40" t="s">
        <v>48</v>
      </c>
      <c r="BM11" s="33"/>
      <c r="BN11" s="38" t="str">
        <f>Notes!W12</f>
        <v xml:space="preserve">      Decile 3</v>
      </c>
      <c r="BO11" s="4" t="s">
        <v>613</v>
      </c>
      <c r="BP11" s="44">
        <v>0.15462693070652031</v>
      </c>
      <c r="BQ11" s="42" t="s">
        <v>48</v>
      </c>
      <c r="BR11" s="42" t="s">
        <v>48</v>
      </c>
      <c r="BS11" s="40" t="s">
        <v>48</v>
      </c>
      <c r="BT11" s="40" t="s">
        <v>48</v>
      </c>
      <c r="BU11" s="40" t="s">
        <v>48</v>
      </c>
      <c r="BV11" s="40" t="s">
        <v>48</v>
      </c>
      <c r="BW11" s="40" t="s">
        <v>48</v>
      </c>
      <c r="BX11" s="40" t="s">
        <v>48</v>
      </c>
      <c r="BY11" s="40" t="s">
        <v>48</v>
      </c>
      <c r="BZ11" s="40" t="s">
        <v>48</v>
      </c>
      <c r="CA11" s="40" t="s">
        <v>48</v>
      </c>
      <c r="CB11" s="40" t="s">
        <v>48</v>
      </c>
      <c r="CC11" s="40" t="s">
        <v>48</v>
      </c>
      <c r="CD11" s="40" t="s">
        <v>48</v>
      </c>
      <c r="CE11" s="40" t="s">
        <v>48</v>
      </c>
      <c r="CF11" s="40" t="s">
        <v>48</v>
      </c>
      <c r="CH11" s="33"/>
      <c r="CI11" s="38" t="str">
        <f>Notes!W12</f>
        <v xml:space="preserve">      Decile 3</v>
      </c>
      <c r="CJ11" s="4" t="s">
        <v>613</v>
      </c>
      <c r="CK11" s="44">
        <v>17.688026848689304</v>
      </c>
      <c r="CL11" s="42" t="s">
        <v>48</v>
      </c>
      <c r="CM11" s="42" t="s">
        <v>48</v>
      </c>
      <c r="CN11" s="40" t="s">
        <v>48</v>
      </c>
      <c r="CO11" s="40" t="s">
        <v>48</v>
      </c>
      <c r="CP11" s="40" t="s">
        <v>48</v>
      </c>
      <c r="CQ11" s="40" t="s">
        <v>48</v>
      </c>
      <c r="CR11" s="40" t="s">
        <v>48</v>
      </c>
      <c r="CS11" s="40" t="s">
        <v>48</v>
      </c>
      <c r="CT11" s="40" t="s">
        <v>48</v>
      </c>
      <c r="CU11" s="40" t="s">
        <v>48</v>
      </c>
      <c r="CV11" s="40" t="s">
        <v>48</v>
      </c>
      <c r="CW11" s="40" t="s">
        <v>48</v>
      </c>
      <c r="CX11" s="40" t="s">
        <v>48</v>
      </c>
      <c r="CY11" s="40" t="s">
        <v>48</v>
      </c>
      <c r="CZ11" s="40" t="s">
        <v>48</v>
      </c>
      <c r="DA11" s="40" t="s">
        <v>48</v>
      </c>
    </row>
    <row r="12" spans="1:105" x14ac:dyDescent="0.3">
      <c r="A12" s="12">
        <v>5</v>
      </c>
      <c r="B12" s="33"/>
      <c r="C12" s="38" t="str">
        <f>Notes!W13</f>
        <v xml:space="preserve">      Decile 4</v>
      </c>
      <c r="D12" s="4" t="s">
        <v>615</v>
      </c>
      <c r="E12" s="44">
        <v>6.368099577841944</v>
      </c>
      <c r="F12" s="42">
        <v>3.0487774873160456</v>
      </c>
      <c r="G12" s="42" t="s">
        <v>48</v>
      </c>
      <c r="H12" s="40" t="s">
        <v>48</v>
      </c>
      <c r="I12" s="40" t="s">
        <v>48</v>
      </c>
      <c r="J12" s="40" t="s">
        <v>48</v>
      </c>
      <c r="K12" s="40" t="s">
        <v>48</v>
      </c>
      <c r="L12" s="40" t="s">
        <v>48</v>
      </c>
      <c r="M12" s="40" t="s">
        <v>48</v>
      </c>
      <c r="N12" s="40" t="s">
        <v>48</v>
      </c>
      <c r="O12" s="40" t="s">
        <v>48</v>
      </c>
      <c r="P12" s="40" t="s">
        <v>48</v>
      </c>
      <c r="Q12" s="40" t="s">
        <v>48</v>
      </c>
      <c r="R12" s="40" t="s">
        <v>48</v>
      </c>
      <c r="S12" s="40" t="s">
        <v>48</v>
      </c>
      <c r="T12" s="40" t="s">
        <v>48</v>
      </c>
      <c r="U12" s="40" t="s">
        <v>48</v>
      </c>
      <c r="W12" s="33"/>
      <c r="X12" s="38" t="str">
        <f>Notes!W13</f>
        <v xml:space="preserve">      Decile 4</v>
      </c>
      <c r="Y12" s="4" t="s">
        <v>615</v>
      </c>
      <c r="Z12" s="44">
        <v>6.5491035821159542</v>
      </c>
      <c r="AA12" s="42">
        <v>3.0462213356204249</v>
      </c>
      <c r="AB12" s="42" t="s">
        <v>48</v>
      </c>
      <c r="AC12" s="40" t="s">
        <v>48</v>
      </c>
      <c r="AD12" s="40" t="s">
        <v>48</v>
      </c>
      <c r="AE12" s="40" t="s">
        <v>48</v>
      </c>
      <c r="AF12" s="40" t="s">
        <v>48</v>
      </c>
      <c r="AG12" s="40" t="s">
        <v>48</v>
      </c>
      <c r="AH12" s="40" t="s">
        <v>48</v>
      </c>
      <c r="AI12" s="40" t="s">
        <v>48</v>
      </c>
      <c r="AJ12" s="40" t="s">
        <v>48</v>
      </c>
      <c r="AK12" s="40" t="s">
        <v>48</v>
      </c>
      <c r="AL12" s="40" t="s">
        <v>48</v>
      </c>
      <c r="AM12" s="40" t="s">
        <v>48</v>
      </c>
      <c r="AN12" s="40" t="s">
        <v>48</v>
      </c>
      <c r="AO12" s="40" t="s">
        <v>48</v>
      </c>
      <c r="AP12" s="40" t="s">
        <v>48</v>
      </c>
      <c r="AR12" s="33"/>
      <c r="AS12" s="38" t="str">
        <f>Notes!U13</f>
        <v xml:space="preserve">      Sorghum and millet</v>
      </c>
      <c r="AT12" s="4" t="s">
        <v>508</v>
      </c>
      <c r="AU12" s="44" t="s">
        <v>48</v>
      </c>
      <c r="AV12" s="42" t="s">
        <v>48</v>
      </c>
      <c r="AW12" s="42" t="s">
        <v>48</v>
      </c>
      <c r="AX12" s="40" t="s">
        <v>48</v>
      </c>
      <c r="AY12" s="40" t="s">
        <v>48</v>
      </c>
      <c r="AZ12" s="40" t="s">
        <v>48</v>
      </c>
      <c r="BA12" s="40" t="s">
        <v>48</v>
      </c>
      <c r="BB12" s="40" t="s">
        <v>48</v>
      </c>
      <c r="BC12" s="40" t="s">
        <v>48</v>
      </c>
      <c r="BD12" s="40" t="s">
        <v>48</v>
      </c>
      <c r="BE12" s="40" t="s">
        <v>48</v>
      </c>
      <c r="BF12" s="40" t="s">
        <v>48</v>
      </c>
      <c r="BG12" s="40" t="s">
        <v>48</v>
      </c>
      <c r="BH12" s="40" t="s">
        <v>48</v>
      </c>
      <c r="BI12" s="40" t="s">
        <v>48</v>
      </c>
      <c r="BJ12" s="40" t="s">
        <v>48</v>
      </c>
      <c r="BK12" s="40" t="s">
        <v>48</v>
      </c>
      <c r="BM12" s="33"/>
      <c r="BN12" s="38" t="str">
        <f>Notes!W13</f>
        <v xml:space="preserve">      Decile 4</v>
      </c>
      <c r="BO12" s="4" t="s">
        <v>615</v>
      </c>
      <c r="BP12" s="44">
        <v>0.22171278318631774</v>
      </c>
      <c r="BQ12" s="42" t="s">
        <v>48</v>
      </c>
      <c r="BR12" s="42" t="s">
        <v>48</v>
      </c>
      <c r="BS12" s="40" t="s">
        <v>48</v>
      </c>
      <c r="BT12" s="40" t="s">
        <v>48</v>
      </c>
      <c r="BU12" s="40" t="s">
        <v>48</v>
      </c>
      <c r="BV12" s="40" t="s">
        <v>48</v>
      </c>
      <c r="BW12" s="40" t="s">
        <v>48</v>
      </c>
      <c r="BX12" s="40" t="s">
        <v>48</v>
      </c>
      <c r="BY12" s="40" t="s">
        <v>48</v>
      </c>
      <c r="BZ12" s="40" t="s">
        <v>48</v>
      </c>
      <c r="CA12" s="40" t="s">
        <v>48</v>
      </c>
      <c r="CB12" s="40" t="s">
        <v>48</v>
      </c>
      <c r="CC12" s="40" t="s">
        <v>48</v>
      </c>
      <c r="CD12" s="40" t="s">
        <v>48</v>
      </c>
      <c r="CE12" s="40" t="s">
        <v>48</v>
      </c>
      <c r="CF12" s="40" t="s">
        <v>48</v>
      </c>
      <c r="CH12" s="33"/>
      <c r="CI12" s="38" t="str">
        <f>Notes!W13</f>
        <v xml:space="preserve">      Decile 4</v>
      </c>
      <c r="CJ12" s="4" t="s">
        <v>615</v>
      </c>
      <c r="CK12" s="44">
        <v>20.574435815978415</v>
      </c>
      <c r="CL12" s="42" t="s">
        <v>48</v>
      </c>
      <c r="CM12" s="42" t="s">
        <v>48</v>
      </c>
      <c r="CN12" s="40" t="s">
        <v>48</v>
      </c>
      <c r="CO12" s="40" t="s">
        <v>48</v>
      </c>
      <c r="CP12" s="40" t="s">
        <v>48</v>
      </c>
      <c r="CQ12" s="40" t="s">
        <v>48</v>
      </c>
      <c r="CR12" s="40" t="s">
        <v>48</v>
      </c>
      <c r="CS12" s="40" t="s">
        <v>48</v>
      </c>
      <c r="CT12" s="40" t="s">
        <v>48</v>
      </c>
      <c r="CU12" s="40" t="s">
        <v>48</v>
      </c>
      <c r="CV12" s="40" t="s">
        <v>48</v>
      </c>
      <c r="CW12" s="40" t="s">
        <v>48</v>
      </c>
      <c r="CX12" s="40" t="s">
        <v>48</v>
      </c>
      <c r="CY12" s="40" t="s">
        <v>48</v>
      </c>
      <c r="CZ12" s="40" t="s">
        <v>48</v>
      </c>
      <c r="DA12" s="40" t="s">
        <v>48</v>
      </c>
    </row>
    <row r="13" spans="1:105" x14ac:dyDescent="0.3">
      <c r="A13" s="12">
        <v>6</v>
      </c>
      <c r="B13" s="33"/>
      <c r="C13" s="38" t="str">
        <f>Notes!W14</f>
        <v xml:space="preserve">      Decile 5</v>
      </c>
      <c r="D13" s="4" t="s">
        <v>617</v>
      </c>
      <c r="E13" s="44">
        <v>6.6621322470223063</v>
      </c>
      <c r="F13" s="42">
        <v>3.0527714574707598</v>
      </c>
      <c r="G13" s="42" t="s">
        <v>48</v>
      </c>
      <c r="H13" s="40" t="s">
        <v>48</v>
      </c>
      <c r="I13" s="40" t="s">
        <v>48</v>
      </c>
      <c r="J13" s="40" t="s">
        <v>48</v>
      </c>
      <c r="K13" s="40" t="s">
        <v>48</v>
      </c>
      <c r="L13" s="40" t="s">
        <v>48</v>
      </c>
      <c r="M13" s="40" t="s">
        <v>48</v>
      </c>
      <c r="N13" s="40" t="s">
        <v>48</v>
      </c>
      <c r="O13" s="40" t="s">
        <v>48</v>
      </c>
      <c r="P13" s="40" t="s">
        <v>48</v>
      </c>
      <c r="Q13" s="40" t="s">
        <v>48</v>
      </c>
      <c r="R13" s="40" t="s">
        <v>48</v>
      </c>
      <c r="S13" s="40" t="s">
        <v>48</v>
      </c>
      <c r="T13" s="40" t="s">
        <v>48</v>
      </c>
      <c r="U13" s="40" t="s">
        <v>48</v>
      </c>
      <c r="W13" s="33"/>
      <c r="X13" s="38" t="str">
        <f>Notes!W14</f>
        <v xml:space="preserve">      Decile 5</v>
      </c>
      <c r="Y13" s="4" t="s">
        <v>617</v>
      </c>
      <c r="Z13" s="44">
        <v>7.5189091298658406</v>
      </c>
      <c r="AA13" s="42">
        <v>3.0502034233677477</v>
      </c>
      <c r="AB13" s="42" t="s">
        <v>48</v>
      </c>
      <c r="AC13" s="40" t="s">
        <v>48</v>
      </c>
      <c r="AD13" s="40" t="s">
        <v>48</v>
      </c>
      <c r="AE13" s="40" t="s">
        <v>48</v>
      </c>
      <c r="AF13" s="40" t="s">
        <v>48</v>
      </c>
      <c r="AG13" s="40" t="s">
        <v>48</v>
      </c>
      <c r="AH13" s="40" t="s">
        <v>48</v>
      </c>
      <c r="AI13" s="40" t="s">
        <v>48</v>
      </c>
      <c r="AJ13" s="40" t="s">
        <v>48</v>
      </c>
      <c r="AK13" s="40" t="s">
        <v>48</v>
      </c>
      <c r="AL13" s="40" t="s">
        <v>48</v>
      </c>
      <c r="AM13" s="40" t="s">
        <v>48</v>
      </c>
      <c r="AN13" s="40" t="s">
        <v>48</v>
      </c>
      <c r="AO13" s="40" t="s">
        <v>48</v>
      </c>
      <c r="AP13" s="40" t="s">
        <v>48</v>
      </c>
      <c r="AR13" s="33"/>
      <c r="AS13" s="38" t="str">
        <f>Notes!U14</f>
        <v xml:space="preserve">      Rice paddy (Aman)</v>
      </c>
      <c r="AT13" s="4" t="s">
        <v>705</v>
      </c>
      <c r="AU13" s="44" t="s">
        <v>48</v>
      </c>
      <c r="AV13" s="42" t="s">
        <v>48</v>
      </c>
      <c r="AW13" s="42" t="s">
        <v>48</v>
      </c>
      <c r="AX13" s="40" t="s">
        <v>48</v>
      </c>
      <c r="AY13" s="40" t="s">
        <v>48</v>
      </c>
      <c r="AZ13" s="40" t="s">
        <v>48</v>
      </c>
      <c r="BA13" s="40" t="s">
        <v>48</v>
      </c>
      <c r="BB13" s="40" t="s">
        <v>48</v>
      </c>
      <c r="BC13" s="40" t="s">
        <v>48</v>
      </c>
      <c r="BD13" s="40" t="s">
        <v>48</v>
      </c>
      <c r="BE13" s="40" t="s">
        <v>48</v>
      </c>
      <c r="BF13" s="40" t="s">
        <v>48</v>
      </c>
      <c r="BG13" s="40" t="s">
        <v>48</v>
      </c>
      <c r="BH13" s="40" t="s">
        <v>48</v>
      </c>
      <c r="BI13" s="40" t="s">
        <v>48</v>
      </c>
      <c r="BJ13" s="40" t="s">
        <v>48</v>
      </c>
      <c r="BK13" s="40" t="s">
        <v>48</v>
      </c>
      <c r="BM13" s="33"/>
      <c r="BN13" s="38" t="str">
        <f>Notes!W14</f>
        <v xml:space="preserve">      Decile 5</v>
      </c>
      <c r="BO13" s="4" t="s">
        <v>617</v>
      </c>
      <c r="BP13" s="44">
        <v>0.23518910275322566</v>
      </c>
      <c r="BQ13" s="42" t="s">
        <v>48</v>
      </c>
      <c r="BR13" s="42" t="s">
        <v>48</v>
      </c>
      <c r="BS13" s="40" t="s">
        <v>48</v>
      </c>
      <c r="BT13" s="40" t="s">
        <v>48</v>
      </c>
      <c r="BU13" s="40" t="s">
        <v>48</v>
      </c>
      <c r="BV13" s="40" t="s">
        <v>48</v>
      </c>
      <c r="BW13" s="40" t="s">
        <v>48</v>
      </c>
      <c r="BX13" s="40" t="s">
        <v>48</v>
      </c>
      <c r="BY13" s="40" t="s">
        <v>48</v>
      </c>
      <c r="BZ13" s="40" t="s">
        <v>48</v>
      </c>
      <c r="CA13" s="40" t="s">
        <v>48</v>
      </c>
      <c r="CB13" s="40" t="s">
        <v>48</v>
      </c>
      <c r="CC13" s="40" t="s">
        <v>48</v>
      </c>
      <c r="CD13" s="40" t="s">
        <v>48</v>
      </c>
      <c r="CE13" s="40" t="s">
        <v>48</v>
      </c>
      <c r="CF13" s="40" t="s">
        <v>48</v>
      </c>
      <c r="CH13" s="33"/>
      <c r="CI13" s="38" t="str">
        <f>Notes!W14</f>
        <v xml:space="preserve">      Decile 5</v>
      </c>
      <c r="CJ13" s="4" t="s">
        <v>617</v>
      </c>
      <c r="CK13" s="44">
        <v>12.835874007473558</v>
      </c>
      <c r="CL13" s="42" t="s">
        <v>48</v>
      </c>
      <c r="CM13" s="42" t="s">
        <v>48</v>
      </c>
      <c r="CN13" s="40" t="s">
        <v>48</v>
      </c>
      <c r="CO13" s="40" t="s">
        <v>48</v>
      </c>
      <c r="CP13" s="40" t="s">
        <v>48</v>
      </c>
      <c r="CQ13" s="40" t="s">
        <v>48</v>
      </c>
      <c r="CR13" s="40" t="s">
        <v>48</v>
      </c>
      <c r="CS13" s="40" t="s">
        <v>48</v>
      </c>
      <c r="CT13" s="40" t="s">
        <v>48</v>
      </c>
      <c r="CU13" s="40" t="s">
        <v>48</v>
      </c>
      <c r="CV13" s="40" t="s">
        <v>48</v>
      </c>
      <c r="CW13" s="40" t="s">
        <v>48</v>
      </c>
      <c r="CX13" s="40" t="s">
        <v>48</v>
      </c>
      <c r="CY13" s="40" t="s">
        <v>48</v>
      </c>
      <c r="CZ13" s="40" t="s">
        <v>48</v>
      </c>
      <c r="DA13" s="40" t="s">
        <v>48</v>
      </c>
    </row>
    <row r="14" spans="1:105" x14ac:dyDescent="0.3">
      <c r="A14" s="12">
        <v>7</v>
      </c>
      <c r="B14" s="33"/>
      <c r="C14" s="38" t="str">
        <f>Notes!W15</f>
        <v xml:space="preserve">      Decile 6</v>
      </c>
      <c r="D14" s="4" t="s">
        <v>619</v>
      </c>
      <c r="E14" s="44">
        <v>8.5211150005962235</v>
      </c>
      <c r="F14" s="42">
        <v>3.0512158983391435</v>
      </c>
      <c r="G14" s="42" t="s">
        <v>48</v>
      </c>
      <c r="H14" s="40" t="s">
        <v>48</v>
      </c>
      <c r="I14" s="40" t="s">
        <v>48</v>
      </c>
      <c r="J14" s="40" t="s">
        <v>48</v>
      </c>
      <c r="K14" s="40" t="s">
        <v>48</v>
      </c>
      <c r="L14" s="40" t="s">
        <v>48</v>
      </c>
      <c r="M14" s="40" t="s">
        <v>48</v>
      </c>
      <c r="N14" s="40" t="s">
        <v>48</v>
      </c>
      <c r="O14" s="40" t="s">
        <v>48</v>
      </c>
      <c r="P14" s="40" t="s">
        <v>48</v>
      </c>
      <c r="Q14" s="40" t="s">
        <v>48</v>
      </c>
      <c r="R14" s="40" t="s">
        <v>48</v>
      </c>
      <c r="S14" s="40" t="s">
        <v>48</v>
      </c>
      <c r="T14" s="40" t="s">
        <v>48</v>
      </c>
      <c r="U14" s="40" t="s">
        <v>48</v>
      </c>
      <c r="W14" s="33"/>
      <c r="X14" s="38" t="str">
        <f>Notes!W15</f>
        <v xml:space="preserve">      Decile 6</v>
      </c>
      <c r="Y14" s="4" t="s">
        <v>619</v>
      </c>
      <c r="Z14" s="44">
        <v>8.5008024854072968</v>
      </c>
      <c r="AA14" s="42">
        <v>3.0471410324985682</v>
      </c>
      <c r="AB14" s="42" t="s">
        <v>48</v>
      </c>
      <c r="AC14" s="40" t="s">
        <v>48</v>
      </c>
      <c r="AD14" s="40" t="s">
        <v>48</v>
      </c>
      <c r="AE14" s="40" t="s">
        <v>48</v>
      </c>
      <c r="AF14" s="40" t="s">
        <v>48</v>
      </c>
      <c r="AG14" s="40" t="s">
        <v>48</v>
      </c>
      <c r="AH14" s="40" t="s">
        <v>48</v>
      </c>
      <c r="AI14" s="40" t="s">
        <v>48</v>
      </c>
      <c r="AJ14" s="40" t="s">
        <v>48</v>
      </c>
      <c r="AK14" s="40" t="s">
        <v>48</v>
      </c>
      <c r="AL14" s="40" t="s">
        <v>48</v>
      </c>
      <c r="AM14" s="40" t="s">
        <v>48</v>
      </c>
      <c r="AN14" s="40" t="s">
        <v>48</v>
      </c>
      <c r="AO14" s="40" t="s">
        <v>48</v>
      </c>
      <c r="AP14" s="40" t="s">
        <v>48</v>
      </c>
      <c r="AR14" s="33"/>
      <c r="AS14" s="38" t="str">
        <f>Notes!U15</f>
        <v xml:space="preserve">      Rice paddy (Boro)</v>
      </c>
      <c r="AT14" s="4" t="s">
        <v>707</v>
      </c>
      <c r="AU14" s="44" t="s">
        <v>48</v>
      </c>
      <c r="AV14" s="42" t="s">
        <v>48</v>
      </c>
      <c r="AW14" s="42" t="s">
        <v>48</v>
      </c>
      <c r="AX14" s="40" t="s">
        <v>48</v>
      </c>
      <c r="AY14" s="40" t="s">
        <v>48</v>
      </c>
      <c r="AZ14" s="40" t="s">
        <v>48</v>
      </c>
      <c r="BA14" s="40" t="s">
        <v>48</v>
      </c>
      <c r="BB14" s="40" t="s">
        <v>48</v>
      </c>
      <c r="BC14" s="40" t="s">
        <v>48</v>
      </c>
      <c r="BD14" s="40" t="s">
        <v>48</v>
      </c>
      <c r="BE14" s="40" t="s">
        <v>48</v>
      </c>
      <c r="BF14" s="40" t="s">
        <v>48</v>
      </c>
      <c r="BG14" s="40" t="s">
        <v>48</v>
      </c>
      <c r="BH14" s="40" t="s">
        <v>48</v>
      </c>
      <c r="BI14" s="40" t="s">
        <v>48</v>
      </c>
      <c r="BJ14" s="40" t="s">
        <v>48</v>
      </c>
      <c r="BK14" s="40" t="s">
        <v>48</v>
      </c>
      <c r="BM14" s="33"/>
      <c r="BN14" s="38" t="str">
        <f>Notes!W15</f>
        <v xml:space="preserve">      Decile 6</v>
      </c>
      <c r="BO14" s="4" t="s">
        <v>619</v>
      </c>
      <c r="BP14" s="44">
        <v>0.16924991920850943</v>
      </c>
      <c r="BQ14" s="42" t="s">
        <v>48</v>
      </c>
      <c r="BR14" s="42" t="s">
        <v>48</v>
      </c>
      <c r="BS14" s="40" t="s">
        <v>48</v>
      </c>
      <c r="BT14" s="40" t="s">
        <v>48</v>
      </c>
      <c r="BU14" s="40" t="s">
        <v>48</v>
      </c>
      <c r="BV14" s="40" t="s">
        <v>48</v>
      </c>
      <c r="BW14" s="40" t="s">
        <v>48</v>
      </c>
      <c r="BX14" s="40" t="s">
        <v>48</v>
      </c>
      <c r="BY14" s="40" t="s">
        <v>48</v>
      </c>
      <c r="BZ14" s="40" t="s">
        <v>48</v>
      </c>
      <c r="CA14" s="40" t="s">
        <v>48</v>
      </c>
      <c r="CB14" s="40" t="s">
        <v>48</v>
      </c>
      <c r="CC14" s="40" t="s">
        <v>48</v>
      </c>
      <c r="CD14" s="40" t="s">
        <v>48</v>
      </c>
      <c r="CE14" s="40" t="s">
        <v>48</v>
      </c>
      <c r="CF14" s="40" t="s">
        <v>48</v>
      </c>
      <c r="CH14" s="33"/>
      <c r="CI14" s="38" t="str">
        <f>Notes!W15</f>
        <v xml:space="preserve">      Decile 6</v>
      </c>
      <c r="CJ14" s="4" t="s">
        <v>619</v>
      </c>
      <c r="CK14" s="44">
        <v>22.919355896084173</v>
      </c>
      <c r="CL14" s="42" t="s">
        <v>48</v>
      </c>
      <c r="CM14" s="42" t="s">
        <v>48</v>
      </c>
      <c r="CN14" s="40" t="s">
        <v>48</v>
      </c>
      <c r="CO14" s="40" t="s">
        <v>48</v>
      </c>
      <c r="CP14" s="40" t="s">
        <v>48</v>
      </c>
      <c r="CQ14" s="40" t="s">
        <v>48</v>
      </c>
      <c r="CR14" s="40" t="s">
        <v>48</v>
      </c>
      <c r="CS14" s="40" t="s">
        <v>48</v>
      </c>
      <c r="CT14" s="40" t="s">
        <v>48</v>
      </c>
      <c r="CU14" s="40" t="s">
        <v>48</v>
      </c>
      <c r="CV14" s="40" t="s">
        <v>48</v>
      </c>
      <c r="CW14" s="40" t="s">
        <v>48</v>
      </c>
      <c r="CX14" s="40" t="s">
        <v>48</v>
      </c>
      <c r="CY14" s="40" t="s">
        <v>48</v>
      </c>
      <c r="CZ14" s="40" t="s">
        <v>48</v>
      </c>
      <c r="DA14" s="40" t="s">
        <v>48</v>
      </c>
    </row>
    <row r="15" spans="1:105" x14ac:dyDescent="0.3">
      <c r="A15" s="12">
        <v>8</v>
      </c>
      <c r="B15" s="33"/>
      <c r="C15" s="38" t="str">
        <f>Notes!W16</f>
        <v xml:space="preserve">      Decile 7</v>
      </c>
      <c r="D15" s="4" t="s">
        <v>621</v>
      </c>
      <c r="E15" s="44">
        <v>9.322677668525726</v>
      </c>
      <c r="F15" s="42">
        <v>3.0403759400510433</v>
      </c>
      <c r="G15" s="42" t="s">
        <v>48</v>
      </c>
      <c r="H15" s="40" t="s">
        <v>48</v>
      </c>
      <c r="I15" s="40" t="s">
        <v>48</v>
      </c>
      <c r="J15" s="40" t="s">
        <v>48</v>
      </c>
      <c r="K15" s="40" t="s">
        <v>48</v>
      </c>
      <c r="L15" s="40" t="s">
        <v>48</v>
      </c>
      <c r="M15" s="40" t="s">
        <v>48</v>
      </c>
      <c r="N15" s="40" t="s">
        <v>48</v>
      </c>
      <c r="O15" s="40" t="s">
        <v>48</v>
      </c>
      <c r="P15" s="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      <c r="U15" s="40" t="s">
        <v>48</v>
      </c>
      <c r="W15" s="33"/>
      <c r="X15" s="38" t="str">
        <f>Notes!W16</f>
        <v xml:space="preserve">      Decile 7</v>
      </c>
      <c r="Y15" s="4" t="s">
        <v>621</v>
      </c>
      <c r="Z15" s="44">
        <v>9.9327734693204235</v>
      </c>
      <c r="AA15" s="42">
        <v>3.0390469837641154</v>
      </c>
      <c r="AB15" s="42" t="s">
        <v>48</v>
      </c>
      <c r="AC15" s="40" t="s">
        <v>48</v>
      </c>
      <c r="AD15" s="40" t="s">
        <v>48</v>
      </c>
      <c r="AE15" s="40" t="s">
        <v>48</v>
      </c>
      <c r="AF15" s="40" t="s">
        <v>48</v>
      </c>
      <c r="AG15" s="40" t="s">
        <v>48</v>
      </c>
      <c r="AH15" s="40" t="s">
        <v>48</v>
      </c>
      <c r="AI15" s="40" t="s">
        <v>48</v>
      </c>
      <c r="AJ15" s="40" t="s">
        <v>48</v>
      </c>
      <c r="AK15" s="40" t="s">
        <v>48</v>
      </c>
      <c r="AL15" s="40" t="s">
        <v>48</v>
      </c>
      <c r="AM15" s="40" t="s">
        <v>48</v>
      </c>
      <c r="AN15" s="40" t="s">
        <v>48</v>
      </c>
      <c r="AO15" s="40" t="s">
        <v>48</v>
      </c>
      <c r="AP15" s="40" t="s">
        <v>48</v>
      </c>
      <c r="AR15" s="33"/>
      <c r="AS15" s="38" t="str">
        <f>Notes!U16</f>
        <v xml:space="preserve">      Wheat and barley</v>
      </c>
      <c r="AT15" s="4" t="s">
        <v>510</v>
      </c>
      <c r="AU15" s="44">
        <v>2.4401669287362777E-2</v>
      </c>
      <c r="AV15" s="42">
        <v>3.012397153530344</v>
      </c>
      <c r="AW15" s="42" t="s">
        <v>48</v>
      </c>
      <c r="AX15" s="40" t="s">
        <v>48</v>
      </c>
      <c r="AY15" s="40" t="s">
        <v>48</v>
      </c>
      <c r="AZ15" s="40" t="s">
        <v>48</v>
      </c>
      <c r="BA15" s="40" t="s">
        <v>48</v>
      </c>
      <c r="BB15" s="40" t="s">
        <v>48</v>
      </c>
      <c r="BC15" s="40" t="s">
        <v>48</v>
      </c>
      <c r="BD15" s="40" t="s">
        <v>48</v>
      </c>
      <c r="BE15" s="40" t="s">
        <v>48</v>
      </c>
      <c r="BF15" s="40" t="s">
        <v>48</v>
      </c>
      <c r="BG15" s="40" t="s">
        <v>48</v>
      </c>
      <c r="BH15" s="40" t="s">
        <v>48</v>
      </c>
      <c r="BI15" s="40" t="s">
        <v>48</v>
      </c>
      <c r="BJ15" s="40" t="s">
        <v>48</v>
      </c>
      <c r="BK15" s="40" t="s">
        <v>48</v>
      </c>
      <c r="BM15" s="33"/>
      <c r="BN15" s="38" t="str">
        <f>Notes!W16</f>
        <v xml:space="preserve">      Decile 7</v>
      </c>
      <c r="BO15" s="4" t="s">
        <v>621</v>
      </c>
      <c r="BP15" s="44">
        <v>0.28854034361629555</v>
      </c>
      <c r="BQ15" s="42" t="s">
        <v>48</v>
      </c>
      <c r="BR15" s="42" t="s">
        <v>48</v>
      </c>
      <c r="BS15" s="40" t="s">
        <v>48</v>
      </c>
      <c r="BT15" s="40" t="s">
        <v>48</v>
      </c>
      <c r="BU15" s="40" t="s">
        <v>48</v>
      </c>
      <c r="BV15" s="40" t="s">
        <v>48</v>
      </c>
      <c r="BW15" s="40" t="s">
        <v>48</v>
      </c>
      <c r="BX15" s="40" t="s">
        <v>48</v>
      </c>
      <c r="BY15" s="40" t="s">
        <v>48</v>
      </c>
      <c r="BZ15" s="40" t="s">
        <v>48</v>
      </c>
      <c r="CA15" s="40" t="s">
        <v>48</v>
      </c>
      <c r="CB15" s="40" t="s">
        <v>48</v>
      </c>
      <c r="CC15" s="40" t="s">
        <v>48</v>
      </c>
      <c r="CD15" s="40" t="s">
        <v>48</v>
      </c>
      <c r="CE15" s="40" t="s">
        <v>48</v>
      </c>
      <c r="CF15" s="40" t="s">
        <v>48</v>
      </c>
      <c r="CH15" s="33"/>
      <c r="CI15" s="38" t="str">
        <f>Notes!W16</f>
        <v xml:space="preserve">      Decile 7</v>
      </c>
      <c r="CJ15" s="4" t="s">
        <v>621</v>
      </c>
      <c r="CK15" s="44">
        <v>17.172264098693109</v>
      </c>
      <c r="CL15" s="42" t="s">
        <v>48</v>
      </c>
      <c r="CM15" s="42" t="s">
        <v>48</v>
      </c>
      <c r="CN15" s="40" t="s">
        <v>48</v>
      </c>
      <c r="CO15" s="40" t="s">
        <v>48</v>
      </c>
      <c r="CP15" s="40" t="s">
        <v>48</v>
      </c>
      <c r="CQ15" s="40" t="s">
        <v>48</v>
      </c>
      <c r="CR15" s="40" t="s">
        <v>48</v>
      </c>
      <c r="CS15" s="40" t="s">
        <v>48</v>
      </c>
      <c r="CT15" s="40" t="s">
        <v>48</v>
      </c>
      <c r="CU15" s="40" t="s">
        <v>48</v>
      </c>
      <c r="CV15" s="40" t="s">
        <v>48</v>
      </c>
      <c r="CW15" s="40" t="s">
        <v>48</v>
      </c>
      <c r="CX15" s="40" t="s">
        <v>48</v>
      </c>
      <c r="CY15" s="40" t="s">
        <v>48</v>
      </c>
      <c r="CZ15" s="40" t="s">
        <v>48</v>
      </c>
      <c r="DA15" s="40" t="s">
        <v>48</v>
      </c>
    </row>
    <row r="16" spans="1:105" x14ac:dyDescent="0.3">
      <c r="A16" s="12">
        <v>9</v>
      </c>
      <c r="B16" s="33"/>
      <c r="C16" s="38" t="str">
        <f>Notes!W17</f>
        <v xml:space="preserve">      Decile 8</v>
      </c>
      <c r="D16" s="4" t="s">
        <v>623</v>
      </c>
      <c r="E16" s="44">
        <v>11.505146115934231</v>
      </c>
      <c r="F16" s="42">
        <v>3.0569984147633456</v>
      </c>
      <c r="G16" s="42" t="s">
        <v>48</v>
      </c>
      <c r="H16" s="40" t="s">
        <v>48</v>
      </c>
      <c r="I16" s="40" t="s">
        <v>48</v>
      </c>
      <c r="J16" s="40" t="s">
        <v>48</v>
      </c>
      <c r="K16" s="40" t="s">
        <v>48</v>
      </c>
      <c r="L16" s="40" t="s">
        <v>48</v>
      </c>
      <c r="M16" s="40" t="s">
        <v>48</v>
      </c>
      <c r="N16" s="40" t="s">
        <v>48</v>
      </c>
      <c r="O16" s="40" t="s">
        <v>48</v>
      </c>
      <c r="P16" s="40" t="s">
        <v>48</v>
      </c>
      <c r="Q16" s="40" t="s">
        <v>48</v>
      </c>
      <c r="R16" s="40" t="s">
        <v>48</v>
      </c>
      <c r="S16" s="40" t="s">
        <v>48</v>
      </c>
      <c r="T16" s="40" t="s">
        <v>48</v>
      </c>
      <c r="U16" s="40" t="s">
        <v>48</v>
      </c>
      <c r="W16" s="33"/>
      <c r="X16" s="38" t="str">
        <f>Notes!W17</f>
        <v xml:space="preserve">      Decile 8</v>
      </c>
      <c r="Y16" s="4" t="s">
        <v>623</v>
      </c>
      <c r="Z16" s="44">
        <v>11.714391511052938</v>
      </c>
      <c r="AA16" s="42">
        <v>3.0554730723453494</v>
      </c>
      <c r="AB16" s="42" t="s">
        <v>48</v>
      </c>
      <c r="AC16" s="40" t="s">
        <v>48</v>
      </c>
      <c r="AD16" s="40" t="s">
        <v>48</v>
      </c>
      <c r="AE16" s="40" t="s">
        <v>48</v>
      </c>
      <c r="AF16" s="40" t="s">
        <v>48</v>
      </c>
      <c r="AG16" s="40" t="s">
        <v>48</v>
      </c>
      <c r="AH16" s="40" t="s">
        <v>48</v>
      </c>
      <c r="AI16" s="40" t="s">
        <v>48</v>
      </c>
      <c r="AJ16" s="40" t="s">
        <v>48</v>
      </c>
      <c r="AK16" s="40" t="s">
        <v>48</v>
      </c>
      <c r="AL16" s="40" t="s">
        <v>48</v>
      </c>
      <c r="AM16" s="40" t="s">
        <v>48</v>
      </c>
      <c r="AN16" s="40" t="s">
        <v>48</v>
      </c>
      <c r="AO16" s="40" t="s">
        <v>48</v>
      </c>
      <c r="AP16" s="40" t="s">
        <v>48</v>
      </c>
      <c r="AR16" s="33"/>
      <c r="AS16" s="38" t="str">
        <f>Notes!U17</f>
        <v xml:space="preserve">      Other cereals</v>
      </c>
      <c r="AT16" s="4" t="s">
        <v>314</v>
      </c>
      <c r="AU16" s="44" t="s">
        <v>48</v>
      </c>
      <c r="AV16" s="42" t="s">
        <v>48</v>
      </c>
      <c r="AW16" s="42" t="s">
        <v>48</v>
      </c>
      <c r="AX16" s="40" t="s">
        <v>48</v>
      </c>
      <c r="AY16" s="40" t="s">
        <v>48</v>
      </c>
      <c r="AZ16" s="40" t="s">
        <v>48</v>
      </c>
      <c r="BA16" s="40" t="s">
        <v>48</v>
      </c>
      <c r="BB16" s="40" t="s">
        <v>48</v>
      </c>
      <c r="BC16" s="40" t="s">
        <v>48</v>
      </c>
      <c r="BD16" s="40" t="s">
        <v>48</v>
      </c>
      <c r="BE16" s="40" t="s">
        <v>48</v>
      </c>
      <c r="BF16" s="40" t="s">
        <v>48</v>
      </c>
      <c r="BG16" s="40" t="s">
        <v>48</v>
      </c>
      <c r="BH16" s="40" t="s">
        <v>48</v>
      </c>
      <c r="BI16" s="40" t="s">
        <v>48</v>
      </c>
      <c r="BJ16" s="40" t="s">
        <v>48</v>
      </c>
      <c r="BK16" s="40" t="s">
        <v>48</v>
      </c>
      <c r="BM16" s="33"/>
      <c r="BN16" s="38" t="str">
        <f>Notes!W17</f>
        <v xml:space="preserve">      Decile 8</v>
      </c>
      <c r="BO16" s="4" t="s">
        <v>623</v>
      </c>
      <c r="BP16" s="44">
        <v>0.59426934168429113</v>
      </c>
      <c r="BQ16" s="42" t="s">
        <v>48</v>
      </c>
      <c r="BR16" s="42" t="s">
        <v>48</v>
      </c>
      <c r="BS16" s="40" t="s">
        <v>48</v>
      </c>
      <c r="BT16" s="40" t="s">
        <v>48</v>
      </c>
      <c r="BU16" s="40" t="s">
        <v>48</v>
      </c>
      <c r="BV16" s="40" t="s">
        <v>48</v>
      </c>
      <c r="BW16" s="40" t="s">
        <v>48</v>
      </c>
      <c r="BX16" s="40" t="s">
        <v>48</v>
      </c>
      <c r="BY16" s="40" t="s">
        <v>48</v>
      </c>
      <c r="BZ16" s="40" t="s">
        <v>48</v>
      </c>
      <c r="CA16" s="40" t="s">
        <v>48</v>
      </c>
      <c r="CB16" s="40" t="s">
        <v>48</v>
      </c>
      <c r="CC16" s="40" t="s">
        <v>48</v>
      </c>
      <c r="CD16" s="40" t="s">
        <v>48</v>
      </c>
      <c r="CE16" s="40" t="s">
        <v>48</v>
      </c>
      <c r="CF16" s="40" t="s">
        <v>48</v>
      </c>
      <c r="CH16" s="33"/>
      <c r="CI16" s="38" t="str">
        <f>Notes!W17</f>
        <v xml:space="preserve">      Decile 8</v>
      </c>
      <c r="CJ16" s="4" t="s">
        <v>623</v>
      </c>
      <c r="CK16" s="44">
        <v>20.187431223955734</v>
      </c>
      <c r="CL16" s="42" t="s">
        <v>48</v>
      </c>
      <c r="CM16" s="42" t="s">
        <v>48</v>
      </c>
      <c r="CN16" s="40" t="s">
        <v>48</v>
      </c>
      <c r="CO16" s="40" t="s">
        <v>48</v>
      </c>
      <c r="CP16" s="40" t="s">
        <v>48</v>
      </c>
      <c r="CQ16" s="40" t="s">
        <v>48</v>
      </c>
      <c r="CR16" s="40" t="s">
        <v>48</v>
      </c>
      <c r="CS16" s="40" t="s">
        <v>48</v>
      </c>
      <c r="CT16" s="40" t="s">
        <v>48</v>
      </c>
      <c r="CU16" s="40" t="s">
        <v>48</v>
      </c>
      <c r="CV16" s="40" t="s">
        <v>48</v>
      </c>
      <c r="CW16" s="40" t="s">
        <v>48</v>
      </c>
      <c r="CX16" s="40" t="s">
        <v>48</v>
      </c>
      <c r="CY16" s="40" t="s">
        <v>48</v>
      </c>
      <c r="CZ16" s="40" t="s">
        <v>48</v>
      </c>
      <c r="DA16" s="40" t="s">
        <v>48</v>
      </c>
    </row>
    <row r="17" spans="1:105" x14ac:dyDescent="0.3">
      <c r="A17" s="12">
        <v>10</v>
      </c>
      <c r="B17" s="33"/>
      <c r="C17" s="38" t="str">
        <f>Notes!W18</f>
        <v xml:space="preserve">      Decile 9</v>
      </c>
      <c r="D17" s="4" t="s">
        <v>625</v>
      </c>
      <c r="E17" s="44">
        <v>14.171295060294145</v>
      </c>
      <c r="F17" s="42">
        <v>3.0394813961697853</v>
      </c>
      <c r="G17" s="42" t="s">
        <v>48</v>
      </c>
      <c r="H17" s="40" t="s">
        <v>48</v>
      </c>
      <c r="I17" s="40" t="s">
        <v>48</v>
      </c>
      <c r="J17" s="40" t="s">
        <v>48</v>
      </c>
      <c r="K17" s="40" t="s">
        <v>48</v>
      </c>
      <c r="L17" s="40" t="s">
        <v>48</v>
      </c>
      <c r="M17" s="40" t="s">
        <v>48</v>
      </c>
      <c r="N17" s="40" t="s">
        <v>48</v>
      </c>
      <c r="O17" s="40" t="s">
        <v>48</v>
      </c>
      <c r="P17" s="40" t="s">
        <v>48</v>
      </c>
      <c r="Q17" s="40" t="s">
        <v>48</v>
      </c>
      <c r="R17" s="40" t="s">
        <v>48</v>
      </c>
      <c r="S17" s="40" t="s">
        <v>48</v>
      </c>
      <c r="T17" s="40" t="s">
        <v>48</v>
      </c>
      <c r="U17" s="40" t="s">
        <v>48</v>
      </c>
      <c r="W17" s="33"/>
      <c r="X17" s="38" t="str">
        <f>Notes!W18</f>
        <v xml:space="preserve">      Decile 9</v>
      </c>
      <c r="Y17" s="4" t="s">
        <v>625</v>
      </c>
      <c r="Z17" s="44">
        <v>14.572598687406527</v>
      </c>
      <c r="AA17" s="42">
        <v>3.0399238586536814</v>
      </c>
      <c r="AB17" s="42" t="s">
        <v>48</v>
      </c>
      <c r="AC17" s="40" t="s">
        <v>48</v>
      </c>
      <c r="AD17" s="40" t="s">
        <v>48</v>
      </c>
      <c r="AE17" s="40" t="s">
        <v>48</v>
      </c>
      <c r="AF17" s="40" t="s">
        <v>48</v>
      </c>
      <c r="AG17" s="40" t="s">
        <v>48</v>
      </c>
      <c r="AH17" s="40" t="s">
        <v>48</v>
      </c>
      <c r="AI17" s="40" t="s">
        <v>48</v>
      </c>
      <c r="AJ17" s="40" t="s">
        <v>48</v>
      </c>
      <c r="AK17" s="40" t="s">
        <v>48</v>
      </c>
      <c r="AL17" s="40" t="s">
        <v>48</v>
      </c>
      <c r="AM17" s="40" t="s">
        <v>48</v>
      </c>
      <c r="AN17" s="40" t="s">
        <v>48</v>
      </c>
      <c r="AO17" s="40" t="s">
        <v>48</v>
      </c>
      <c r="AP17" s="40" t="s">
        <v>48</v>
      </c>
      <c r="AR17" s="33"/>
      <c r="AS17" s="38" t="str">
        <f>Notes!U18</f>
        <v xml:space="preserve">      Pulses</v>
      </c>
      <c r="AT17" s="4" t="s">
        <v>317</v>
      </c>
      <c r="AU17" s="44">
        <v>0.44607328300707094</v>
      </c>
      <c r="AV17" s="42">
        <v>3.0432951845783984</v>
      </c>
      <c r="AW17" s="42" t="s">
        <v>48</v>
      </c>
      <c r="AX17" s="40" t="s">
        <v>48</v>
      </c>
      <c r="AY17" s="40" t="s">
        <v>48</v>
      </c>
      <c r="AZ17" s="40" t="s">
        <v>48</v>
      </c>
      <c r="BA17" s="40" t="s">
        <v>48</v>
      </c>
      <c r="BB17" s="40" t="s">
        <v>48</v>
      </c>
      <c r="BC17" s="40" t="s">
        <v>48</v>
      </c>
      <c r="BD17" s="40" t="s">
        <v>48</v>
      </c>
      <c r="BE17" s="40" t="s">
        <v>48</v>
      </c>
      <c r="BF17" s="40" t="s">
        <v>48</v>
      </c>
      <c r="BG17" s="40" t="s">
        <v>48</v>
      </c>
      <c r="BH17" s="40" t="s">
        <v>48</v>
      </c>
      <c r="BI17" s="40" t="s">
        <v>48</v>
      </c>
      <c r="BJ17" s="40" t="s">
        <v>48</v>
      </c>
      <c r="BK17" s="40" t="s">
        <v>48</v>
      </c>
      <c r="BM17" s="33"/>
      <c r="BN17" s="38" t="str">
        <f>Notes!W18</f>
        <v xml:space="preserve">      Decile 9</v>
      </c>
      <c r="BO17" s="4" t="s">
        <v>625</v>
      </c>
      <c r="BP17" s="44">
        <v>0.69106357394754703</v>
      </c>
      <c r="BQ17" s="42" t="s">
        <v>48</v>
      </c>
      <c r="BR17" s="42" t="s">
        <v>48</v>
      </c>
      <c r="BS17" s="40" t="s">
        <v>48</v>
      </c>
      <c r="BT17" s="40" t="s">
        <v>48</v>
      </c>
      <c r="BU17" s="40" t="s">
        <v>48</v>
      </c>
      <c r="BV17" s="40" t="s">
        <v>48</v>
      </c>
      <c r="BW17" s="40" t="s">
        <v>48</v>
      </c>
      <c r="BX17" s="40" t="s">
        <v>48</v>
      </c>
      <c r="BY17" s="40" t="s">
        <v>48</v>
      </c>
      <c r="BZ17" s="40" t="s">
        <v>48</v>
      </c>
      <c r="CA17" s="40" t="s">
        <v>48</v>
      </c>
      <c r="CB17" s="40" t="s">
        <v>48</v>
      </c>
      <c r="CC17" s="40" t="s">
        <v>48</v>
      </c>
      <c r="CD17" s="40" t="s">
        <v>48</v>
      </c>
      <c r="CE17" s="40" t="s">
        <v>48</v>
      </c>
      <c r="CF17" s="40" t="s">
        <v>48</v>
      </c>
      <c r="CH17" s="33"/>
      <c r="CI17" s="38" t="str">
        <f>Notes!W18</f>
        <v xml:space="preserve">      Decile 9</v>
      </c>
      <c r="CJ17" s="4" t="s">
        <v>625</v>
      </c>
      <c r="CK17" s="44">
        <v>19.716936132086015</v>
      </c>
      <c r="CL17" s="42" t="s">
        <v>48</v>
      </c>
      <c r="CM17" s="42" t="s">
        <v>48</v>
      </c>
      <c r="CN17" s="40" t="s">
        <v>48</v>
      </c>
      <c r="CO17" s="40" t="s">
        <v>48</v>
      </c>
      <c r="CP17" s="40" t="s">
        <v>48</v>
      </c>
      <c r="CQ17" s="40" t="s">
        <v>48</v>
      </c>
      <c r="CR17" s="40" t="s">
        <v>48</v>
      </c>
      <c r="CS17" s="40" t="s">
        <v>48</v>
      </c>
      <c r="CT17" s="40" t="s">
        <v>48</v>
      </c>
      <c r="CU17" s="40" t="s">
        <v>48</v>
      </c>
      <c r="CV17" s="40" t="s">
        <v>48</v>
      </c>
      <c r="CW17" s="40" t="s">
        <v>48</v>
      </c>
      <c r="CX17" s="40" t="s">
        <v>48</v>
      </c>
      <c r="CY17" s="40" t="s">
        <v>48</v>
      </c>
      <c r="CZ17" s="40" t="s">
        <v>48</v>
      </c>
      <c r="DA17" s="40" t="s">
        <v>48</v>
      </c>
    </row>
    <row r="18" spans="1:105" x14ac:dyDescent="0.3">
      <c r="A18" s="12">
        <v>11</v>
      </c>
      <c r="B18" s="33"/>
      <c r="C18" s="38" t="str">
        <f>Notes!W19</f>
        <v xml:space="preserve">      Decile 10 (high)</v>
      </c>
      <c r="D18" s="4" t="s">
        <v>627</v>
      </c>
      <c r="E18" s="44">
        <v>30.86751440666071</v>
      </c>
      <c r="F18" s="42">
        <v>3.0276505662042208</v>
      </c>
      <c r="G18" s="42" t="s">
        <v>48</v>
      </c>
      <c r="H18" s="40" t="s">
        <v>48</v>
      </c>
      <c r="I18" s="40" t="s">
        <v>48</v>
      </c>
      <c r="J18" s="40" t="s">
        <v>48</v>
      </c>
      <c r="K18" s="40" t="s">
        <v>48</v>
      </c>
      <c r="L18" s="40" t="s">
        <v>48</v>
      </c>
      <c r="M18" s="40" t="s">
        <v>48</v>
      </c>
      <c r="N18" s="40" t="s">
        <v>48</v>
      </c>
      <c r="O18" s="40" t="s">
        <v>48</v>
      </c>
      <c r="P18" s="40" t="s">
        <v>48</v>
      </c>
      <c r="Q18" s="40" t="s">
        <v>48</v>
      </c>
      <c r="R18" s="40" t="s">
        <v>48</v>
      </c>
      <c r="S18" s="40" t="s">
        <v>48</v>
      </c>
      <c r="T18" s="40" t="s">
        <v>48</v>
      </c>
      <c r="U18" s="40" t="s">
        <v>48</v>
      </c>
      <c r="W18" s="33"/>
      <c r="X18" s="38" t="str">
        <f>Notes!W19</f>
        <v xml:space="preserve">      Decile 10 (high)</v>
      </c>
      <c r="Y18" s="4" t="s">
        <v>627</v>
      </c>
      <c r="Z18" s="44">
        <v>27.417478064613359</v>
      </c>
      <c r="AA18" s="42">
        <v>3.0314095730138435</v>
      </c>
      <c r="AB18" s="42" t="s">
        <v>48</v>
      </c>
      <c r="AC18" s="40" t="s">
        <v>48</v>
      </c>
      <c r="AD18" s="40" t="s">
        <v>48</v>
      </c>
      <c r="AE18" s="40" t="s">
        <v>48</v>
      </c>
      <c r="AF18" s="40" t="s">
        <v>48</v>
      </c>
      <c r="AG18" s="40" t="s">
        <v>48</v>
      </c>
      <c r="AH18" s="40" t="s">
        <v>48</v>
      </c>
      <c r="AI18" s="40" t="s">
        <v>48</v>
      </c>
      <c r="AJ18" s="40" t="s">
        <v>48</v>
      </c>
      <c r="AK18" s="40" t="s">
        <v>48</v>
      </c>
      <c r="AL18" s="40" t="s">
        <v>48</v>
      </c>
      <c r="AM18" s="40" t="s">
        <v>48</v>
      </c>
      <c r="AN18" s="40" t="s">
        <v>48</v>
      </c>
      <c r="AO18" s="40" t="s">
        <v>48</v>
      </c>
      <c r="AP18" s="40" t="s">
        <v>48</v>
      </c>
      <c r="AR18" s="33"/>
      <c r="AS18" s="38" t="str">
        <f>Notes!U19</f>
        <v xml:space="preserve">      Groundnuts</v>
      </c>
      <c r="AT18" s="4" t="s">
        <v>512</v>
      </c>
      <c r="AU18" s="44" t="s">
        <v>48</v>
      </c>
      <c r="AV18" s="42" t="s">
        <v>48</v>
      </c>
      <c r="AW18" s="42" t="s">
        <v>48</v>
      </c>
      <c r="AX18" s="40" t="s">
        <v>48</v>
      </c>
      <c r="AY18" s="40" t="s">
        <v>48</v>
      </c>
      <c r="AZ18" s="40" t="s">
        <v>48</v>
      </c>
      <c r="BA18" s="40" t="s">
        <v>48</v>
      </c>
      <c r="BB18" s="40" t="s">
        <v>48</v>
      </c>
      <c r="BC18" s="40" t="s">
        <v>48</v>
      </c>
      <c r="BD18" s="40" t="s">
        <v>48</v>
      </c>
      <c r="BE18" s="40" t="s">
        <v>48</v>
      </c>
      <c r="BF18" s="40" t="s">
        <v>48</v>
      </c>
      <c r="BG18" s="40" t="s">
        <v>48</v>
      </c>
      <c r="BH18" s="40" t="s">
        <v>48</v>
      </c>
      <c r="BI18" s="40" t="s">
        <v>48</v>
      </c>
      <c r="BJ18" s="40" t="s">
        <v>48</v>
      </c>
      <c r="BK18" s="40" t="s">
        <v>48</v>
      </c>
      <c r="BM18" s="33"/>
      <c r="BN18" s="38" t="str">
        <f>Notes!W19</f>
        <v xml:space="preserve">      Decile 10 (high)</v>
      </c>
      <c r="BO18" s="4" t="s">
        <v>627</v>
      </c>
      <c r="BP18" s="44">
        <v>1.2780226806771984</v>
      </c>
      <c r="BQ18" s="42" t="s">
        <v>48</v>
      </c>
      <c r="BR18" s="42" t="s">
        <v>48</v>
      </c>
      <c r="BS18" s="40" t="s">
        <v>48</v>
      </c>
      <c r="BT18" s="40" t="s">
        <v>48</v>
      </c>
      <c r="BU18" s="40" t="s">
        <v>48</v>
      </c>
      <c r="BV18" s="40" t="s">
        <v>48</v>
      </c>
      <c r="BW18" s="40" t="s">
        <v>48</v>
      </c>
      <c r="BX18" s="40" t="s">
        <v>48</v>
      </c>
      <c r="BY18" s="40" t="s">
        <v>48</v>
      </c>
      <c r="BZ18" s="40" t="s">
        <v>48</v>
      </c>
      <c r="CA18" s="40" t="s">
        <v>48</v>
      </c>
      <c r="CB18" s="40" t="s">
        <v>48</v>
      </c>
      <c r="CC18" s="40" t="s">
        <v>48</v>
      </c>
      <c r="CD18" s="40" t="s">
        <v>48</v>
      </c>
      <c r="CE18" s="40" t="s">
        <v>48</v>
      </c>
      <c r="CF18" s="40" t="s">
        <v>48</v>
      </c>
      <c r="CH18" s="33"/>
      <c r="CI18" s="38" t="str">
        <f>Notes!W19</f>
        <v xml:space="preserve">      Decile 10 (high)</v>
      </c>
      <c r="CJ18" s="4" t="s">
        <v>627</v>
      </c>
      <c r="CK18" s="44">
        <v>29.246023738852728</v>
      </c>
      <c r="CL18" s="42" t="s">
        <v>48</v>
      </c>
      <c r="CM18" s="42" t="s">
        <v>48</v>
      </c>
      <c r="CN18" s="40" t="s">
        <v>48</v>
      </c>
      <c r="CO18" s="40" t="s">
        <v>48</v>
      </c>
      <c r="CP18" s="40" t="s">
        <v>48</v>
      </c>
      <c r="CQ18" s="40" t="s">
        <v>48</v>
      </c>
      <c r="CR18" s="40" t="s">
        <v>48</v>
      </c>
      <c r="CS18" s="40" t="s">
        <v>48</v>
      </c>
      <c r="CT18" s="40" t="s">
        <v>48</v>
      </c>
      <c r="CU18" s="40" t="s">
        <v>48</v>
      </c>
      <c r="CV18" s="40" t="s">
        <v>48</v>
      </c>
      <c r="CW18" s="40" t="s">
        <v>48</v>
      </c>
      <c r="CX18" s="40" t="s">
        <v>48</v>
      </c>
      <c r="CY18" s="40" t="s">
        <v>48</v>
      </c>
      <c r="CZ18" s="40" t="s">
        <v>48</v>
      </c>
      <c r="DA18" s="40" t="s">
        <v>48</v>
      </c>
    </row>
    <row r="19" spans="1:105" x14ac:dyDescent="0.3">
      <c r="A19" s="12">
        <v>12</v>
      </c>
      <c r="B19" s="33"/>
      <c r="C19" s="38" t="str">
        <f>Notes!W20</f>
        <v xml:space="preserve">   Rural households</v>
      </c>
      <c r="D19" s="4" t="s">
        <v>313</v>
      </c>
      <c r="E19" s="44">
        <v>54.450029645393158</v>
      </c>
      <c r="F19" s="42">
        <v>3.0461412202581917</v>
      </c>
      <c r="G19" s="42" t="s">
        <v>48</v>
      </c>
      <c r="H19" s="40" t="s">
        <v>48</v>
      </c>
      <c r="I19" s="40" t="s">
        <v>48</v>
      </c>
      <c r="J19" s="40" t="s">
        <v>48</v>
      </c>
      <c r="K19" s="40" t="s">
        <v>48</v>
      </c>
      <c r="L19" s="40" t="s">
        <v>48</v>
      </c>
      <c r="M19" s="40" t="s">
        <v>48</v>
      </c>
      <c r="N19" s="40" t="s">
        <v>48</v>
      </c>
      <c r="O19" s="40" t="s">
        <v>48</v>
      </c>
      <c r="P19" s="40" t="s">
        <v>48</v>
      </c>
      <c r="Q19" s="40" t="s">
        <v>48</v>
      </c>
      <c r="R19" s="40" t="s">
        <v>48</v>
      </c>
      <c r="S19" s="40" t="s">
        <v>48</v>
      </c>
      <c r="T19" s="40" t="s">
        <v>48</v>
      </c>
      <c r="U19" s="40" t="s">
        <v>48</v>
      </c>
      <c r="W19" s="33"/>
      <c r="X19" s="38" t="str">
        <f>Notes!W20</f>
        <v xml:space="preserve">   Rural households</v>
      </c>
      <c r="Y19" s="4" t="s">
        <v>313</v>
      </c>
      <c r="Z19" s="44">
        <v>59.813816968927384</v>
      </c>
      <c r="AA19" s="42">
        <v>3.0438965932740869</v>
      </c>
      <c r="AB19" s="42" t="s">
        <v>48</v>
      </c>
      <c r="AC19" s="40" t="s">
        <v>48</v>
      </c>
      <c r="AD19" s="40" t="s">
        <v>48</v>
      </c>
      <c r="AE19" s="40" t="s">
        <v>48</v>
      </c>
      <c r="AF19" s="40" t="s">
        <v>48</v>
      </c>
      <c r="AG19" s="40" t="s">
        <v>48</v>
      </c>
      <c r="AH19" s="40" t="s">
        <v>48</v>
      </c>
      <c r="AI19" s="40" t="s">
        <v>48</v>
      </c>
      <c r="AJ19" s="40" t="s">
        <v>48</v>
      </c>
      <c r="AK19" s="40" t="s">
        <v>48</v>
      </c>
      <c r="AL19" s="40" t="s">
        <v>48</v>
      </c>
      <c r="AM19" s="40" t="s">
        <v>48</v>
      </c>
      <c r="AN19" s="40" t="s">
        <v>48</v>
      </c>
      <c r="AO19" s="40" t="s">
        <v>48</v>
      </c>
      <c r="AP19" s="40" t="s">
        <v>48</v>
      </c>
      <c r="AR19" s="33"/>
      <c r="AS19" s="38" t="str">
        <f>Notes!U20</f>
        <v xml:space="preserve">      Other oilseeds</v>
      </c>
      <c r="AT19" s="4" t="s">
        <v>321</v>
      </c>
      <c r="AU19" s="44">
        <v>0.60133246486639702</v>
      </c>
      <c r="AV19" s="42">
        <v>3.0366272605034439</v>
      </c>
      <c r="AW19" s="42" t="s">
        <v>48</v>
      </c>
      <c r="AX19" s="40" t="s">
        <v>48</v>
      </c>
      <c r="AY19" s="40" t="s">
        <v>48</v>
      </c>
      <c r="AZ19" s="40" t="s">
        <v>48</v>
      </c>
      <c r="BA19" s="40" t="s">
        <v>48</v>
      </c>
      <c r="BB19" s="40" t="s">
        <v>48</v>
      </c>
      <c r="BC19" s="40" t="s">
        <v>48</v>
      </c>
      <c r="BD19" s="40" t="s">
        <v>48</v>
      </c>
      <c r="BE19" s="40" t="s">
        <v>48</v>
      </c>
      <c r="BF19" s="40" t="s">
        <v>48</v>
      </c>
      <c r="BG19" s="40" t="s">
        <v>48</v>
      </c>
      <c r="BH19" s="40" t="s">
        <v>48</v>
      </c>
      <c r="BI19" s="40" t="s">
        <v>48</v>
      </c>
      <c r="BJ19" s="40" t="s">
        <v>48</v>
      </c>
      <c r="BK19" s="40" t="s">
        <v>48</v>
      </c>
      <c r="BM19" s="33"/>
      <c r="BN19" s="38" t="str">
        <f>Notes!W20</f>
        <v xml:space="preserve">   Rural households</v>
      </c>
      <c r="BO19" s="4" t="s">
        <v>313</v>
      </c>
      <c r="BP19" s="44">
        <v>0.17663777779199838</v>
      </c>
      <c r="BQ19" s="42" t="s">
        <v>48</v>
      </c>
      <c r="BR19" s="42" t="s">
        <v>48</v>
      </c>
      <c r="BS19" s="40" t="s">
        <v>48</v>
      </c>
      <c r="BT19" s="40" t="s">
        <v>48</v>
      </c>
      <c r="BU19" s="40" t="s">
        <v>48</v>
      </c>
      <c r="BV19" s="40" t="s">
        <v>48</v>
      </c>
      <c r="BW19" s="40" t="s">
        <v>48</v>
      </c>
      <c r="BX19" s="40" t="s">
        <v>48</v>
      </c>
      <c r="BY19" s="40" t="s">
        <v>48</v>
      </c>
      <c r="BZ19" s="40" t="s">
        <v>48</v>
      </c>
      <c r="CA19" s="40" t="s">
        <v>48</v>
      </c>
      <c r="CB19" s="40" t="s">
        <v>48</v>
      </c>
      <c r="CC19" s="40" t="s">
        <v>48</v>
      </c>
      <c r="CD19" s="40" t="s">
        <v>48</v>
      </c>
      <c r="CE19" s="40" t="s">
        <v>48</v>
      </c>
      <c r="CF19" s="40" t="s">
        <v>48</v>
      </c>
      <c r="CH19" s="33"/>
      <c r="CI19" s="38" t="str">
        <f>Notes!W20</f>
        <v xml:space="preserve">   Rural households</v>
      </c>
      <c r="CJ19" s="4" t="s">
        <v>313</v>
      </c>
      <c r="CK19" s="44">
        <v>15.24163058934464</v>
      </c>
      <c r="CL19" s="42" t="s">
        <v>48</v>
      </c>
      <c r="CM19" s="42" t="s">
        <v>48</v>
      </c>
      <c r="CN19" s="40" t="s">
        <v>48</v>
      </c>
      <c r="CO19" s="40" t="s">
        <v>48</v>
      </c>
      <c r="CP19" s="40" t="s">
        <v>48</v>
      </c>
      <c r="CQ19" s="40" t="s">
        <v>48</v>
      </c>
      <c r="CR19" s="40" t="s">
        <v>48</v>
      </c>
      <c r="CS19" s="40" t="s">
        <v>48</v>
      </c>
      <c r="CT19" s="40" t="s">
        <v>48</v>
      </c>
      <c r="CU19" s="40" t="s">
        <v>48</v>
      </c>
      <c r="CV19" s="40" t="s">
        <v>48</v>
      </c>
      <c r="CW19" s="40" t="s">
        <v>48</v>
      </c>
      <c r="CX19" s="40" t="s">
        <v>48</v>
      </c>
      <c r="CY19" s="40" t="s">
        <v>48</v>
      </c>
      <c r="CZ19" s="40" t="s">
        <v>48</v>
      </c>
      <c r="DA19" s="40" t="s">
        <v>48</v>
      </c>
    </row>
    <row r="20" spans="1:105" x14ac:dyDescent="0.3">
      <c r="A20" s="12">
        <v>13</v>
      </c>
      <c r="B20" s="33"/>
      <c r="C20" s="38" t="str">
        <f>Notes!W21</f>
        <v xml:space="preserve">      Rural - decile 1 (low)</v>
      </c>
      <c r="D20" s="4" t="s">
        <v>734</v>
      </c>
      <c r="E20" s="44">
        <v>2.5430255996434483</v>
      </c>
      <c r="F20" s="42">
        <v>3.0438086673342468</v>
      </c>
      <c r="G20" s="42" t="s">
        <v>48</v>
      </c>
      <c r="H20" s="40" t="s">
        <v>48</v>
      </c>
      <c r="I20" s="40" t="s">
        <v>48</v>
      </c>
      <c r="J20" s="40" t="s">
        <v>48</v>
      </c>
      <c r="K20" s="40" t="s">
        <v>48</v>
      </c>
      <c r="L20" s="40" t="s">
        <v>48</v>
      </c>
      <c r="M20" s="40" t="s">
        <v>48</v>
      </c>
      <c r="N20" s="40" t="s">
        <v>48</v>
      </c>
      <c r="O20" s="40" t="s">
        <v>48</v>
      </c>
      <c r="P20" s="40" t="s">
        <v>48</v>
      </c>
      <c r="Q20" s="40" t="s">
        <v>48</v>
      </c>
      <c r="R20" s="40" t="s">
        <v>48</v>
      </c>
      <c r="S20" s="40" t="s">
        <v>48</v>
      </c>
      <c r="T20" s="40" t="s">
        <v>48</v>
      </c>
      <c r="U20" s="40" t="s">
        <v>48</v>
      </c>
      <c r="W20" s="33"/>
      <c r="X20" s="38" t="str">
        <f>Notes!W21</f>
        <v xml:space="preserve">      Rural - decile 1 (low)</v>
      </c>
      <c r="Y20" s="4" t="s">
        <v>734</v>
      </c>
      <c r="Z20" s="44">
        <v>2.8256518971855868</v>
      </c>
      <c r="AA20" s="42">
        <v>3.0377911514338773</v>
      </c>
      <c r="AB20" s="42" t="s">
        <v>48</v>
      </c>
      <c r="AC20" s="40" t="s">
        <v>48</v>
      </c>
      <c r="AD20" s="40" t="s">
        <v>48</v>
      </c>
      <c r="AE20" s="40" t="s">
        <v>48</v>
      </c>
      <c r="AF20" s="40" t="s">
        <v>48</v>
      </c>
      <c r="AG20" s="40" t="s">
        <v>48</v>
      </c>
      <c r="AH20" s="40" t="s">
        <v>48</v>
      </c>
      <c r="AI20" s="40" t="s">
        <v>48</v>
      </c>
      <c r="AJ20" s="40" t="s">
        <v>48</v>
      </c>
      <c r="AK20" s="40" t="s">
        <v>48</v>
      </c>
      <c r="AL20" s="40" t="s">
        <v>48</v>
      </c>
      <c r="AM20" s="40" t="s">
        <v>48</v>
      </c>
      <c r="AN20" s="40" t="s">
        <v>48</v>
      </c>
      <c r="AO20" s="40" t="s">
        <v>48</v>
      </c>
      <c r="AP20" s="40" t="s">
        <v>48</v>
      </c>
      <c r="AR20" s="33"/>
      <c r="AS20" s="38" t="str">
        <f>Notes!U21</f>
        <v xml:space="preserve">      Cassava</v>
      </c>
      <c r="AT20" s="4" t="s">
        <v>515</v>
      </c>
      <c r="AU20" s="44" t="s">
        <v>48</v>
      </c>
      <c r="AV20" s="42" t="s">
        <v>48</v>
      </c>
      <c r="AW20" s="42" t="s">
        <v>48</v>
      </c>
      <c r="AX20" s="40" t="s">
        <v>48</v>
      </c>
      <c r="AY20" s="40" t="s">
        <v>48</v>
      </c>
      <c r="AZ20" s="40" t="s">
        <v>48</v>
      </c>
      <c r="BA20" s="40" t="s">
        <v>48</v>
      </c>
      <c r="BB20" s="40" t="s">
        <v>48</v>
      </c>
      <c r="BC20" s="40" t="s">
        <v>48</v>
      </c>
      <c r="BD20" s="40" t="s">
        <v>48</v>
      </c>
      <c r="BE20" s="40" t="s">
        <v>48</v>
      </c>
      <c r="BF20" s="40" t="s">
        <v>48</v>
      </c>
      <c r="BG20" s="40" t="s">
        <v>48</v>
      </c>
      <c r="BH20" s="40" t="s">
        <v>48</v>
      </c>
      <c r="BI20" s="40" t="s">
        <v>48</v>
      </c>
      <c r="BJ20" s="40" t="s">
        <v>48</v>
      </c>
      <c r="BK20" s="40" t="s">
        <v>48</v>
      </c>
      <c r="BM20" s="33"/>
      <c r="BN20" s="38" t="str">
        <f>Notes!W21</f>
        <v xml:space="preserve">      Rural - decile 1 (low)</v>
      </c>
      <c r="BO20" s="4" t="s">
        <v>734</v>
      </c>
      <c r="BP20" s="44">
        <v>7.9340657106732188E-2</v>
      </c>
      <c r="BQ20" s="42" t="s">
        <v>48</v>
      </c>
      <c r="BR20" s="42" t="s">
        <v>48</v>
      </c>
      <c r="BS20" s="40" t="s">
        <v>48</v>
      </c>
      <c r="BT20" s="40" t="s">
        <v>48</v>
      </c>
      <c r="BU20" s="40" t="s">
        <v>48</v>
      </c>
      <c r="BV20" s="40" t="s">
        <v>48</v>
      </c>
      <c r="BW20" s="40" t="s">
        <v>48</v>
      </c>
      <c r="BX20" s="40" t="s">
        <v>48</v>
      </c>
      <c r="BY20" s="40" t="s">
        <v>48</v>
      </c>
      <c r="BZ20" s="40" t="s">
        <v>48</v>
      </c>
      <c r="CA20" s="40" t="s">
        <v>48</v>
      </c>
      <c r="CB20" s="40" t="s">
        <v>48</v>
      </c>
      <c r="CC20" s="40" t="s">
        <v>48</v>
      </c>
      <c r="CD20" s="40" t="s">
        <v>48</v>
      </c>
      <c r="CE20" s="40" t="s">
        <v>48</v>
      </c>
      <c r="CF20" s="40" t="s">
        <v>48</v>
      </c>
      <c r="CH20" s="33"/>
      <c r="CI20" s="38" t="str">
        <f>Notes!W21</f>
        <v xml:space="preserve">      Rural - decile 1 (low)</v>
      </c>
      <c r="CJ20" s="4" t="s">
        <v>734</v>
      </c>
      <c r="CK20" s="44">
        <v>14.494709808491745</v>
      </c>
      <c r="CL20" s="42" t="s">
        <v>48</v>
      </c>
      <c r="CM20" s="42" t="s">
        <v>48</v>
      </c>
      <c r="CN20" s="40" t="s">
        <v>48</v>
      </c>
      <c r="CO20" s="40" t="s">
        <v>48</v>
      </c>
      <c r="CP20" s="40" t="s">
        <v>48</v>
      </c>
      <c r="CQ20" s="40" t="s">
        <v>48</v>
      </c>
      <c r="CR20" s="40" t="s">
        <v>48</v>
      </c>
      <c r="CS20" s="40" t="s">
        <v>48</v>
      </c>
      <c r="CT20" s="40" t="s">
        <v>48</v>
      </c>
      <c r="CU20" s="40" t="s">
        <v>48</v>
      </c>
      <c r="CV20" s="40" t="s">
        <v>48</v>
      </c>
      <c r="CW20" s="40" t="s">
        <v>48</v>
      </c>
      <c r="CX20" s="40" t="s">
        <v>48</v>
      </c>
      <c r="CY20" s="40" t="s">
        <v>48</v>
      </c>
      <c r="CZ20" s="40" t="s">
        <v>48</v>
      </c>
      <c r="DA20" s="40" t="s">
        <v>48</v>
      </c>
    </row>
    <row r="21" spans="1:105" x14ac:dyDescent="0.3">
      <c r="A21" s="12">
        <v>14</v>
      </c>
      <c r="B21" s="33"/>
      <c r="C21" s="38" t="str">
        <f>Notes!W22</f>
        <v xml:space="preserve">      Rural - decile 2</v>
      </c>
      <c r="D21" s="4" t="s">
        <v>735</v>
      </c>
      <c r="E21" s="44">
        <v>3.4524413929434616</v>
      </c>
      <c r="F21" s="42">
        <v>3.0375054340287866</v>
      </c>
      <c r="G21" s="42" t="s">
        <v>48</v>
      </c>
      <c r="H21" s="40" t="s">
        <v>48</v>
      </c>
      <c r="I21" s="40" t="s">
        <v>48</v>
      </c>
      <c r="J21" s="40" t="s">
        <v>48</v>
      </c>
      <c r="K21" s="40" t="s">
        <v>48</v>
      </c>
      <c r="L21" s="40" t="s">
        <v>48</v>
      </c>
      <c r="M21" s="40" t="s">
        <v>48</v>
      </c>
      <c r="N21" s="40" t="s">
        <v>48</v>
      </c>
      <c r="O21" s="40" t="s">
        <v>48</v>
      </c>
      <c r="P21" s="40" t="s">
        <v>48</v>
      </c>
      <c r="Q21" s="40" t="s">
        <v>48</v>
      </c>
      <c r="R21" s="40" t="s">
        <v>48</v>
      </c>
      <c r="S21" s="40" t="s">
        <v>48</v>
      </c>
      <c r="T21" s="40" t="s">
        <v>48</v>
      </c>
      <c r="U21" s="40" t="s">
        <v>48</v>
      </c>
      <c r="W21" s="33"/>
      <c r="X21" s="38" t="str">
        <f>Notes!W22</f>
        <v xml:space="preserve">      Rural - decile 2</v>
      </c>
      <c r="Y21" s="4" t="s">
        <v>735</v>
      </c>
      <c r="Z21" s="44">
        <v>3.8861978660206171</v>
      </c>
      <c r="AA21" s="42">
        <v>3.0332408233510577</v>
      </c>
      <c r="AB21" s="42" t="s">
        <v>48</v>
      </c>
      <c r="AC21" s="40" t="s">
        <v>48</v>
      </c>
      <c r="AD21" s="40" t="s">
        <v>48</v>
      </c>
      <c r="AE21" s="40" t="s">
        <v>48</v>
      </c>
      <c r="AF21" s="40" t="s">
        <v>48</v>
      </c>
      <c r="AG21" s="40" t="s">
        <v>48</v>
      </c>
      <c r="AH21" s="40" t="s">
        <v>48</v>
      </c>
      <c r="AI21" s="40" t="s">
        <v>48</v>
      </c>
      <c r="AJ21" s="40" t="s">
        <v>48</v>
      </c>
      <c r="AK21" s="40" t="s">
        <v>48</v>
      </c>
      <c r="AL21" s="40" t="s">
        <v>48</v>
      </c>
      <c r="AM21" s="40" t="s">
        <v>48</v>
      </c>
      <c r="AN21" s="40" t="s">
        <v>48</v>
      </c>
      <c r="AO21" s="40" t="s">
        <v>48</v>
      </c>
      <c r="AP21" s="40" t="s">
        <v>48</v>
      </c>
      <c r="AR21" s="33"/>
      <c r="AS21" s="38" t="str">
        <f>Notes!U22</f>
        <v xml:space="preserve">      Irish potatoes</v>
      </c>
      <c r="AT21" s="4" t="s">
        <v>517</v>
      </c>
      <c r="AU21" s="44">
        <v>0.22602177924081227</v>
      </c>
      <c r="AV21" s="42">
        <v>3.0308936191050906</v>
      </c>
      <c r="AW21" s="42" t="s">
        <v>48</v>
      </c>
      <c r="AX21" s="40" t="s">
        <v>48</v>
      </c>
      <c r="AY21" s="40" t="s">
        <v>48</v>
      </c>
      <c r="AZ21" s="40" t="s">
        <v>48</v>
      </c>
      <c r="BA21" s="40" t="s">
        <v>48</v>
      </c>
      <c r="BB21" s="40" t="s">
        <v>48</v>
      </c>
      <c r="BC21" s="40" t="s">
        <v>48</v>
      </c>
      <c r="BD21" s="40" t="s">
        <v>48</v>
      </c>
      <c r="BE21" s="40" t="s">
        <v>48</v>
      </c>
      <c r="BF21" s="40" t="s">
        <v>48</v>
      </c>
      <c r="BG21" s="40" t="s">
        <v>48</v>
      </c>
      <c r="BH21" s="40" t="s">
        <v>48</v>
      </c>
      <c r="BI21" s="40" t="s">
        <v>48</v>
      </c>
      <c r="BJ21" s="40" t="s">
        <v>48</v>
      </c>
      <c r="BK21" s="40" t="s">
        <v>48</v>
      </c>
      <c r="BM21" s="33"/>
      <c r="BN21" s="38" t="str">
        <f>Notes!W22</f>
        <v xml:space="preserve">      Rural - decile 2</v>
      </c>
      <c r="BO21" s="4" t="s">
        <v>735</v>
      </c>
      <c r="BP21" s="44">
        <v>0.11178610794168992</v>
      </c>
      <c r="BQ21" s="42" t="s">
        <v>48</v>
      </c>
      <c r="BR21" s="42" t="s">
        <v>48</v>
      </c>
      <c r="BS21" s="40" t="s">
        <v>48</v>
      </c>
      <c r="BT21" s="40" t="s">
        <v>48</v>
      </c>
      <c r="BU21" s="40" t="s">
        <v>48</v>
      </c>
      <c r="BV21" s="40" t="s">
        <v>48</v>
      </c>
      <c r="BW21" s="40" t="s">
        <v>48</v>
      </c>
      <c r="BX21" s="40" t="s">
        <v>48</v>
      </c>
      <c r="BY21" s="40" t="s">
        <v>48</v>
      </c>
      <c r="BZ21" s="40" t="s">
        <v>48</v>
      </c>
      <c r="CA21" s="40" t="s">
        <v>48</v>
      </c>
      <c r="CB21" s="40" t="s">
        <v>48</v>
      </c>
      <c r="CC21" s="40" t="s">
        <v>48</v>
      </c>
      <c r="CD21" s="40" t="s">
        <v>48</v>
      </c>
      <c r="CE21" s="40" t="s">
        <v>48</v>
      </c>
      <c r="CF21" s="40" t="s">
        <v>48</v>
      </c>
      <c r="CH21" s="33"/>
      <c r="CI21" s="38" t="str">
        <f>Notes!W22</f>
        <v xml:space="preserve">      Rural - decile 2</v>
      </c>
      <c r="CJ21" s="4" t="s">
        <v>735</v>
      </c>
      <c r="CK21" s="44">
        <v>13.261987820305924</v>
      </c>
      <c r="CL21" s="42" t="s">
        <v>48</v>
      </c>
      <c r="CM21" s="42" t="s">
        <v>48</v>
      </c>
      <c r="CN21" s="40" t="s">
        <v>48</v>
      </c>
      <c r="CO21" s="40" t="s">
        <v>48</v>
      </c>
      <c r="CP21" s="40" t="s">
        <v>48</v>
      </c>
      <c r="CQ21" s="40" t="s">
        <v>48</v>
      </c>
      <c r="CR21" s="40" t="s">
        <v>48</v>
      </c>
      <c r="CS21" s="40" t="s">
        <v>48</v>
      </c>
      <c r="CT21" s="40" t="s">
        <v>48</v>
      </c>
      <c r="CU21" s="40" t="s">
        <v>48</v>
      </c>
      <c r="CV21" s="40" t="s">
        <v>48</v>
      </c>
      <c r="CW21" s="40" t="s">
        <v>48</v>
      </c>
      <c r="CX21" s="40" t="s">
        <v>48</v>
      </c>
      <c r="CY21" s="40" t="s">
        <v>48</v>
      </c>
      <c r="CZ21" s="40" t="s">
        <v>48</v>
      </c>
      <c r="DA21" s="40" t="s">
        <v>48</v>
      </c>
    </row>
    <row r="22" spans="1:105" x14ac:dyDescent="0.3">
      <c r="A22" s="12">
        <v>15</v>
      </c>
      <c r="B22" s="33"/>
      <c r="C22" s="38" t="str">
        <f>Notes!W23</f>
        <v xml:space="preserve">      Rural - decile 3</v>
      </c>
      <c r="D22" s="4" t="s">
        <v>736</v>
      </c>
      <c r="E22" s="44">
        <v>4.0144055922080915</v>
      </c>
      <c r="F22" s="42">
        <v>3.0472967600245982</v>
      </c>
      <c r="G22" s="42" t="s">
        <v>48</v>
      </c>
      <c r="H22" s="40" t="s">
        <v>48</v>
      </c>
      <c r="I22" s="40" t="s">
        <v>48</v>
      </c>
      <c r="J22" s="40" t="s">
        <v>48</v>
      </c>
      <c r="K22" s="40" t="s">
        <v>48</v>
      </c>
      <c r="L22" s="40" t="s">
        <v>48</v>
      </c>
      <c r="M22" s="40" t="s">
        <v>48</v>
      </c>
      <c r="N22" s="40" t="s">
        <v>48</v>
      </c>
      <c r="O22" s="40" t="s">
        <v>48</v>
      </c>
      <c r="P22" s="40" t="s">
        <v>48</v>
      </c>
      <c r="Q22" s="40" t="s">
        <v>48</v>
      </c>
      <c r="R22" s="40" t="s">
        <v>48</v>
      </c>
      <c r="S22" s="40" t="s">
        <v>48</v>
      </c>
      <c r="T22" s="40" t="s">
        <v>48</v>
      </c>
      <c r="U22" s="40" t="s">
        <v>48</v>
      </c>
      <c r="W22" s="33"/>
      <c r="X22" s="38" t="str">
        <f>Notes!W23</f>
        <v xml:space="preserve">      Rural - decile 3</v>
      </c>
      <c r="Y22" s="4" t="s">
        <v>736</v>
      </c>
      <c r="Z22" s="44">
        <v>4.3691299268324393</v>
      </c>
      <c r="AA22" s="42">
        <v>3.0427715904233654</v>
      </c>
      <c r="AB22" s="42" t="s">
        <v>48</v>
      </c>
      <c r="AC22" s="40" t="s">
        <v>48</v>
      </c>
      <c r="AD22" s="40" t="s">
        <v>48</v>
      </c>
      <c r="AE22" s="40" t="s">
        <v>48</v>
      </c>
      <c r="AF22" s="40" t="s">
        <v>48</v>
      </c>
      <c r="AG22" s="40" t="s">
        <v>48</v>
      </c>
      <c r="AH22" s="40" t="s">
        <v>48</v>
      </c>
      <c r="AI22" s="40" t="s">
        <v>48</v>
      </c>
      <c r="AJ22" s="40" t="s">
        <v>48</v>
      </c>
      <c r="AK22" s="40" t="s">
        <v>48</v>
      </c>
      <c r="AL22" s="40" t="s">
        <v>48</v>
      </c>
      <c r="AM22" s="40" t="s">
        <v>48</v>
      </c>
      <c r="AN22" s="40" t="s">
        <v>48</v>
      </c>
      <c r="AO22" s="40" t="s">
        <v>48</v>
      </c>
      <c r="AP22" s="40" t="s">
        <v>48</v>
      </c>
      <c r="AR22" s="33"/>
      <c r="AS22" s="38" t="str">
        <f>Notes!U23</f>
        <v xml:space="preserve">      Sweet potatoes</v>
      </c>
      <c r="AT22" s="4" t="s">
        <v>519</v>
      </c>
      <c r="AU22" s="44" t="s">
        <v>48</v>
      </c>
      <c r="AV22" s="42" t="s">
        <v>48</v>
      </c>
      <c r="AW22" s="42" t="s">
        <v>48</v>
      </c>
      <c r="AX22" s="40" t="s">
        <v>48</v>
      </c>
      <c r="AY22" s="40" t="s">
        <v>48</v>
      </c>
      <c r="AZ22" s="40" t="s">
        <v>48</v>
      </c>
      <c r="BA22" s="40" t="s">
        <v>48</v>
      </c>
      <c r="BB22" s="40" t="s">
        <v>48</v>
      </c>
      <c r="BC22" s="40" t="s">
        <v>48</v>
      </c>
      <c r="BD22" s="40" t="s">
        <v>48</v>
      </c>
      <c r="BE22" s="40" t="s">
        <v>48</v>
      </c>
      <c r="BF22" s="40" t="s">
        <v>48</v>
      </c>
      <c r="BG22" s="40" t="s">
        <v>48</v>
      </c>
      <c r="BH22" s="40" t="s">
        <v>48</v>
      </c>
      <c r="BI22" s="40" t="s">
        <v>48</v>
      </c>
      <c r="BJ22" s="40" t="s">
        <v>48</v>
      </c>
      <c r="BK22" s="40" t="s">
        <v>48</v>
      </c>
      <c r="BM22" s="33"/>
      <c r="BN22" s="38" t="str">
        <f>Notes!W23</f>
        <v xml:space="preserve">      Rural - decile 3</v>
      </c>
      <c r="BO22" s="4" t="s">
        <v>736</v>
      </c>
      <c r="BP22" s="44">
        <v>0.13597391797143135</v>
      </c>
      <c r="BQ22" s="42" t="s">
        <v>48</v>
      </c>
      <c r="BR22" s="42" t="s">
        <v>48</v>
      </c>
      <c r="BS22" s="40" t="s">
        <v>48</v>
      </c>
      <c r="BT22" s="40" t="s">
        <v>48</v>
      </c>
      <c r="BU22" s="40" t="s">
        <v>48</v>
      </c>
      <c r="BV22" s="40" t="s">
        <v>48</v>
      </c>
      <c r="BW22" s="40" t="s">
        <v>48</v>
      </c>
      <c r="BX22" s="40" t="s">
        <v>48</v>
      </c>
      <c r="BY22" s="40" t="s">
        <v>48</v>
      </c>
      <c r="BZ22" s="40" t="s">
        <v>48</v>
      </c>
      <c r="CA22" s="40" t="s">
        <v>48</v>
      </c>
      <c r="CB22" s="40" t="s">
        <v>48</v>
      </c>
      <c r="CC22" s="40" t="s">
        <v>48</v>
      </c>
      <c r="CD22" s="40" t="s">
        <v>48</v>
      </c>
      <c r="CE22" s="40" t="s">
        <v>48</v>
      </c>
      <c r="CF22" s="40" t="s">
        <v>48</v>
      </c>
      <c r="CH22" s="33"/>
      <c r="CI22" s="38" t="str">
        <f>Notes!W23</f>
        <v xml:space="preserve">      Rural - decile 3</v>
      </c>
      <c r="CJ22" s="4" t="s">
        <v>736</v>
      </c>
      <c r="CK22" s="44">
        <v>15.89613646342981</v>
      </c>
      <c r="CL22" s="42" t="s">
        <v>48</v>
      </c>
      <c r="CM22" s="42" t="s">
        <v>48</v>
      </c>
      <c r="CN22" s="40" t="s">
        <v>48</v>
      </c>
      <c r="CO22" s="40" t="s">
        <v>48</v>
      </c>
      <c r="CP22" s="40" t="s">
        <v>48</v>
      </c>
      <c r="CQ22" s="40" t="s">
        <v>48</v>
      </c>
      <c r="CR22" s="40" t="s">
        <v>48</v>
      </c>
      <c r="CS22" s="40" t="s">
        <v>48</v>
      </c>
      <c r="CT22" s="40" t="s">
        <v>48</v>
      </c>
      <c r="CU22" s="40" t="s">
        <v>48</v>
      </c>
      <c r="CV22" s="40" t="s">
        <v>48</v>
      </c>
      <c r="CW22" s="40" t="s">
        <v>48</v>
      </c>
      <c r="CX22" s="40" t="s">
        <v>48</v>
      </c>
      <c r="CY22" s="40" t="s">
        <v>48</v>
      </c>
      <c r="CZ22" s="40" t="s">
        <v>48</v>
      </c>
      <c r="DA22" s="40" t="s">
        <v>48</v>
      </c>
    </row>
    <row r="23" spans="1:105" x14ac:dyDescent="0.3">
      <c r="A23" s="12">
        <v>16</v>
      </c>
      <c r="B23" s="33"/>
      <c r="C23" s="38" t="str">
        <f>Notes!W24</f>
        <v xml:space="preserve">      Rural - decile 4</v>
      </c>
      <c r="D23" s="4" t="s">
        <v>737</v>
      </c>
      <c r="E23" s="44">
        <v>4.7395297985826117</v>
      </c>
      <c r="F23" s="42">
        <v>3.0513871725037722</v>
      </c>
      <c r="G23" s="42" t="s">
        <v>48</v>
      </c>
      <c r="H23" s="40" t="s">
        <v>48</v>
      </c>
      <c r="I23" s="40" t="s">
        <v>48</v>
      </c>
      <c r="J23" s="40" t="s">
        <v>48</v>
      </c>
      <c r="K23" s="40" t="s">
        <v>48</v>
      </c>
      <c r="L23" s="40" t="s">
        <v>48</v>
      </c>
      <c r="M23" s="40" t="s">
        <v>48</v>
      </c>
      <c r="N23" s="40" t="s">
        <v>48</v>
      </c>
      <c r="O23" s="40" t="s">
        <v>48</v>
      </c>
      <c r="P23" s="40" t="s">
        <v>48</v>
      </c>
      <c r="Q23" s="40" t="s">
        <v>48</v>
      </c>
      <c r="R23" s="40" t="s">
        <v>48</v>
      </c>
      <c r="S23" s="40" t="s">
        <v>48</v>
      </c>
      <c r="T23" s="40" t="s">
        <v>48</v>
      </c>
      <c r="U23" s="40" t="s">
        <v>48</v>
      </c>
      <c r="W23" s="33"/>
      <c r="X23" s="38" t="str">
        <f>Notes!W24</f>
        <v xml:space="preserve">      Rural - decile 4</v>
      </c>
      <c r="Y23" s="4" t="s">
        <v>737</v>
      </c>
      <c r="Z23" s="44">
        <v>4.7547316261498906</v>
      </c>
      <c r="AA23" s="42">
        <v>3.0488584363330906</v>
      </c>
      <c r="AB23" s="42" t="s">
        <v>48</v>
      </c>
      <c r="AC23" s="40" t="s">
        <v>48</v>
      </c>
      <c r="AD23" s="40" t="s">
        <v>48</v>
      </c>
      <c r="AE23" s="40" t="s">
        <v>48</v>
      </c>
      <c r="AF23" s="40" t="s">
        <v>48</v>
      </c>
      <c r="AG23" s="40" t="s">
        <v>48</v>
      </c>
      <c r="AH23" s="40" t="s">
        <v>48</v>
      </c>
      <c r="AI23" s="40" t="s">
        <v>48</v>
      </c>
      <c r="AJ23" s="40" t="s">
        <v>48</v>
      </c>
      <c r="AK23" s="40" t="s">
        <v>48</v>
      </c>
      <c r="AL23" s="40" t="s">
        <v>48</v>
      </c>
      <c r="AM23" s="40" t="s">
        <v>48</v>
      </c>
      <c r="AN23" s="40" t="s">
        <v>48</v>
      </c>
      <c r="AO23" s="40" t="s">
        <v>48</v>
      </c>
      <c r="AP23" s="40" t="s">
        <v>48</v>
      </c>
      <c r="AR23" s="33"/>
      <c r="AS23" s="38" t="str">
        <f>Notes!U24</f>
        <v xml:space="preserve">      Other roots</v>
      </c>
      <c r="AT23" s="4" t="s">
        <v>327</v>
      </c>
      <c r="AU23" s="44" t="s">
        <v>48</v>
      </c>
      <c r="AV23" s="42" t="s">
        <v>48</v>
      </c>
      <c r="AW23" s="42" t="s">
        <v>48</v>
      </c>
      <c r="AX23" s="40" t="s">
        <v>48</v>
      </c>
      <c r="AY23" s="40" t="s">
        <v>48</v>
      </c>
      <c r="AZ23" s="40" t="s">
        <v>48</v>
      </c>
      <c r="BA23" s="40" t="s">
        <v>48</v>
      </c>
      <c r="BB23" s="40" t="s">
        <v>48</v>
      </c>
      <c r="BC23" s="40" t="s">
        <v>48</v>
      </c>
      <c r="BD23" s="40" t="s">
        <v>48</v>
      </c>
      <c r="BE23" s="40" t="s">
        <v>48</v>
      </c>
      <c r="BF23" s="40" t="s">
        <v>48</v>
      </c>
      <c r="BG23" s="40" t="s">
        <v>48</v>
      </c>
      <c r="BH23" s="40" t="s">
        <v>48</v>
      </c>
      <c r="BI23" s="40" t="s">
        <v>48</v>
      </c>
      <c r="BJ23" s="40" t="s">
        <v>48</v>
      </c>
      <c r="BK23" s="40" t="s">
        <v>48</v>
      </c>
      <c r="BM23" s="33"/>
      <c r="BN23" s="38" t="str">
        <f>Notes!W24</f>
        <v xml:space="preserve">      Rural - decile 4</v>
      </c>
      <c r="BO23" s="4" t="s">
        <v>737</v>
      </c>
      <c r="BP23" s="44">
        <v>0.23595800350608986</v>
      </c>
      <c r="BQ23" s="42" t="s">
        <v>48</v>
      </c>
      <c r="BR23" s="42" t="s">
        <v>48</v>
      </c>
      <c r="BS23" s="40" t="s">
        <v>48</v>
      </c>
      <c r="BT23" s="40" t="s">
        <v>48</v>
      </c>
      <c r="BU23" s="40" t="s">
        <v>48</v>
      </c>
      <c r="BV23" s="40" t="s">
        <v>48</v>
      </c>
      <c r="BW23" s="40" t="s">
        <v>48</v>
      </c>
      <c r="BX23" s="40" t="s">
        <v>48</v>
      </c>
      <c r="BY23" s="40" t="s">
        <v>48</v>
      </c>
      <c r="BZ23" s="40" t="s">
        <v>48</v>
      </c>
      <c r="CA23" s="40" t="s">
        <v>48</v>
      </c>
      <c r="CB23" s="40" t="s">
        <v>48</v>
      </c>
      <c r="CC23" s="40" t="s">
        <v>48</v>
      </c>
      <c r="CD23" s="40" t="s">
        <v>48</v>
      </c>
      <c r="CE23" s="40" t="s">
        <v>48</v>
      </c>
      <c r="CF23" s="40" t="s">
        <v>48</v>
      </c>
      <c r="CH23" s="33"/>
      <c r="CI23" s="38" t="str">
        <f>Notes!W24</f>
        <v xml:space="preserve">      Rural - decile 4</v>
      </c>
      <c r="CJ23" s="4" t="s">
        <v>737</v>
      </c>
      <c r="CK23" s="44">
        <v>22.581808426354907</v>
      </c>
      <c r="CL23" s="42" t="s">
        <v>48</v>
      </c>
      <c r="CM23" s="42" t="s">
        <v>48</v>
      </c>
      <c r="CN23" s="40" t="s">
        <v>48</v>
      </c>
      <c r="CO23" s="40" t="s">
        <v>48</v>
      </c>
      <c r="CP23" s="40" t="s">
        <v>48</v>
      </c>
      <c r="CQ23" s="40" t="s">
        <v>48</v>
      </c>
      <c r="CR23" s="40" t="s">
        <v>48</v>
      </c>
      <c r="CS23" s="40" t="s">
        <v>48</v>
      </c>
      <c r="CT23" s="40" t="s">
        <v>48</v>
      </c>
      <c r="CU23" s="40" t="s">
        <v>48</v>
      </c>
      <c r="CV23" s="40" t="s">
        <v>48</v>
      </c>
      <c r="CW23" s="40" t="s">
        <v>48</v>
      </c>
      <c r="CX23" s="40" t="s">
        <v>48</v>
      </c>
      <c r="CY23" s="40" t="s">
        <v>48</v>
      </c>
      <c r="CZ23" s="40" t="s">
        <v>48</v>
      </c>
      <c r="DA23" s="40" t="s">
        <v>48</v>
      </c>
    </row>
    <row r="24" spans="1:105" x14ac:dyDescent="0.3">
      <c r="A24" s="12">
        <v>17</v>
      </c>
      <c r="B24" s="33"/>
      <c r="C24" s="38" t="str">
        <f>Notes!W25</f>
        <v xml:space="preserve">      Rural - decile 5</v>
      </c>
      <c r="D24" s="4" t="s">
        <v>738</v>
      </c>
      <c r="E24" s="44">
        <v>4.6522705867965879</v>
      </c>
      <c r="F24" s="42">
        <v>3.0504245098627925</v>
      </c>
      <c r="G24" s="42" t="s">
        <v>48</v>
      </c>
      <c r="H24" s="40" t="s">
        <v>48</v>
      </c>
      <c r="I24" s="40" t="s">
        <v>48</v>
      </c>
      <c r="J24" s="40" t="s">
        <v>48</v>
      </c>
      <c r="K24" s="40" t="s">
        <v>48</v>
      </c>
      <c r="L24" s="40" t="s">
        <v>48</v>
      </c>
      <c r="M24" s="40" t="s">
        <v>48</v>
      </c>
      <c r="N24" s="40" t="s">
        <v>48</v>
      </c>
      <c r="O24" s="40" t="s">
        <v>48</v>
      </c>
      <c r="P24" s="40" t="s">
        <v>48</v>
      </c>
      <c r="Q24" s="40" t="s">
        <v>48</v>
      </c>
      <c r="R24" s="40" t="s">
        <v>48</v>
      </c>
      <c r="S24" s="40" t="s">
        <v>48</v>
      </c>
      <c r="T24" s="40" t="s">
        <v>48</v>
      </c>
      <c r="U24" s="40" t="s">
        <v>48</v>
      </c>
      <c r="W24" s="33"/>
      <c r="X24" s="38" t="str">
        <f>Notes!W25</f>
        <v xml:space="preserve">      Rural - decile 5</v>
      </c>
      <c r="Y24" s="4" t="s">
        <v>738</v>
      </c>
      <c r="Z24" s="44">
        <v>5.3799723352169027</v>
      </c>
      <c r="AA24" s="42">
        <v>3.0478436111984752</v>
      </c>
      <c r="AB24" s="42" t="s">
        <v>48</v>
      </c>
      <c r="AC24" s="40" t="s">
        <v>48</v>
      </c>
      <c r="AD24" s="40" t="s">
        <v>48</v>
      </c>
      <c r="AE24" s="40" t="s">
        <v>48</v>
      </c>
      <c r="AF24" s="40" t="s">
        <v>48</v>
      </c>
      <c r="AG24" s="40" t="s">
        <v>48</v>
      </c>
      <c r="AH24" s="40" t="s">
        <v>48</v>
      </c>
      <c r="AI24" s="40" t="s">
        <v>48</v>
      </c>
      <c r="AJ24" s="40" t="s">
        <v>48</v>
      </c>
      <c r="AK24" s="40" t="s">
        <v>48</v>
      </c>
      <c r="AL24" s="40" t="s">
        <v>48</v>
      </c>
      <c r="AM24" s="40" t="s">
        <v>48</v>
      </c>
      <c r="AN24" s="40" t="s">
        <v>48</v>
      </c>
      <c r="AO24" s="40" t="s">
        <v>48</v>
      </c>
      <c r="AP24" s="40" t="s">
        <v>48</v>
      </c>
      <c r="AR24" s="33"/>
      <c r="AS24" s="38" t="str">
        <f>Notes!U25</f>
        <v xml:space="preserve">      Leafy vegetables</v>
      </c>
      <c r="AT24" s="4" t="s">
        <v>709</v>
      </c>
      <c r="AU24" s="44">
        <v>0.37103588935809911</v>
      </c>
      <c r="AV24" s="42">
        <v>3.0183017412850122</v>
      </c>
      <c r="AW24" s="42" t="s">
        <v>48</v>
      </c>
      <c r="AX24" s="40" t="s">
        <v>48</v>
      </c>
      <c r="AY24" s="40" t="s">
        <v>48</v>
      </c>
      <c r="AZ24" s="40" t="s">
        <v>48</v>
      </c>
      <c r="BA24" s="40" t="s">
        <v>48</v>
      </c>
      <c r="BB24" s="40" t="s">
        <v>48</v>
      </c>
      <c r="BC24" s="40" t="s">
        <v>48</v>
      </c>
      <c r="BD24" s="40" t="s">
        <v>48</v>
      </c>
      <c r="BE24" s="40" t="s">
        <v>48</v>
      </c>
      <c r="BF24" s="40" t="s">
        <v>48</v>
      </c>
      <c r="BG24" s="40" t="s">
        <v>48</v>
      </c>
      <c r="BH24" s="40" t="s">
        <v>48</v>
      </c>
      <c r="BI24" s="40" t="s">
        <v>48</v>
      </c>
      <c r="BJ24" s="40" t="s">
        <v>48</v>
      </c>
      <c r="BK24" s="40" t="s">
        <v>48</v>
      </c>
      <c r="BM24" s="33"/>
      <c r="BN24" s="38" t="str">
        <f>Notes!W25</f>
        <v xml:space="preserve">      Rural - decile 5</v>
      </c>
      <c r="BO24" s="4" t="s">
        <v>738</v>
      </c>
      <c r="BP24" s="44">
        <v>0.20601050759291792</v>
      </c>
      <c r="BQ24" s="42" t="s">
        <v>48</v>
      </c>
      <c r="BR24" s="42" t="s">
        <v>48</v>
      </c>
      <c r="BS24" s="40" t="s">
        <v>48</v>
      </c>
      <c r="BT24" s="40" t="s">
        <v>48</v>
      </c>
      <c r="BU24" s="40" t="s">
        <v>48</v>
      </c>
      <c r="BV24" s="40" t="s">
        <v>48</v>
      </c>
      <c r="BW24" s="40" t="s">
        <v>48</v>
      </c>
      <c r="BX24" s="40" t="s">
        <v>48</v>
      </c>
      <c r="BY24" s="40" t="s">
        <v>48</v>
      </c>
      <c r="BZ24" s="40" t="s">
        <v>48</v>
      </c>
      <c r="CA24" s="40" t="s">
        <v>48</v>
      </c>
      <c r="CB24" s="40" t="s">
        <v>48</v>
      </c>
      <c r="CC24" s="40" t="s">
        <v>48</v>
      </c>
      <c r="CD24" s="40" t="s">
        <v>48</v>
      </c>
      <c r="CE24" s="40" t="s">
        <v>48</v>
      </c>
      <c r="CF24" s="40" t="s">
        <v>48</v>
      </c>
      <c r="CH24" s="33"/>
      <c r="CI24" s="38" t="str">
        <f>Notes!W25</f>
        <v xml:space="preserve">      Rural - decile 5</v>
      </c>
      <c r="CJ24" s="4" t="s">
        <v>738</v>
      </c>
      <c r="CK24" s="44">
        <v>10.87598197189042</v>
      </c>
      <c r="CL24" s="42" t="s">
        <v>48</v>
      </c>
      <c r="CM24" s="42" t="s">
        <v>48</v>
      </c>
      <c r="CN24" s="40" t="s">
        <v>48</v>
      </c>
      <c r="CO24" s="40" t="s">
        <v>48</v>
      </c>
      <c r="CP24" s="40" t="s">
        <v>48</v>
      </c>
      <c r="CQ24" s="40" t="s">
        <v>48</v>
      </c>
      <c r="CR24" s="40" t="s">
        <v>48</v>
      </c>
      <c r="CS24" s="40" t="s">
        <v>48</v>
      </c>
      <c r="CT24" s="40" t="s">
        <v>48</v>
      </c>
      <c r="CU24" s="40" t="s">
        <v>48</v>
      </c>
      <c r="CV24" s="40" t="s">
        <v>48</v>
      </c>
      <c r="CW24" s="40" t="s">
        <v>48</v>
      </c>
      <c r="CX24" s="40" t="s">
        <v>48</v>
      </c>
      <c r="CY24" s="40" t="s">
        <v>48</v>
      </c>
      <c r="CZ24" s="40" t="s">
        <v>48</v>
      </c>
      <c r="DA24" s="40" t="s">
        <v>48</v>
      </c>
    </row>
    <row r="25" spans="1:105" x14ac:dyDescent="0.3">
      <c r="A25" s="12">
        <v>18</v>
      </c>
      <c r="B25" s="33"/>
      <c r="C25" s="38" t="str">
        <f>Notes!W26</f>
        <v xml:space="preserve">      Rural - decile 6</v>
      </c>
      <c r="D25" s="4" t="s">
        <v>739</v>
      </c>
      <c r="E25" s="44">
        <v>5.9372023270882703</v>
      </c>
      <c r="F25" s="42">
        <v>3.0643783242076061</v>
      </c>
      <c r="G25" s="42" t="s">
        <v>48</v>
      </c>
      <c r="H25" s="40" t="s">
        <v>48</v>
      </c>
      <c r="I25" s="40" t="s">
        <v>48</v>
      </c>
      <c r="J25" s="40" t="s">
        <v>48</v>
      </c>
      <c r="K25" s="40" t="s">
        <v>48</v>
      </c>
      <c r="L25" s="40" t="s">
        <v>48</v>
      </c>
      <c r="M25" s="40" t="s">
        <v>48</v>
      </c>
      <c r="N25" s="40" t="s">
        <v>48</v>
      </c>
      <c r="O25" s="40" t="s">
        <v>48</v>
      </c>
      <c r="P25" s="40" t="s">
        <v>48</v>
      </c>
      <c r="Q25" s="40" t="s">
        <v>48</v>
      </c>
      <c r="R25" s="40" t="s">
        <v>48</v>
      </c>
      <c r="S25" s="40" t="s">
        <v>48</v>
      </c>
      <c r="T25" s="40" t="s">
        <v>48</v>
      </c>
      <c r="U25" s="40" t="s">
        <v>48</v>
      </c>
      <c r="W25" s="33"/>
      <c r="X25" s="38" t="str">
        <f>Notes!W26</f>
        <v xml:space="preserve">      Rural - decile 6</v>
      </c>
      <c r="Y25" s="4" t="s">
        <v>739</v>
      </c>
      <c r="Z25" s="44">
        <v>5.6999371645784791</v>
      </c>
      <c r="AA25" s="42">
        <v>3.0608587382946917</v>
      </c>
      <c r="AB25" s="42" t="s">
        <v>48</v>
      </c>
      <c r="AC25" s="40" t="s">
        <v>48</v>
      </c>
      <c r="AD25" s="40" t="s">
        <v>48</v>
      </c>
      <c r="AE25" s="40" t="s">
        <v>48</v>
      </c>
      <c r="AF25" s="40" t="s">
        <v>48</v>
      </c>
      <c r="AG25" s="40" t="s">
        <v>48</v>
      </c>
      <c r="AH25" s="40" t="s">
        <v>48</v>
      </c>
      <c r="AI25" s="40" t="s">
        <v>48</v>
      </c>
      <c r="AJ25" s="40" t="s">
        <v>48</v>
      </c>
      <c r="AK25" s="40" t="s">
        <v>48</v>
      </c>
      <c r="AL25" s="40" t="s">
        <v>48</v>
      </c>
      <c r="AM25" s="40" t="s">
        <v>48</v>
      </c>
      <c r="AN25" s="40" t="s">
        <v>48</v>
      </c>
      <c r="AO25" s="40" t="s">
        <v>48</v>
      </c>
      <c r="AP25" s="40" t="s">
        <v>48</v>
      </c>
      <c r="AR25" s="33"/>
      <c r="AS25" s="38" t="str">
        <f>Notes!U26</f>
        <v xml:space="preserve">      Other vegetables</v>
      </c>
      <c r="AT25" s="4" t="s">
        <v>330</v>
      </c>
      <c r="AU25" s="44">
        <v>0.8136807182749074</v>
      </c>
      <c r="AV25" s="42">
        <v>3.0250984439958106</v>
      </c>
      <c r="AW25" s="42" t="s">
        <v>48</v>
      </c>
      <c r="AX25" s="40" t="s">
        <v>48</v>
      </c>
      <c r="AY25" s="40" t="s">
        <v>48</v>
      </c>
      <c r="AZ25" s="40" t="s">
        <v>48</v>
      </c>
      <c r="BA25" s="40" t="s">
        <v>48</v>
      </c>
      <c r="BB25" s="40" t="s">
        <v>48</v>
      </c>
      <c r="BC25" s="40" t="s">
        <v>48</v>
      </c>
      <c r="BD25" s="40" t="s">
        <v>48</v>
      </c>
      <c r="BE25" s="40" t="s">
        <v>48</v>
      </c>
      <c r="BF25" s="40" t="s">
        <v>48</v>
      </c>
      <c r="BG25" s="40" t="s">
        <v>48</v>
      </c>
      <c r="BH25" s="40" t="s">
        <v>48</v>
      </c>
      <c r="BI25" s="40" t="s">
        <v>48</v>
      </c>
      <c r="BJ25" s="40" t="s">
        <v>48</v>
      </c>
      <c r="BK25" s="40" t="s">
        <v>48</v>
      </c>
      <c r="BM25" s="33"/>
      <c r="BN25" s="38" t="str">
        <f>Notes!W26</f>
        <v xml:space="preserve">      Rural - decile 6</v>
      </c>
      <c r="BO25" s="4" t="s">
        <v>739</v>
      </c>
      <c r="BP25" s="44">
        <v>8.3529870774642648E-2</v>
      </c>
      <c r="BQ25" s="42" t="s">
        <v>48</v>
      </c>
      <c r="BR25" s="42" t="s">
        <v>48</v>
      </c>
      <c r="BS25" s="40" t="s">
        <v>48</v>
      </c>
      <c r="BT25" s="40" t="s">
        <v>48</v>
      </c>
      <c r="BU25" s="40" t="s">
        <v>48</v>
      </c>
      <c r="BV25" s="40" t="s">
        <v>48</v>
      </c>
      <c r="BW25" s="40" t="s">
        <v>48</v>
      </c>
      <c r="BX25" s="40" t="s">
        <v>48</v>
      </c>
      <c r="BY25" s="40" t="s">
        <v>48</v>
      </c>
      <c r="BZ25" s="40" t="s">
        <v>48</v>
      </c>
      <c r="CA25" s="40" t="s">
        <v>48</v>
      </c>
      <c r="CB25" s="40" t="s">
        <v>48</v>
      </c>
      <c r="CC25" s="40" t="s">
        <v>48</v>
      </c>
      <c r="CD25" s="40" t="s">
        <v>48</v>
      </c>
      <c r="CE25" s="40" t="s">
        <v>48</v>
      </c>
      <c r="CF25" s="40" t="s">
        <v>48</v>
      </c>
      <c r="CH25" s="33"/>
      <c r="CI25" s="38" t="str">
        <f>Notes!W26</f>
        <v xml:space="preserve">      Rural - decile 6</v>
      </c>
      <c r="CJ25" s="4" t="s">
        <v>739</v>
      </c>
      <c r="CK25" s="44">
        <v>26.17360285547397</v>
      </c>
      <c r="CL25" s="42" t="s">
        <v>48</v>
      </c>
      <c r="CM25" s="42" t="s">
        <v>48</v>
      </c>
      <c r="CN25" s="40" t="s">
        <v>48</v>
      </c>
      <c r="CO25" s="40" t="s">
        <v>48</v>
      </c>
      <c r="CP25" s="40" t="s">
        <v>48</v>
      </c>
      <c r="CQ25" s="40" t="s">
        <v>48</v>
      </c>
      <c r="CR25" s="40" t="s">
        <v>48</v>
      </c>
      <c r="CS25" s="40" t="s">
        <v>48</v>
      </c>
      <c r="CT25" s="40" t="s">
        <v>48</v>
      </c>
      <c r="CU25" s="40" t="s">
        <v>48</v>
      </c>
      <c r="CV25" s="40" t="s">
        <v>48</v>
      </c>
      <c r="CW25" s="40" t="s">
        <v>48</v>
      </c>
      <c r="CX25" s="40" t="s">
        <v>48</v>
      </c>
      <c r="CY25" s="40" t="s">
        <v>48</v>
      </c>
      <c r="CZ25" s="40" t="s">
        <v>48</v>
      </c>
      <c r="DA25" s="40" t="s">
        <v>48</v>
      </c>
    </row>
    <row r="26" spans="1:105" x14ac:dyDescent="0.3">
      <c r="A26" s="12">
        <v>19</v>
      </c>
      <c r="B26" s="33"/>
      <c r="C26" s="38" t="str">
        <f>Notes!W27</f>
        <v xml:space="preserve">      Rural - decile 7</v>
      </c>
      <c r="D26" s="4" t="s">
        <v>740</v>
      </c>
      <c r="E26" s="44">
        <v>6.2733215044468951</v>
      </c>
      <c r="F26" s="42">
        <v>3.0437379451746738</v>
      </c>
      <c r="G26" s="42" t="s">
        <v>48</v>
      </c>
      <c r="H26" s="40" t="s">
        <v>48</v>
      </c>
      <c r="I26" s="40" t="s">
        <v>48</v>
      </c>
      <c r="J26" s="40" t="s">
        <v>48</v>
      </c>
      <c r="K26" s="40" t="s">
        <v>48</v>
      </c>
      <c r="L26" s="40" t="s">
        <v>48</v>
      </c>
      <c r="M26" s="40" t="s">
        <v>48</v>
      </c>
      <c r="N26" s="40" t="s">
        <v>48</v>
      </c>
      <c r="O26" s="40" t="s">
        <v>48</v>
      </c>
      <c r="P26" s="40" t="s">
        <v>48</v>
      </c>
      <c r="Q26" s="40" t="s">
        <v>48</v>
      </c>
      <c r="R26" s="40" t="s">
        <v>48</v>
      </c>
      <c r="S26" s="40" t="s">
        <v>48</v>
      </c>
      <c r="T26" s="40" t="s">
        <v>48</v>
      </c>
      <c r="U26" s="40" t="s">
        <v>48</v>
      </c>
      <c r="W26" s="33"/>
      <c r="X26" s="38" t="str">
        <f>Notes!W27</f>
        <v xml:space="preserve">      Rural - decile 7</v>
      </c>
      <c r="Y26" s="4" t="s">
        <v>740</v>
      </c>
      <c r="Z26" s="44">
        <v>6.8064636465211938</v>
      </c>
      <c r="AA26" s="42">
        <v>3.0425060539545301</v>
      </c>
      <c r="AB26" s="42" t="s">
        <v>48</v>
      </c>
      <c r="AC26" s="40" t="s">
        <v>48</v>
      </c>
      <c r="AD26" s="40" t="s">
        <v>48</v>
      </c>
      <c r="AE26" s="40" t="s">
        <v>48</v>
      </c>
      <c r="AF26" s="40" t="s">
        <v>48</v>
      </c>
      <c r="AG26" s="40" t="s">
        <v>48</v>
      </c>
      <c r="AH26" s="40" t="s">
        <v>48</v>
      </c>
      <c r="AI26" s="40" t="s">
        <v>48</v>
      </c>
      <c r="AJ26" s="40" t="s">
        <v>48</v>
      </c>
      <c r="AK26" s="40" t="s">
        <v>48</v>
      </c>
      <c r="AL26" s="40" t="s">
        <v>48</v>
      </c>
      <c r="AM26" s="40" t="s">
        <v>48</v>
      </c>
      <c r="AN26" s="40" t="s">
        <v>48</v>
      </c>
      <c r="AO26" s="40" t="s">
        <v>48</v>
      </c>
      <c r="AP26" s="40" t="s">
        <v>48</v>
      </c>
      <c r="AR26" s="33"/>
      <c r="AS26" s="38" t="str">
        <f>Notes!U27</f>
        <v xml:space="preserve">      Sugarcane</v>
      </c>
      <c r="AT26" s="4" t="s">
        <v>333</v>
      </c>
      <c r="AU26" s="44">
        <v>1.9455904628878891E-3</v>
      </c>
      <c r="AV26" s="42">
        <v>3.0789827575352202</v>
      </c>
      <c r="AW26" s="42" t="s">
        <v>48</v>
      </c>
      <c r="AX26" s="40" t="s">
        <v>48</v>
      </c>
      <c r="AY26" s="40" t="s">
        <v>48</v>
      </c>
      <c r="AZ26" s="40" t="s">
        <v>48</v>
      </c>
      <c r="BA26" s="40" t="s">
        <v>48</v>
      </c>
      <c r="BB26" s="40" t="s">
        <v>48</v>
      </c>
      <c r="BC26" s="40" t="s">
        <v>48</v>
      </c>
      <c r="BD26" s="40" t="s">
        <v>48</v>
      </c>
      <c r="BE26" s="40" t="s">
        <v>48</v>
      </c>
      <c r="BF26" s="40" t="s">
        <v>48</v>
      </c>
      <c r="BG26" s="40" t="s">
        <v>48</v>
      </c>
      <c r="BH26" s="40" t="s">
        <v>48</v>
      </c>
      <c r="BI26" s="40" t="s">
        <v>48</v>
      </c>
      <c r="BJ26" s="40" t="s">
        <v>48</v>
      </c>
      <c r="BK26" s="40" t="s">
        <v>48</v>
      </c>
      <c r="BM26" s="33"/>
      <c r="BN26" s="38" t="str">
        <f>Notes!W27</f>
        <v xml:space="preserve">      Rural - decile 7</v>
      </c>
      <c r="BO26" s="4" t="s">
        <v>740</v>
      </c>
      <c r="BP26" s="44">
        <v>0.20995511658580829</v>
      </c>
      <c r="BQ26" s="42" t="s">
        <v>48</v>
      </c>
      <c r="BR26" s="42" t="s">
        <v>48</v>
      </c>
      <c r="BS26" s="40" t="s">
        <v>48</v>
      </c>
      <c r="BT26" s="40" t="s">
        <v>48</v>
      </c>
      <c r="BU26" s="40" t="s">
        <v>48</v>
      </c>
      <c r="BV26" s="40" t="s">
        <v>48</v>
      </c>
      <c r="BW26" s="40" t="s">
        <v>48</v>
      </c>
      <c r="BX26" s="40" t="s">
        <v>48</v>
      </c>
      <c r="BY26" s="40" t="s">
        <v>48</v>
      </c>
      <c r="BZ26" s="40" t="s">
        <v>48</v>
      </c>
      <c r="CA26" s="40" t="s">
        <v>48</v>
      </c>
      <c r="CB26" s="40" t="s">
        <v>48</v>
      </c>
      <c r="CC26" s="40" t="s">
        <v>48</v>
      </c>
      <c r="CD26" s="40" t="s">
        <v>48</v>
      </c>
      <c r="CE26" s="40" t="s">
        <v>48</v>
      </c>
      <c r="CF26" s="40" t="s">
        <v>48</v>
      </c>
      <c r="CH26" s="33"/>
      <c r="CI26" s="38" t="str">
        <f>Notes!W27</f>
        <v xml:space="preserve">      Rural - decile 7</v>
      </c>
      <c r="CJ26" s="4" t="s">
        <v>740</v>
      </c>
      <c r="CK26" s="44">
        <v>15.966890841500664</v>
      </c>
      <c r="CL26" s="42" t="s">
        <v>48</v>
      </c>
      <c r="CM26" s="42" t="s">
        <v>48</v>
      </c>
      <c r="CN26" s="40" t="s">
        <v>48</v>
      </c>
      <c r="CO26" s="40" t="s">
        <v>48</v>
      </c>
      <c r="CP26" s="40" t="s">
        <v>48</v>
      </c>
      <c r="CQ26" s="40" t="s">
        <v>48</v>
      </c>
      <c r="CR26" s="40" t="s">
        <v>48</v>
      </c>
      <c r="CS26" s="40" t="s">
        <v>48</v>
      </c>
      <c r="CT26" s="40" t="s">
        <v>48</v>
      </c>
      <c r="CU26" s="40" t="s">
        <v>48</v>
      </c>
      <c r="CV26" s="40" t="s">
        <v>48</v>
      </c>
      <c r="CW26" s="40" t="s">
        <v>48</v>
      </c>
      <c r="CX26" s="40" t="s">
        <v>48</v>
      </c>
      <c r="CY26" s="40" t="s">
        <v>48</v>
      </c>
      <c r="CZ26" s="40" t="s">
        <v>48</v>
      </c>
      <c r="DA26" s="40" t="s">
        <v>48</v>
      </c>
    </row>
    <row r="27" spans="1:105" x14ac:dyDescent="0.3">
      <c r="A27" s="12">
        <v>20</v>
      </c>
      <c r="B27" s="33"/>
      <c r="C27" s="38" t="str">
        <f>Notes!W28</f>
        <v xml:space="preserve">      Rural - decile 8</v>
      </c>
      <c r="D27" s="4" t="s">
        <v>741</v>
      </c>
      <c r="E27" s="44">
        <v>6.1834801531012547</v>
      </c>
      <c r="F27" s="42">
        <v>3.062526577888236</v>
      </c>
      <c r="G27" s="42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40" t="s">
        <v>48</v>
      </c>
      <c r="O27" s="40" t="s">
        <v>48</v>
      </c>
      <c r="P27" s="40" t="s">
        <v>48</v>
      </c>
      <c r="Q27" s="40" t="s">
        <v>48</v>
      </c>
      <c r="R27" s="40" t="s">
        <v>48</v>
      </c>
      <c r="S27" s="40" t="s">
        <v>48</v>
      </c>
      <c r="T27" s="40" t="s">
        <v>48</v>
      </c>
      <c r="U27" s="40" t="s">
        <v>48</v>
      </c>
      <c r="W27" s="33"/>
      <c r="X27" s="38" t="str">
        <f>Notes!W28</f>
        <v xml:space="preserve">      Rural - decile 8</v>
      </c>
      <c r="Y27" s="4" t="s">
        <v>741</v>
      </c>
      <c r="Z27" s="44">
        <v>7.1903487879042407</v>
      </c>
      <c r="AA27" s="42">
        <v>3.0596062387304723</v>
      </c>
      <c r="AB27" s="42" t="s">
        <v>48</v>
      </c>
      <c r="AC27" s="40" t="s">
        <v>48</v>
      </c>
      <c r="AD27" s="40" t="s">
        <v>48</v>
      </c>
      <c r="AE27" s="40" t="s">
        <v>48</v>
      </c>
      <c r="AF27" s="40" t="s">
        <v>48</v>
      </c>
      <c r="AG27" s="40" t="s">
        <v>48</v>
      </c>
      <c r="AH27" s="40" t="s">
        <v>48</v>
      </c>
      <c r="AI27" s="40" t="s">
        <v>48</v>
      </c>
      <c r="AJ27" s="40" t="s">
        <v>48</v>
      </c>
      <c r="AK27" s="40" t="s">
        <v>48</v>
      </c>
      <c r="AL27" s="40" t="s">
        <v>48</v>
      </c>
      <c r="AM27" s="40" t="s">
        <v>48</v>
      </c>
      <c r="AN27" s="40" t="s">
        <v>48</v>
      </c>
      <c r="AO27" s="40" t="s">
        <v>48</v>
      </c>
      <c r="AP27" s="40" t="s">
        <v>48</v>
      </c>
      <c r="AR27" s="33"/>
      <c r="AS27" s="38" t="str">
        <f>Notes!U28</f>
        <v xml:space="preserve">      Tobacco</v>
      </c>
      <c r="AT27" s="4" t="s">
        <v>336</v>
      </c>
      <c r="AU27" s="44">
        <v>6.4422136103204296E-4</v>
      </c>
      <c r="AV27" s="42">
        <v>2.9594924187219096</v>
      </c>
      <c r="AW27" s="42" t="s">
        <v>48</v>
      </c>
      <c r="AX27" s="40" t="s">
        <v>48</v>
      </c>
      <c r="AY27" s="40" t="s">
        <v>48</v>
      </c>
      <c r="AZ27" s="40" t="s">
        <v>48</v>
      </c>
      <c r="BA27" s="40" t="s">
        <v>48</v>
      </c>
      <c r="BB27" s="40" t="s">
        <v>48</v>
      </c>
      <c r="BC27" s="40" t="s">
        <v>48</v>
      </c>
      <c r="BD27" s="40" t="s">
        <v>48</v>
      </c>
      <c r="BE27" s="40" t="s">
        <v>48</v>
      </c>
      <c r="BF27" s="40" t="s">
        <v>48</v>
      </c>
      <c r="BG27" s="40" t="s">
        <v>48</v>
      </c>
      <c r="BH27" s="40" t="s">
        <v>48</v>
      </c>
      <c r="BI27" s="40" t="s">
        <v>48</v>
      </c>
      <c r="BJ27" s="40" t="s">
        <v>48</v>
      </c>
      <c r="BK27" s="40" t="s">
        <v>48</v>
      </c>
      <c r="BM27" s="33"/>
      <c r="BN27" s="38" t="str">
        <f>Notes!W28</f>
        <v xml:space="preserve">      Rural - decile 8</v>
      </c>
      <c r="BO27" s="4" t="s">
        <v>741</v>
      </c>
      <c r="BP27" s="44">
        <v>0.13558026145220456</v>
      </c>
      <c r="BQ27" s="42" t="s">
        <v>48</v>
      </c>
      <c r="BR27" s="42" t="s">
        <v>48</v>
      </c>
      <c r="BS27" s="40" t="s">
        <v>48</v>
      </c>
      <c r="BT27" s="40" t="s">
        <v>48</v>
      </c>
      <c r="BU27" s="40" t="s">
        <v>48</v>
      </c>
      <c r="BV27" s="40" t="s">
        <v>48</v>
      </c>
      <c r="BW27" s="40" t="s">
        <v>48</v>
      </c>
      <c r="BX27" s="40" t="s">
        <v>48</v>
      </c>
      <c r="BY27" s="40" t="s">
        <v>48</v>
      </c>
      <c r="BZ27" s="40" t="s">
        <v>48</v>
      </c>
      <c r="CA27" s="40" t="s">
        <v>48</v>
      </c>
      <c r="CB27" s="40" t="s">
        <v>48</v>
      </c>
      <c r="CC27" s="40" t="s">
        <v>48</v>
      </c>
      <c r="CD27" s="40" t="s">
        <v>48</v>
      </c>
      <c r="CE27" s="40" t="s">
        <v>48</v>
      </c>
      <c r="CF27" s="40" t="s">
        <v>48</v>
      </c>
      <c r="CH27" s="33"/>
      <c r="CI27" s="38" t="str">
        <f>Notes!W28</f>
        <v xml:space="preserve">      Rural - decile 8</v>
      </c>
      <c r="CJ27" s="4" t="s">
        <v>741</v>
      </c>
      <c r="CK27" s="44">
        <v>10.204405582603066</v>
      </c>
      <c r="CL27" s="42" t="s">
        <v>48</v>
      </c>
      <c r="CM27" s="42" t="s">
        <v>48</v>
      </c>
      <c r="CN27" s="40" t="s">
        <v>48</v>
      </c>
      <c r="CO27" s="40" t="s">
        <v>48</v>
      </c>
      <c r="CP27" s="40" t="s">
        <v>48</v>
      </c>
      <c r="CQ27" s="40" t="s">
        <v>48</v>
      </c>
      <c r="CR27" s="40" t="s">
        <v>48</v>
      </c>
      <c r="CS27" s="40" t="s">
        <v>48</v>
      </c>
      <c r="CT27" s="40" t="s">
        <v>48</v>
      </c>
      <c r="CU27" s="40" t="s">
        <v>48</v>
      </c>
      <c r="CV27" s="40" t="s">
        <v>48</v>
      </c>
      <c r="CW27" s="40" t="s">
        <v>48</v>
      </c>
      <c r="CX27" s="40" t="s">
        <v>48</v>
      </c>
      <c r="CY27" s="40" t="s">
        <v>48</v>
      </c>
      <c r="CZ27" s="40" t="s">
        <v>48</v>
      </c>
      <c r="DA27" s="40" t="s">
        <v>48</v>
      </c>
    </row>
    <row r="28" spans="1:105" x14ac:dyDescent="0.3">
      <c r="A28" s="12">
        <v>21</v>
      </c>
      <c r="B28" s="33"/>
      <c r="C28" s="38" t="str">
        <f>Notes!W29</f>
        <v xml:space="preserve">      Rural - decile 9</v>
      </c>
      <c r="D28" s="4" t="s">
        <v>742</v>
      </c>
      <c r="E28" s="44">
        <v>7.3949162950002325</v>
      </c>
      <c r="F28" s="42">
        <v>3.0357644057500188</v>
      </c>
      <c r="G28" s="42" t="s">
        <v>48</v>
      </c>
      <c r="H28" s="40" t="s">
        <v>48</v>
      </c>
      <c r="I28" s="40" t="s">
        <v>48</v>
      </c>
      <c r="J28" s="40" t="s">
        <v>48</v>
      </c>
      <c r="K28" s="40" t="s">
        <v>48</v>
      </c>
      <c r="L28" s="40" t="s">
        <v>48</v>
      </c>
      <c r="M28" s="40" t="s">
        <v>48</v>
      </c>
      <c r="N28" s="40" t="s">
        <v>48</v>
      </c>
      <c r="O28" s="40" t="s">
        <v>48</v>
      </c>
      <c r="P28" s="40" t="s">
        <v>48</v>
      </c>
      <c r="Q28" s="40" t="s">
        <v>48</v>
      </c>
      <c r="R28" s="40" t="s">
        <v>48</v>
      </c>
      <c r="S28" s="40" t="s">
        <v>48</v>
      </c>
      <c r="T28" s="40" t="s">
        <v>48</v>
      </c>
      <c r="U28" s="40" t="s">
        <v>48</v>
      </c>
      <c r="W28" s="33"/>
      <c r="X28" s="38" t="str">
        <f>Notes!W29</f>
        <v xml:space="preserve">      Rural - decile 9</v>
      </c>
      <c r="Y28" s="4" t="s">
        <v>742</v>
      </c>
      <c r="Z28" s="44">
        <v>8.3904894869192219</v>
      </c>
      <c r="AA28" s="42">
        <v>3.0361889312028767</v>
      </c>
      <c r="AB28" s="42" t="s">
        <v>48</v>
      </c>
      <c r="AC28" s="40" t="s">
        <v>48</v>
      </c>
      <c r="AD28" s="40" t="s">
        <v>48</v>
      </c>
      <c r="AE28" s="40" t="s">
        <v>48</v>
      </c>
      <c r="AF28" s="40" t="s">
        <v>48</v>
      </c>
      <c r="AG28" s="40" t="s">
        <v>48</v>
      </c>
      <c r="AH28" s="40" t="s">
        <v>48</v>
      </c>
      <c r="AI28" s="40" t="s">
        <v>48</v>
      </c>
      <c r="AJ28" s="40" t="s">
        <v>48</v>
      </c>
      <c r="AK28" s="40" t="s">
        <v>48</v>
      </c>
      <c r="AL28" s="40" t="s">
        <v>48</v>
      </c>
      <c r="AM28" s="40" t="s">
        <v>48</v>
      </c>
      <c r="AN28" s="40" t="s">
        <v>48</v>
      </c>
      <c r="AO28" s="40" t="s">
        <v>48</v>
      </c>
      <c r="AP28" s="40" t="s">
        <v>48</v>
      </c>
      <c r="AR28" s="33"/>
      <c r="AS28" s="38" t="str">
        <f>Notes!U29</f>
        <v xml:space="preserve">      Cotton and fibres</v>
      </c>
      <c r="AT28" s="4" t="s">
        <v>339</v>
      </c>
      <c r="AU28" s="44" t="s">
        <v>48</v>
      </c>
      <c r="AV28" s="42" t="s">
        <v>48</v>
      </c>
      <c r="AW28" s="42" t="s">
        <v>48</v>
      </c>
      <c r="AX28" s="40" t="s">
        <v>48</v>
      </c>
      <c r="AY28" s="40" t="s">
        <v>48</v>
      </c>
      <c r="AZ28" s="40" t="s">
        <v>48</v>
      </c>
      <c r="BA28" s="40" t="s">
        <v>48</v>
      </c>
      <c r="BB28" s="40" t="s">
        <v>48</v>
      </c>
      <c r="BC28" s="40" t="s">
        <v>48</v>
      </c>
      <c r="BD28" s="40" t="s">
        <v>48</v>
      </c>
      <c r="BE28" s="40" t="s">
        <v>48</v>
      </c>
      <c r="BF28" s="40" t="s">
        <v>48</v>
      </c>
      <c r="BG28" s="40" t="s">
        <v>48</v>
      </c>
      <c r="BH28" s="40" t="s">
        <v>48</v>
      </c>
      <c r="BI28" s="40" t="s">
        <v>48</v>
      </c>
      <c r="BJ28" s="40" t="s">
        <v>48</v>
      </c>
      <c r="BK28" s="40" t="s">
        <v>48</v>
      </c>
      <c r="BM28" s="33"/>
      <c r="BN28" s="38" t="str">
        <f>Notes!W29</f>
        <v xml:space="preserve">      Rural - decile 9</v>
      </c>
      <c r="BO28" s="4" t="s">
        <v>742</v>
      </c>
      <c r="BP28" s="44">
        <v>0.16157262993012933</v>
      </c>
      <c r="BQ28" s="42" t="s">
        <v>48</v>
      </c>
      <c r="BR28" s="42" t="s">
        <v>48</v>
      </c>
      <c r="BS28" s="40" t="s">
        <v>48</v>
      </c>
      <c r="BT28" s="40" t="s">
        <v>48</v>
      </c>
      <c r="BU28" s="40" t="s">
        <v>48</v>
      </c>
      <c r="BV28" s="40" t="s">
        <v>48</v>
      </c>
      <c r="BW28" s="40" t="s">
        <v>48</v>
      </c>
      <c r="BX28" s="40" t="s">
        <v>48</v>
      </c>
      <c r="BY28" s="40" t="s">
        <v>48</v>
      </c>
      <c r="BZ28" s="40" t="s">
        <v>48</v>
      </c>
      <c r="CA28" s="40" t="s">
        <v>48</v>
      </c>
      <c r="CB28" s="40" t="s">
        <v>48</v>
      </c>
      <c r="CC28" s="40" t="s">
        <v>48</v>
      </c>
      <c r="CD28" s="40" t="s">
        <v>48</v>
      </c>
      <c r="CE28" s="40" t="s">
        <v>48</v>
      </c>
      <c r="CF28" s="40" t="s">
        <v>48</v>
      </c>
      <c r="CH28" s="33"/>
      <c r="CI28" s="38" t="str">
        <f>Notes!W29</f>
        <v xml:space="preserve">      Rural - decile 9</v>
      </c>
      <c r="CJ28" s="4" t="s">
        <v>742</v>
      </c>
      <c r="CK28" s="44">
        <v>12.397357691319321</v>
      </c>
      <c r="CL28" s="42" t="s">
        <v>48</v>
      </c>
      <c r="CM28" s="42" t="s">
        <v>48</v>
      </c>
      <c r="CN28" s="40" t="s">
        <v>48</v>
      </c>
      <c r="CO28" s="40" t="s">
        <v>48</v>
      </c>
      <c r="CP28" s="40" t="s">
        <v>48</v>
      </c>
      <c r="CQ28" s="40" t="s">
        <v>48</v>
      </c>
      <c r="CR28" s="40" t="s">
        <v>48</v>
      </c>
      <c r="CS28" s="40" t="s">
        <v>48</v>
      </c>
      <c r="CT28" s="40" t="s">
        <v>48</v>
      </c>
      <c r="CU28" s="40" t="s">
        <v>48</v>
      </c>
      <c r="CV28" s="40" t="s">
        <v>48</v>
      </c>
      <c r="CW28" s="40" t="s">
        <v>48</v>
      </c>
      <c r="CX28" s="40" t="s">
        <v>48</v>
      </c>
      <c r="CY28" s="40" t="s">
        <v>48</v>
      </c>
      <c r="CZ28" s="40" t="s">
        <v>48</v>
      </c>
      <c r="DA28" s="40" t="s">
        <v>48</v>
      </c>
    </row>
    <row r="29" spans="1:105" x14ac:dyDescent="0.3">
      <c r="A29" s="12">
        <v>22</v>
      </c>
      <c r="B29" s="33"/>
      <c r="C29" s="38" t="str">
        <f>Notes!W30</f>
        <v xml:space="preserve">      Rural - decile 10 (high)</v>
      </c>
      <c r="D29" s="4" t="s">
        <v>743</v>
      </c>
      <c r="E29" s="44">
        <v>9.2594363955822985</v>
      </c>
      <c r="F29" s="42">
        <v>3.0319216162947749</v>
      </c>
      <c r="G29" s="42" t="s">
        <v>48</v>
      </c>
      <c r="H29" s="40" t="s">
        <v>48</v>
      </c>
      <c r="I29" s="40" t="s">
        <v>48</v>
      </c>
      <c r="J29" s="40" t="s">
        <v>48</v>
      </c>
      <c r="K29" s="40" t="s">
        <v>48</v>
      </c>
      <c r="L29" s="40" t="s">
        <v>48</v>
      </c>
      <c r="M29" s="40" t="s">
        <v>48</v>
      </c>
      <c r="N29" s="40" t="s">
        <v>48</v>
      </c>
      <c r="O29" s="40" t="s">
        <v>48</v>
      </c>
      <c r="P29" s="40" t="s">
        <v>48</v>
      </c>
      <c r="Q29" s="40" t="s">
        <v>48</v>
      </c>
      <c r="R29" s="40" t="s">
        <v>48</v>
      </c>
      <c r="S29" s="40" t="s">
        <v>48</v>
      </c>
      <c r="T29" s="40" t="s">
        <v>48</v>
      </c>
      <c r="U29" s="40" t="s">
        <v>48</v>
      </c>
      <c r="W29" s="33"/>
      <c r="X29" s="38" t="str">
        <f>Notes!W30</f>
        <v xml:space="preserve">      Rural - decile 10 (high)</v>
      </c>
      <c r="Y29" s="4" t="s">
        <v>743</v>
      </c>
      <c r="Z29" s="44">
        <v>10.510894231598824</v>
      </c>
      <c r="AA29" s="42">
        <v>3.0327720495240573</v>
      </c>
      <c r="AB29" s="42" t="s">
        <v>48</v>
      </c>
      <c r="AC29" s="40" t="s">
        <v>48</v>
      </c>
      <c r="AD29" s="40" t="s">
        <v>48</v>
      </c>
      <c r="AE29" s="40" t="s">
        <v>48</v>
      </c>
      <c r="AF29" s="40" t="s">
        <v>48</v>
      </c>
      <c r="AG29" s="40" t="s">
        <v>48</v>
      </c>
      <c r="AH29" s="40" t="s">
        <v>48</v>
      </c>
      <c r="AI29" s="40" t="s">
        <v>48</v>
      </c>
      <c r="AJ29" s="40" t="s">
        <v>48</v>
      </c>
      <c r="AK29" s="40" t="s">
        <v>48</v>
      </c>
      <c r="AL29" s="40" t="s">
        <v>48</v>
      </c>
      <c r="AM29" s="40" t="s">
        <v>48</v>
      </c>
      <c r="AN29" s="40" t="s">
        <v>48</v>
      </c>
      <c r="AO29" s="40" t="s">
        <v>48</v>
      </c>
      <c r="AP29" s="40" t="s">
        <v>48</v>
      </c>
      <c r="AR29" s="33"/>
      <c r="AS29" s="38" t="str">
        <f>Notes!U30</f>
        <v xml:space="preserve">      Jute</v>
      </c>
      <c r="AT29" s="4" t="s">
        <v>712</v>
      </c>
      <c r="AU29" s="44" t="s">
        <v>48</v>
      </c>
      <c r="AV29" s="42" t="s">
        <v>48</v>
      </c>
      <c r="AW29" s="42" t="s">
        <v>48</v>
      </c>
      <c r="AX29" s="40" t="s">
        <v>48</v>
      </c>
      <c r="AY29" s="40" t="s">
        <v>48</v>
      </c>
      <c r="AZ29" s="40" t="s">
        <v>48</v>
      </c>
      <c r="BA29" s="40" t="s">
        <v>48</v>
      </c>
      <c r="BB29" s="40" t="s">
        <v>48</v>
      </c>
      <c r="BC29" s="40" t="s">
        <v>48</v>
      </c>
      <c r="BD29" s="40" t="s">
        <v>48</v>
      </c>
      <c r="BE29" s="40" t="s">
        <v>48</v>
      </c>
      <c r="BF29" s="40" t="s">
        <v>48</v>
      </c>
      <c r="BG29" s="40" t="s">
        <v>48</v>
      </c>
      <c r="BH29" s="40" t="s">
        <v>48</v>
      </c>
      <c r="BI29" s="40" t="s">
        <v>48</v>
      </c>
      <c r="BJ29" s="40" t="s">
        <v>48</v>
      </c>
      <c r="BK29" s="40" t="s">
        <v>48</v>
      </c>
      <c r="BM29" s="33"/>
      <c r="BN29" s="38" t="str">
        <f>Notes!W30</f>
        <v xml:space="preserve">      Rural - decile 10 (high)</v>
      </c>
      <c r="BO29" s="4" t="s">
        <v>743</v>
      </c>
      <c r="BP29" s="44">
        <v>0.27662668959622733</v>
      </c>
      <c r="BQ29" s="42" t="s">
        <v>48</v>
      </c>
      <c r="BR29" s="42" t="s">
        <v>48</v>
      </c>
      <c r="BS29" s="40" t="s">
        <v>48</v>
      </c>
      <c r="BT29" s="40" t="s">
        <v>48</v>
      </c>
      <c r="BU29" s="40" t="s">
        <v>48</v>
      </c>
      <c r="BV29" s="40" t="s">
        <v>48</v>
      </c>
      <c r="BW29" s="40" t="s">
        <v>48</v>
      </c>
      <c r="BX29" s="40" t="s">
        <v>48</v>
      </c>
      <c r="BY29" s="40" t="s">
        <v>48</v>
      </c>
      <c r="BZ29" s="40" t="s">
        <v>48</v>
      </c>
      <c r="CA29" s="40" t="s">
        <v>48</v>
      </c>
      <c r="CB29" s="40" t="s">
        <v>48</v>
      </c>
      <c r="CC29" s="40" t="s">
        <v>48</v>
      </c>
      <c r="CD29" s="40" t="s">
        <v>48</v>
      </c>
      <c r="CE29" s="40" t="s">
        <v>48</v>
      </c>
      <c r="CF29" s="40" t="s">
        <v>48</v>
      </c>
      <c r="CH29" s="33"/>
      <c r="CI29" s="38" t="str">
        <f>Notes!W30</f>
        <v xml:space="preserve">      Rural - decile 10 (high)</v>
      </c>
      <c r="CJ29" s="4" t="s">
        <v>743</v>
      </c>
      <c r="CK29" s="44">
        <v>12.471850051177388</v>
      </c>
      <c r="CL29" s="42" t="s">
        <v>48</v>
      </c>
      <c r="CM29" s="42" t="s">
        <v>48</v>
      </c>
      <c r="CN29" s="40" t="s">
        <v>48</v>
      </c>
      <c r="CO29" s="40" t="s">
        <v>48</v>
      </c>
      <c r="CP29" s="40" t="s">
        <v>48</v>
      </c>
      <c r="CQ29" s="40" t="s">
        <v>48</v>
      </c>
      <c r="CR29" s="40" t="s">
        <v>48</v>
      </c>
      <c r="CS29" s="40" t="s">
        <v>48</v>
      </c>
      <c r="CT29" s="40" t="s">
        <v>48</v>
      </c>
      <c r="CU29" s="40" t="s">
        <v>48</v>
      </c>
      <c r="CV29" s="40" t="s">
        <v>48</v>
      </c>
      <c r="CW29" s="40" t="s">
        <v>48</v>
      </c>
      <c r="CX29" s="40" t="s">
        <v>48</v>
      </c>
      <c r="CY29" s="40" t="s">
        <v>48</v>
      </c>
      <c r="CZ29" s="40" t="s">
        <v>48</v>
      </c>
      <c r="DA29" s="40" t="s">
        <v>48</v>
      </c>
    </row>
    <row r="30" spans="1:105" x14ac:dyDescent="0.3">
      <c r="A30" s="12">
        <v>23</v>
      </c>
      <c r="B30" s="33"/>
      <c r="C30" s="38" t="str">
        <f>Notes!W31</f>
        <v xml:space="preserve">   Urban households</v>
      </c>
      <c r="D30" s="4" t="s">
        <v>325</v>
      </c>
      <c r="E30" s="44">
        <v>45.549970354606842</v>
      </c>
      <c r="F30" s="42">
        <v>3.0337795868248918</v>
      </c>
      <c r="G30" s="42" t="s">
        <v>48</v>
      </c>
      <c r="H30" s="40" t="s">
        <v>48</v>
      </c>
      <c r="I30" s="40" t="s">
        <v>48</v>
      </c>
      <c r="J30" s="40" t="s">
        <v>48</v>
      </c>
      <c r="K30" s="40" t="s">
        <v>48</v>
      </c>
      <c r="L30" s="40" t="s">
        <v>48</v>
      </c>
      <c r="M30" s="40" t="s">
        <v>48</v>
      </c>
      <c r="N30" s="40" t="s">
        <v>48</v>
      </c>
      <c r="O30" s="40" t="s">
        <v>48</v>
      </c>
      <c r="P30" s="40" t="s">
        <v>48</v>
      </c>
      <c r="Q30" s="40" t="s">
        <v>48</v>
      </c>
      <c r="R30" s="40" t="s">
        <v>48</v>
      </c>
      <c r="S30" s="40" t="s">
        <v>48</v>
      </c>
      <c r="T30" s="40" t="s">
        <v>48</v>
      </c>
      <c r="U30" s="40" t="s">
        <v>48</v>
      </c>
      <c r="W30" s="33"/>
      <c r="X30" s="38" t="str">
        <f>Notes!W31</f>
        <v xml:space="preserve">   Urban households</v>
      </c>
      <c r="Y30" s="4" t="s">
        <v>325</v>
      </c>
      <c r="Z30" s="44">
        <v>40.186183031072716</v>
      </c>
      <c r="AA30" s="42">
        <v>3.0356183477958432</v>
      </c>
      <c r="AB30" s="42" t="s">
        <v>48</v>
      </c>
      <c r="AC30" s="40" t="s">
        <v>48</v>
      </c>
      <c r="AD30" s="40" t="s">
        <v>48</v>
      </c>
      <c r="AE30" s="40" t="s">
        <v>48</v>
      </c>
      <c r="AF30" s="40" t="s">
        <v>48</v>
      </c>
      <c r="AG30" s="40" t="s">
        <v>48</v>
      </c>
      <c r="AH30" s="40" t="s">
        <v>48</v>
      </c>
      <c r="AI30" s="40" t="s">
        <v>48</v>
      </c>
      <c r="AJ30" s="40" t="s">
        <v>48</v>
      </c>
      <c r="AK30" s="40" t="s">
        <v>48</v>
      </c>
      <c r="AL30" s="40" t="s">
        <v>48</v>
      </c>
      <c r="AM30" s="40" t="s">
        <v>48</v>
      </c>
      <c r="AN30" s="40" t="s">
        <v>48</v>
      </c>
      <c r="AO30" s="40" t="s">
        <v>48</v>
      </c>
      <c r="AP30" s="40" t="s">
        <v>48</v>
      </c>
      <c r="AR30" s="33"/>
      <c r="AS30" s="38" t="str">
        <f>Notes!U31</f>
        <v xml:space="preserve">      Nuts</v>
      </c>
      <c r="AT30" s="4" t="s">
        <v>522</v>
      </c>
      <c r="AU30" s="44">
        <v>0.1028203415699746</v>
      </c>
      <c r="AV30" s="42">
        <v>3.0392834477244612</v>
      </c>
      <c r="AW30" s="42" t="s">
        <v>48</v>
      </c>
      <c r="AX30" s="40" t="s">
        <v>48</v>
      </c>
      <c r="AY30" s="40" t="s">
        <v>48</v>
      </c>
      <c r="AZ30" s="40" t="s">
        <v>48</v>
      </c>
      <c r="BA30" s="40" t="s">
        <v>48</v>
      </c>
      <c r="BB30" s="40" t="s">
        <v>48</v>
      </c>
      <c r="BC30" s="40" t="s">
        <v>48</v>
      </c>
      <c r="BD30" s="40" t="s">
        <v>48</v>
      </c>
      <c r="BE30" s="40" t="s">
        <v>48</v>
      </c>
      <c r="BF30" s="40" t="s">
        <v>48</v>
      </c>
      <c r="BG30" s="40" t="s">
        <v>48</v>
      </c>
      <c r="BH30" s="40" t="s">
        <v>48</v>
      </c>
      <c r="BI30" s="40" t="s">
        <v>48</v>
      </c>
      <c r="BJ30" s="40" t="s">
        <v>48</v>
      </c>
      <c r="BK30" s="40" t="s">
        <v>48</v>
      </c>
      <c r="BM30" s="33"/>
      <c r="BN30" s="38" t="str">
        <f>Notes!W31</f>
        <v xml:space="preserve">   Urban households</v>
      </c>
      <c r="BO30" s="4" t="s">
        <v>325</v>
      </c>
      <c r="BP30" s="44">
        <v>1.213096175870239</v>
      </c>
      <c r="BQ30" s="42" t="s">
        <v>48</v>
      </c>
      <c r="BR30" s="42" t="s">
        <v>48</v>
      </c>
      <c r="BS30" s="40" t="s">
        <v>48</v>
      </c>
      <c r="BT30" s="40" t="s">
        <v>48</v>
      </c>
      <c r="BU30" s="40" t="s">
        <v>48</v>
      </c>
      <c r="BV30" s="40" t="s">
        <v>48</v>
      </c>
      <c r="BW30" s="40" t="s">
        <v>48</v>
      </c>
      <c r="BX30" s="40" t="s">
        <v>48</v>
      </c>
      <c r="BY30" s="40" t="s">
        <v>48</v>
      </c>
      <c r="BZ30" s="40" t="s">
        <v>48</v>
      </c>
      <c r="CA30" s="40" t="s">
        <v>48</v>
      </c>
      <c r="CB30" s="40" t="s">
        <v>48</v>
      </c>
      <c r="CC30" s="40" t="s">
        <v>48</v>
      </c>
      <c r="CD30" s="40" t="s">
        <v>48</v>
      </c>
      <c r="CE30" s="40" t="s">
        <v>48</v>
      </c>
      <c r="CF30" s="40" t="s">
        <v>48</v>
      </c>
      <c r="CH30" s="33"/>
      <c r="CI30" s="38" t="str">
        <f>Notes!W31</f>
        <v xml:space="preserve">   Urban households</v>
      </c>
      <c r="CJ30" s="4" t="s">
        <v>325</v>
      </c>
      <c r="CK30" s="44">
        <v>29.643891784209579</v>
      </c>
      <c r="CL30" s="42" t="s">
        <v>48</v>
      </c>
      <c r="CM30" s="42" t="s">
        <v>48</v>
      </c>
      <c r="CN30" s="40" t="s">
        <v>48</v>
      </c>
      <c r="CO30" s="40" t="s">
        <v>48</v>
      </c>
      <c r="CP30" s="40" t="s">
        <v>48</v>
      </c>
      <c r="CQ30" s="40" t="s">
        <v>48</v>
      </c>
      <c r="CR30" s="40" t="s">
        <v>48</v>
      </c>
      <c r="CS30" s="40" t="s">
        <v>48</v>
      </c>
      <c r="CT30" s="40" t="s">
        <v>48</v>
      </c>
      <c r="CU30" s="40" t="s">
        <v>48</v>
      </c>
      <c r="CV30" s="40" t="s">
        <v>48</v>
      </c>
      <c r="CW30" s="40" t="s">
        <v>48</v>
      </c>
      <c r="CX30" s="40" t="s">
        <v>48</v>
      </c>
      <c r="CY30" s="40" t="s">
        <v>48</v>
      </c>
      <c r="CZ30" s="40" t="s">
        <v>48</v>
      </c>
      <c r="DA30" s="40" t="s">
        <v>48</v>
      </c>
    </row>
    <row r="31" spans="1:105" x14ac:dyDescent="0.3">
      <c r="A31" s="12">
        <v>24</v>
      </c>
      <c r="B31" s="33"/>
      <c r="C31" s="38" t="str">
        <f>Notes!W32</f>
        <v xml:space="preserve">      Urban - decile 1 (low)</v>
      </c>
      <c r="D31" s="4" t="s">
        <v>744</v>
      </c>
      <c r="E31" s="44">
        <v>0.50241887206767588</v>
      </c>
      <c r="F31" s="42">
        <v>3.0302366092218813</v>
      </c>
      <c r="G31" s="42" t="s">
        <v>48</v>
      </c>
      <c r="H31" s="40" t="s">
        <v>48</v>
      </c>
      <c r="I31" s="40" t="s">
        <v>48</v>
      </c>
      <c r="J31" s="40" t="s">
        <v>48</v>
      </c>
      <c r="K31" s="40" t="s">
        <v>48</v>
      </c>
      <c r="L31" s="40" t="s">
        <v>48</v>
      </c>
      <c r="M31" s="40" t="s">
        <v>48</v>
      </c>
      <c r="N31" s="40" t="s">
        <v>48</v>
      </c>
      <c r="O31" s="40" t="s">
        <v>48</v>
      </c>
      <c r="P31" s="40" t="s">
        <v>48</v>
      </c>
      <c r="Q31" s="40" t="s">
        <v>48</v>
      </c>
      <c r="R31" s="40" t="s">
        <v>48</v>
      </c>
      <c r="S31" s="40" t="s">
        <v>48</v>
      </c>
      <c r="T31" s="40" t="s">
        <v>48</v>
      </c>
      <c r="U31" s="40" t="s">
        <v>48</v>
      </c>
      <c r="W31" s="33"/>
      <c r="X31" s="38" t="str">
        <f>Notes!W32</f>
        <v xml:space="preserve">      Urban - decile 1 (low)</v>
      </c>
      <c r="Y31" s="4" t="s">
        <v>744</v>
      </c>
      <c r="Z31" s="44">
        <v>0.54304725883657368</v>
      </c>
      <c r="AA31" s="42">
        <v>3.0289218210812541</v>
      </c>
      <c r="AB31" s="42" t="s">
        <v>48</v>
      </c>
      <c r="AC31" s="40" t="s">
        <v>48</v>
      </c>
      <c r="AD31" s="40" t="s">
        <v>48</v>
      </c>
      <c r="AE31" s="40" t="s">
        <v>48</v>
      </c>
      <c r="AF31" s="40" t="s">
        <v>48</v>
      </c>
      <c r="AG31" s="40" t="s">
        <v>48</v>
      </c>
      <c r="AH31" s="40" t="s">
        <v>48</v>
      </c>
      <c r="AI31" s="40" t="s">
        <v>48</v>
      </c>
      <c r="AJ31" s="40" t="s">
        <v>48</v>
      </c>
      <c r="AK31" s="40" t="s">
        <v>48</v>
      </c>
      <c r="AL31" s="40" t="s">
        <v>48</v>
      </c>
      <c r="AM31" s="40" t="s">
        <v>48</v>
      </c>
      <c r="AN31" s="40" t="s">
        <v>48</v>
      </c>
      <c r="AO31" s="40" t="s">
        <v>48</v>
      </c>
      <c r="AP31" s="40" t="s">
        <v>48</v>
      </c>
      <c r="AR31" s="33"/>
      <c r="AS31" s="38" t="str">
        <f>Notes!U32</f>
        <v xml:space="preserve">      Bananas and plantains</v>
      </c>
      <c r="AT31" s="4" t="s">
        <v>523</v>
      </c>
      <c r="AU31" s="44">
        <v>8.0848222932850614E-2</v>
      </c>
      <c r="AV31" s="42">
        <v>3.0214273191226493</v>
      </c>
      <c r="AW31" s="42" t="s">
        <v>48</v>
      </c>
      <c r="AX31" s="40" t="s">
        <v>48</v>
      </c>
      <c r="AY31" s="40" t="s">
        <v>48</v>
      </c>
      <c r="AZ31" s="40" t="s">
        <v>48</v>
      </c>
      <c r="BA31" s="40" t="s">
        <v>48</v>
      </c>
      <c r="BB31" s="40" t="s">
        <v>48</v>
      </c>
      <c r="BC31" s="40" t="s">
        <v>48</v>
      </c>
      <c r="BD31" s="40" t="s">
        <v>48</v>
      </c>
      <c r="BE31" s="40" t="s">
        <v>48</v>
      </c>
      <c r="BF31" s="40" t="s">
        <v>48</v>
      </c>
      <c r="BG31" s="40" t="s">
        <v>48</v>
      </c>
      <c r="BH31" s="40" t="s">
        <v>48</v>
      </c>
      <c r="BI31" s="40" t="s">
        <v>48</v>
      </c>
      <c r="BJ31" s="40" t="s">
        <v>48</v>
      </c>
      <c r="BK31" s="40" t="s">
        <v>48</v>
      </c>
      <c r="BM31" s="33"/>
      <c r="BN31" s="38" t="str">
        <f>Notes!W32</f>
        <v xml:space="preserve">      Urban - decile 1 (low)</v>
      </c>
      <c r="BO31" s="4" t="s">
        <v>744</v>
      </c>
      <c r="BP31" s="44">
        <v>0.17890440145690389</v>
      </c>
      <c r="BQ31" s="42" t="s">
        <v>48</v>
      </c>
      <c r="BR31" s="42" t="s">
        <v>48</v>
      </c>
      <c r="BS31" s="40" t="s">
        <v>48</v>
      </c>
      <c r="BT31" s="40" t="s">
        <v>48</v>
      </c>
      <c r="BU31" s="40" t="s">
        <v>48</v>
      </c>
      <c r="BV31" s="40" t="s">
        <v>48</v>
      </c>
      <c r="BW31" s="40" t="s">
        <v>48</v>
      </c>
      <c r="BX31" s="40" t="s">
        <v>48</v>
      </c>
      <c r="BY31" s="40" t="s">
        <v>48</v>
      </c>
      <c r="BZ31" s="40" t="s">
        <v>48</v>
      </c>
      <c r="CA31" s="40" t="s">
        <v>48</v>
      </c>
      <c r="CB31" s="40" t="s">
        <v>48</v>
      </c>
      <c r="CC31" s="40" t="s">
        <v>48</v>
      </c>
      <c r="CD31" s="40" t="s">
        <v>48</v>
      </c>
      <c r="CE31" s="40" t="s">
        <v>48</v>
      </c>
      <c r="CF31" s="40" t="s">
        <v>48</v>
      </c>
      <c r="CH31" s="33"/>
      <c r="CI31" s="38" t="str">
        <f>Notes!W32</f>
        <v xml:space="preserve">      Urban - decile 1 (low)</v>
      </c>
      <c r="CJ31" s="4" t="s">
        <v>744</v>
      </c>
      <c r="CK31" s="44">
        <v>16.144178707625731</v>
      </c>
      <c r="CL31" s="42" t="s">
        <v>48</v>
      </c>
      <c r="CM31" s="42" t="s">
        <v>48</v>
      </c>
      <c r="CN31" s="40" t="s">
        <v>48</v>
      </c>
      <c r="CO31" s="40" t="s">
        <v>48</v>
      </c>
      <c r="CP31" s="40" t="s">
        <v>48</v>
      </c>
      <c r="CQ31" s="40" t="s">
        <v>48</v>
      </c>
      <c r="CR31" s="40" t="s">
        <v>48</v>
      </c>
      <c r="CS31" s="40" t="s">
        <v>48</v>
      </c>
      <c r="CT31" s="40" t="s">
        <v>48</v>
      </c>
      <c r="CU31" s="40" t="s">
        <v>48</v>
      </c>
      <c r="CV31" s="40" t="s">
        <v>48</v>
      </c>
      <c r="CW31" s="40" t="s">
        <v>48</v>
      </c>
      <c r="CX31" s="40" t="s">
        <v>48</v>
      </c>
      <c r="CY31" s="40" t="s">
        <v>48</v>
      </c>
      <c r="CZ31" s="40" t="s">
        <v>48</v>
      </c>
      <c r="DA31" s="40" t="s">
        <v>48</v>
      </c>
    </row>
    <row r="32" spans="1:105" x14ac:dyDescent="0.3">
      <c r="A32" s="12">
        <v>25</v>
      </c>
      <c r="B32" s="33"/>
      <c r="C32" s="38" t="str">
        <f>Notes!W33</f>
        <v xml:space="preserve">      Urban - decile 2</v>
      </c>
      <c r="D32" s="4" t="s">
        <v>745</v>
      </c>
      <c r="E32" s="44">
        <v>0.75550684448250249</v>
      </c>
      <c r="F32" s="42">
        <v>3.0269396171171303</v>
      </c>
      <c r="G32" s="42" t="s">
        <v>48</v>
      </c>
      <c r="H32" s="40" t="s">
        <v>48</v>
      </c>
      <c r="I32" s="40" t="s">
        <v>48</v>
      </c>
      <c r="J32" s="40" t="s">
        <v>48</v>
      </c>
      <c r="K32" s="40" t="s">
        <v>48</v>
      </c>
      <c r="L32" s="40" t="s">
        <v>48</v>
      </c>
      <c r="M32" s="40" t="s">
        <v>48</v>
      </c>
      <c r="N32" s="40" t="s">
        <v>48</v>
      </c>
      <c r="O32" s="40" t="s">
        <v>48</v>
      </c>
      <c r="P32" s="40" t="s">
        <v>48</v>
      </c>
      <c r="Q32" s="40" t="s">
        <v>48</v>
      </c>
      <c r="R32" s="40" t="s">
        <v>48</v>
      </c>
      <c r="S32" s="40" t="s">
        <v>48</v>
      </c>
      <c r="T32" s="40" t="s">
        <v>48</v>
      </c>
      <c r="U32" s="40" t="s">
        <v>48</v>
      </c>
      <c r="W32" s="33"/>
      <c r="X32" s="38" t="str">
        <f>Notes!W33</f>
        <v xml:space="preserve">      Urban - decile 2</v>
      </c>
      <c r="Y32" s="4" t="s">
        <v>745</v>
      </c>
      <c r="Z32" s="44">
        <v>0.86379786946428949</v>
      </c>
      <c r="AA32" s="42">
        <v>3.0230050366485628</v>
      </c>
      <c r="AB32" s="42" t="s">
        <v>48</v>
      </c>
      <c r="AC32" s="40" t="s">
        <v>48</v>
      </c>
      <c r="AD32" s="40" t="s">
        <v>48</v>
      </c>
      <c r="AE32" s="40" t="s">
        <v>48</v>
      </c>
      <c r="AF32" s="40" t="s">
        <v>48</v>
      </c>
      <c r="AG32" s="40" t="s">
        <v>48</v>
      </c>
      <c r="AH32" s="40" t="s">
        <v>48</v>
      </c>
      <c r="AI32" s="40" t="s">
        <v>48</v>
      </c>
      <c r="AJ32" s="40" t="s">
        <v>48</v>
      </c>
      <c r="AK32" s="40" t="s">
        <v>48</v>
      </c>
      <c r="AL32" s="40" t="s">
        <v>48</v>
      </c>
      <c r="AM32" s="40" t="s">
        <v>48</v>
      </c>
      <c r="AN32" s="40" t="s">
        <v>48</v>
      </c>
      <c r="AO32" s="40" t="s">
        <v>48</v>
      </c>
      <c r="AP32" s="40" t="s">
        <v>48</v>
      </c>
      <c r="AR32" s="33"/>
      <c r="AS32" s="38" t="str">
        <f>Notes!U33</f>
        <v xml:space="preserve">      Other fruits</v>
      </c>
      <c r="AT32" s="4" t="s">
        <v>342</v>
      </c>
      <c r="AU32" s="44">
        <v>0.88840451851362989</v>
      </c>
      <c r="AV32" s="42">
        <v>3.0457003295405016</v>
      </c>
      <c r="AW32" s="42" t="s">
        <v>48</v>
      </c>
      <c r="AX32" s="40" t="s">
        <v>48</v>
      </c>
      <c r="AY32" s="40" t="s">
        <v>48</v>
      </c>
      <c r="AZ32" s="40" t="s">
        <v>48</v>
      </c>
      <c r="BA32" s="40" t="s">
        <v>48</v>
      </c>
      <c r="BB32" s="40" t="s">
        <v>48</v>
      </c>
      <c r="BC32" s="40" t="s">
        <v>48</v>
      </c>
      <c r="BD32" s="40" t="s">
        <v>48</v>
      </c>
      <c r="BE32" s="40" t="s">
        <v>48</v>
      </c>
      <c r="BF32" s="40" t="s">
        <v>48</v>
      </c>
      <c r="BG32" s="40" t="s">
        <v>48</v>
      </c>
      <c r="BH32" s="40" t="s">
        <v>48</v>
      </c>
      <c r="BI32" s="40" t="s">
        <v>48</v>
      </c>
      <c r="BJ32" s="40" t="s">
        <v>48</v>
      </c>
      <c r="BK32" s="40" t="s">
        <v>48</v>
      </c>
      <c r="BM32" s="33"/>
      <c r="BN32" s="38" t="str">
        <f>Notes!W33</f>
        <v xml:space="preserve">      Urban - decile 2</v>
      </c>
      <c r="BO32" s="4" t="s">
        <v>745</v>
      </c>
      <c r="BP32" s="44">
        <v>0.24112422273974959</v>
      </c>
      <c r="BQ32" s="42" t="s">
        <v>48</v>
      </c>
      <c r="BR32" s="42" t="s">
        <v>48</v>
      </c>
      <c r="BS32" s="40" t="s">
        <v>48</v>
      </c>
      <c r="BT32" s="40" t="s">
        <v>48</v>
      </c>
      <c r="BU32" s="40" t="s">
        <v>48</v>
      </c>
      <c r="BV32" s="40" t="s">
        <v>48</v>
      </c>
      <c r="BW32" s="40" t="s">
        <v>48</v>
      </c>
      <c r="BX32" s="40" t="s">
        <v>48</v>
      </c>
      <c r="BY32" s="40" t="s">
        <v>48</v>
      </c>
      <c r="BZ32" s="40" t="s">
        <v>48</v>
      </c>
      <c r="CA32" s="40" t="s">
        <v>48</v>
      </c>
      <c r="CB32" s="40" t="s">
        <v>48</v>
      </c>
      <c r="CC32" s="40" t="s">
        <v>48</v>
      </c>
      <c r="CD32" s="40" t="s">
        <v>48</v>
      </c>
      <c r="CE32" s="40" t="s">
        <v>48</v>
      </c>
      <c r="CF32" s="40" t="s">
        <v>48</v>
      </c>
      <c r="CH32" s="33"/>
      <c r="CI32" s="38" t="str">
        <f>Notes!W33</f>
        <v xml:space="preserve">      Urban - decile 2</v>
      </c>
      <c r="CJ32" s="4" t="s">
        <v>745</v>
      </c>
      <c r="CK32" s="44">
        <v>11.680520419672227</v>
      </c>
      <c r="CL32" s="42" t="s">
        <v>48</v>
      </c>
      <c r="CM32" s="42" t="s">
        <v>48</v>
      </c>
      <c r="CN32" s="40" t="s">
        <v>48</v>
      </c>
      <c r="CO32" s="40" t="s">
        <v>48</v>
      </c>
      <c r="CP32" s="40" t="s">
        <v>48</v>
      </c>
      <c r="CQ32" s="40" t="s">
        <v>48</v>
      </c>
      <c r="CR32" s="40" t="s">
        <v>48</v>
      </c>
      <c r="CS32" s="40" t="s">
        <v>48</v>
      </c>
      <c r="CT32" s="40" t="s">
        <v>48</v>
      </c>
      <c r="CU32" s="40" t="s">
        <v>48</v>
      </c>
      <c r="CV32" s="40" t="s">
        <v>48</v>
      </c>
      <c r="CW32" s="40" t="s">
        <v>48</v>
      </c>
      <c r="CX32" s="40" t="s">
        <v>48</v>
      </c>
      <c r="CY32" s="40" t="s">
        <v>48</v>
      </c>
      <c r="CZ32" s="40" t="s">
        <v>48</v>
      </c>
      <c r="DA32" s="40" t="s">
        <v>48</v>
      </c>
    </row>
    <row r="33" spans="1:105" x14ac:dyDescent="0.3">
      <c r="A33" s="12">
        <v>26</v>
      </c>
      <c r="B33" s="33"/>
      <c r="C33" s="38" t="str">
        <f>Notes!W34</f>
        <v xml:space="preserve">      Urban - decile 3</v>
      </c>
      <c r="D33" s="4" t="s">
        <v>746</v>
      </c>
      <c r="E33" s="44">
        <v>1.3142216217795266</v>
      </c>
      <c r="F33" s="42">
        <v>3.0309905118345304</v>
      </c>
      <c r="G33" s="42" t="s">
        <v>48</v>
      </c>
      <c r="H33" s="40" t="s">
        <v>48</v>
      </c>
      <c r="I33" s="40" t="s">
        <v>48</v>
      </c>
      <c r="J33" s="40" t="s">
        <v>48</v>
      </c>
      <c r="K33" s="40" t="s">
        <v>48</v>
      </c>
      <c r="L33" s="40" t="s">
        <v>48</v>
      </c>
      <c r="M33" s="40" t="s">
        <v>48</v>
      </c>
      <c r="N33" s="40" t="s">
        <v>48</v>
      </c>
      <c r="O33" s="40" t="s">
        <v>48</v>
      </c>
      <c r="P33" s="40" t="s">
        <v>48</v>
      </c>
      <c r="Q33" s="40" t="s">
        <v>48</v>
      </c>
      <c r="R33" s="40" t="s">
        <v>48</v>
      </c>
      <c r="S33" s="40" t="s">
        <v>48</v>
      </c>
      <c r="T33" s="40" t="s">
        <v>48</v>
      </c>
      <c r="U33" s="40" t="s">
        <v>48</v>
      </c>
      <c r="W33" s="33"/>
      <c r="X33" s="38" t="str">
        <f>Notes!W34</f>
        <v xml:space="preserve">      Urban - decile 3</v>
      </c>
      <c r="Y33" s="4" t="s">
        <v>746</v>
      </c>
      <c r="Z33" s="44">
        <v>1.3061182518782002</v>
      </c>
      <c r="AA33" s="42">
        <v>3.0282145091808488</v>
      </c>
      <c r="AB33" s="42" t="s">
        <v>48</v>
      </c>
      <c r="AC33" s="40" t="s">
        <v>48</v>
      </c>
      <c r="AD33" s="40" t="s">
        <v>48</v>
      </c>
      <c r="AE33" s="40" t="s">
        <v>48</v>
      </c>
      <c r="AF33" s="40" t="s">
        <v>48</v>
      </c>
      <c r="AG33" s="40" t="s">
        <v>48</v>
      </c>
      <c r="AH33" s="40" t="s">
        <v>48</v>
      </c>
      <c r="AI33" s="40" t="s">
        <v>48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40" t="s">
        <v>48</v>
      </c>
      <c r="AO33" s="40" t="s">
        <v>48</v>
      </c>
      <c r="AP33" s="40" t="s">
        <v>48</v>
      </c>
      <c r="AR33" s="33"/>
      <c r="AS33" s="38" t="str">
        <f>Notes!U34</f>
        <v xml:space="preserve">      Leaf tea</v>
      </c>
      <c r="AT33" s="4" t="s">
        <v>525</v>
      </c>
      <c r="AU33" s="44">
        <v>4.3158995528430963E-4</v>
      </c>
      <c r="AV33" s="42">
        <v>2.9075539022244135</v>
      </c>
      <c r="AW33" s="42" t="s">
        <v>48</v>
      </c>
      <c r="AX33" s="40" t="s">
        <v>48</v>
      </c>
      <c r="AY33" s="40" t="s">
        <v>48</v>
      </c>
      <c r="AZ33" s="40" t="s">
        <v>48</v>
      </c>
      <c r="BA33" s="40" t="s">
        <v>48</v>
      </c>
      <c r="BB33" s="40" t="s">
        <v>48</v>
      </c>
      <c r="BC33" s="40" t="s">
        <v>48</v>
      </c>
      <c r="BD33" s="40" t="s">
        <v>48</v>
      </c>
      <c r="BE33" s="40" t="s">
        <v>48</v>
      </c>
      <c r="BF33" s="40" t="s">
        <v>48</v>
      </c>
      <c r="BG33" s="40" t="s">
        <v>48</v>
      </c>
      <c r="BH33" s="40" t="s">
        <v>48</v>
      </c>
      <c r="BI33" s="40" t="s">
        <v>48</v>
      </c>
      <c r="BJ33" s="40" t="s">
        <v>48</v>
      </c>
      <c r="BK33" s="40" t="s">
        <v>48</v>
      </c>
      <c r="BM33" s="33"/>
      <c r="BN33" s="38" t="str">
        <f>Notes!W34</f>
        <v xml:space="preserve">      Urban - decile 3</v>
      </c>
      <c r="BO33" s="4" t="s">
        <v>746</v>
      </c>
      <c r="BP33" s="44">
        <v>0.21160419952810411</v>
      </c>
      <c r="BQ33" s="42" t="s">
        <v>48</v>
      </c>
      <c r="BR33" s="42" t="s">
        <v>48</v>
      </c>
      <c r="BS33" s="40" t="s">
        <v>48</v>
      </c>
      <c r="BT33" s="40" t="s">
        <v>48</v>
      </c>
      <c r="BU33" s="40" t="s">
        <v>48</v>
      </c>
      <c r="BV33" s="40" t="s">
        <v>48</v>
      </c>
      <c r="BW33" s="40" t="s">
        <v>48</v>
      </c>
      <c r="BX33" s="40" t="s">
        <v>48</v>
      </c>
      <c r="BY33" s="40" t="s">
        <v>48</v>
      </c>
      <c r="BZ33" s="40" t="s">
        <v>48</v>
      </c>
      <c r="CA33" s="40" t="s">
        <v>48</v>
      </c>
      <c r="CB33" s="40" t="s">
        <v>48</v>
      </c>
      <c r="CC33" s="40" t="s">
        <v>48</v>
      </c>
      <c r="CD33" s="40" t="s">
        <v>48</v>
      </c>
      <c r="CE33" s="40" t="s">
        <v>48</v>
      </c>
      <c r="CF33" s="40" t="s">
        <v>48</v>
      </c>
      <c r="CH33" s="33"/>
      <c r="CI33" s="38" t="str">
        <f>Notes!W34</f>
        <v xml:space="preserve">      Urban - decile 3</v>
      </c>
      <c r="CJ33" s="4" t="s">
        <v>746</v>
      </c>
      <c r="CK33" s="44">
        <v>23.161513712700422</v>
      </c>
      <c r="CL33" s="42" t="s">
        <v>48</v>
      </c>
      <c r="CM33" s="42" t="s">
        <v>48</v>
      </c>
      <c r="CN33" s="40" t="s">
        <v>48</v>
      </c>
      <c r="CO33" s="40" t="s">
        <v>48</v>
      </c>
      <c r="CP33" s="40" t="s">
        <v>48</v>
      </c>
      <c r="CQ33" s="40" t="s">
        <v>48</v>
      </c>
      <c r="CR33" s="40" t="s">
        <v>48</v>
      </c>
      <c r="CS33" s="40" t="s">
        <v>48</v>
      </c>
      <c r="CT33" s="40" t="s">
        <v>48</v>
      </c>
      <c r="CU33" s="40" t="s">
        <v>48</v>
      </c>
      <c r="CV33" s="40" t="s">
        <v>48</v>
      </c>
      <c r="CW33" s="40" t="s">
        <v>48</v>
      </c>
      <c r="CX33" s="40" t="s">
        <v>48</v>
      </c>
      <c r="CY33" s="40" t="s">
        <v>48</v>
      </c>
      <c r="CZ33" s="40" t="s">
        <v>48</v>
      </c>
      <c r="DA33" s="40" t="s">
        <v>48</v>
      </c>
    </row>
    <row r="34" spans="1:105" x14ac:dyDescent="0.3">
      <c r="A34" s="12">
        <v>27</v>
      </c>
      <c r="B34" s="33"/>
      <c r="C34" s="38" t="str">
        <f>Notes!W35</f>
        <v xml:space="preserve">      Urban - decile 4</v>
      </c>
      <c r="D34" s="4" t="s">
        <v>747</v>
      </c>
      <c r="E34" s="44">
        <v>1.6285697792593326</v>
      </c>
      <c r="F34" s="42">
        <v>3.0411804186133651</v>
      </c>
      <c r="G34" s="42" t="s">
        <v>48</v>
      </c>
      <c r="H34" s="40" t="s">
        <v>48</v>
      </c>
      <c r="I34" s="40" t="s">
        <v>48</v>
      </c>
      <c r="J34" s="40" t="s">
        <v>48</v>
      </c>
      <c r="K34" s="40" t="s">
        <v>48</v>
      </c>
      <c r="L34" s="40" t="s">
        <v>48</v>
      </c>
      <c r="M34" s="40" t="s">
        <v>48</v>
      </c>
      <c r="N34" s="40" t="s">
        <v>48</v>
      </c>
      <c r="O34" s="40" t="s">
        <v>48</v>
      </c>
      <c r="P34" s="40" t="s">
        <v>48</v>
      </c>
      <c r="Q34" s="40" t="s">
        <v>48</v>
      </c>
      <c r="R34" s="40" t="s">
        <v>48</v>
      </c>
      <c r="S34" s="40" t="s">
        <v>48</v>
      </c>
      <c r="T34" s="40" t="s">
        <v>48</v>
      </c>
      <c r="U34" s="40" t="s">
        <v>48</v>
      </c>
      <c r="W34" s="33"/>
      <c r="X34" s="38" t="str">
        <f>Notes!W35</f>
        <v xml:space="preserve">      Urban - decile 4</v>
      </c>
      <c r="Y34" s="4" t="s">
        <v>747</v>
      </c>
      <c r="Z34" s="44">
        <v>1.794371955966068</v>
      </c>
      <c r="AA34" s="42">
        <v>3.0392315803552616</v>
      </c>
      <c r="AB34" s="42" t="s">
        <v>48</v>
      </c>
      <c r="AC34" s="40" t="s">
        <v>48</v>
      </c>
      <c r="AD34" s="40" t="s">
        <v>48</v>
      </c>
      <c r="AE34" s="40" t="s">
        <v>48</v>
      </c>
      <c r="AF34" s="40" t="s">
        <v>48</v>
      </c>
      <c r="AG34" s="40" t="s">
        <v>48</v>
      </c>
      <c r="AH34" s="40" t="s">
        <v>48</v>
      </c>
      <c r="AI34" s="40" t="s">
        <v>48</v>
      </c>
      <c r="AJ34" s="40" t="s">
        <v>48</v>
      </c>
      <c r="AK34" s="40" t="s">
        <v>48</v>
      </c>
      <c r="AL34" s="40" t="s">
        <v>48</v>
      </c>
      <c r="AM34" s="40" t="s">
        <v>48</v>
      </c>
      <c r="AN34" s="40" t="s">
        <v>48</v>
      </c>
      <c r="AO34" s="40" t="s">
        <v>48</v>
      </c>
      <c r="AP34" s="40" t="s">
        <v>48</v>
      </c>
      <c r="AR34" s="33"/>
      <c r="AS34" s="38" t="str">
        <f>Notes!U35</f>
        <v xml:space="preserve">      Coffee</v>
      </c>
      <c r="AT34" s="4" t="s">
        <v>343</v>
      </c>
      <c r="AU34" s="44" t="s">
        <v>48</v>
      </c>
      <c r="AV34" s="42" t="s">
        <v>48</v>
      </c>
      <c r="AW34" s="42" t="s">
        <v>48</v>
      </c>
      <c r="AX34" s="40" t="s">
        <v>48</v>
      </c>
      <c r="AY34" s="40" t="s">
        <v>48</v>
      </c>
      <c r="AZ34" s="40" t="s">
        <v>48</v>
      </c>
      <c r="BA34" s="40" t="s">
        <v>48</v>
      </c>
      <c r="BB34" s="40" t="s">
        <v>48</v>
      </c>
      <c r="BC34" s="40" t="s">
        <v>48</v>
      </c>
      <c r="BD34" s="40" t="s">
        <v>48</v>
      </c>
      <c r="BE34" s="40" t="s">
        <v>48</v>
      </c>
      <c r="BF34" s="40" t="s">
        <v>48</v>
      </c>
      <c r="BG34" s="40" t="s">
        <v>48</v>
      </c>
      <c r="BH34" s="40" t="s">
        <v>48</v>
      </c>
      <c r="BI34" s="40" t="s">
        <v>48</v>
      </c>
      <c r="BJ34" s="40" t="s">
        <v>48</v>
      </c>
      <c r="BK34" s="40" t="s">
        <v>48</v>
      </c>
      <c r="BM34" s="33"/>
      <c r="BN34" s="38" t="str">
        <f>Notes!W35</f>
        <v xml:space="preserve">      Urban - decile 4</v>
      </c>
      <c r="BO34" s="4" t="s">
        <v>747</v>
      </c>
      <c r="BP34" s="44">
        <v>0.18025576546882044</v>
      </c>
      <c r="BQ34" s="42" t="s">
        <v>48</v>
      </c>
      <c r="BR34" s="42" t="s">
        <v>48</v>
      </c>
      <c r="BS34" s="40" t="s">
        <v>48</v>
      </c>
      <c r="BT34" s="40" t="s">
        <v>48</v>
      </c>
      <c r="BU34" s="40" t="s">
        <v>48</v>
      </c>
      <c r="BV34" s="40" t="s">
        <v>48</v>
      </c>
      <c r="BW34" s="40" t="s">
        <v>48</v>
      </c>
      <c r="BX34" s="40" t="s">
        <v>48</v>
      </c>
      <c r="BY34" s="40" t="s">
        <v>48</v>
      </c>
      <c r="BZ34" s="40" t="s">
        <v>48</v>
      </c>
      <c r="CA34" s="40" t="s">
        <v>48</v>
      </c>
      <c r="CB34" s="40" t="s">
        <v>48</v>
      </c>
      <c r="CC34" s="40" t="s">
        <v>48</v>
      </c>
      <c r="CD34" s="40" t="s">
        <v>48</v>
      </c>
      <c r="CE34" s="40" t="s">
        <v>48</v>
      </c>
      <c r="CF34" s="40" t="s">
        <v>48</v>
      </c>
      <c r="CH34" s="33"/>
      <c r="CI34" s="38" t="str">
        <f>Notes!W35</f>
        <v xml:space="preserve">      Urban - decile 4</v>
      </c>
      <c r="CJ34" s="4" t="s">
        <v>747</v>
      </c>
      <c r="CK34" s="44">
        <v>14.732498660503943</v>
      </c>
      <c r="CL34" s="42" t="s">
        <v>48</v>
      </c>
      <c r="CM34" s="42" t="s">
        <v>48</v>
      </c>
      <c r="CN34" s="40" t="s">
        <v>48</v>
      </c>
      <c r="CO34" s="40" t="s">
        <v>48</v>
      </c>
      <c r="CP34" s="40" t="s">
        <v>48</v>
      </c>
      <c r="CQ34" s="40" t="s">
        <v>48</v>
      </c>
      <c r="CR34" s="40" t="s">
        <v>48</v>
      </c>
      <c r="CS34" s="40" t="s">
        <v>48</v>
      </c>
      <c r="CT34" s="40" t="s">
        <v>48</v>
      </c>
      <c r="CU34" s="40" t="s">
        <v>48</v>
      </c>
      <c r="CV34" s="40" t="s">
        <v>48</v>
      </c>
      <c r="CW34" s="40" t="s">
        <v>48</v>
      </c>
      <c r="CX34" s="40" t="s">
        <v>48</v>
      </c>
      <c r="CY34" s="40" t="s">
        <v>48</v>
      </c>
      <c r="CZ34" s="40" t="s">
        <v>48</v>
      </c>
      <c r="DA34" s="40" t="s">
        <v>48</v>
      </c>
    </row>
    <row r="35" spans="1:105" x14ac:dyDescent="0.3">
      <c r="A35" s="12">
        <v>28</v>
      </c>
      <c r="B35" s="33"/>
      <c r="C35" s="38" t="str">
        <f>Notes!W36</f>
        <v xml:space="preserve">      Urban - decile 5</v>
      </c>
      <c r="D35" s="4" t="s">
        <v>748</v>
      </c>
      <c r="E35" s="44">
        <v>2.009861660225718</v>
      </c>
      <c r="F35" s="42">
        <v>3.0582027582655602</v>
      </c>
      <c r="G35" s="42" t="s">
        <v>48</v>
      </c>
      <c r="H35" s="40" t="s">
        <v>48</v>
      </c>
      <c r="I35" s="40" t="s">
        <v>48</v>
      </c>
      <c r="J35" s="40" t="s">
        <v>48</v>
      </c>
      <c r="K35" s="40" t="s">
        <v>48</v>
      </c>
      <c r="L35" s="40" t="s">
        <v>48</v>
      </c>
      <c r="M35" s="40" t="s">
        <v>48</v>
      </c>
      <c r="N35" s="40" t="s">
        <v>48</v>
      </c>
      <c r="O35" s="40" t="s">
        <v>48</v>
      </c>
      <c r="P35" s="40" t="s">
        <v>48</v>
      </c>
      <c r="Q35" s="40" t="s">
        <v>48</v>
      </c>
      <c r="R35" s="40" t="s">
        <v>48</v>
      </c>
      <c r="S35" s="40" t="s">
        <v>48</v>
      </c>
      <c r="T35" s="40" t="s">
        <v>48</v>
      </c>
      <c r="U35" s="40" t="s">
        <v>48</v>
      </c>
      <c r="W35" s="33"/>
      <c r="X35" s="38" t="str">
        <f>Notes!W36</f>
        <v xml:space="preserve">      Urban - decile 5</v>
      </c>
      <c r="Y35" s="4" t="s">
        <v>748</v>
      </c>
      <c r="Z35" s="44">
        <v>2.1389367946489419</v>
      </c>
      <c r="AA35" s="42">
        <v>3.0561375206990649</v>
      </c>
      <c r="AB35" s="42" t="s">
        <v>48</v>
      </c>
      <c r="AC35" s="40" t="s">
        <v>48</v>
      </c>
      <c r="AD35" s="40" t="s">
        <v>48</v>
      </c>
      <c r="AE35" s="40" t="s">
        <v>48</v>
      </c>
      <c r="AF35" s="40" t="s">
        <v>48</v>
      </c>
      <c r="AG35" s="40" t="s">
        <v>48</v>
      </c>
      <c r="AH35" s="40" t="s">
        <v>48</v>
      </c>
      <c r="AI35" s="40" t="s">
        <v>48</v>
      </c>
      <c r="AJ35" s="40" t="s">
        <v>48</v>
      </c>
      <c r="AK35" s="40" t="s">
        <v>48</v>
      </c>
      <c r="AL35" s="40" t="s">
        <v>48</v>
      </c>
      <c r="AM35" s="40" t="s">
        <v>48</v>
      </c>
      <c r="AN35" s="40" t="s">
        <v>48</v>
      </c>
      <c r="AO35" s="40" t="s">
        <v>48</v>
      </c>
      <c r="AP35" s="40" t="s">
        <v>48</v>
      </c>
      <c r="AR35" s="33"/>
      <c r="AS35" s="38" t="str">
        <f>Notes!U36</f>
        <v xml:space="preserve">      Cocoa</v>
      </c>
      <c r="AT35" s="4" t="s">
        <v>528</v>
      </c>
      <c r="AU35" s="44" t="s">
        <v>48</v>
      </c>
      <c r="AV35" s="42" t="s">
        <v>48</v>
      </c>
      <c r="AW35" s="42" t="s">
        <v>48</v>
      </c>
      <c r="AX35" s="40" t="s">
        <v>48</v>
      </c>
      <c r="AY35" s="40" t="s">
        <v>48</v>
      </c>
      <c r="AZ35" s="40" t="s">
        <v>48</v>
      </c>
      <c r="BA35" s="40" t="s">
        <v>48</v>
      </c>
      <c r="BB35" s="40" t="s">
        <v>48</v>
      </c>
      <c r="BC35" s="40" t="s">
        <v>48</v>
      </c>
      <c r="BD35" s="40" t="s">
        <v>48</v>
      </c>
      <c r="BE35" s="40" t="s">
        <v>48</v>
      </c>
      <c r="BF35" s="40" t="s">
        <v>48</v>
      </c>
      <c r="BG35" s="40" t="s">
        <v>48</v>
      </c>
      <c r="BH35" s="40" t="s">
        <v>48</v>
      </c>
      <c r="BI35" s="40" t="s">
        <v>48</v>
      </c>
      <c r="BJ35" s="40" t="s">
        <v>48</v>
      </c>
      <c r="BK35" s="40" t="s">
        <v>48</v>
      </c>
      <c r="BM35" s="33"/>
      <c r="BN35" s="38" t="str">
        <f>Notes!W36</f>
        <v xml:space="preserve">      Urban - decile 5</v>
      </c>
      <c r="BO35" s="4" t="s">
        <v>748</v>
      </c>
      <c r="BP35" s="44">
        <v>0.30272943287380716</v>
      </c>
      <c r="BQ35" s="42" t="s">
        <v>48</v>
      </c>
      <c r="BR35" s="42" t="s">
        <v>48</v>
      </c>
      <c r="BS35" s="40" t="s">
        <v>48</v>
      </c>
      <c r="BT35" s="40" t="s">
        <v>48</v>
      </c>
      <c r="BU35" s="40" t="s">
        <v>48</v>
      </c>
      <c r="BV35" s="40" t="s">
        <v>48</v>
      </c>
      <c r="BW35" s="40" t="s">
        <v>48</v>
      </c>
      <c r="BX35" s="40" t="s">
        <v>48</v>
      </c>
      <c r="BY35" s="40" t="s">
        <v>48</v>
      </c>
      <c r="BZ35" s="40" t="s">
        <v>48</v>
      </c>
      <c r="CA35" s="40" t="s">
        <v>48</v>
      </c>
      <c r="CB35" s="40" t="s">
        <v>48</v>
      </c>
      <c r="CC35" s="40" t="s">
        <v>48</v>
      </c>
      <c r="CD35" s="40" t="s">
        <v>48</v>
      </c>
      <c r="CE35" s="40" t="s">
        <v>48</v>
      </c>
      <c r="CF35" s="40" t="s">
        <v>48</v>
      </c>
      <c r="CH35" s="33"/>
      <c r="CI35" s="38" t="str">
        <f>Notes!W36</f>
        <v xml:space="preserve">      Urban - decile 5</v>
      </c>
      <c r="CJ35" s="4" t="s">
        <v>748</v>
      </c>
      <c r="CK35" s="44">
        <v>17.372478815098148</v>
      </c>
      <c r="CL35" s="42" t="s">
        <v>48</v>
      </c>
      <c r="CM35" s="42" t="s">
        <v>48</v>
      </c>
      <c r="CN35" s="40" t="s">
        <v>48</v>
      </c>
      <c r="CO35" s="40" t="s">
        <v>48</v>
      </c>
      <c r="CP35" s="40" t="s">
        <v>48</v>
      </c>
      <c r="CQ35" s="40" t="s">
        <v>48</v>
      </c>
      <c r="CR35" s="40" t="s">
        <v>48</v>
      </c>
      <c r="CS35" s="40" t="s">
        <v>48</v>
      </c>
      <c r="CT35" s="40" t="s">
        <v>48</v>
      </c>
      <c r="CU35" s="40" t="s">
        <v>48</v>
      </c>
      <c r="CV35" s="40" t="s">
        <v>48</v>
      </c>
      <c r="CW35" s="40" t="s">
        <v>48</v>
      </c>
      <c r="CX35" s="40" t="s">
        <v>48</v>
      </c>
      <c r="CY35" s="40" t="s">
        <v>48</v>
      </c>
      <c r="CZ35" s="40" t="s">
        <v>48</v>
      </c>
      <c r="DA35" s="40" t="s">
        <v>48</v>
      </c>
    </row>
    <row r="36" spans="1:105" x14ac:dyDescent="0.3">
      <c r="A36" s="12">
        <v>29</v>
      </c>
      <c r="B36" s="33"/>
      <c r="C36" s="38" t="str">
        <f>Notes!W37</f>
        <v xml:space="preserve">      Urban - decile 6</v>
      </c>
      <c r="D36" s="4" t="s">
        <v>749</v>
      </c>
      <c r="E36" s="44">
        <v>2.5839126735079527</v>
      </c>
      <c r="F36" s="42">
        <v>3.020933573428497</v>
      </c>
      <c r="G36" s="42" t="s">
        <v>48</v>
      </c>
      <c r="H36" s="40" t="s">
        <v>48</v>
      </c>
      <c r="I36" s="40" t="s">
        <v>48</v>
      </c>
      <c r="J36" s="40" t="s">
        <v>48</v>
      </c>
      <c r="K36" s="40" t="s">
        <v>48</v>
      </c>
      <c r="L36" s="40" t="s">
        <v>48</v>
      </c>
      <c r="M36" s="40" t="s">
        <v>48</v>
      </c>
      <c r="N36" s="40" t="s">
        <v>48</v>
      </c>
      <c r="O36" s="40" t="s">
        <v>48</v>
      </c>
      <c r="P36" s="40" t="s">
        <v>48</v>
      </c>
      <c r="Q36" s="40" t="s">
        <v>48</v>
      </c>
      <c r="R36" s="40" t="s">
        <v>48</v>
      </c>
      <c r="S36" s="40" t="s">
        <v>48</v>
      </c>
      <c r="T36" s="40" t="s">
        <v>48</v>
      </c>
      <c r="U36" s="40" t="s">
        <v>48</v>
      </c>
      <c r="W36" s="33"/>
      <c r="X36" s="38" t="str">
        <f>Notes!W37</f>
        <v xml:space="preserve">      Urban - decile 6</v>
      </c>
      <c r="Y36" s="4" t="s">
        <v>749</v>
      </c>
      <c r="Z36" s="44">
        <v>2.8008653208288199</v>
      </c>
      <c r="AA36" s="42">
        <v>3.0191907535954687</v>
      </c>
      <c r="AB36" s="42" t="s">
        <v>48</v>
      </c>
      <c r="AC36" s="40" t="s">
        <v>48</v>
      </c>
      <c r="AD36" s="40" t="s">
        <v>48</v>
      </c>
      <c r="AE36" s="40" t="s">
        <v>48</v>
      </c>
      <c r="AF36" s="40" t="s">
        <v>48</v>
      </c>
      <c r="AG36" s="40" t="s">
        <v>48</v>
      </c>
      <c r="AH36" s="40" t="s">
        <v>48</v>
      </c>
      <c r="AI36" s="40" t="s">
        <v>48</v>
      </c>
      <c r="AJ36" s="40" t="s">
        <v>48</v>
      </c>
      <c r="AK36" s="40" t="s">
        <v>48</v>
      </c>
      <c r="AL36" s="40" t="s">
        <v>48</v>
      </c>
      <c r="AM36" s="40" t="s">
        <v>48</v>
      </c>
      <c r="AN36" s="40" t="s">
        <v>48</v>
      </c>
      <c r="AO36" s="40" t="s">
        <v>48</v>
      </c>
      <c r="AP36" s="40" t="s">
        <v>48</v>
      </c>
      <c r="AR36" s="33"/>
      <c r="AS36" s="38" t="str">
        <f>Notes!U37</f>
        <v xml:space="preserve">      Cut flowers</v>
      </c>
      <c r="AT36" s="4" t="s">
        <v>530</v>
      </c>
      <c r="AU36" s="44" t="s">
        <v>48</v>
      </c>
      <c r="AV36" s="42" t="s">
        <v>48</v>
      </c>
      <c r="AW36" s="42" t="s">
        <v>48</v>
      </c>
      <c r="AX36" s="40" t="s">
        <v>48</v>
      </c>
      <c r="AY36" s="40" t="s">
        <v>48</v>
      </c>
      <c r="AZ36" s="40" t="s">
        <v>48</v>
      </c>
      <c r="BA36" s="40" t="s">
        <v>48</v>
      </c>
      <c r="BB36" s="40" t="s">
        <v>48</v>
      </c>
      <c r="BC36" s="40" t="s">
        <v>48</v>
      </c>
      <c r="BD36" s="40" t="s">
        <v>48</v>
      </c>
      <c r="BE36" s="40" t="s">
        <v>48</v>
      </c>
      <c r="BF36" s="40" t="s">
        <v>48</v>
      </c>
      <c r="BG36" s="40" t="s">
        <v>48</v>
      </c>
      <c r="BH36" s="40" t="s">
        <v>48</v>
      </c>
      <c r="BI36" s="40" t="s">
        <v>48</v>
      </c>
      <c r="BJ36" s="40" t="s">
        <v>48</v>
      </c>
      <c r="BK36" s="40" t="s">
        <v>48</v>
      </c>
      <c r="BM36" s="33"/>
      <c r="BN36" s="38" t="str">
        <f>Notes!W37</f>
        <v xml:space="preserve">      Urban - decile 6</v>
      </c>
      <c r="BO36" s="4" t="s">
        <v>749</v>
      </c>
      <c r="BP36" s="44">
        <v>0.3662137238516181</v>
      </c>
      <c r="BQ36" s="42" t="s">
        <v>48</v>
      </c>
      <c r="BR36" s="42" t="s">
        <v>48</v>
      </c>
      <c r="BS36" s="40" t="s">
        <v>48</v>
      </c>
      <c r="BT36" s="40" t="s">
        <v>48</v>
      </c>
      <c r="BU36" s="40" t="s">
        <v>48</v>
      </c>
      <c r="BV36" s="40" t="s">
        <v>48</v>
      </c>
      <c r="BW36" s="40" t="s">
        <v>48</v>
      </c>
      <c r="BX36" s="40" t="s">
        <v>48</v>
      </c>
      <c r="BY36" s="40" t="s">
        <v>48</v>
      </c>
      <c r="BZ36" s="40" t="s">
        <v>48</v>
      </c>
      <c r="CA36" s="40" t="s">
        <v>48</v>
      </c>
      <c r="CB36" s="40" t="s">
        <v>48</v>
      </c>
      <c r="CC36" s="40" t="s">
        <v>48</v>
      </c>
      <c r="CD36" s="40" t="s">
        <v>48</v>
      </c>
      <c r="CE36" s="40" t="s">
        <v>48</v>
      </c>
      <c r="CF36" s="40" t="s">
        <v>48</v>
      </c>
      <c r="CH36" s="33"/>
      <c r="CI36" s="38" t="str">
        <f>Notes!W37</f>
        <v xml:space="preserve">      Urban - decile 6</v>
      </c>
      <c r="CJ36" s="4" t="s">
        <v>749</v>
      </c>
      <c r="CK36" s="44">
        <v>15.441888558158078</v>
      </c>
      <c r="CL36" s="42" t="s">
        <v>48</v>
      </c>
      <c r="CM36" s="42" t="s">
        <v>48</v>
      </c>
      <c r="CN36" s="40" t="s">
        <v>48</v>
      </c>
      <c r="CO36" s="40" t="s">
        <v>48</v>
      </c>
      <c r="CP36" s="40" t="s">
        <v>48</v>
      </c>
      <c r="CQ36" s="40" t="s">
        <v>48</v>
      </c>
      <c r="CR36" s="40" t="s">
        <v>48</v>
      </c>
      <c r="CS36" s="40" t="s">
        <v>48</v>
      </c>
      <c r="CT36" s="40" t="s">
        <v>48</v>
      </c>
      <c r="CU36" s="40" t="s">
        <v>48</v>
      </c>
      <c r="CV36" s="40" t="s">
        <v>48</v>
      </c>
      <c r="CW36" s="40" t="s">
        <v>48</v>
      </c>
      <c r="CX36" s="40" t="s">
        <v>48</v>
      </c>
      <c r="CY36" s="40" t="s">
        <v>48</v>
      </c>
      <c r="CZ36" s="40" t="s">
        <v>48</v>
      </c>
      <c r="DA36" s="40" t="s">
        <v>48</v>
      </c>
    </row>
    <row r="37" spans="1:105" x14ac:dyDescent="0.3">
      <c r="A37" s="12">
        <v>30</v>
      </c>
      <c r="B37" s="33"/>
      <c r="C37" s="38" t="str">
        <f>Notes!W38</f>
        <v xml:space="preserve">      Urban - decile 7</v>
      </c>
      <c r="D37" s="4" t="s">
        <v>750</v>
      </c>
      <c r="E37" s="44">
        <v>3.0493561640788314</v>
      </c>
      <c r="F37" s="42">
        <v>3.0334573475017779</v>
      </c>
      <c r="G37" s="42" t="s">
        <v>48</v>
      </c>
      <c r="H37" s="40" t="s">
        <v>48</v>
      </c>
      <c r="I37" s="40" t="s">
        <v>48</v>
      </c>
      <c r="J37" s="40" t="s">
        <v>48</v>
      </c>
      <c r="K37" s="40" t="s">
        <v>48</v>
      </c>
      <c r="L37" s="40" t="s">
        <v>48</v>
      </c>
      <c r="M37" s="40" t="s">
        <v>48</v>
      </c>
      <c r="N37" s="40" t="s">
        <v>48</v>
      </c>
      <c r="O37" s="40" t="s">
        <v>48</v>
      </c>
      <c r="P37" s="40" t="s">
        <v>48</v>
      </c>
      <c r="Q37" s="40" t="s">
        <v>48</v>
      </c>
      <c r="R37" s="40" t="s">
        <v>48</v>
      </c>
      <c r="S37" s="40" t="s">
        <v>48</v>
      </c>
      <c r="T37" s="40" t="s">
        <v>48</v>
      </c>
      <c r="U37" s="40" t="s">
        <v>48</v>
      </c>
      <c r="W37" s="33"/>
      <c r="X37" s="38" t="str">
        <f>Notes!W38</f>
        <v xml:space="preserve">      Urban - decile 7</v>
      </c>
      <c r="Y37" s="4" t="s">
        <v>750</v>
      </c>
      <c r="Z37" s="44">
        <v>3.1263098227992296</v>
      </c>
      <c r="AA37" s="42">
        <v>3.0315136383280539</v>
      </c>
      <c r="AB37" s="42" t="s">
        <v>48</v>
      </c>
      <c r="AC37" s="40" t="s">
        <v>48</v>
      </c>
      <c r="AD37" s="40" t="s">
        <v>48</v>
      </c>
      <c r="AE37" s="40" t="s">
        <v>48</v>
      </c>
      <c r="AF37" s="40" t="s">
        <v>48</v>
      </c>
      <c r="AG37" s="40" t="s">
        <v>48</v>
      </c>
      <c r="AH37" s="40" t="s">
        <v>48</v>
      </c>
      <c r="AI37" s="40" t="s">
        <v>48</v>
      </c>
      <c r="AJ37" s="40" t="s">
        <v>48</v>
      </c>
      <c r="AK37" s="40" t="s">
        <v>48</v>
      </c>
      <c r="AL37" s="40" t="s">
        <v>48</v>
      </c>
      <c r="AM37" s="40" t="s">
        <v>48</v>
      </c>
      <c r="AN37" s="40" t="s">
        <v>48</v>
      </c>
      <c r="AO37" s="40" t="s">
        <v>48</v>
      </c>
      <c r="AP37" s="40" t="s">
        <v>48</v>
      </c>
      <c r="AR37" s="33"/>
      <c r="AS37" s="38" t="str">
        <f>Notes!U38</f>
        <v xml:space="preserve">      Rubber</v>
      </c>
      <c r="AT37" s="4" t="s">
        <v>532</v>
      </c>
      <c r="AU37" s="44" t="s">
        <v>48</v>
      </c>
      <c r="AV37" s="42" t="s">
        <v>48</v>
      </c>
      <c r="AW37" s="42" t="s">
        <v>48</v>
      </c>
      <c r="AX37" s="40" t="s">
        <v>48</v>
      </c>
      <c r="AY37" s="40" t="s">
        <v>48</v>
      </c>
      <c r="AZ37" s="40" t="s">
        <v>48</v>
      </c>
      <c r="BA37" s="40" t="s">
        <v>48</v>
      </c>
      <c r="BB37" s="40" t="s">
        <v>48</v>
      </c>
      <c r="BC37" s="40" t="s">
        <v>48</v>
      </c>
      <c r="BD37" s="40" t="s">
        <v>48</v>
      </c>
      <c r="BE37" s="40" t="s">
        <v>48</v>
      </c>
      <c r="BF37" s="40" t="s">
        <v>48</v>
      </c>
      <c r="BG37" s="40" t="s">
        <v>48</v>
      </c>
      <c r="BH37" s="40" t="s">
        <v>48</v>
      </c>
      <c r="BI37" s="40" t="s">
        <v>48</v>
      </c>
      <c r="BJ37" s="40" t="s">
        <v>48</v>
      </c>
      <c r="BK37" s="40" t="s">
        <v>48</v>
      </c>
      <c r="BM37" s="33"/>
      <c r="BN37" s="38" t="str">
        <f>Notes!W38</f>
        <v xml:space="preserve">      Urban - decile 7</v>
      </c>
      <c r="BO37" s="4" t="s">
        <v>750</v>
      </c>
      <c r="BP37" s="44">
        <v>0.45021066618129602</v>
      </c>
      <c r="BQ37" s="42" t="s">
        <v>48</v>
      </c>
      <c r="BR37" s="42" t="s">
        <v>48</v>
      </c>
      <c r="BS37" s="40" t="s">
        <v>48</v>
      </c>
      <c r="BT37" s="40" t="s">
        <v>48</v>
      </c>
      <c r="BU37" s="40" t="s">
        <v>48</v>
      </c>
      <c r="BV37" s="40" t="s">
        <v>48</v>
      </c>
      <c r="BW37" s="40" t="s">
        <v>48</v>
      </c>
      <c r="BX37" s="40" t="s">
        <v>48</v>
      </c>
      <c r="BY37" s="40" t="s">
        <v>48</v>
      </c>
      <c r="BZ37" s="40" t="s">
        <v>48</v>
      </c>
      <c r="CA37" s="40" t="s">
        <v>48</v>
      </c>
      <c r="CB37" s="40" t="s">
        <v>48</v>
      </c>
      <c r="CC37" s="40" t="s">
        <v>48</v>
      </c>
      <c r="CD37" s="40" t="s">
        <v>48</v>
      </c>
      <c r="CE37" s="40" t="s">
        <v>48</v>
      </c>
      <c r="CF37" s="40" t="s">
        <v>48</v>
      </c>
      <c r="CH37" s="33"/>
      <c r="CI37" s="38" t="str">
        <f>Notes!W38</f>
        <v xml:space="preserve">      Urban - decile 7</v>
      </c>
      <c r="CJ37" s="4" t="s">
        <v>750</v>
      </c>
      <c r="CK37" s="44">
        <v>19.652031488382356</v>
      </c>
      <c r="CL37" s="42" t="s">
        <v>48</v>
      </c>
      <c r="CM37" s="42" t="s">
        <v>48</v>
      </c>
      <c r="CN37" s="40" t="s">
        <v>48</v>
      </c>
      <c r="CO37" s="40" t="s">
        <v>48</v>
      </c>
      <c r="CP37" s="40" t="s">
        <v>48</v>
      </c>
      <c r="CQ37" s="40" t="s">
        <v>48</v>
      </c>
      <c r="CR37" s="40" t="s">
        <v>48</v>
      </c>
      <c r="CS37" s="40" t="s">
        <v>48</v>
      </c>
      <c r="CT37" s="40" t="s">
        <v>48</v>
      </c>
      <c r="CU37" s="40" t="s">
        <v>48</v>
      </c>
      <c r="CV37" s="40" t="s">
        <v>48</v>
      </c>
      <c r="CW37" s="40" t="s">
        <v>48</v>
      </c>
      <c r="CX37" s="40" t="s">
        <v>48</v>
      </c>
      <c r="CY37" s="40" t="s">
        <v>48</v>
      </c>
      <c r="CZ37" s="40" t="s">
        <v>48</v>
      </c>
      <c r="DA37" s="40" t="s">
        <v>48</v>
      </c>
    </row>
    <row r="38" spans="1:105" x14ac:dyDescent="0.3">
      <c r="A38" s="12">
        <v>31</v>
      </c>
      <c r="B38" s="33"/>
      <c r="C38" s="38" t="str">
        <f>Notes!W39</f>
        <v xml:space="preserve">      Urban - decile 8</v>
      </c>
      <c r="D38" s="4" t="s">
        <v>751</v>
      </c>
      <c r="E38" s="44">
        <v>5.3216659628329754</v>
      </c>
      <c r="F38" s="42">
        <v>3.0505727607951671</v>
      </c>
      <c r="G38" s="42" t="s">
        <v>48</v>
      </c>
      <c r="H38" s="40" t="s">
        <v>48</v>
      </c>
      <c r="I38" s="40" t="s">
        <v>48</v>
      </c>
      <c r="J38" s="40" t="s">
        <v>48</v>
      </c>
      <c r="K38" s="40" t="s">
        <v>48</v>
      </c>
      <c r="L38" s="40" t="s">
        <v>48</v>
      </c>
      <c r="M38" s="40" t="s">
        <v>48</v>
      </c>
      <c r="N38" s="40" t="s">
        <v>48</v>
      </c>
      <c r="O38" s="40" t="s">
        <v>48</v>
      </c>
      <c r="P38" s="40" t="s">
        <v>48</v>
      </c>
      <c r="Q38" s="40" t="s">
        <v>48</v>
      </c>
      <c r="R38" s="40" t="s">
        <v>48</v>
      </c>
      <c r="S38" s="40" t="s">
        <v>48</v>
      </c>
      <c r="T38" s="40" t="s">
        <v>48</v>
      </c>
      <c r="U38" s="40" t="s">
        <v>48</v>
      </c>
      <c r="W38" s="33"/>
      <c r="X38" s="38" t="str">
        <f>Notes!W39</f>
        <v xml:space="preserve">      Urban - decile 8</v>
      </c>
      <c r="Y38" s="4" t="s">
        <v>751</v>
      </c>
      <c r="Z38" s="44">
        <v>4.5240427231487024</v>
      </c>
      <c r="AA38" s="42">
        <v>3.0489019208785439</v>
      </c>
      <c r="AB38" s="42" t="s">
        <v>48</v>
      </c>
      <c r="AC38" s="40" t="s">
        <v>48</v>
      </c>
      <c r="AD38" s="40" t="s">
        <v>48</v>
      </c>
      <c r="AE38" s="40" t="s">
        <v>48</v>
      </c>
      <c r="AF38" s="40" t="s">
        <v>48</v>
      </c>
      <c r="AG38" s="40" t="s">
        <v>48</v>
      </c>
      <c r="AH38" s="40" t="s">
        <v>48</v>
      </c>
      <c r="AI38" s="40" t="s">
        <v>48</v>
      </c>
      <c r="AJ38" s="40" t="s">
        <v>48</v>
      </c>
      <c r="AK38" s="40" t="s">
        <v>48</v>
      </c>
      <c r="AL38" s="40" t="s">
        <v>48</v>
      </c>
      <c r="AM38" s="40" t="s">
        <v>48</v>
      </c>
      <c r="AN38" s="40" t="s">
        <v>48</v>
      </c>
      <c r="AO38" s="40" t="s">
        <v>48</v>
      </c>
      <c r="AP38" s="40" t="s">
        <v>48</v>
      </c>
      <c r="AR38" s="33"/>
      <c r="AS38" s="38" t="str">
        <f>Notes!U39</f>
        <v xml:space="preserve">      Other crops</v>
      </c>
      <c r="AT38" s="4" t="s">
        <v>344</v>
      </c>
      <c r="AU38" s="44" t="s">
        <v>48</v>
      </c>
      <c r="AV38" s="42" t="s">
        <v>48</v>
      </c>
      <c r="AW38" s="42" t="s">
        <v>48</v>
      </c>
      <c r="AX38" s="40" t="s">
        <v>48</v>
      </c>
      <c r="AY38" s="40" t="s">
        <v>48</v>
      </c>
      <c r="AZ38" s="40" t="s">
        <v>48</v>
      </c>
      <c r="BA38" s="40" t="s">
        <v>48</v>
      </c>
      <c r="BB38" s="40" t="s">
        <v>48</v>
      </c>
      <c r="BC38" s="40" t="s">
        <v>48</v>
      </c>
      <c r="BD38" s="40" t="s">
        <v>48</v>
      </c>
      <c r="BE38" s="40" t="s">
        <v>48</v>
      </c>
      <c r="BF38" s="40" t="s">
        <v>48</v>
      </c>
      <c r="BG38" s="40" t="s">
        <v>48</v>
      </c>
      <c r="BH38" s="40" t="s">
        <v>48</v>
      </c>
      <c r="BI38" s="40" t="s">
        <v>48</v>
      </c>
      <c r="BJ38" s="40" t="s">
        <v>48</v>
      </c>
      <c r="BK38" s="40" t="s">
        <v>48</v>
      </c>
      <c r="BM38" s="33"/>
      <c r="BN38" s="38" t="str">
        <f>Notes!W39</f>
        <v xml:space="preserve">      Urban - decile 8</v>
      </c>
      <c r="BO38" s="4" t="s">
        <v>751</v>
      </c>
      <c r="BP38" s="44">
        <v>1.1272405660843814</v>
      </c>
      <c r="BQ38" s="42" t="s">
        <v>48</v>
      </c>
      <c r="BR38" s="42" t="s">
        <v>48</v>
      </c>
      <c r="BS38" s="40" t="s">
        <v>48</v>
      </c>
      <c r="BT38" s="40" t="s">
        <v>48</v>
      </c>
      <c r="BU38" s="40" t="s">
        <v>48</v>
      </c>
      <c r="BV38" s="40" t="s">
        <v>48</v>
      </c>
      <c r="BW38" s="40" t="s">
        <v>48</v>
      </c>
      <c r="BX38" s="40" t="s">
        <v>48</v>
      </c>
      <c r="BY38" s="40" t="s">
        <v>48</v>
      </c>
      <c r="BZ38" s="40" t="s">
        <v>48</v>
      </c>
      <c r="CA38" s="40" t="s">
        <v>48</v>
      </c>
      <c r="CB38" s="40" t="s">
        <v>48</v>
      </c>
      <c r="CC38" s="40" t="s">
        <v>48</v>
      </c>
      <c r="CD38" s="40" t="s">
        <v>48</v>
      </c>
      <c r="CE38" s="40" t="s">
        <v>48</v>
      </c>
      <c r="CF38" s="40" t="s">
        <v>48</v>
      </c>
      <c r="CH38" s="33"/>
      <c r="CI38" s="38" t="str">
        <f>Notes!W39</f>
        <v xml:space="preserve">      Urban - decile 8</v>
      </c>
      <c r="CJ38" s="4" t="s">
        <v>751</v>
      </c>
      <c r="CK38" s="44">
        <v>31.787152317375021</v>
      </c>
      <c r="CL38" s="42" t="s">
        <v>48</v>
      </c>
      <c r="CM38" s="42" t="s">
        <v>48</v>
      </c>
      <c r="CN38" s="40" t="s">
        <v>48</v>
      </c>
      <c r="CO38" s="40" t="s">
        <v>48</v>
      </c>
      <c r="CP38" s="40" t="s">
        <v>48</v>
      </c>
      <c r="CQ38" s="40" t="s">
        <v>48</v>
      </c>
      <c r="CR38" s="40" t="s">
        <v>48</v>
      </c>
      <c r="CS38" s="40" t="s">
        <v>48</v>
      </c>
      <c r="CT38" s="40" t="s">
        <v>48</v>
      </c>
      <c r="CU38" s="40" t="s">
        <v>48</v>
      </c>
      <c r="CV38" s="40" t="s">
        <v>48</v>
      </c>
      <c r="CW38" s="40" t="s">
        <v>48</v>
      </c>
      <c r="CX38" s="40" t="s">
        <v>48</v>
      </c>
      <c r="CY38" s="40" t="s">
        <v>48</v>
      </c>
      <c r="CZ38" s="40" t="s">
        <v>48</v>
      </c>
      <c r="DA38" s="40" t="s">
        <v>48</v>
      </c>
    </row>
    <row r="39" spans="1:105" x14ac:dyDescent="0.3">
      <c r="A39" s="12">
        <v>32</v>
      </c>
      <c r="B39" s="33"/>
      <c r="C39" s="38" t="str">
        <f>Notes!W40</f>
        <v xml:space="preserve">      Urban - decile 9</v>
      </c>
      <c r="D39" s="4" t="s">
        <v>752</v>
      </c>
      <c r="E39" s="44">
        <v>6.7763787652939111</v>
      </c>
      <c r="F39" s="42">
        <v>3.0435367500128097</v>
      </c>
      <c r="G39" s="42" t="s">
        <v>48</v>
      </c>
      <c r="H39" s="40" t="s">
        <v>48</v>
      </c>
      <c r="I39" s="40" t="s">
        <v>48</v>
      </c>
      <c r="J39" s="40" t="s">
        <v>48</v>
      </c>
      <c r="K39" s="40" t="s">
        <v>48</v>
      </c>
      <c r="L39" s="40" t="s">
        <v>48</v>
      </c>
      <c r="M39" s="40" t="s">
        <v>48</v>
      </c>
      <c r="N39" s="40" t="s">
        <v>48</v>
      </c>
      <c r="O39" s="40" t="s">
        <v>48</v>
      </c>
      <c r="P39" s="40" t="s">
        <v>48</v>
      </c>
      <c r="Q39" s="40" t="s">
        <v>48</v>
      </c>
      <c r="R39" s="40" t="s">
        <v>48</v>
      </c>
      <c r="S39" s="40" t="s">
        <v>48</v>
      </c>
      <c r="T39" s="40" t="s">
        <v>48</v>
      </c>
      <c r="U39" s="40" t="s">
        <v>48</v>
      </c>
      <c r="W39" s="33"/>
      <c r="X39" s="38" t="str">
        <f>Notes!W40</f>
        <v xml:space="preserve">      Urban - decile 9</v>
      </c>
      <c r="Y39" s="4" t="s">
        <v>752</v>
      </c>
      <c r="Z39" s="44">
        <v>6.1821092004873073</v>
      </c>
      <c r="AA39" s="42">
        <v>3.0449916822520073</v>
      </c>
      <c r="AB39" s="42" t="s">
        <v>48</v>
      </c>
      <c r="AC39" s="40" t="s">
        <v>48</v>
      </c>
      <c r="AD39" s="40" t="s">
        <v>48</v>
      </c>
      <c r="AE39" s="40" t="s">
        <v>48</v>
      </c>
      <c r="AF39" s="40" t="s">
        <v>48</v>
      </c>
      <c r="AG39" s="40" t="s">
        <v>48</v>
      </c>
      <c r="AH39" s="40" t="s">
        <v>48</v>
      </c>
      <c r="AI39" s="40" t="s">
        <v>48</v>
      </c>
      <c r="AJ39" s="40" t="s">
        <v>48</v>
      </c>
      <c r="AK39" s="40" t="s">
        <v>48</v>
      </c>
      <c r="AL39" s="40" t="s">
        <v>48</v>
      </c>
      <c r="AM39" s="40" t="s">
        <v>48</v>
      </c>
      <c r="AN39" s="40" t="s">
        <v>48</v>
      </c>
      <c r="AO39" s="40" t="s">
        <v>48</v>
      </c>
      <c r="AP39" s="40" t="s">
        <v>48</v>
      </c>
      <c r="AR39" s="33"/>
      <c r="AS39" s="38" t="str">
        <f>Notes!U40</f>
        <v xml:space="preserve">   Livestock</v>
      </c>
      <c r="AT39" s="4" t="s">
        <v>346</v>
      </c>
      <c r="AU39" s="44">
        <v>3.5124524809292179</v>
      </c>
      <c r="AV39" s="42">
        <v>3.0553736562158651</v>
      </c>
      <c r="AW39" s="42" t="s">
        <v>48</v>
      </c>
      <c r="AX39" s="40" t="s">
        <v>48</v>
      </c>
      <c r="AY39" s="40" t="s">
        <v>48</v>
      </c>
      <c r="AZ39" s="40" t="s">
        <v>48</v>
      </c>
      <c r="BA39" s="40" t="s">
        <v>48</v>
      </c>
      <c r="BB39" s="40" t="s">
        <v>48</v>
      </c>
      <c r="BC39" s="40" t="s">
        <v>48</v>
      </c>
      <c r="BD39" s="40" t="s">
        <v>48</v>
      </c>
      <c r="BE39" s="40" t="s">
        <v>48</v>
      </c>
      <c r="BF39" s="40" t="s">
        <v>48</v>
      </c>
      <c r="BG39" s="40" t="s">
        <v>48</v>
      </c>
      <c r="BH39" s="40" t="s">
        <v>48</v>
      </c>
      <c r="BI39" s="40" t="s">
        <v>48</v>
      </c>
      <c r="BJ39" s="40" t="s">
        <v>48</v>
      </c>
      <c r="BK39" s="40" t="s">
        <v>48</v>
      </c>
      <c r="BM39" s="33"/>
      <c r="BN39" s="38" t="str">
        <f>Notes!W40</f>
        <v xml:space="preserve">      Urban - decile 9</v>
      </c>
      <c r="BO39" s="4" t="s">
        <v>752</v>
      </c>
      <c r="BP39" s="44">
        <v>1.2688856446416179</v>
      </c>
      <c r="BQ39" s="42" t="s">
        <v>48</v>
      </c>
      <c r="BR39" s="42" t="s">
        <v>48</v>
      </c>
      <c r="BS39" s="40" t="s">
        <v>48</v>
      </c>
      <c r="BT39" s="40" t="s">
        <v>48</v>
      </c>
      <c r="BU39" s="40" t="s">
        <v>48</v>
      </c>
      <c r="BV39" s="40" t="s">
        <v>48</v>
      </c>
      <c r="BW39" s="40" t="s">
        <v>48</v>
      </c>
      <c r="BX39" s="40" t="s">
        <v>48</v>
      </c>
      <c r="BY39" s="40" t="s">
        <v>48</v>
      </c>
      <c r="BZ39" s="40" t="s">
        <v>48</v>
      </c>
      <c r="CA39" s="40" t="s">
        <v>48</v>
      </c>
      <c r="CB39" s="40" t="s">
        <v>48</v>
      </c>
      <c r="CC39" s="40" t="s">
        <v>48</v>
      </c>
      <c r="CD39" s="40" t="s">
        <v>48</v>
      </c>
      <c r="CE39" s="40" t="s">
        <v>48</v>
      </c>
      <c r="CF39" s="40" t="s">
        <v>48</v>
      </c>
      <c r="CH39" s="33"/>
      <c r="CI39" s="38" t="str">
        <f>Notes!W40</f>
        <v xml:space="preserve">      Urban - decile 9</v>
      </c>
      <c r="CJ39" s="4" t="s">
        <v>752</v>
      </c>
      <c r="CK39" s="44">
        <v>27.704634541357326</v>
      </c>
      <c r="CL39" s="42" t="s">
        <v>48</v>
      </c>
      <c r="CM39" s="42" t="s">
        <v>48</v>
      </c>
      <c r="CN39" s="40" t="s">
        <v>48</v>
      </c>
      <c r="CO39" s="40" t="s">
        <v>48</v>
      </c>
      <c r="CP39" s="40" t="s">
        <v>48</v>
      </c>
      <c r="CQ39" s="40" t="s">
        <v>48</v>
      </c>
      <c r="CR39" s="40" t="s">
        <v>48</v>
      </c>
      <c r="CS39" s="40" t="s">
        <v>48</v>
      </c>
      <c r="CT39" s="40" t="s">
        <v>48</v>
      </c>
      <c r="CU39" s="40" t="s">
        <v>48</v>
      </c>
      <c r="CV39" s="40" t="s">
        <v>48</v>
      </c>
      <c r="CW39" s="40" t="s">
        <v>48</v>
      </c>
      <c r="CX39" s="40" t="s">
        <v>48</v>
      </c>
      <c r="CY39" s="40" t="s">
        <v>48</v>
      </c>
      <c r="CZ39" s="40" t="s">
        <v>48</v>
      </c>
      <c r="DA39" s="40" t="s">
        <v>48</v>
      </c>
    </row>
    <row r="40" spans="1:105" x14ac:dyDescent="0.3">
      <c r="A40" s="12">
        <v>33</v>
      </c>
      <c r="B40" s="33"/>
      <c r="C40" s="38" t="str">
        <f>Notes!W41</f>
        <v xml:space="preserve">      Urban - decile 10 (high)</v>
      </c>
      <c r="D40" s="4" t="s">
        <v>753</v>
      </c>
      <c r="E40" s="44">
        <v>21.608078011078412</v>
      </c>
      <c r="F40" s="42">
        <v>3.0258200219215992</v>
      </c>
      <c r="G40" s="42" t="s">
        <v>48</v>
      </c>
      <c r="H40" s="40" t="s">
        <v>48</v>
      </c>
      <c r="I40" s="40" t="s">
        <v>48</v>
      </c>
      <c r="J40" s="40" t="s">
        <v>48</v>
      </c>
      <c r="K40" s="40" t="s">
        <v>48</v>
      </c>
      <c r="L40" s="40" t="s">
        <v>48</v>
      </c>
      <c r="M40" s="40" t="s">
        <v>48</v>
      </c>
      <c r="N40" s="40" t="s">
        <v>48</v>
      </c>
      <c r="O40" s="40" t="s">
        <v>48</v>
      </c>
      <c r="P40" s="40" t="s">
        <v>48</v>
      </c>
      <c r="Q40" s="40" t="s">
        <v>48</v>
      </c>
      <c r="R40" s="40" t="s">
        <v>48</v>
      </c>
      <c r="S40" s="40" t="s">
        <v>48</v>
      </c>
      <c r="T40" s="40" t="s">
        <v>48</v>
      </c>
      <c r="U40" s="40" t="s">
        <v>48</v>
      </c>
      <c r="W40" s="33"/>
      <c r="X40" s="38" t="str">
        <f>Notes!W41</f>
        <v xml:space="preserve">      Urban - decile 10 (high)</v>
      </c>
      <c r="Y40" s="4" t="s">
        <v>753</v>
      </c>
      <c r="Z40" s="44">
        <v>16.906583833014537</v>
      </c>
      <c r="AA40" s="42">
        <v>3.0305624611414173</v>
      </c>
      <c r="AB40" s="42" t="s">
        <v>48</v>
      </c>
      <c r="AC40" s="40" t="s">
        <v>48</v>
      </c>
      <c r="AD40" s="40" t="s">
        <v>48</v>
      </c>
      <c r="AE40" s="40" t="s">
        <v>48</v>
      </c>
      <c r="AF40" s="40" t="s">
        <v>48</v>
      </c>
      <c r="AG40" s="40" t="s">
        <v>48</v>
      </c>
      <c r="AH40" s="40" t="s">
        <v>48</v>
      </c>
      <c r="AI40" s="40" t="s">
        <v>48</v>
      </c>
      <c r="AJ40" s="40" t="s">
        <v>48</v>
      </c>
      <c r="AK40" s="40" t="s">
        <v>48</v>
      </c>
      <c r="AL40" s="40" t="s">
        <v>48</v>
      </c>
      <c r="AM40" s="40" t="s">
        <v>48</v>
      </c>
      <c r="AN40" s="40" t="s">
        <v>48</v>
      </c>
      <c r="AO40" s="40" t="s">
        <v>48</v>
      </c>
      <c r="AP40" s="40" t="s">
        <v>48</v>
      </c>
      <c r="AR40" s="33"/>
      <c r="AS40" s="38" t="str">
        <f>Notes!U41</f>
        <v xml:space="preserve">      Cattle</v>
      </c>
      <c r="AT40" s="4" t="s">
        <v>348</v>
      </c>
      <c r="AU40" s="44">
        <v>0.11126270815357635</v>
      </c>
      <c r="AV40" s="42">
        <v>3.0458770948893044</v>
      </c>
      <c r="AW40" s="42" t="s">
        <v>48</v>
      </c>
      <c r="AX40" s="40" t="s">
        <v>48</v>
      </c>
      <c r="AY40" s="40" t="s">
        <v>48</v>
      </c>
      <c r="AZ40" s="40" t="s">
        <v>48</v>
      </c>
      <c r="BA40" s="40" t="s">
        <v>48</v>
      </c>
      <c r="BB40" s="40" t="s">
        <v>48</v>
      </c>
      <c r="BC40" s="40" t="s">
        <v>48</v>
      </c>
      <c r="BD40" s="40" t="s">
        <v>48</v>
      </c>
      <c r="BE40" s="40" t="s">
        <v>48</v>
      </c>
      <c r="BF40" s="40" t="s">
        <v>48</v>
      </c>
      <c r="BG40" s="40" t="s">
        <v>48</v>
      </c>
      <c r="BH40" s="40" t="s">
        <v>48</v>
      </c>
      <c r="BI40" s="40" t="s">
        <v>48</v>
      </c>
      <c r="BJ40" s="40" t="s">
        <v>48</v>
      </c>
      <c r="BK40" s="40" t="s">
        <v>48</v>
      </c>
      <c r="BM40" s="33"/>
      <c r="BN40" s="38" t="str">
        <f>Notes!W41</f>
        <v xml:space="preserve">      Urban - decile 10 (high)</v>
      </c>
      <c r="BO40" s="4" t="s">
        <v>753</v>
      </c>
      <c r="BP40" s="44">
        <v>1.7071382402124531</v>
      </c>
      <c r="BQ40" s="42" t="s">
        <v>48</v>
      </c>
      <c r="BR40" s="42" t="s">
        <v>48</v>
      </c>
      <c r="BS40" s="40" t="s">
        <v>48</v>
      </c>
      <c r="BT40" s="40" t="s">
        <v>48</v>
      </c>
      <c r="BU40" s="40" t="s">
        <v>48</v>
      </c>
      <c r="BV40" s="40" t="s">
        <v>48</v>
      </c>
      <c r="BW40" s="40" t="s">
        <v>48</v>
      </c>
      <c r="BX40" s="40" t="s">
        <v>48</v>
      </c>
      <c r="BY40" s="40" t="s">
        <v>48</v>
      </c>
      <c r="BZ40" s="40" t="s">
        <v>48</v>
      </c>
      <c r="CA40" s="40" t="s">
        <v>48</v>
      </c>
      <c r="CB40" s="40" t="s">
        <v>48</v>
      </c>
      <c r="CC40" s="40" t="s">
        <v>48</v>
      </c>
      <c r="CD40" s="40" t="s">
        <v>48</v>
      </c>
      <c r="CE40" s="40" t="s">
        <v>48</v>
      </c>
      <c r="CF40" s="40" t="s">
        <v>48</v>
      </c>
      <c r="CH40" s="33"/>
      <c r="CI40" s="38" t="str">
        <f>Notes!W41</f>
        <v xml:space="preserve">      Urban - decile 10 (high)</v>
      </c>
      <c r="CJ40" s="4" t="s">
        <v>753</v>
      </c>
      <c r="CK40" s="44">
        <v>36.43404824847584</v>
      </c>
      <c r="CL40" s="42" t="s">
        <v>48</v>
      </c>
      <c r="CM40" s="42" t="s">
        <v>48</v>
      </c>
      <c r="CN40" s="40" t="s">
        <v>48</v>
      </c>
      <c r="CO40" s="40" t="s">
        <v>48</v>
      </c>
      <c r="CP40" s="40" t="s">
        <v>48</v>
      </c>
      <c r="CQ40" s="40" t="s">
        <v>48</v>
      </c>
      <c r="CR40" s="40" t="s">
        <v>48</v>
      </c>
      <c r="CS40" s="40" t="s">
        <v>48</v>
      </c>
      <c r="CT40" s="40" t="s">
        <v>48</v>
      </c>
      <c r="CU40" s="40" t="s">
        <v>48</v>
      </c>
      <c r="CV40" s="40" t="s">
        <v>48</v>
      </c>
      <c r="CW40" s="40" t="s">
        <v>48</v>
      </c>
      <c r="CX40" s="40" t="s">
        <v>48</v>
      </c>
      <c r="CY40" s="40" t="s">
        <v>48</v>
      </c>
      <c r="CZ40" s="40" t="s">
        <v>48</v>
      </c>
      <c r="DA40" s="40" t="s">
        <v>48</v>
      </c>
    </row>
    <row r="41" spans="1:105" x14ac:dyDescent="0.3">
      <c r="A41" s="12">
        <v>34</v>
      </c>
      <c r="B41" s="33"/>
      <c r="C41" s="38" t="str">
        <f>Notes!W42</f>
        <v xml:space="preserve">               </v>
      </c>
      <c r="D41" s="4"/>
      <c r="E41" s="44"/>
      <c r="F41" s="42"/>
      <c r="G41" s="42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W41" s="33"/>
      <c r="X41" s="38" t="str">
        <f>Notes!W42</f>
        <v xml:space="preserve">               </v>
      </c>
      <c r="Y41" s="4"/>
      <c r="Z41" s="44"/>
      <c r="AA41" s="42"/>
      <c r="AB41" s="42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R41" s="33"/>
      <c r="AS41" s="38" t="str">
        <f>Notes!U42</f>
        <v xml:space="preserve">      Raw milk</v>
      </c>
      <c r="AT41" s="4" t="s">
        <v>535</v>
      </c>
      <c r="AU41" s="44">
        <v>1.1122407972702848</v>
      </c>
      <c r="AV41" s="42">
        <v>3.0508045246227189</v>
      </c>
      <c r="AW41" s="42" t="s">
        <v>48</v>
      </c>
      <c r="AX41" s="40" t="s">
        <v>48</v>
      </c>
      <c r="AY41" s="40" t="s">
        <v>48</v>
      </c>
      <c r="AZ41" s="40" t="s">
        <v>48</v>
      </c>
      <c r="BA41" s="40" t="s">
        <v>48</v>
      </c>
      <c r="BB41" s="40" t="s">
        <v>48</v>
      </c>
      <c r="BC41" s="40" t="s">
        <v>48</v>
      </c>
      <c r="BD41" s="40" t="s">
        <v>48</v>
      </c>
      <c r="BE41" s="40" t="s">
        <v>48</v>
      </c>
      <c r="BF41" s="40" t="s">
        <v>48</v>
      </c>
      <c r="BG41" s="40" t="s">
        <v>48</v>
      </c>
      <c r="BH41" s="40" t="s">
        <v>48</v>
      </c>
      <c r="BI41" s="40" t="s">
        <v>48</v>
      </c>
      <c r="BJ41" s="40" t="s">
        <v>48</v>
      </c>
      <c r="BK41" s="40" t="s">
        <v>48</v>
      </c>
      <c r="BM41" s="33"/>
      <c r="BN41" s="38" t="str">
        <f>Notes!W42</f>
        <v xml:space="preserve">               </v>
      </c>
      <c r="BO41" s="4"/>
      <c r="BP41" s="44"/>
      <c r="BQ41" s="42"/>
      <c r="BR41" s="42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H41" s="33"/>
      <c r="CI41" s="38" t="str">
        <f>Notes!W42</f>
        <v xml:space="preserve">               </v>
      </c>
      <c r="CJ41" s="4"/>
      <c r="CK41" s="44"/>
      <c r="CL41" s="42"/>
      <c r="CM41" s="42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</row>
    <row r="42" spans="1:105" x14ac:dyDescent="0.3">
      <c r="A42" s="12">
        <v>35</v>
      </c>
      <c r="B42" s="33"/>
      <c r="C42" s="38" t="str">
        <f>Notes!W43</f>
        <v xml:space="preserve">               </v>
      </c>
      <c r="D42" s="4"/>
      <c r="E42" s="44"/>
      <c r="F42" s="42"/>
      <c r="G42" s="42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W42" s="33"/>
      <c r="X42" s="38" t="str">
        <f>Notes!W43</f>
        <v xml:space="preserve">               </v>
      </c>
      <c r="Y42" s="4"/>
      <c r="Z42" s="44"/>
      <c r="AA42" s="42"/>
      <c r="AB42" s="42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R42" s="33"/>
      <c r="AS42" s="38" t="str">
        <f>Notes!U43</f>
        <v xml:space="preserve">      Poultry</v>
      </c>
      <c r="AT42" s="4" t="s">
        <v>349</v>
      </c>
      <c r="AU42" s="44">
        <v>0.13831226988725981</v>
      </c>
      <c r="AV42" s="42">
        <v>3.0723047057022779</v>
      </c>
      <c r="AW42" s="42" t="s">
        <v>48</v>
      </c>
      <c r="AX42" s="40" t="s">
        <v>48</v>
      </c>
      <c r="AY42" s="40" t="s">
        <v>48</v>
      </c>
      <c r="AZ42" s="40" t="s">
        <v>48</v>
      </c>
      <c r="BA42" s="40" t="s">
        <v>48</v>
      </c>
      <c r="BB42" s="40" t="s">
        <v>48</v>
      </c>
      <c r="BC42" s="40" t="s">
        <v>48</v>
      </c>
      <c r="BD42" s="40" t="s">
        <v>48</v>
      </c>
      <c r="BE42" s="40" t="s">
        <v>48</v>
      </c>
      <c r="BF42" s="40" t="s">
        <v>48</v>
      </c>
      <c r="BG42" s="40" t="s">
        <v>48</v>
      </c>
      <c r="BH42" s="40" t="s">
        <v>48</v>
      </c>
      <c r="BI42" s="40" t="s">
        <v>48</v>
      </c>
      <c r="BJ42" s="40" t="s">
        <v>48</v>
      </c>
      <c r="BK42" s="40" t="s">
        <v>48</v>
      </c>
      <c r="BM42" s="33"/>
      <c r="BN42" s="38" t="str">
        <f>Notes!W43</f>
        <v xml:space="preserve">               </v>
      </c>
      <c r="BO42" s="4"/>
      <c r="BP42" s="44"/>
      <c r="BQ42" s="42"/>
      <c r="BR42" s="42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H42" s="33"/>
      <c r="CI42" s="38" t="str">
        <f>Notes!W43</f>
        <v xml:space="preserve">               </v>
      </c>
      <c r="CJ42" s="4"/>
      <c r="CK42" s="44"/>
      <c r="CL42" s="42"/>
      <c r="CM42" s="42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</row>
    <row r="43" spans="1:105" x14ac:dyDescent="0.3">
      <c r="A43" s="12">
        <v>36</v>
      </c>
      <c r="B43" s="33"/>
      <c r="C43" s="38" t="str">
        <f>Notes!W44</f>
        <v xml:space="preserve">               </v>
      </c>
      <c r="D43" s="4"/>
      <c r="E43" s="44"/>
      <c r="F43" s="42"/>
      <c r="G43" s="42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W43" s="33"/>
      <c r="X43" s="38" t="str">
        <f>Notes!W44</f>
        <v xml:space="preserve">               </v>
      </c>
      <c r="Y43" s="4"/>
      <c r="Z43" s="44"/>
      <c r="AA43" s="42"/>
      <c r="AB43" s="42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R43" s="33"/>
      <c r="AS43" s="38" t="str">
        <f>Notes!U44</f>
        <v xml:space="preserve">      Eggs</v>
      </c>
      <c r="AT43" s="4" t="s">
        <v>538</v>
      </c>
      <c r="AU43" s="44">
        <v>0.62943755769265197</v>
      </c>
      <c r="AV43" s="42">
        <v>3.0618929389249816</v>
      </c>
      <c r="AW43" s="42" t="s">
        <v>48</v>
      </c>
      <c r="AX43" s="40" t="s">
        <v>48</v>
      </c>
      <c r="AY43" s="40" t="s">
        <v>48</v>
      </c>
      <c r="AZ43" s="40" t="s">
        <v>48</v>
      </c>
      <c r="BA43" s="40" t="s">
        <v>48</v>
      </c>
      <c r="BB43" s="40" t="s">
        <v>48</v>
      </c>
      <c r="BC43" s="40" t="s">
        <v>48</v>
      </c>
      <c r="BD43" s="40" t="s">
        <v>48</v>
      </c>
      <c r="BE43" s="40" t="s">
        <v>48</v>
      </c>
      <c r="BF43" s="40" t="s">
        <v>48</v>
      </c>
      <c r="BG43" s="40" t="s">
        <v>48</v>
      </c>
      <c r="BH43" s="40" t="s">
        <v>48</v>
      </c>
      <c r="BI43" s="40" t="s">
        <v>48</v>
      </c>
      <c r="BJ43" s="40" t="s">
        <v>48</v>
      </c>
      <c r="BK43" s="40" t="s">
        <v>48</v>
      </c>
      <c r="BM43" s="33"/>
      <c r="BN43" s="38" t="str">
        <f>Notes!W44</f>
        <v xml:space="preserve">               </v>
      </c>
      <c r="BO43" s="4"/>
      <c r="BP43" s="44"/>
      <c r="BQ43" s="42"/>
      <c r="BR43" s="42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H43" s="33"/>
      <c r="CI43" s="38" t="str">
        <f>Notes!W44</f>
        <v xml:space="preserve">               </v>
      </c>
      <c r="CJ43" s="4"/>
      <c r="CK43" s="44"/>
      <c r="CL43" s="42"/>
      <c r="CM43" s="42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</row>
    <row r="44" spans="1:105" x14ac:dyDescent="0.3">
      <c r="A44" s="12">
        <v>37</v>
      </c>
      <c r="B44" s="33"/>
      <c r="C44" s="38" t="str">
        <f>Notes!W45</f>
        <v xml:space="preserve">               </v>
      </c>
      <c r="D44" s="4"/>
      <c r="E44" s="44"/>
      <c r="F44" s="42"/>
      <c r="G44" s="42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W44" s="33"/>
      <c r="X44" s="38" t="str">
        <f>Notes!W45</f>
        <v xml:space="preserve">               </v>
      </c>
      <c r="Y44" s="4"/>
      <c r="Z44" s="44"/>
      <c r="AA44" s="42"/>
      <c r="AB44" s="42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R44" s="33"/>
      <c r="AS44" s="38" t="str">
        <f>Notes!U45</f>
        <v xml:space="preserve">      Small ruminants</v>
      </c>
      <c r="AT44" s="4" t="s">
        <v>540</v>
      </c>
      <c r="AU44" s="44">
        <v>1.4873537169178976</v>
      </c>
      <c r="AV44" s="42">
        <v>3.0542314605799481</v>
      </c>
      <c r="AW44" s="42" t="s">
        <v>48</v>
      </c>
      <c r="AX44" s="40" t="s">
        <v>48</v>
      </c>
      <c r="AY44" s="40" t="s">
        <v>48</v>
      </c>
      <c r="AZ44" s="40" t="s">
        <v>48</v>
      </c>
      <c r="BA44" s="40" t="s">
        <v>48</v>
      </c>
      <c r="BB44" s="40" t="s">
        <v>48</v>
      </c>
      <c r="BC44" s="40" t="s">
        <v>48</v>
      </c>
      <c r="BD44" s="40" t="s">
        <v>48</v>
      </c>
      <c r="BE44" s="40" t="s">
        <v>48</v>
      </c>
      <c r="BF44" s="40" t="s">
        <v>48</v>
      </c>
      <c r="BG44" s="40" t="s">
        <v>48</v>
      </c>
      <c r="BH44" s="40" t="s">
        <v>48</v>
      </c>
      <c r="BI44" s="40" t="s">
        <v>48</v>
      </c>
      <c r="BJ44" s="40" t="s">
        <v>48</v>
      </c>
      <c r="BK44" s="40" t="s">
        <v>48</v>
      </c>
      <c r="BM44" s="33"/>
      <c r="BN44" s="38" t="str">
        <f>Notes!W45</f>
        <v xml:space="preserve">               </v>
      </c>
      <c r="BO44" s="4"/>
      <c r="BP44" s="44"/>
      <c r="BQ44" s="42"/>
      <c r="BR44" s="42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H44" s="33"/>
      <c r="CI44" s="38" t="str">
        <f>Notes!W45</f>
        <v xml:space="preserve">               </v>
      </c>
      <c r="CJ44" s="4"/>
      <c r="CK44" s="44"/>
      <c r="CL44" s="42"/>
      <c r="CM44" s="42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</row>
    <row r="45" spans="1:105" x14ac:dyDescent="0.3">
      <c r="A45" s="12">
        <v>38</v>
      </c>
      <c r="B45" s="33"/>
      <c r="C45" s="38" t="str">
        <f>Notes!W46</f>
        <v xml:space="preserve">               </v>
      </c>
      <c r="D45" s="4"/>
      <c r="E45" s="44"/>
      <c r="F45" s="42"/>
      <c r="G45" s="42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W45" s="33"/>
      <c r="X45" s="38" t="str">
        <f>Notes!W46</f>
        <v xml:space="preserve">               </v>
      </c>
      <c r="Y45" s="4"/>
      <c r="Z45" s="44"/>
      <c r="AA45" s="42"/>
      <c r="AB45" s="42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R45" s="33"/>
      <c r="AS45" s="38" t="str">
        <f>Notes!U46</f>
        <v xml:space="preserve">      Other livestock</v>
      </c>
      <c r="AT45" s="4" t="s">
        <v>350</v>
      </c>
      <c r="AU45" s="44">
        <v>3.3845431007547638E-2</v>
      </c>
      <c r="AV45" s="42">
        <v>3.0963708725750827</v>
      </c>
      <c r="AW45" s="42" t="s">
        <v>48</v>
      </c>
      <c r="AX45" s="40" t="s">
        <v>48</v>
      </c>
      <c r="AY45" s="40" t="s">
        <v>48</v>
      </c>
      <c r="AZ45" s="40" t="s">
        <v>48</v>
      </c>
      <c r="BA45" s="40" t="s">
        <v>48</v>
      </c>
      <c r="BB45" s="40" t="s">
        <v>48</v>
      </c>
      <c r="BC45" s="40" t="s">
        <v>48</v>
      </c>
      <c r="BD45" s="40" t="s">
        <v>48</v>
      </c>
      <c r="BE45" s="40" t="s">
        <v>48</v>
      </c>
      <c r="BF45" s="40" t="s">
        <v>48</v>
      </c>
      <c r="BG45" s="40" t="s">
        <v>48</v>
      </c>
      <c r="BH45" s="40" t="s">
        <v>48</v>
      </c>
      <c r="BI45" s="40" t="s">
        <v>48</v>
      </c>
      <c r="BJ45" s="40" t="s">
        <v>48</v>
      </c>
      <c r="BK45" s="40" t="s">
        <v>48</v>
      </c>
      <c r="BM45" s="33"/>
      <c r="BN45" s="38" t="str">
        <f>Notes!W46</f>
        <v xml:space="preserve">               </v>
      </c>
      <c r="BO45" s="4"/>
      <c r="BP45" s="44"/>
      <c r="BQ45" s="42"/>
      <c r="BR45" s="42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H45" s="33"/>
      <c r="CI45" s="38" t="str">
        <f>Notes!W46</f>
        <v xml:space="preserve">               </v>
      </c>
      <c r="CJ45" s="4"/>
      <c r="CK45" s="44"/>
      <c r="CL45" s="42"/>
      <c r="CM45" s="42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</row>
    <row r="46" spans="1:105" x14ac:dyDescent="0.3">
      <c r="A46" s="12">
        <v>39</v>
      </c>
      <c r="B46" s="33"/>
      <c r="C46" s="38" t="str">
        <f>Notes!W47</f>
        <v xml:space="preserve">               </v>
      </c>
      <c r="D46" s="4"/>
      <c r="E46" s="44"/>
      <c r="F46" s="42"/>
      <c r="G46" s="42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W46" s="33"/>
      <c r="X46" s="38" t="str">
        <f>Notes!W47</f>
        <v xml:space="preserve">               </v>
      </c>
      <c r="Y46" s="4"/>
      <c r="Z46" s="44"/>
      <c r="AA46" s="42"/>
      <c r="AB46" s="42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R46" s="33"/>
      <c r="AS46" s="38" t="str">
        <f>Notes!U47</f>
        <v xml:space="preserve">   Other agriculture</v>
      </c>
      <c r="AT46" s="4" t="s">
        <v>352</v>
      </c>
      <c r="AU46" s="44">
        <v>5.1166851728782721</v>
      </c>
      <c r="AV46" s="42">
        <v>3.0663453939048679</v>
      </c>
      <c r="AW46" s="42" t="s">
        <v>48</v>
      </c>
      <c r="AX46" s="40" t="s">
        <v>48</v>
      </c>
      <c r="AY46" s="40" t="s">
        <v>48</v>
      </c>
      <c r="AZ46" s="40" t="s">
        <v>48</v>
      </c>
      <c r="BA46" s="40" t="s">
        <v>48</v>
      </c>
      <c r="BB46" s="40" t="s">
        <v>48</v>
      </c>
      <c r="BC46" s="40" t="s">
        <v>48</v>
      </c>
      <c r="BD46" s="40" t="s">
        <v>48</v>
      </c>
      <c r="BE46" s="40" t="s">
        <v>48</v>
      </c>
      <c r="BF46" s="40" t="s">
        <v>48</v>
      </c>
      <c r="BG46" s="40" t="s">
        <v>48</v>
      </c>
      <c r="BH46" s="40" t="s">
        <v>48</v>
      </c>
      <c r="BI46" s="40" t="s">
        <v>48</v>
      </c>
      <c r="BJ46" s="40" t="s">
        <v>48</v>
      </c>
      <c r="BK46" s="40" t="s">
        <v>48</v>
      </c>
      <c r="BM46" s="33"/>
      <c r="BN46" s="38" t="str">
        <f>Notes!W47</f>
        <v xml:space="preserve">               </v>
      </c>
      <c r="BO46" s="4"/>
      <c r="BP46" s="44"/>
      <c r="BQ46" s="42"/>
      <c r="BR46" s="42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H46" s="33"/>
      <c r="CI46" s="38" t="str">
        <f>Notes!W47</f>
        <v xml:space="preserve">               </v>
      </c>
      <c r="CJ46" s="4"/>
      <c r="CK46" s="44"/>
      <c r="CL46" s="42"/>
      <c r="CM46" s="42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</row>
    <row r="47" spans="1:105" x14ac:dyDescent="0.3">
      <c r="A47" s="12">
        <v>40</v>
      </c>
      <c r="B47" s="33"/>
      <c r="C47" s="38" t="str">
        <f>Notes!W48</f>
        <v xml:space="preserve">               </v>
      </c>
      <c r="D47" s="4"/>
      <c r="E47" s="44"/>
      <c r="F47" s="42"/>
      <c r="G47" s="42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W47" s="33"/>
      <c r="X47" s="38" t="str">
        <f>Notes!W48</f>
        <v xml:space="preserve">               </v>
      </c>
      <c r="Y47" s="4"/>
      <c r="Z47" s="44"/>
      <c r="AA47" s="42"/>
      <c r="AB47" s="42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R47" s="33"/>
      <c r="AS47" s="38" t="str">
        <f>Notes!U48</f>
        <v xml:space="preserve">      Forestry</v>
      </c>
      <c r="AT47" s="4" t="s">
        <v>354</v>
      </c>
      <c r="AU47" s="44">
        <v>0.75247041256379033</v>
      </c>
      <c r="AV47" s="42">
        <v>3.1104882744471096</v>
      </c>
      <c r="AW47" s="42" t="s">
        <v>48</v>
      </c>
      <c r="AX47" s="40" t="s">
        <v>48</v>
      </c>
      <c r="AY47" s="40" t="s">
        <v>48</v>
      </c>
      <c r="AZ47" s="40" t="s">
        <v>48</v>
      </c>
      <c r="BA47" s="40" t="s">
        <v>48</v>
      </c>
      <c r="BB47" s="40" t="s">
        <v>48</v>
      </c>
      <c r="BC47" s="40" t="s">
        <v>48</v>
      </c>
      <c r="BD47" s="40" t="s">
        <v>48</v>
      </c>
      <c r="BE47" s="40" t="s">
        <v>48</v>
      </c>
      <c r="BF47" s="40" t="s">
        <v>48</v>
      </c>
      <c r="BG47" s="40" t="s">
        <v>48</v>
      </c>
      <c r="BH47" s="40" t="s">
        <v>48</v>
      </c>
      <c r="BI47" s="40" t="s">
        <v>48</v>
      </c>
      <c r="BJ47" s="40" t="s">
        <v>48</v>
      </c>
      <c r="BK47" s="40" t="s">
        <v>48</v>
      </c>
      <c r="BM47" s="33"/>
      <c r="BN47" s="38" t="str">
        <f>Notes!W48</f>
        <v xml:space="preserve">               </v>
      </c>
      <c r="BO47" s="4"/>
      <c r="BP47" s="44"/>
      <c r="BQ47" s="42"/>
      <c r="BR47" s="42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H47" s="33"/>
      <c r="CI47" s="38" t="str">
        <f>Notes!W48</f>
        <v xml:space="preserve">               </v>
      </c>
      <c r="CJ47" s="4"/>
      <c r="CK47" s="44"/>
      <c r="CL47" s="42"/>
      <c r="CM47" s="42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</row>
    <row r="48" spans="1:105" x14ac:dyDescent="0.3">
      <c r="A48" s="12">
        <v>41</v>
      </c>
      <c r="B48" s="33"/>
      <c r="C48" s="38" t="str">
        <f>Notes!W49</f>
        <v xml:space="preserve">               </v>
      </c>
      <c r="D48" s="4"/>
      <c r="E48" s="44"/>
      <c r="F48" s="42"/>
      <c r="G48" s="42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W48" s="33"/>
      <c r="X48" s="38" t="str">
        <f>Notes!W49</f>
        <v xml:space="preserve">               </v>
      </c>
      <c r="Y48" s="4"/>
      <c r="Z48" s="44"/>
      <c r="AA48" s="42"/>
      <c r="AB48" s="42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R48" s="33"/>
      <c r="AS48" s="38" t="str">
        <f>Notes!U49</f>
        <v xml:space="preserve">      Aquaculture</v>
      </c>
      <c r="AT48" s="4" t="s">
        <v>542</v>
      </c>
      <c r="AU48" s="44">
        <v>2.7741856676765968</v>
      </c>
      <c r="AV48" s="42">
        <v>3.0660599050642556</v>
      </c>
      <c r="AW48" s="42" t="s">
        <v>48</v>
      </c>
      <c r="AX48" s="40" t="s">
        <v>48</v>
      </c>
      <c r="AY48" s="40" t="s">
        <v>48</v>
      </c>
      <c r="AZ48" s="40" t="s">
        <v>48</v>
      </c>
      <c r="BA48" s="40" t="s">
        <v>48</v>
      </c>
      <c r="BB48" s="40" t="s">
        <v>48</v>
      </c>
      <c r="BC48" s="40" t="s">
        <v>48</v>
      </c>
      <c r="BD48" s="40" t="s">
        <v>48</v>
      </c>
      <c r="BE48" s="40" t="s">
        <v>48</v>
      </c>
      <c r="BF48" s="40" t="s">
        <v>48</v>
      </c>
      <c r="BG48" s="40" t="s">
        <v>48</v>
      </c>
      <c r="BH48" s="40" t="s">
        <v>48</v>
      </c>
      <c r="BI48" s="40" t="s">
        <v>48</v>
      </c>
      <c r="BJ48" s="40" t="s">
        <v>48</v>
      </c>
      <c r="BK48" s="40" t="s">
        <v>48</v>
      </c>
      <c r="BM48" s="33"/>
      <c r="BN48" s="38" t="str">
        <f>Notes!W49</f>
        <v xml:space="preserve">               </v>
      </c>
      <c r="BO48" s="4"/>
      <c r="BP48" s="44"/>
      <c r="BQ48" s="42"/>
      <c r="BR48" s="42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H48" s="33"/>
      <c r="CI48" s="38" t="str">
        <f>Notes!W49</f>
        <v xml:space="preserve">               </v>
      </c>
      <c r="CJ48" s="4"/>
      <c r="CK48" s="44"/>
      <c r="CL48" s="42"/>
      <c r="CM48" s="42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</row>
    <row r="49" spans="1:105" x14ac:dyDescent="0.3">
      <c r="A49" s="12">
        <v>42</v>
      </c>
      <c r="B49" s="33"/>
      <c r="C49" s="38" t="str">
        <f>Notes!W50</f>
        <v xml:space="preserve">               </v>
      </c>
      <c r="D49" s="4"/>
      <c r="E49" s="44"/>
      <c r="F49" s="42"/>
      <c r="G49" s="42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W49" s="33"/>
      <c r="X49" s="38" t="str">
        <f>Notes!W50</f>
        <v xml:space="preserve">               </v>
      </c>
      <c r="Y49" s="4"/>
      <c r="Z49" s="44"/>
      <c r="AA49" s="42"/>
      <c r="AB49" s="42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R49" s="33"/>
      <c r="AS49" s="38" t="str">
        <f>Notes!U50</f>
        <v xml:space="preserve">      Capture fisheries</v>
      </c>
      <c r="AT49" s="4" t="s">
        <v>356</v>
      </c>
      <c r="AU49" s="44">
        <v>1.5900290926378833</v>
      </c>
      <c r="AV49" s="42">
        <v>3.045914169088304</v>
      </c>
      <c r="AW49" s="42" t="s">
        <v>48</v>
      </c>
      <c r="AX49" s="40" t="s">
        <v>48</v>
      </c>
      <c r="AY49" s="40" t="s">
        <v>48</v>
      </c>
      <c r="AZ49" s="40" t="s">
        <v>48</v>
      </c>
      <c r="BA49" s="40" t="s">
        <v>48</v>
      </c>
      <c r="BB49" s="40" t="s">
        <v>48</v>
      </c>
      <c r="BC49" s="40" t="s">
        <v>48</v>
      </c>
      <c r="BD49" s="40" t="s">
        <v>48</v>
      </c>
      <c r="BE49" s="40" t="s">
        <v>48</v>
      </c>
      <c r="BF49" s="40" t="s">
        <v>48</v>
      </c>
      <c r="BG49" s="40" t="s">
        <v>48</v>
      </c>
      <c r="BH49" s="40" t="s">
        <v>48</v>
      </c>
      <c r="BI49" s="40" t="s">
        <v>48</v>
      </c>
      <c r="BJ49" s="40" t="s">
        <v>48</v>
      </c>
      <c r="BK49" s="40" t="s">
        <v>48</v>
      </c>
      <c r="BM49" s="33"/>
      <c r="BN49" s="38" t="str">
        <f>Notes!W50</f>
        <v xml:space="preserve">               </v>
      </c>
      <c r="BO49" s="4"/>
      <c r="BP49" s="44"/>
      <c r="BQ49" s="42"/>
      <c r="BR49" s="42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H49" s="33"/>
      <c r="CI49" s="38" t="str">
        <f>Notes!W50</f>
        <v xml:space="preserve">               </v>
      </c>
      <c r="CJ49" s="4"/>
      <c r="CK49" s="44"/>
      <c r="CL49" s="42"/>
      <c r="CM49" s="42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</row>
    <row r="50" spans="1:105" x14ac:dyDescent="0.3">
      <c r="A50" s="12">
        <v>43</v>
      </c>
      <c r="B50" s="33"/>
      <c r="C50" s="38" t="str">
        <f>Notes!W51</f>
        <v xml:space="preserve">               </v>
      </c>
      <c r="D50" s="4"/>
      <c r="E50" s="44"/>
      <c r="F50" s="42"/>
      <c r="G50" s="42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W50" s="33"/>
      <c r="X50" s="38" t="str">
        <f>Notes!W51</f>
        <v xml:space="preserve">               </v>
      </c>
      <c r="Y50" s="4"/>
      <c r="Z50" s="44"/>
      <c r="AA50" s="42"/>
      <c r="AB50" s="42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R50" s="33"/>
      <c r="AS50" s="38" t="str">
        <f>Notes!U51</f>
        <v>Industry</v>
      </c>
      <c r="AT50" s="4" t="s">
        <v>357</v>
      </c>
      <c r="AU50" s="44">
        <v>58.00157805928481</v>
      </c>
      <c r="AV50" s="42">
        <v>3.0426436938535861</v>
      </c>
      <c r="AW50" s="42" t="s">
        <v>48</v>
      </c>
      <c r="AX50" s="40" t="s">
        <v>48</v>
      </c>
      <c r="AY50" s="40" t="s">
        <v>48</v>
      </c>
      <c r="AZ50" s="40" t="s">
        <v>48</v>
      </c>
      <c r="BA50" s="40" t="s">
        <v>48</v>
      </c>
      <c r="BB50" s="40" t="s">
        <v>48</v>
      </c>
      <c r="BC50" s="40" t="s">
        <v>48</v>
      </c>
      <c r="BD50" s="40" t="s">
        <v>48</v>
      </c>
      <c r="BE50" s="40" t="s">
        <v>48</v>
      </c>
      <c r="BF50" s="40" t="s">
        <v>48</v>
      </c>
      <c r="BG50" s="40" t="s">
        <v>48</v>
      </c>
      <c r="BH50" s="40" t="s">
        <v>48</v>
      </c>
      <c r="BI50" s="40" t="s">
        <v>48</v>
      </c>
      <c r="BJ50" s="40" t="s">
        <v>48</v>
      </c>
      <c r="BK50" s="40" t="s">
        <v>48</v>
      </c>
      <c r="BM50" s="33"/>
      <c r="BN50" s="38" t="str">
        <f>Notes!W51</f>
        <v xml:space="preserve">               </v>
      </c>
      <c r="BO50" s="4"/>
      <c r="BP50" s="44"/>
      <c r="BQ50" s="42"/>
      <c r="BR50" s="42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H50" s="33"/>
      <c r="CI50" s="38" t="str">
        <f>Notes!W51</f>
        <v xml:space="preserve">               </v>
      </c>
      <c r="CJ50" s="4"/>
      <c r="CK50" s="44"/>
      <c r="CL50" s="42"/>
      <c r="CM50" s="42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</row>
    <row r="51" spans="1:105" x14ac:dyDescent="0.3">
      <c r="A51" s="12">
        <v>44</v>
      </c>
      <c r="B51" s="33"/>
      <c r="C51" s="38" t="str">
        <f>Notes!W52</f>
        <v xml:space="preserve">               </v>
      </c>
      <c r="D51" s="4"/>
      <c r="E51" s="44"/>
      <c r="F51" s="42"/>
      <c r="G51" s="42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W51" s="33"/>
      <c r="X51" s="38" t="str">
        <f>Notes!W52</f>
        <v xml:space="preserve">               </v>
      </c>
      <c r="Y51" s="4"/>
      <c r="Z51" s="44"/>
      <c r="AA51" s="42"/>
      <c r="AB51" s="42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R51" s="33"/>
      <c r="AS51" s="38" t="str">
        <f>Notes!U52</f>
        <v xml:space="preserve">   Mining</v>
      </c>
      <c r="AT51" s="4" t="s">
        <v>545</v>
      </c>
      <c r="AU51" s="44">
        <v>1.3124345160746755E-2</v>
      </c>
      <c r="AV51" s="42">
        <v>3.0823965751186622</v>
      </c>
      <c r="AW51" s="42" t="s">
        <v>48</v>
      </c>
      <c r="AX51" s="40" t="s">
        <v>48</v>
      </c>
      <c r="AY51" s="40" t="s">
        <v>48</v>
      </c>
      <c r="AZ51" s="40" t="s">
        <v>48</v>
      </c>
      <c r="BA51" s="40" t="s">
        <v>48</v>
      </c>
      <c r="BB51" s="40" t="s">
        <v>48</v>
      </c>
      <c r="BC51" s="40" t="s">
        <v>48</v>
      </c>
      <c r="BD51" s="40" t="s">
        <v>48</v>
      </c>
      <c r="BE51" s="40" t="s">
        <v>48</v>
      </c>
      <c r="BF51" s="40" t="s">
        <v>48</v>
      </c>
      <c r="BG51" s="40" t="s">
        <v>48</v>
      </c>
      <c r="BH51" s="40" t="s">
        <v>48</v>
      </c>
      <c r="BI51" s="40" t="s">
        <v>48</v>
      </c>
      <c r="BJ51" s="40" t="s">
        <v>48</v>
      </c>
      <c r="BK51" s="40" t="s">
        <v>48</v>
      </c>
      <c r="BM51" s="33"/>
      <c r="BN51" s="38" t="str">
        <f>Notes!W52</f>
        <v xml:space="preserve">               </v>
      </c>
      <c r="BO51" s="4"/>
      <c r="BP51" s="44"/>
      <c r="BQ51" s="42"/>
      <c r="BR51" s="42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H51" s="33"/>
      <c r="CI51" s="38" t="str">
        <f>Notes!W52</f>
        <v xml:space="preserve">               </v>
      </c>
      <c r="CJ51" s="4"/>
      <c r="CK51" s="44"/>
      <c r="CL51" s="42"/>
      <c r="CM51" s="42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</row>
    <row r="52" spans="1:105" x14ac:dyDescent="0.3">
      <c r="A52" s="12">
        <v>45</v>
      </c>
      <c r="B52" s="33"/>
      <c r="C52" s="38" t="str">
        <f>Notes!W53</f>
        <v xml:space="preserve">               </v>
      </c>
      <c r="D52" s="4"/>
      <c r="E52" s="44"/>
      <c r="F52" s="42"/>
      <c r="G52" s="42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W52" s="33"/>
      <c r="X52" s="38" t="str">
        <f>Notes!W53</f>
        <v xml:space="preserve">               </v>
      </c>
      <c r="Y52" s="4"/>
      <c r="Z52" s="44"/>
      <c r="AA52" s="42"/>
      <c r="AB52" s="42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R52" s="33"/>
      <c r="AS52" s="38" t="str">
        <f>Notes!U53</f>
        <v xml:space="preserve">      Coal and lignite</v>
      </c>
      <c r="AT52" s="4" t="s">
        <v>546</v>
      </c>
      <c r="AU52" s="44">
        <v>1.3124345160746755E-2</v>
      </c>
      <c r="AV52" s="42">
        <v>3.0823965751186622</v>
      </c>
      <c r="AW52" s="42" t="s">
        <v>48</v>
      </c>
      <c r="AX52" s="40" t="s">
        <v>48</v>
      </c>
      <c r="AY52" s="40" t="s">
        <v>48</v>
      </c>
      <c r="AZ52" s="40" t="s">
        <v>48</v>
      </c>
      <c r="BA52" s="40" t="s">
        <v>48</v>
      </c>
      <c r="BB52" s="40" t="s">
        <v>48</v>
      </c>
      <c r="BC52" s="40" t="s">
        <v>48</v>
      </c>
      <c r="BD52" s="40" t="s">
        <v>48</v>
      </c>
      <c r="BE52" s="40" t="s">
        <v>48</v>
      </c>
      <c r="BF52" s="40" t="s">
        <v>48</v>
      </c>
      <c r="BG52" s="40" t="s">
        <v>48</v>
      </c>
      <c r="BH52" s="40" t="s">
        <v>48</v>
      </c>
      <c r="BI52" s="40" t="s">
        <v>48</v>
      </c>
      <c r="BJ52" s="40" t="s">
        <v>48</v>
      </c>
      <c r="BK52" s="40" t="s">
        <v>48</v>
      </c>
      <c r="BM52" s="33"/>
      <c r="BN52" s="38" t="str">
        <f>Notes!W53</f>
        <v xml:space="preserve">               </v>
      </c>
      <c r="BO52" s="4"/>
      <c r="BP52" s="44"/>
      <c r="BQ52" s="42"/>
      <c r="BR52" s="42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H52" s="33"/>
      <c r="CI52" s="38" t="str">
        <f>Notes!W53</f>
        <v xml:space="preserve">               </v>
      </c>
      <c r="CJ52" s="4"/>
      <c r="CK52" s="44"/>
      <c r="CL52" s="42"/>
      <c r="CM52" s="42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</row>
    <row r="53" spans="1:105" x14ac:dyDescent="0.3">
      <c r="A53" s="12">
        <v>46</v>
      </c>
      <c r="B53" s="33"/>
      <c r="C53" s="38" t="str">
        <f>Notes!W54</f>
        <v xml:space="preserve">               </v>
      </c>
      <c r="D53" s="4"/>
      <c r="E53" s="44"/>
      <c r="F53" s="42"/>
      <c r="G53" s="42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W53" s="33"/>
      <c r="X53" s="38" t="str">
        <f>Notes!W54</f>
        <v xml:space="preserve">               </v>
      </c>
      <c r="Y53" s="4"/>
      <c r="Z53" s="44"/>
      <c r="AA53" s="42"/>
      <c r="AB53" s="42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R53" s="33"/>
      <c r="AS53" s="38" t="str">
        <f>Notes!U54</f>
        <v xml:space="preserve">      Crude oil</v>
      </c>
      <c r="AT53" s="4" t="s">
        <v>548</v>
      </c>
      <c r="AU53" s="44" t="s">
        <v>48</v>
      </c>
      <c r="AV53" s="42" t="s">
        <v>48</v>
      </c>
      <c r="AW53" s="42" t="s">
        <v>48</v>
      </c>
      <c r="AX53" s="40" t="s">
        <v>48</v>
      </c>
      <c r="AY53" s="40" t="s">
        <v>48</v>
      </c>
      <c r="AZ53" s="40" t="s">
        <v>48</v>
      </c>
      <c r="BA53" s="40" t="s">
        <v>48</v>
      </c>
      <c r="BB53" s="40" t="s">
        <v>48</v>
      </c>
      <c r="BC53" s="40" t="s">
        <v>48</v>
      </c>
      <c r="BD53" s="40" t="s">
        <v>48</v>
      </c>
      <c r="BE53" s="40" t="s">
        <v>48</v>
      </c>
      <c r="BF53" s="40" t="s">
        <v>48</v>
      </c>
      <c r="BG53" s="40" t="s">
        <v>48</v>
      </c>
      <c r="BH53" s="40" t="s">
        <v>48</v>
      </c>
      <c r="BI53" s="40" t="s">
        <v>48</v>
      </c>
      <c r="BJ53" s="40" t="s">
        <v>48</v>
      </c>
      <c r="BK53" s="40" t="s">
        <v>48</v>
      </c>
      <c r="BM53" s="33"/>
      <c r="BN53" s="38" t="str">
        <f>Notes!W54</f>
        <v xml:space="preserve">               </v>
      </c>
      <c r="BO53" s="4"/>
      <c r="BP53" s="44"/>
      <c r="BQ53" s="42"/>
      <c r="BR53" s="42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H53" s="33"/>
      <c r="CI53" s="38" t="str">
        <f>Notes!W54</f>
        <v xml:space="preserve">               </v>
      </c>
      <c r="CJ53" s="4"/>
      <c r="CK53" s="44"/>
      <c r="CL53" s="42"/>
      <c r="CM53" s="42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</row>
    <row r="54" spans="1:105" x14ac:dyDescent="0.3">
      <c r="A54" s="12">
        <v>47</v>
      </c>
      <c r="B54" s="33"/>
      <c r="C54" s="38" t="str">
        <f>Notes!W55</f>
        <v xml:space="preserve">               </v>
      </c>
      <c r="D54" s="4"/>
      <c r="E54" s="44"/>
      <c r="F54" s="42"/>
      <c r="G54" s="42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W54" s="33"/>
      <c r="X54" s="38" t="str">
        <f>Notes!W55</f>
        <v xml:space="preserve">               </v>
      </c>
      <c r="Y54" s="4"/>
      <c r="Z54" s="44"/>
      <c r="AA54" s="42"/>
      <c r="AB54" s="42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R54" s="33"/>
      <c r="AS54" s="38" t="str">
        <f>Notes!U55</f>
        <v xml:space="preserve">      Natural gas</v>
      </c>
      <c r="AT54" s="4" t="s">
        <v>550</v>
      </c>
      <c r="AU54" s="44" t="s">
        <v>48</v>
      </c>
      <c r="AV54" s="42" t="s">
        <v>48</v>
      </c>
      <c r="AW54" s="42" t="s">
        <v>48</v>
      </c>
      <c r="AX54" s="40" t="s">
        <v>48</v>
      </c>
      <c r="AY54" s="40" t="s">
        <v>48</v>
      </c>
      <c r="AZ54" s="40" t="s">
        <v>48</v>
      </c>
      <c r="BA54" s="40" t="s">
        <v>48</v>
      </c>
      <c r="BB54" s="40" t="s">
        <v>48</v>
      </c>
      <c r="BC54" s="40" t="s">
        <v>48</v>
      </c>
      <c r="BD54" s="40" t="s">
        <v>48</v>
      </c>
      <c r="BE54" s="40" t="s">
        <v>48</v>
      </c>
      <c r="BF54" s="40" t="s">
        <v>48</v>
      </c>
      <c r="BG54" s="40" t="s">
        <v>48</v>
      </c>
      <c r="BH54" s="40" t="s">
        <v>48</v>
      </c>
      <c r="BI54" s="40" t="s">
        <v>48</v>
      </c>
      <c r="BJ54" s="40" t="s">
        <v>48</v>
      </c>
      <c r="BK54" s="40" t="s">
        <v>48</v>
      </c>
      <c r="BM54" s="33"/>
      <c r="BN54" s="38" t="str">
        <f>Notes!W55</f>
        <v xml:space="preserve">               </v>
      </c>
      <c r="BO54" s="4"/>
      <c r="BP54" s="44"/>
      <c r="BQ54" s="42"/>
      <c r="BR54" s="42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H54" s="33"/>
      <c r="CI54" s="38" t="str">
        <f>Notes!W55</f>
        <v xml:space="preserve">               </v>
      </c>
      <c r="CJ54" s="4"/>
      <c r="CK54" s="44"/>
      <c r="CL54" s="42"/>
      <c r="CM54" s="42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</row>
    <row r="55" spans="1:105" x14ac:dyDescent="0.3">
      <c r="A55" s="12">
        <v>48</v>
      </c>
      <c r="B55" s="33"/>
      <c r="C55" s="38" t="str">
        <f>Notes!W56</f>
        <v xml:space="preserve">               </v>
      </c>
      <c r="D55" s="4"/>
      <c r="E55" s="44"/>
      <c r="F55" s="42"/>
      <c r="G55" s="42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W55" s="33"/>
      <c r="X55" s="38" t="str">
        <f>Notes!W56</f>
        <v xml:space="preserve">               </v>
      </c>
      <c r="Y55" s="4"/>
      <c r="Z55" s="44"/>
      <c r="AA55" s="42"/>
      <c r="AB55" s="42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R55" s="33"/>
      <c r="AS55" s="38" t="str">
        <f>Notes!U56</f>
        <v xml:space="preserve">      Other mining</v>
      </c>
      <c r="AT55" s="4" t="s">
        <v>552</v>
      </c>
      <c r="AU55" s="44" t="s">
        <v>48</v>
      </c>
      <c r="AV55" s="42" t="s">
        <v>48</v>
      </c>
      <c r="AW55" s="42" t="s">
        <v>48</v>
      </c>
      <c r="AX55" s="40" t="s">
        <v>48</v>
      </c>
      <c r="AY55" s="40" t="s">
        <v>48</v>
      </c>
      <c r="AZ55" s="40" t="s">
        <v>48</v>
      </c>
      <c r="BA55" s="40" t="s">
        <v>48</v>
      </c>
      <c r="BB55" s="40" t="s">
        <v>48</v>
      </c>
      <c r="BC55" s="40" t="s">
        <v>48</v>
      </c>
      <c r="BD55" s="40" t="s">
        <v>48</v>
      </c>
      <c r="BE55" s="40" t="s">
        <v>48</v>
      </c>
      <c r="BF55" s="40" t="s">
        <v>48</v>
      </c>
      <c r="BG55" s="40" t="s">
        <v>48</v>
      </c>
      <c r="BH55" s="40" t="s">
        <v>48</v>
      </c>
      <c r="BI55" s="40" t="s">
        <v>48</v>
      </c>
      <c r="BJ55" s="40" t="s">
        <v>48</v>
      </c>
      <c r="BK55" s="40" t="s">
        <v>48</v>
      </c>
      <c r="BM55" s="33"/>
      <c r="BN55" s="38" t="str">
        <f>Notes!W56</f>
        <v xml:space="preserve">               </v>
      </c>
      <c r="BO55" s="4"/>
      <c r="BP55" s="44"/>
      <c r="BQ55" s="42"/>
      <c r="BR55" s="42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H55" s="33"/>
      <c r="CI55" s="38" t="str">
        <f>Notes!W56</f>
        <v xml:space="preserve">               </v>
      </c>
      <c r="CJ55" s="4"/>
      <c r="CK55" s="44"/>
      <c r="CL55" s="42"/>
      <c r="CM55" s="42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</row>
    <row r="56" spans="1:105" x14ac:dyDescent="0.3">
      <c r="A56" s="12">
        <v>49</v>
      </c>
      <c r="B56" s="33"/>
      <c r="C56" s="38" t="str">
        <f>Notes!W57</f>
        <v xml:space="preserve">               </v>
      </c>
      <c r="D56" s="4"/>
      <c r="E56" s="44"/>
      <c r="F56" s="42"/>
      <c r="G56" s="42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W56" s="33"/>
      <c r="X56" s="38" t="str">
        <f>Notes!W57</f>
        <v xml:space="preserve">               </v>
      </c>
      <c r="Y56" s="4"/>
      <c r="Z56" s="44"/>
      <c r="AA56" s="42"/>
      <c r="AB56" s="42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R56" s="33"/>
      <c r="AS56" s="38" t="str">
        <f>Notes!U57</f>
        <v xml:space="preserve">   Manufacturing</v>
      </c>
      <c r="AT56" s="4" t="s">
        <v>360</v>
      </c>
      <c r="AU56" s="44">
        <v>56.078325383875097</v>
      </c>
      <c r="AV56" s="42">
        <v>3.0414462757581084</v>
      </c>
      <c r="AW56" s="42" t="s">
        <v>48</v>
      </c>
      <c r="AX56" s="40" t="s">
        <v>48</v>
      </c>
      <c r="AY56" s="40" t="s">
        <v>48</v>
      </c>
      <c r="AZ56" s="40" t="s">
        <v>48</v>
      </c>
      <c r="BA56" s="40" t="s">
        <v>48</v>
      </c>
      <c r="BB56" s="40" t="s">
        <v>48</v>
      </c>
      <c r="BC56" s="40" t="s">
        <v>48</v>
      </c>
      <c r="BD56" s="40" t="s">
        <v>48</v>
      </c>
      <c r="BE56" s="40" t="s">
        <v>48</v>
      </c>
      <c r="BF56" s="40" t="s">
        <v>48</v>
      </c>
      <c r="BG56" s="40" t="s">
        <v>48</v>
      </c>
      <c r="BH56" s="40" t="s">
        <v>48</v>
      </c>
      <c r="BI56" s="40" t="s">
        <v>48</v>
      </c>
      <c r="BJ56" s="40" t="s">
        <v>48</v>
      </c>
      <c r="BK56" s="40" t="s">
        <v>48</v>
      </c>
      <c r="BM56" s="33"/>
      <c r="BN56" s="38" t="str">
        <f>Notes!W57</f>
        <v xml:space="preserve">               </v>
      </c>
      <c r="BO56" s="4"/>
      <c r="BP56" s="44"/>
      <c r="BQ56" s="42"/>
      <c r="BR56" s="42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H56" s="33"/>
      <c r="CI56" s="38" t="str">
        <f>Notes!W57</f>
        <v xml:space="preserve">               </v>
      </c>
      <c r="CJ56" s="4"/>
      <c r="CK56" s="44"/>
      <c r="CL56" s="42"/>
      <c r="CM56" s="42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</row>
    <row r="57" spans="1:105" x14ac:dyDescent="0.3">
      <c r="A57" s="12">
        <v>50</v>
      </c>
      <c r="B57" s="33"/>
      <c r="C57" s="38" t="str">
        <f>Notes!W58</f>
        <v xml:space="preserve">               </v>
      </c>
      <c r="D57" s="4"/>
      <c r="E57" s="44"/>
      <c r="F57" s="42"/>
      <c r="G57" s="42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W57" s="33"/>
      <c r="X57" s="38" t="str">
        <f>Notes!W58</f>
        <v xml:space="preserve">               </v>
      </c>
      <c r="Y57" s="4"/>
      <c r="Z57" s="44"/>
      <c r="AA57" s="42"/>
      <c r="AB57" s="42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R57" s="33"/>
      <c r="AS57" s="38" t="str">
        <f>Notes!U58</f>
        <v xml:space="preserve">      Food processing</v>
      </c>
      <c r="AT57" s="4" t="s">
        <v>554</v>
      </c>
      <c r="AU57" s="44">
        <v>17.422599851504152</v>
      </c>
      <c r="AV57" s="42">
        <v>3.0249991766432727</v>
      </c>
      <c r="AW57" s="42" t="s">
        <v>48</v>
      </c>
      <c r="AX57" s="40" t="s">
        <v>48</v>
      </c>
      <c r="AY57" s="40" t="s">
        <v>48</v>
      </c>
      <c r="AZ57" s="40" t="s">
        <v>48</v>
      </c>
      <c r="BA57" s="40" t="s">
        <v>48</v>
      </c>
      <c r="BB57" s="40" t="s">
        <v>48</v>
      </c>
      <c r="BC57" s="40" t="s">
        <v>48</v>
      </c>
      <c r="BD57" s="40" t="s">
        <v>48</v>
      </c>
      <c r="BE57" s="40" t="s">
        <v>48</v>
      </c>
      <c r="BF57" s="40" t="s">
        <v>48</v>
      </c>
      <c r="BG57" s="40" t="s">
        <v>48</v>
      </c>
      <c r="BH57" s="40" t="s">
        <v>48</v>
      </c>
      <c r="BI57" s="40" t="s">
        <v>48</v>
      </c>
      <c r="BJ57" s="40" t="s">
        <v>48</v>
      </c>
      <c r="BK57" s="40" t="s">
        <v>48</v>
      </c>
      <c r="BM57" s="33"/>
      <c r="BN57" s="38" t="str">
        <f>Notes!W58</f>
        <v xml:space="preserve">               </v>
      </c>
      <c r="BO57" s="4"/>
      <c r="BP57" s="44"/>
      <c r="BQ57" s="42"/>
      <c r="BR57" s="42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H57" s="33"/>
      <c r="CI57" s="38" t="str">
        <f>Notes!W58</f>
        <v xml:space="preserve">               </v>
      </c>
      <c r="CJ57" s="4"/>
      <c r="CK57" s="44"/>
      <c r="CL57" s="42"/>
      <c r="CM57" s="42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</row>
    <row r="58" spans="1:105" x14ac:dyDescent="0.3">
      <c r="A58" s="12">
        <v>51</v>
      </c>
      <c r="B58" s="33"/>
      <c r="C58" s="38" t="str">
        <f>Notes!W59</f>
        <v xml:space="preserve">               </v>
      </c>
      <c r="D58" s="4"/>
      <c r="E58" s="44"/>
      <c r="F58" s="42"/>
      <c r="G58" s="42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W58" s="33"/>
      <c r="X58" s="38" t="str">
        <f>Notes!W59</f>
        <v xml:space="preserve">               </v>
      </c>
      <c r="Y58" s="4"/>
      <c r="Z58" s="44"/>
      <c r="AA58" s="42"/>
      <c r="AB58" s="42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R58" s="33"/>
      <c r="AS58" s="38" t="str">
        <f>Notes!U59</f>
        <v xml:space="preserve">         Meat processing</v>
      </c>
      <c r="AT58" s="4" t="s">
        <v>556</v>
      </c>
      <c r="AU58" s="44">
        <v>1.4514389074520777</v>
      </c>
      <c r="AV58" s="42">
        <v>3.020945208028003</v>
      </c>
      <c r="AW58" s="42" t="s">
        <v>48</v>
      </c>
      <c r="AX58" s="40" t="s">
        <v>48</v>
      </c>
      <c r="AY58" s="40" t="s">
        <v>48</v>
      </c>
      <c r="AZ58" s="40" t="s">
        <v>48</v>
      </c>
      <c r="BA58" s="40" t="s">
        <v>48</v>
      </c>
      <c r="BB58" s="40" t="s">
        <v>48</v>
      </c>
      <c r="BC58" s="40" t="s">
        <v>48</v>
      </c>
      <c r="BD58" s="40" t="s">
        <v>48</v>
      </c>
      <c r="BE58" s="40" t="s">
        <v>48</v>
      </c>
      <c r="BF58" s="40" t="s">
        <v>48</v>
      </c>
      <c r="BG58" s="40" t="s">
        <v>48</v>
      </c>
      <c r="BH58" s="40" t="s">
        <v>48</v>
      </c>
      <c r="BI58" s="40" t="s">
        <v>48</v>
      </c>
      <c r="BJ58" s="40" t="s">
        <v>48</v>
      </c>
      <c r="BK58" s="40" t="s">
        <v>48</v>
      </c>
      <c r="BM58" s="33"/>
      <c r="BN58" s="38" t="str">
        <f>Notes!W59</f>
        <v xml:space="preserve">               </v>
      </c>
      <c r="BO58" s="4"/>
      <c r="BP58" s="44"/>
      <c r="BQ58" s="42"/>
      <c r="BR58" s="42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H58" s="33"/>
      <c r="CI58" s="38" t="str">
        <f>Notes!W59</f>
        <v xml:space="preserve">               </v>
      </c>
      <c r="CJ58" s="4"/>
      <c r="CK58" s="44"/>
      <c r="CL58" s="42"/>
      <c r="CM58" s="42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</row>
    <row r="59" spans="1:105" x14ac:dyDescent="0.3">
      <c r="A59" s="12">
        <v>52</v>
      </c>
      <c r="B59" s="33"/>
      <c r="C59" s="38" t="str">
        <f>Notes!W60</f>
        <v xml:space="preserve">               </v>
      </c>
      <c r="D59" s="4"/>
      <c r="E59" s="44"/>
      <c r="F59" s="42"/>
      <c r="G59" s="42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W59" s="33"/>
      <c r="X59" s="38" t="str">
        <f>Notes!W60</f>
        <v xml:space="preserve">               </v>
      </c>
      <c r="Y59" s="4"/>
      <c r="Z59" s="44"/>
      <c r="AA59" s="42"/>
      <c r="AB59" s="42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R59" s="33"/>
      <c r="AS59" s="38" t="str">
        <f>Notes!U60</f>
        <v xml:space="preserve">         Fish and seafood processing</v>
      </c>
      <c r="AT59" s="4" t="s">
        <v>557</v>
      </c>
      <c r="AU59" s="44">
        <v>0.64941486265231974</v>
      </c>
      <c r="AV59" s="42">
        <v>3.0288131540204821</v>
      </c>
      <c r="AW59" s="42" t="s">
        <v>48</v>
      </c>
      <c r="AX59" s="40" t="s">
        <v>48</v>
      </c>
      <c r="AY59" s="40" t="s">
        <v>48</v>
      </c>
      <c r="AZ59" s="40" t="s">
        <v>48</v>
      </c>
      <c r="BA59" s="40" t="s">
        <v>48</v>
      </c>
      <c r="BB59" s="40" t="s">
        <v>48</v>
      </c>
      <c r="BC59" s="40" t="s">
        <v>48</v>
      </c>
      <c r="BD59" s="40" t="s">
        <v>48</v>
      </c>
      <c r="BE59" s="40" t="s">
        <v>48</v>
      </c>
      <c r="BF59" s="40" t="s">
        <v>48</v>
      </c>
      <c r="BG59" s="40" t="s">
        <v>48</v>
      </c>
      <c r="BH59" s="40" t="s">
        <v>48</v>
      </c>
      <c r="BI59" s="40" t="s">
        <v>48</v>
      </c>
      <c r="BJ59" s="40" t="s">
        <v>48</v>
      </c>
      <c r="BK59" s="40" t="s">
        <v>48</v>
      </c>
      <c r="BM59" s="33"/>
      <c r="BN59" s="38" t="str">
        <f>Notes!W60</f>
        <v xml:space="preserve">               </v>
      </c>
      <c r="BO59" s="4"/>
      <c r="BP59" s="44"/>
      <c r="BQ59" s="42"/>
      <c r="BR59" s="42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H59" s="33"/>
      <c r="CI59" s="38" t="str">
        <f>Notes!W60</f>
        <v xml:space="preserve">               </v>
      </c>
      <c r="CJ59" s="4"/>
      <c r="CK59" s="44"/>
      <c r="CL59" s="42"/>
      <c r="CM59" s="42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</row>
    <row r="60" spans="1:105" x14ac:dyDescent="0.3">
      <c r="A60" s="12">
        <v>53</v>
      </c>
      <c r="B60" s="33"/>
      <c r="C60" s="38" t="str">
        <f>Notes!W61</f>
        <v xml:space="preserve">               </v>
      </c>
      <c r="D60" s="4"/>
      <c r="E60" s="44"/>
      <c r="F60" s="42"/>
      <c r="G60" s="42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W60" s="33"/>
      <c r="X60" s="38" t="str">
        <f>Notes!W61</f>
        <v xml:space="preserve">               </v>
      </c>
      <c r="Y60" s="4"/>
      <c r="Z60" s="44"/>
      <c r="AA60" s="42"/>
      <c r="AB60" s="42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R60" s="33"/>
      <c r="AS60" s="38" t="str">
        <f>Notes!U61</f>
        <v xml:space="preserve">         Dairy</v>
      </c>
      <c r="AT60" s="4" t="s">
        <v>559</v>
      </c>
      <c r="AU60" s="44">
        <v>0.60199608106323743</v>
      </c>
      <c r="AV60" s="42">
        <v>3.0478046346479992</v>
      </c>
      <c r="AW60" s="42" t="s">
        <v>48</v>
      </c>
      <c r="AX60" s="40" t="s">
        <v>48</v>
      </c>
      <c r="AY60" s="40" t="s">
        <v>48</v>
      </c>
      <c r="AZ60" s="40" t="s">
        <v>48</v>
      </c>
      <c r="BA60" s="40" t="s">
        <v>48</v>
      </c>
      <c r="BB60" s="40" t="s">
        <v>48</v>
      </c>
      <c r="BC60" s="40" t="s">
        <v>48</v>
      </c>
      <c r="BD60" s="40" t="s">
        <v>48</v>
      </c>
      <c r="BE60" s="40" t="s">
        <v>48</v>
      </c>
      <c r="BF60" s="40" t="s">
        <v>48</v>
      </c>
      <c r="BG60" s="40" t="s">
        <v>48</v>
      </c>
      <c r="BH60" s="40" t="s">
        <v>48</v>
      </c>
      <c r="BI60" s="40" t="s">
        <v>48</v>
      </c>
      <c r="BJ60" s="40" t="s">
        <v>48</v>
      </c>
      <c r="BK60" s="40" t="s">
        <v>48</v>
      </c>
      <c r="BM60" s="33"/>
      <c r="BN60" s="38" t="str">
        <f>Notes!W61</f>
        <v xml:space="preserve">               </v>
      </c>
      <c r="BO60" s="4"/>
      <c r="BP60" s="44"/>
      <c r="BQ60" s="42"/>
      <c r="BR60" s="42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H60" s="33"/>
      <c r="CI60" s="38" t="str">
        <f>Notes!W61</f>
        <v xml:space="preserve">               </v>
      </c>
      <c r="CJ60" s="4"/>
      <c r="CK60" s="44"/>
      <c r="CL60" s="42"/>
      <c r="CM60" s="42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</row>
    <row r="61" spans="1:105" x14ac:dyDescent="0.3">
      <c r="A61" s="12">
        <v>54</v>
      </c>
      <c r="B61" s="33"/>
      <c r="C61" s="38" t="str">
        <f>Notes!W62</f>
        <v xml:space="preserve">               </v>
      </c>
      <c r="D61" s="4"/>
      <c r="E61" s="44"/>
      <c r="F61" s="42"/>
      <c r="G61" s="42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W61" s="33"/>
      <c r="X61" s="38" t="str">
        <f>Notes!W62</f>
        <v xml:space="preserve">               </v>
      </c>
      <c r="Y61" s="4"/>
      <c r="Z61" s="44"/>
      <c r="AA61" s="42"/>
      <c r="AB61" s="42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R61" s="33"/>
      <c r="AS61" s="38" t="str">
        <f>Notes!U62</f>
        <v xml:space="preserve">         Fruit and vegetable processing</v>
      </c>
      <c r="AT61" s="4" t="s">
        <v>561</v>
      </c>
      <c r="AU61" s="44">
        <v>0.28097799776261118</v>
      </c>
      <c r="AV61" s="42">
        <v>3.0240317942395123</v>
      </c>
      <c r="AW61" s="42" t="s">
        <v>48</v>
      </c>
      <c r="AX61" s="40" t="s">
        <v>48</v>
      </c>
      <c r="AY61" s="40" t="s">
        <v>48</v>
      </c>
      <c r="AZ61" s="40" t="s">
        <v>48</v>
      </c>
      <c r="BA61" s="40" t="s">
        <v>48</v>
      </c>
      <c r="BB61" s="40" t="s">
        <v>48</v>
      </c>
      <c r="BC61" s="40" t="s">
        <v>48</v>
      </c>
      <c r="BD61" s="40" t="s">
        <v>48</v>
      </c>
      <c r="BE61" s="40" t="s">
        <v>48</v>
      </c>
      <c r="BF61" s="40" t="s">
        <v>48</v>
      </c>
      <c r="BG61" s="40" t="s">
        <v>48</v>
      </c>
      <c r="BH61" s="40" t="s">
        <v>48</v>
      </c>
      <c r="BI61" s="40" t="s">
        <v>48</v>
      </c>
      <c r="BJ61" s="40" t="s">
        <v>48</v>
      </c>
      <c r="BK61" s="40" t="s">
        <v>48</v>
      </c>
      <c r="BM61" s="33"/>
      <c r="BN61" s="38" t="str">
        <f>Notes!W62</f>
        <v xml:space="preserve">               </v>
      </c>
      <c r="BO61" s="4"/>
      <c r="BP61" s="44"/>
      <c r="BQ61" s="42"/>
      <c r="BR61" s="42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H61" s="33"/>
      <c r="CI61" s="38" t="str">
        <f>Notes!W62</f>
        <v xml:space="preserve">               </v>
      </c>
      <c r="CJ61" s="4"/>
      <c r="CK61" s="44"/>
      <c r="CL61" s="42"/>
      <c r="CM61" s="42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</row>
    <row r="62" spans="1:105" x14ac:dyDescent="0.3">
      <c r="A62" s="12">
        <v>55</v>
      </c>
      <c r="B62" s="33"/>
      <c r="C62" s="38" t="str">
        <f>Notes!W63</f>
        <v xml:space="preserve">               </v>
      </c>
      <c r="D62" s="4"/>
      <c r="E62" s="44"/>
      <c r="F62" s="42"/>
      <c r="G62" s="42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W62" s="33"/>
      <c r="X62" s="38" t="str">
        <f>Notes!W63</f>
        <v xml:space="preserve">               </v>
      </c>
      <c r="Y62" s="4"/>
      <c r="Z62" s="44"/>
      <c r="AA62" s="42"/>
      <c r="AB62" s="42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R62" s="33"/>
      <c r="AS62" s="38" t="str">
        <f>Notes!U63</f>
        <v xml:space="preserve">         Fats and oils</v>
      </c>
      <c r="AT62" s="4" t="s">
        <v>563</v>
      </c>
      <c r="AU62" s="44">
        <v>0.46477616741323197</v>
      </c>
      <c r="AV62" s="42">
        <v>3.055840234945717</v>
      </c>
      <c r="AW62" s="42" t="s">
        <v>48</v>
      </c>
      <c r="AX62" s="40" t="s">
        <v>48</v>
      </c>
      <c r="AY62" s="40" t="s">
        <v>48</v>
      </c>
      <c r="AZ62" s="40" t="s">
        <v>48</v>
      </c>
      <c r="BA62" s="40" t="s">
        <v>48</v>
      </c>
      <c r="BB62" s="40" t="s">
        <v>48</v>
      </c>
      <c r="BC62" s="40" t="s">
        <v>48</v>
      </c>
      <c r="BD62" s="40" t="s">
        <v>48</v>
      </c>
      <c r="BE62" s="40" t="s">
        <v>48</v>
      </c>
      <c r="BF62" s="40" t="s">
        <v>48</v>
      </c>
      <c r="BG62" s="40" t="s">
        <v>48</v>
      </c>
      <c r="BH62" s="40" t="s">
        <v>48</v>
      </c>
      <c r="BI62" s="40" t="s">
        <v>48</v>
      </c>
      <c r="BJ62" s="40" t="s">
        <v>48</v>
      </c>
      <c r="BK62" s="40" t="s">
        <v>48</v>
      </c>
      <c r="BM62" s="33"/>
      <c r="BN62" s="38" t="str">
        <f>Notes!W63</f>
        <v xml:space="preserve">               </v>
      </c>
      <c r="BO62" s="4"/>
      <c r="BP62" s="44"/>
      <c r="BQ62" s="42"/>
      <c r="BR62" s="42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H62" s="33"/>
      <c r="CI62" s="38" t="str">
        <f>Notes!W63</f>
        <v xml:space="preserve">               </v>
      </c>
      <c r="CJ62" s="4"/>
      <c r="CK62" s="44"/>
      <c r="CL62" s="42"/>
      <c r="CM62" s="42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</row>
    <row r="63" spans="1:105" x14ac:dyDescent="0.3">
      <c r="A63" s="12">
        <v>56</v>
      </c>
      <c r="B63" s="33"/>
      <c r="C63" s="38" t="str">
        <f>Notes!W64</f>
        <v xml:space="preserve">               </v>
      </c>
      <c r="D63" s="4"/>
      <c r="E63" s="44"/>
      <c r="F63" s="42"/>
      <c r="G63" s="42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W63" s="33"/>
      <c r="X63" s="38" t="str">
        <f>Notes!W64</f>
        <v xml:space="preserve">               </v>
      </c>
      <c r="Y63" s="4"/>
      <c r="Z63" s="44"/>
      <c r="AA63" s="42"/>
      <c r="AB63" s="42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R63" s="33"/>
      <c r="AS63" s="38" t="str">
        <f>Notes!U64</f>
        <v xml:space="preserve">         Maize milling</v>
      </c>
      <c r="AT63" s="4" t="s">
        <v>362</v>
      </c>
      <c r="AU63" s="44">
        <v>8.6015355656307024E-2</v>
      </c>
      <c r="AV63" s="42">
        <v>3.0325975123655313</v>
      </c>
      <c r="AW63" s="42" t="s">
        <v>48</v>
      </c>
      <c r="AX63" s="40" t="s">
        <v>48</v>
      </c>
      <c r="AY63" s="40" t="s">
        <v>48</v>
      </c>
      <c r="AZ63" s="40" t="s">
        <v>48</v>
      </c>
      <c r="BA63" s="40" t="s">
        <v>48</v>
      </c>
      <c r="BB63" s="40" t="s">
        <v>48</v>
      </c>
      <c r="BC63" s="40" t="s">
        <v>48</v>
      </c>
      <c r="BD63" s="40" t="s">
        <v>48</v>
      </c>
      <c r="BE63" s="40" t="s">
        <v>48</v>
      </c>
      <c r="BF63" s="40" t="s">
        <v>48</v>
      </c>
      <c r="BG63" s="40" t="s">
        <v>48</v>
      </c>
      <c r="BH63" s="40" t="s">
        <v>48</v>
      </c>
      <c r="BI63" s="40" t="s">
        <v>48</v>
      </c>
      <c r="BJ63" s="40" t="s">
        <v>48</v>
      </c>
      <c r="BK63" s="40" t="s">
        <v>48</v>
      </c>
      <c r="BM63" s="33"/>
      <c r="BN63" s="38" t="str">
        <f>Notes!W64</f>
        <v xml:space="preserve">               </v>
      </c>
      <c r="BO63" s="4"/>
      <c r="BP63" s="44"/>
      <c r="BQ63" s="42"/>
      <c r="BR63" s="42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H63" s="33"/>
      <c r="CI63" s="38" t="str">
        <f>Notes!W64</f>
        <v xml:space="preserve">               </v>
      </c>
      <c r="CJ63" s="4"/>
      <c r="CK63" s="44"/>
      <c r="CL63" s="42"/>
      <c r="CM63" s="42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</row>
    <row r="64" spans="1:105" x14ac:dyDescent="0.3">
      <c r="A64" s="12">
        <v>57</v>
      </c>
      <c r="B64" s="33"/>
      <c r="C64" s="38" t="str">
        <f>Notes!W65</f>
        <v xml:space="preserve">               </v>
      </c>
      <c r="D64" s="4"/>
      <c r="E64" s="44"/>
      <c r="F64" s="42"/>
      <c r="G64" s="42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W64" s="33"/>
      <c r="X64" s="38" t="str">
        <f>Notes!W65</f>
        <v xml:space="preserve">               </v>
      </c>
      <c r="Y64" s="4"/>
      <c r="Z64" s="44"/>
      <c r="AA64" s="42"/>
      <c r="AB64" s="42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R64" s="33"/>
      <c r="AS64" s="38" t="str">
        <f>Notes!U65</f>
        <v xml:space="preserve">         Sorghum and millet milling</v>
      </c>
      <c r="AT64" s="4" t="s">
        <v>363</v>
      </c>
      <c r="AU64" s="44" t="s">
        <v>48</v>
      </c>
      <c r="AV64" s="42" t="s">
        <v>48</v>
      </c>
      <c r="AW64" s="42" t="s">
        <v>48</v>
      </c>
      <c r="AX64" s="40" t="s">
        <v>48</v>
      </c>
      <c r="AY64" s="40" t="s">
        <v>48</v>
      </c>
      <c r="AZ64" s="40" t="s">
        <v>48</v>
      </c>
      <c r="BA64" s="40" t="s">
        <v>48</v>
      </c>
      <c r="BB64" s="40" t="s">
        <v>48</v>
      </c>
      <c r="BC64" s="40" t="s">
        <v>48</v>
      </c>
      <c r="BD64" s="40" t="s">
        <v>48</v>
      </c>
      <c r="BE64" s="40" t="s">
        <v>48</v>
      </c>
      <c r="BF64" s="40" t="s">
        <v>48</v>
      </c>
      <c r="BG64" s="40" t="s">
        <v>48</v>
      </c>
      <c r="BH64" s="40" t="s">
        <v>48</v>
      </c>
      <c r="BI64" s="40" t="s">
        <v>48</v>
      </c>
      <c r="BJ64" s="40" t="s">
        <v>48</v>
      </c>
      <c r="BK64" s="40" t="s">
        <v>48</v>
      </c>
      <c r="BM64" s="33"/>
      <c r="BN64" s="38" t="str">
        <f>Notes!W65</f>
        <v xml:space="preserve">               </v>
      </c>
      <c r="BO64" s="4"/>
      <c r="BP64" s="44"/>
      <c r="BQ64" s="42"/>
      <c r="BR64" s="42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H64" s="33"/>
      <c r="CI64" s="38" t="str">
        <f>Notes!W65</f>
        <v xml:space="preserve">               </v>
      </c>
      <c r="CJ64" s="4"/>
      <c r="CK64" s="44"/>
      <c r="CL64" s="42"/>
      <c r="CM64" s="42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</row>
    <row r="65" spans="1:105" x14ac:dyDescent="0.3">
      <c r="A65" s="12">
        <v>58</v>
      </c>
      <c r="B65" s="33"/>
      <c r="C65" s="38" t="str">
        <f>Notes!W66</f>
        <v xml:space="preserve">               </v>
      </c>
      <c r="D65" s="4"/>
      <c r="E65" s="44"/>
      <c r="F65" s="42"/>
      <c r="G65" s="42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W65" s="33"/>
      <c r="X65" s="38" t="str">
        <f>Notes!W66</f>
        <v xml:space="preserve">               </v>
      </c>
      <c r="Y65" s="4"/>
      <c r="Z65" s="44"/>
      <c r="AA65" s="42"/>
      <c r="AB65" s="42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R65" s="33"/>
      <c r="AS65" s="38" t="str">
        <f>Notes!U66</f>
        <v xml:space="preserve">         Rice milling</v>
      </c>
      <c r="AT65" s="4" t="s">
        <v>364</v>
      </c>
      <c r="AU65" s="44" t="s">
        <v>48</v>
      </c>
      <c r="AV65" s="42" t="s">
        <v>48</v>
      </c>
      <c r="AW65" s="42" t="s">
        <v>48</v>
      </c>
      <c r="AX65" s="40" t="s">
        <v>48</v>
      </c>
      <c r="AY65" s="40" t="s">
        <v>48</v>
      </c>
      <c r="AZ65" s="40" t="s">
        <v>48</v>
      </c>
      <c r="BA65" s="40" t="s">
        <v>48</v>
      </c>
      <c r="BB65" s="40" t="s">
        <v>48</v>
      </c>
      <c r="BC65" s="40" t="s">
        <v>48</v>
      </c>
      <c r="BD65" s="40" t="s">
        <v>48</v>
      </c>
      <c r="BE65" s="40" t="s">
        <v>48</v>
      </c>
      <c r="BF65" s="40" t="s">
        <v>48</v>
      </c>
      <c r="BG65" s="40" t="s">
        <v>48</v>
      </c>
      <c r="BH65" s="40" t="s">
        <v>48</v>
      </c>
      <c r="BI65" s="40" t="s">
        <v>48</v>
      </c>
      <c r="BJ65" s="40" t="s">
        <v>48</v>
      </c>
      <c r="BK65" s="40" t="s">
        <v>48</v>
      </c>
      <c r="BM65" s="33"/>
      <c r="BN65" s="38" t="str">
        <f>Notes!W66</f>
        <v xml:space="preserve">               </v>
      </c>
      <c r="BO65" s="4"/>
      <c r="BP65" s="44"/>
      <c r="BQ65" s="42"/>
      <c r="BR65" s="42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H65" s="33"/>
      <c r="CI65" s="38" t="str">
        <f>Notes!W66</f>
        <v xml:space="preserve">               </v>
      </c>
      <c r="CJ65" s="4"/>
      <c r="CK65" s="44"/>
      <c r="CL65" s="42"/>
      <c r="CM65" s="42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</row>
    <row r="66" spans="1:105" x14ac:dyDescent="0.3">
      <c r="A66" s="12">
        <v>59</v>
      </c>
      <c r="B66" s="33"/>
      <c r="C66" s="38" t="str">
        <f>Notes!W67</f>
        <v xml:space="preserve">               </v>
      </c>
      <c r="D66" s="4"/>
      <c r="E66" s="44"/>
      <c r="F66" s="42"/>
      <c r="G66" s="42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W66" s="33"/>
      <c r="X66" s="38" t="str">
        <f>Notes!W67</f>
        <v xml:space="preserve">               </v>
      </c>
      <c r="Y66" s="4"/>
      <c r="Z66" s="44"/>
      <c r="AA66" s="42"/>
      <c r="AB66" s="42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R66" s="33"/>
      <c r="AS66" s="38" t="str">
        <f>Notes!U67</f>
        <v xml:space="preserve">         Rice milling - coarse</v>
      </c>
      <c r="AT66" s="4" t="s">
        <v>720</v>
      </c>
      <c r="AU66" s="44">
        <v>3.3837172283857671</v>
      </c>
      <c r="AV66" s="42">
        <v>3.0106905878467094</v>
      </c>
      <c r="AW66" s="42" t="s">
        <v>48</v>
      </c>
      <c r="AX66" s="40" t="s">
        <v>48</v>
      </c>
      <c r="AY66" s="40" t="s">
        <v>48</v>
      </c>
      <c r="AZ66" s="40" t="s">
        <v>48</v>
      </c>
      <c r="BA66" s="40" t="s">
        <v>48</v>
      </c>
      <c r="BB66" s="40" t="s">
        <v>48</v>
      </c>
      <c r="BC66" s="40" t="s">
        <v>48</v>
      </c>
      <c r="BD66" s="40" t="s">
        <v>48</v>
      </c>
      <c r="BE66" s="40" t="s">
        <v>48</v>
      </c>
      <c r="BF66" s="40" t="s">
        <v>48</v>
      </c>
      <c r="BG66" s="40" t="s">
        <v>48</v>
      </c>
      <c r="BH66" s="40" t="s">
        <v>48</v>
      </c>
      <c r="BI66" s="40" t="s">
        <v>48</v>
      </c>
      <c r="BJ66" s="40" t="s">
        <v>48</v>
      </c>
      <c r="BK66" s="40" t="s">
        <v>48</v>
      </c>
      <c r="BM66" s="33"/>
      <c r="BN66" s="38" t="str">
        <f>Notes!W67</f>
        <v xml:space="preserve">               </v>
      </c>
      <c r="BO66" s="4"/>
      <c r="BP66" s="44"/>
      <c r="BQ66" s="42"/>
      <c r="BR66" s="42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H66" s="33"/>
      <c r="CI66" s="38" t="str">
        <f>Notes!W67</f>
        <v xml:space="preserve">               </v>
      </c>
      <c r="CJ66" s="4"/>
      <c r="CK66" s="44"/>
      <c r="CL66" s="42"/>
      <c r="CM66" s="42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</row>
    <row r="67" spans="1:105" x14ac:dyDescent="0.3">
      <c r="A67" s="12">
        <v>60</v>
      </c>
      <c r="B67" s="33"/>
      <c r="C67" s="38" t="str">
        <f>Notes!W68</f>
        <v xml:space="preserve">               </v>
      </c>
      <c r="D67" s="4"/>
      <c r="E67" s="44"/>
      <c r="F67" s="42"/>
      <c r="G67" s="42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W67" s="33"/>
      <c r="X67" s="38" t="str">
        <f>Notes!W68</f>
        <v xml:space="preserve">               </v>
      </c>
      <c r="Y67" s="4"/>
      <c r="Z67" s="44"/>
      <c r="AA67" s="42"/>
      <c r="AB67" s="42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R67" s="33"/>
      <c r="AS67" s="38" t="str">
        <f>Notes!U68</f>
        <v xml:space="preserve">         Rice milling - other</v>
      </c>
      <c r="AT67" s="4" t="s">
        <v>722</v>
      </c>
      <c r="AU67" s="44">
        <v>5.4881763691994028</v>
      </c>
      <c r="AV67" s="42">
        <v>3.0128064296650381</v>
      </c>
      <c r="AW67" s="42" t="s">
        <v>48</v>
      </c>
      <c r="AX67" s="40" t="s">
        <v>48</v>
      </c>
      <c r="AY67" s="40" t="s">
        <v>48</v>
      </c>
      <c r="AZ67" s="40" t="s">
        <v>48</v>
      </c>
      <c r="BA67" s="40" t="s">
        <v>48</v>
      </c>
      <c r="BB67" s="40" t="s">
        <v>48</v>
      </c>
      <c r="BC67" s="40" t="s">
        <v>48</v>
      </c>
      <c r="BD67" s="40" t="s">
        <v>48</v>
      </c>
      <c r="BE67" s="40" t="s">
        <v>48</v>
      </c>
      <c r="BF67" s="40" t="s">
        <v>48</v>
      </c>
      <c r="BG67" s="40" t="s">
        <v>48</v>
      </c>
      <c r="BH67" s="40" t="s">
        <v>48</v>
      </c>
      <c r="BI67" s="40" t="s">
        <v>48</v>
      </c>
      <c r="BJ67" s="40" t="s">
        <v>48</v>
      </c>
      <c r="BK67" s="40" t="s">
        <v>48</v>
      </c>
      <c r="BM67" s="33"/>
      <c r="BN67" s="38" t="str">
        <f>Notes!W68</f>
        <v xml:space="preserve">               </v>
      </c>
      <c r="BO67" s="4"/>
      <c r="BP67" s="44"/>
      <c r="BQ67" s="42"/>
      <c r="BR67" s="42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H67" s="33"/>
      <c r="CI67" s="38" t="str">
        <f>Notes!W68</f>
        <v xml:space="preserve">               </v>
      </c>
      <c r="CJ67" s="4"/>
      <c r="CK67" s="44"/>
      <c r="CL67" s="42"/>
      <c r="CM67" s="42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</row>
    <row r="68" spans="1:105" x14ac:dyDescent="0.3">
      <c r="A68" s="12">
        <v>61</v>
      </c>
      <c r="B68" s="33"/>
      <c r="C68" s="38" t="str">
        <f>Notes!W69</f>
        <v xml:space="preserve">               </v>
      </c>
      <c r="D68" s="4"/>
      <c r="E68" s="44"/>
      <c r="F68" s="42"/>
      <c r="G68" s="42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W68" s="33"/>
      <c r="X68" s="38" t="str">
        <f>Notes!W69</f>
        <v xml:space="preserve">               </v>
      </c>
      <c r="Y68" s="4"/>
      <c r="Z68" s="44"/>
      <c r="AA68" s="42"/>
      <c r="AB68" s="42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R68" s="33"/>
      <c r="AS68" s="38" t="str">
        <f>Notes!U69</f>
        <v xml:space="preserve">         Wheat and barley milling</v>
      </c>
      <c r="AT68" s="4" t="s">
        <v>365</v>
      </c>
      <c r="AU68" s="44">
        <v>0.66857041411251172</v>
      </c>
      <c r="AV68" s="42">
        <v>3.0525259148766581</v>
      </c>
      <c r="AW68" s="42" t="s">
        <v>48</v>
      </c>
      <c r="AX68" s="40" t="s">
        <v>48</v>
      </c>
      <c r="AY68" s="40" t="s">
        <v>48</v>
      </c>
      <c r="AZ68" s="40" t="s">
        <v>48</v>
      </c>
      <c r="BA68" s="40" t="s">
        <v>48</v>
      </c>
      <c r="BB68" s="40" t="s">
        <v>48</v>
      </c>
      <c r="BC68" s="40" t="s">
        <v>48</v>
      </c>
      <c r="BD68" s="40" t="s">
        <v>48</v>
      </c>
      <c r="BE68" s="40" t="s">
        <v>48</v>
      </c>
      <c r="BF68" s="40" t="s">
        <v>48</v>
      </c>
      <c r="BG68" s="40" t="s">
        <v>48</v>
      </c>
      <c r="BH68" s="40" t="s">
        <v>48</v>
      </c>
      <c r="BI68" s="40" t="s">
        <v>48</v>
      </c>
      <c r="BJ68" s="40" t="s">
        <v>48</v>
      </c>
      <c r="BK68" s="40" t="s">
        <v>48</v>
      </c>
      <c r="BM68" s="33"/>
      <c r="BN68" s="38" t="str">
        <f>Notes!W69</f>
        <v xml:space="preserve">               </v>
      </c>
      <c r="BO68" s="4"/>
      <c r="BP68" s="44"/>
      <c r="BQ68" s="42"/>
      <c r="BR68" s="42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H68" s="33"/>
      <c r="CI68" s="38" t="str">
        <f>Notes!W69</f>
        <v xml:space="preserve">               </v>
      </c>
      <c r="CJ68" s="4"/>
      <c r="CK68" s="44"/>
      <c r="CL68" s="42"/>
      <c r="CM68" s="42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</row>
    <row r="69" spans="1:105" x14ac:dyDescent="0.3">
      <c r="A69" s="12">
        <v>62</v>
      </c>
      <c r="B69" s="33"/>
      <c r="C69" s="38" t="str">
        <f>Notes!W70</f>
        <v xml:space="preserve">               </v>
      </c>
      <c r="D69" s="4"/>
      <c r="E69" s="44"/>
      <c r="F69" s="42"/>
      <c r="G69" s="42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W69" s="33"/>
      <c r="X69" s="38" t="str">
        <f>Notes!W70</f>
        <v xml:space="preserve">               </v>
      </c>
      <c r="Y69" s="4"/>
      <c r="Z69" s="44"/>
      <c r="AA69" s="42"/>
      <c r="AB69" s="42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R69" s="33"/>
      <c r="AS69" s="38" t="str">
        <f>Notes!U70</f>
        <v xml:space="preserve">         Other grain milling</v>
      </c>
      <c r="AT69" s="4" t="s">
        <v>366</v>
      </c>
      <c r="AU69" s="44">
        <v>9.8126476545553801E-2</v>
      </c>
      <c r="AV69" s="42">
        <v>3.0520077705017856</v>
      </c>
      <c r="AW69" s="42" t="s">
        <v>48</v>
      </c>
      <c r="AX69" s="40" t="s">
        <v>48</v>
      </c>
      <c r="AY69" s="40" t="s">
        <v>48</v>
      </c>
      <c r="AZ69" s="40" t="s">
        <v>48</v>
      </c>
      <c r="BA69" s="40" t="s">
        <v>48</v>
      </c>
      <c r="BB69" s="40" t="s">
        <v>48</v>
      </c>
      <c r="BC69" s="40" t="s">
        <v>48</v>
      </c>
      <c r="BD69" s="40" t="s">
        <v>48</v>
      </c>
      <c r="BE69" s="40" t="s">
        <v>48</v>
      </c>
      <c r="BF69" s="40" t="s">
        <v>48</v>
      </c>
      <c r="BG69" s="40" t="s">
        <v>48</v>
      </c>
      <c r="BH69" s="40" t="s">
        <v>48</v>
      </c>
      <c r="BI69" s="40" t="s">
        <v>48</v>
      </c>
      <c r="BJ69" s="40" t="s">
        <v>48</v>
      </c>
      <c r="BK69" s="40" t="s">
        <v>48</v>
      </c>
      <c r="BM69" s="33"/>
      <c r="BN69" s="38" t="str">
        <f>Notes!W70</f>
        <v xml:space="preserve">               </v>
      </c>
      <c r="BO69" s="4"/>
      <c r="BP69" s="44"/>
      <c r="BQ69" s="42"/>
      <c r="BR69" s="42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H69" s="33"/>
      <c r="CI69" s="38" t="str">
        <f>Notes!W70</f>
        <v xml:space="preserve">               </v>
      </c>
      <c r="CJ69" s="4"/>
      <c r="CK69" s="44"/>
      <c r="CL69" s="42"/>
      <c r="CM69" s="42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</row>
    <row r="70" spans="1:105" x14ac:dyDescent="0.3">
      <c r="A70" s="12">
        <v>63</v>
      </c>
      <c r="B70" s="33"/>
      <c r="C70" s="38" t="str">
        <f>Notes!W71</f>
        <v xml:space="preserve">               </v>
      </c>
      <c r="D70" s="4"/>
      <c r="E70" s="44"/>
      <c r="F70" s="42"/>
      <c r="G70" s="42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W70" s="33"/>
      <c r="X70" s="38" t="str">
        <f>Notes!W71</f>
        <v xml:space="preserve">               </v>
      </c>
      <c r="Y70" s="4"/>
      <c r="Z70" s="44"/>
      <c r="AA70" s="42"/>
      <c r="AB70" s="42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R70" s="33"/>
      <c r="AS70" s="38" t="str">
        <f>Notes!U71</f>
        <v xml:space="preserve">         Sugar refining</v>
      </c>
      <c r="AT70" s="4" t="s">
        <v>367</v>
      </c>
      <c r="AU70" s="44">
        <v>1.5367258099634196</v>
      </c>
      <c r="AV70" s="42">
        <v>3.0522976285972003</v>
      </c>
      <c r="AW70" s="42" t="s">
        <v>48</v>
      </c>
      <c r="AX70" s="40" t="s">
        <v>48</v>
      </c>
      <c r="AY70" s="40" t="s">
        <v>48</v>
      </c>
      <c r="AZ70" s="40" t="s">
        <v>48</v>
      </c>
      <c r="BA70" s="40" t="s">
        <v>48</v>
      </c>
      <c r="BB70" s="40" t="s">
        <v>48</v>
      </c>
      <c r="BC70" s="40" t="s">
        <v>48</v>
      </c>
      <c r="BD70" s="40" t="s">
        <v>48</v>
      </c>
      <c r="BE70" s="40" t="s">
        <v>48</v>
      </c>
      <c r="BF70" s="40" t="s">
        <v>48</v>
      </c>
      <c r="BG70" s="40" t="s">
        <v>48</v>
      </c>
      <c r="BH70" s="40" t="s">
        <v>48</v>
      </c>
      <c r="BI70" s="40" t="s">
        <v>48</v>
      </c>
      <c r="BJ70" s="40" t="s">
        <v>48</v>
      </c>
      <c r="BK70" s="40" t="s">
        <v>48</v>
      </c>
      <c r="BM70" s="33"/>
      <c r="BN70" s="38" t="str">
        <f>Notes!W71</f>
        <v xml:space="preserve">               </v>
      </c>
      <c r="BO70" s="4"/>
      <c r="BP70" s="44"/>
      <c r="BQ70" s="42"/>
      <c r="BR70" s="42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H70" s="33"/>
      <c r="CI70" s="38" t="str">
        <f>Notes!W71</f>
        <v xml:space="preserve">               </v>
      </c>
      <c r="CJ70" s="4"/>
      <c r="CK70" s="44"/>
      <c r="CL70" s="42"/>
      <c r="CM70" s="42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</row>
    <row r="71" spans="1:105" x14ac:dyDescent="0.3">
      <c r="A71" s="12">
        <v>64</v>
      </c>
      <c r="B71" s="33"/>
      <c r="C71" s="38" t="str">
        <f>Notes!W72</f>
        <v xml:space="preserve">               </v>
      </c>
      <c r="D71" s="4"/>
      <c r="E71" s="44"/>
      <c r="F71" s="42"/>
      <c r="G71" s="42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W71" s="33"/>
      <c r="X71" s="38" t="str">
        <f>Notes!W72</f>
        <v xml:space="preserve">               </v>
      </c>
      <c r="Y71" s="4"/>
      <c r="Z71" s="44"/>
      <c r="AA71" s="42"/>
      <c r="AB71" s="42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R71" s="33"/>
      <c r="AS71" s="38" t="str">
        <f>Notes!U72</f>
        <v xml:space="preserve">         Coffee processing</v>
      </c>
      <c r="AT71" s="4" t="s">
        <v>368</v>
      </c>
      <c r="AU71" s="44" t="s">
        <v>48</v>
      </c>
      <c r="AV71" s="42" t="s">
        <v>48</v>
      </c>
      <c r="AW71" s="42" t="s">
        <v>48</v>
      </c>
      <c r="AX71" s="40" t="s">
        <v>48</v>
      </c>
      <c r="AY71" s="40" t="s">
        <v>48</v>
      </c>
      <c r="AZ71" s="40" t="s">
        <v>48</v>
      </c>
      <c r="BA71" s="40" t="s">
        <v>48</v>
      </c>
      <c r="BB71" s="40" t="s">
        <v>48</v>
      </c>
      <c r="BC71" s="40" t="s">
        <v>48</v>
      </c>
      <c r="BD71" s="40" t="s">
        <v>48</v>
      </c>
      <c r="BE71" s="40" t="s">
        <v>48</v>
      </c>
      <c r="BF71" s="40" t="s">
        <v>48</v>
      </c>
      <c r="BG71" s="40" t="s">
        <v>48</v>
      </c>
      <c r="BH71" s="40" t="s">
        <v>48</v>
      </c>
      <c r="BI71" s="40" t="s">
        <v>48</v>
      </c>
      <c r="BJ71" s="40" t="s">
        <v>48</v>
      </c>
      <c r="BK71" s="40" t="s">
        <v>48</v>
      </c>
      <c r="BM71" s="33"/>
      <c r="BN71" s="38" t="str">
        <f>Notes!W72</f>
        <v xml:space="preserve">               </v>
      </c>
      <c r="BO71" s="4"/>
      <c r="BP71" s="44"/>
      <c r="BQ71" s="42"/>
      <c r="BR71" s="42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H71" s="33"/>
      <c r="CI71" s="38" t="str">
        <f>Notes!W72</f>
        <v xml:space="preserve">               </v>
      </c>
      <c r="CJ71" s="4"/>
      <c r="CK71" s="44"/>
      <c r="CL71" s="42"/>
      <c r="CM71" s="42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</row>
    <row r="72" spans="1:105" x14ac:dyDescent="0.3">
      <c r="A72" s="12">
        <v>65</v>
      </c>
      <c r="B72" s="33"/>
      <c r="C72" s="38" t="str">
        <f>Notes!W73</f>
        <v xml:space="preserve">               </v>
      </c>
      <c r="D72" s="4"/>
      <c r="E72" s="44"/>
      <c r="F72" s="42"/>
      <c r="G72" s="42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W72" s="33"/>
      <c r="X72" s="38" t="str">
        <f>Notes!W73</f>
        <v xml:space="preserve">               </v>
      </c>
      <c r="Y72" s="4"/>
      <c r="Z72" s="44"/>
      <c r="AA72" s="42"/>
      <c r="AB72" s="42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R72" s="33"/>
      <c r="AS72" s="38" t="str">
        <f>Notes!U73</f>
        <v xml:space="preserve">         Tea processing</v>
      </c>
      <c r="AT72" s="4" t="s">
        <v>369</v>
      </c>
      <c r="AU72" s="44" t="s">
        <v>48</v>
      </c>
      <c r="AV72" s="42" t="s">
        <v>48</v>
      </c>
      <c r="AW72" s="42" t="s">
        <v>48</v>
      </c>
      <c r="AX72" s="40" t="s">
        <v>48</v>
      </c>
      <c r="AY72" s="40" t="s">
        <v>48</v>
      </c>
      <c r="AZ72" s="40" t="s">
        <v>48</v>
      </c>
      <c r="BA72" s="40" t="s">
        <v>48</v>
      </c>
      <c r="BB72" s="40" t="s">
        <v>48</v>
      </c>
      <c r="BC72" s="40" t="s">
        <v>48</v>
      </c>
      <c r="BD72" s="40" t="s">
        <v>48</v>
      </c>
      <c r="BE72" s="40" t="s">
        <v>48</v>
      </c>
      <c r="BF72" s="40" t="s">
        <v>48</v>
      </c>
      <c r="BG72" s="40" t="s">
        <v>48</v>
      </c>
      <c r="BH72" s="40" t="s">
        <v>48</v>
      </c>
      <c r="BI72" s="40" t="s">
        <v>48</v>
      </c>
      <c r="BJ72" s="40" t="s">
        <v>48</v>
      </c>
      <c r="BK72" s="40" t="s">
        <v>48</v>
      </c>
      <c r="BM72" s="33"/>
      <c r="BN72" s="38" t="str">
        <f>Notes!W73</f>
        <v xml:space="preserve">               </v>
      </c>
      <c r="BO72" s="4"/>
      <c r="BP72" s="44"/>
      <c r="BQ72" s="42"/>
      <c r="BR72" s="42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H72" s="33"/>
      <c r="CI72" s="38" t="str">
        <f>Notes!W73</f>
        <v xml:space="preserve">               </v>
      </c>
      <c r="CJ72" s="4"/>
      <c r="CK72" s="44"/>
      <c r="CL72" s="42"/>
      <c r="CM72" s="42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</row>
    <row r="73" spans="1:105" x14ac:dyDescent="0.3">
      <c r="A73" s="12">
        <v>66</v>
      </c>
      <c r="B73" s="33"/>
      <c r="C73" s="38" t="str">
        <f>Notes!W74</f>
        <v xml:space="preserve">               </v>
      </c>
      <c r="D73" s="4"/>
      <c r="E73" s="44"/>
      <c r="F73" s="42"/>
      <c r="G73" s="42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W73" s="33"/>
      <c r="X73" s="38" t="str">
        <f>Notes!W74</f>
        <v xml:space="preserve">               </v>
      </c>
      <c r="Y73" s="4"/>
      <c r="Z73" s="44"/>
      <c r="AA73" s="42"/>
      <c r="AB73" s="42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R73" s="33"/>
      <c r="AS73" s="38" t="str">
        <f>Notes!U74</f>
        <v xml:space="preserve">         Other foods</v>
      </c>
      <c r="AT73" s="4" t="s">
        <v>370</v>
      </c>
      <c r="AU73" s="44">
        <v>2.7126641812977104</v>
      </c>
      <c r="AV73" s="42">
        <v>3.0350134739264067</v>
      </c>
      <c r="AW73" s="42" t="s">
        <v>48</v>
      </c>
      <c r="AX73" s="40" t="s">
        <v>48</v>
      </c>
      <c r="AY73" s="40" t="s">
        <v>48</v>
      </c>
      <c r="AZ73" s="40" t="s">
        <v>48</v>
      </c>
      <c r="BA73" s="40" t="s">
        <v>48</v>
      </c>
      <c r="BB73" s="40" t="s">
        <v>48</v>
      </c>
      <c r="BC73" s="40" t="s">
        <v>48</v>
      </c>
      <c r="BD73" s="40" t="s">
        <v>48</v>
      </c>
      <c r="BE73" s="40" t="s">
        <v>48</v>
      </c>
      <c r="BF73" s="40" t="s">
        <v>48</v>
      </c>
      <c r="BG73" s="40" t="s">
        <v>48</v>
      </c>
      <c r="BH73" s="40" t="s">
        <v>48</v>
      </c>
      <c r="BI73" s="40" t="s">
        <v>48</v>
      </c>
      <c r="BJ73" s="40" t="s">
        <v>48</v>
      </c>
      <c r="BK73" s="40" t="s">
        <v>48</v>
      </c>
      <c r="BM73" s="33"/>
      <c r="BN73" s="38" t="str">
        <f>Notes!W74</f>
        <v xml:space="preserve">               </v>
      </c>
      <c r="BO73" s="4"/>
      <c r="BP73" s="44"/>
      <c r="BQ73" s="42"/>
      <c r="BR73" s="42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H73" s="33"/>
      <c r="CI73" s="38" t="str">
        <f>Notes!W74</f>
        <v xml:space="preserve">               </v>
      </c>
      <c r="CJ73" s="4"/>
      <c r="CK73" s="44"/>
      <c r="CL73" s="42"/>
      <c r="CM73" s="42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</row>
    <row r="74" spans="1:105" x14ac:dyDescent="0.3">
      <c r="A74" s="12">
        <v>67</v>
      </c>
      <c r="B74" s="33"/>
      <c r="C74" s="38" t="str">
        <f>Notes!W75</f>
        <v xml:space="preserve">               </v>
      </c>
      <c r="D74" s="4"/>
      <c r="E74" s="44"/>
      <c r="F74" s="42"/>
      <c r="G74" s="42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W74" s="33"/>
      <c r="X74" s="38" t="str">
        <f>Notes!W75</f>
        <v xml:space="preserve">               </v>
      </c>
      <c r="Y74" s="4"/>
      <c r="Z74" s="44"/>
      <c r="AA74" s="42"/>
      <c r="AB74" s="42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R74" s="33"/>
      <c r="AS74" s="38" t="str">
        <f>Notes!U75</f>
        <v xml:space="preserve">         Animal feed</v>
      </c>
      <c r="AT74" s="4" t="s">
        <v>371</v>
      </c>
      <c r="AU74" s="44" t="s">
        <v>48</v>
      </c>
      <c r="AV74" s="42" t="s">
        <v>48</v>
      </c>
      <c r="AW74" s="42" t="s">
        <v>48</v>
      </c>
      <c r="AX74" s="40" t="s">
        <v>48</v>
      </c>
      <c r="AY74" s="40" t="s">
        <v>48</v>
      </c>
      <c r="AZ74" s="40" t="s">
        <v>48</v>
      </c>
      <c r="BA74" s="40" t="s">
        <v>48</v>
      </c>
      <c r="BB74" s="40" t="s">
        <v>48</v>
      </c>
      <c r="BC74" s="40" t="s">
        <v>48</v>
      </c>
      <c r="BD74" s="40" t="s">
        <v>48</v>
      </c>
      <c r="BE74" s="40" t="s">
        <v>48</v>
      </c>
      <c r="BF74" s="40" t="s">
        <v>48</v>
      </c>
      <c r="BG74" s="40" t="s">
        <v>48</v>
      </c>
      <c r="BH74" s="40" t="s">
        <v>48</v>
      </c>
      <c r="BI74" s="40" t="s">
        <v>48</v>
      </c>
      <c r="BJ74" s="40" t="s">
        <v>48</v>
      </c>
      <c r="BK74" s="40" t="s">
        <v>48</v>
      </c>
      <c r="BM74" s="33"/>
      <c r="BN74" s="38" t="str">
        <f>Notes!W75</f>
        <v xml:space="preserve">               </v>
      </c>
      <c r="BO74" s="4"/>
      <c r="BP74" s="44"/>
      <c r="BQ74" s="42"/>
      <c r="BR74" s="42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H74" s="33"/>
      <c r="CI74" s="38" t="str">
        <f>Notes!W75</f>
        <v xml:space="preserve">               </v>
      </c>
      <c r="CJ74" s="4"/>
      <c r="CK74" s="44"/>
      <c r="CL74" s="42"/>
      <c r="CM74" s="42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</row>
    <row r="75" spans="1:105" x14ac:dyDescent="0.3">
      <c r="A75" s="12">
        <v>68</v>
      </c>
      <c r="B75" s="33"/>
      <c r="C75" s="38" t="str">
        <f>Notes!W76</f>
        <v xml:space="preserve">               </v>
      </c>
      <c r="D75" s="4"/>
      <c r="E75" s="44"/>
      <c r="F75" s="42"/>
      <c r="G75" s="42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W75" s="33"/>
      <c r="X75" s="38" t="str">
        <f>Notes!W76</f>
        <v xml:space="preserve">               </v>
      </c>
      <c r="Y75" s="4"/>
      <c r="Z75" s="44"/>
      <c r="AA75" s="42"/>
      <c r="AB75" s="42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R75" s="33"/>
      <c r="AS75" s="38" t="str">
        <f>Notes!U76</f>
        <v xml:space="preserve">      Beverages and tobacco</v>
      </c>
      <c r="AT75" s="4" t="s">
        <v>570</v>
      </c>
      <c r="AU75" s="44">
        <v>3.3972409283387601</v>
      </c>
      <c r="AV75" s="42">
        <v>3.0383832226117402</v>
      </c>
      <c r="AW75" s="42" t="s">
        <v>48</v>
      </c>
      <c r="AX75" s="40" t="s">
        <v>48</v>
      </c>
      <c r="AY75" s="40" t="s">
        <v>48</v>
      </c>
      <c r="AZ75" s="40" t="s">
        <v>48</v>
      </c>
      <c r="BA75" s="40" t="s">
        <v>48</v>
      </c>
      <c r="BB75" s="40" t="s">
        <v>48</v>
      </c>
      <c r="BC75" s="40" t="s">
        <v>48</v>
      </c>
      <c r="BD75" s="40" t="s">
        <v>48</v>
      </c>
      <c r="BE75" s="40" t="s">
        <v>48</v>
      </c>
      <c r="BF75" s="40" t="s">
        <v>48</v>
      </c>
      <c r="BG75" s="40" t="s">
        <v>48</v>
      </c>
      <c r="BH75" s="40" t="s">
        <v>48</v>
      </c>
      <c r="BI75" s="40" t="s">
        <v>48</v>
      </c>
      <c r="BJ75" s="40" t="s">
        <v>48</v>
      </c>
      <c r="BK75" s="40" t="s">
        <v>48</v>
      </c>
      <c r="BM75" s="33"/>
      <c r="BN75" s="38" t="str">
        <f>Notes!W76</f>
        <v xml:space="preserve">               </v>
      </c>
      <c r="BO75" s="4"/>
      <c r="BP75" s="44"/>
      <c r="BQ75" s="42"/>
      <c r="BR75" s="42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H75" s="33"/>
      <c r="CI75" s="38" t="str">
        <f>Notes!W76</f>
        <v xml:space="preserve">               </v>
      </c>
      <c r="CJ75" s="4"/>
      <c r="CK75" s="44"/>
      <c r="CL75" s="42"/>
      <c r="CM75" s="42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</row>
    <row r="76" spans="1:105" x14ac:dyDescent="0.3">
      <c r="A76" s="12">
        <v>69</v>
      </c>
      <c r="B76" s="33"/>
      <c r="C76" s="38" t="str">
        <f>Notes!W77</f>
        <v xml:space="preserve">               </v>
      </c>
      <c r="D76" s="4"/>
      <c r="E76" s="44"/>
      <c r="F76" s="42"/>
      <c r="G76" s="42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W76" s="33"/>
      <c r="X76" s="38" t="str">
        <f>Notes!W77</f>
        <v xml:space="preserve">               </v>
      </c>
      <c r="Y76" s="4"/>
      <c r="Z76" s="44"/>
      <c r="AA76" s="42"/>
      <c r="AB76" s="42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R76" s="33"/>
      <c r="AS76" s="38" t="str">
        <f>Notes!U77</f>
        <v xml:space="preserve">         Beverages</v>
      </c>
      <c r="AT76" s="4" t="s">
        <v>372</v>
      </c>
      <c r="AU76" s="44">
        <v>1.2171240562117556</v>
      </c>
      <c r="AV76" s="42">
        <v>3.047790209814738</v>
      </c>
      <c r="AW76" s="42" t="s">
        <v>48</v>
      </c>
      <c r="AX76" s="40" t="s">
        <v>48</v>
      </c>
      <c r="AY76" s="40" t="s">
        <v>48</v>
      </c>
      <c r="AZ76" s="40" t="s">
        <v>48</v>
      </c>
      <c r="BA76" s="40" t="s">
        <v>48</v>
      </c>
      <c r="BB76" s="40" t="s">
        <v>48</v>
      </c>
      <c r="BC76" s="40" t="s">
        <v>48</v>
      </c>
      <c r="BD76" s="40" t="s">
        <v>48</v>
      </c>
      <c r="BE76" s="40" t="s">
        <v>48</v>
      </c>
      <c r="BF76" s="40" t="s">
        <v>48</v>
      </c>
      <c r="BG76" s="40" t="s">
        <v>48</v>
      </c>
      <c r="BH76" s="40" t="s">
        <v>48</v>
      </c>
      <c r="BI76" s="40" t="s">
        <v>48</v>
      </c>
      <c r="BJ76" s="40" t="s">
        <v>48</v>
      </c>
      <c r="BK76" s="40" t="s">
        <v>48</v>
      </c>
      <c r="BM76" s="33"/>
      <c r="BN76" s="38" t="str">
        <f>Notes!W77</f>
        <v xml:space="preserve">               </v>
      </c>
      <c r="BO76" s="4"/>
      <c r="BP76" s="44"/>
      <c r="BQ76" s="42"/>
      <c r="BR76" s="42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H76" s="33"/>
      <c r="CI76" s="38" t="str">
        <f>Notes!W77</f>
        <v xml:space="preserve">               </v>
      </c>
      <c r="CJ76" s="4"/>
      <c r="CK76" s="44"/>
      <c r="CL76" s="42"/>
      <c r="CM76" s="42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</row>
    <row r="77" spans="1:105" x14ac:dyDescent="0.3">
      <c r="A77" s="12">
        <v>70</v>
      </c>
      <c r="B77" s="33"/>
      <c r="C77" s="38" t="str">
        <f>Notes!W78</f>
        <v xml:space="preserve">               </v>
      </c>
      <c r="D77" s="4"/>
      <c r="E77" s="44"/>
      <c r="F77" s="42"/>
      <c r="G77" s="42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W77" s="33"/>
      <c r="X77" s="38" t="str">
        <f>Notes!W78</f>
        <v xml:space="preserve">               </v>
      </c>
      <c r="Y77" s="4"/>
      <c r="Z77" s="44"/>
      <c r="AA77" s="42"/>
      <c r="AB77" s="42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R77" s="33"/>
      <c r="AS77" s="38" t="str">
        <f>Notes!U78</f>
        <v xml:space="preserve">         Tobacco processing</v>
      </c>
      <c r="AT77" s="4" t="s">
        <v>373</v>
      </c>
      <c r="AU77" s="44">
        <v>2.1801168721270039</v>
      </c>
      <c r="AV77" s="42">
        <v>3.0331292112474095</v>
      </c>
      <c r="AW77" s="42" t="s">
        <v>48</v>
      </c>
      <c r="AX77" s="40" t="s">
        <v>48</v>
      </c>
      <c r="AY77" s="40" t="s">
        <v>48</v>
      </c>
      <c r="AZ77" s="40" t="s">
        <v>48</v>
      </c>
      <c r="BA77" s="40" t="s">
        <v>48</v>
      </c>
      <c r="BB77" s="40" t="s">
        <v>48</v>
      </c>
      <c r="BC77" s="40" t="s">
        <v>48</v>
      </c>
      <c r="BD77" s="40" t="s">
        <v>48</v>
      </c>
      <c r="BE77" s="40" t="s">
        <v>48</v>
      </c>
      <c r="BF77" s="40" t="s">
        <v>48</v>
      </c>
      <c r="BG77" s="40" t="s">
        <v>48</v>
      </c>
      <c r="BH77" s="40" t="s">
        <v>48</v>
      </c>
      <c r="BI77" s="40" t="s">
        <v>48</v>
      </c>
      <c r="BJ77" s="40" t="s">
        <v>48</v>
      </c>
      <c r="BK77" s="40" t="s">
        <v>48</v>
      </c>
      <c r="BM77" s="33"/>
      <c r="BN77" s="38" t="str">
        <f>Notes!W78</f>
        <v xml:space="preserve">               </v>
      </c>
      <c r="BO77" s="4"/>
      <c r="BP77" s="44"/>
      <c r="BQ77" s="42"/>
      <c r="BR77" s="42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H77" s="33"/>
      <c r="CI77" s="38" t="str">
        <f>Notes!W78</f>
        <v xml:space="preserve">               </v>
      </c>
      <c r="CJ77" s="4"/>
      <c r="CK77" s="44"/>
      <c r="CL77" s="42"/>
      <c r="CM77" s="42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</row>
    <row r="78" spans="1:105" x14ac:dyDescent="0.3">
      <c r="A78" s="12">
        <v>71</v>
      </c>
      <c r="B78" s="33"/>
      <c r="C78" s="38" t="str">
        <f>Notes!W79</f>
        <v xml:space="preserve">               </v>
      </c>
      <c r="D78" s="4"/>
      <c r="E78" s="44"/>
      <c r="F78" s="42"/>
      <c r="G78" s="42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W78" s="33"/>
      <c r="X78" s="38" t="str">
        <f>Notes!W79</f>
        <v xml:space="preserve">               </v>
      </c>
      <c r="Y78" s="4"/>
      <c r="Z78" s="44"/>
      <c r="AA78" s="42"/>
      <c r="AB78" s="42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R78" s="33"/>
      <c r="AS78" s="38" t="str">
        <f>Notes!U79</f>
        <v xml:space="preserve">      Textiles, clothing and leather</v>
      </c>
      <c r="AT78" s="4" t="s">
        <v>374</v>
      </c>
      <c r="AU78" s="44">
        <v>11.631567369358081</v>
      </c>
      <c r="AV78" s="42">
        <v>3.0360914220043611</v>
      </c>
      <c r="AW78" s="42" t="s">
        <v>48</v>
      </c>
      <c r="AX78" s="40" t="s">
        <v>48</v>
      </c>
      <c r="AY78" s="40" t="s">
        <v>48</v>
      </c>
      <c r="AZ78" s="40" t="s">
        <v>48</v>
      </c>
      <c r="BA78" s="40" t="s">
        <v>48</v>
      </c>
      <c r="BB78" s="40" t="s">
        <v>48</v>
      </c>
      <c r="BC78" s="40" t="s">
        <v>48</v>
      </c>
      <c r="BD78" s="40" t="s">
        <v>48</v>
      </c>
      <c r="BE78" s="40" t="s">
        <v>48</v>
      </c>
      <c r="BF78" s="40" t="s">
        <v>48</v>
      </c>
      <c r="BG78" s="40" t="s">
        <v>48</v>
      </c>
      <c r="BH78" s="40" t="s">
        <v>48</v>
      </c>
      <c r="BI78" s="40" t="s">
        <v>48</v>
      </c>
      <c r="BJ78" s="40" t="s">
        <v>48</v>
      </c>
      <c r="BK78" s="40" t="s">
        <v>48</v>
      </c>
      <c r="BM78" s="33"/>
      <c r="BN78" s="38" t="str">
        <f>Notes!W79</f>
        <v xml:space="preserve">               </v>
      </c>
      <c r="BO78" s="4"/>
      <c r="BP78" s="44"/>
      <c r="BQ78" s="42"/>
      <c r="BR78" s="42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H78" s="33"/>
      <c r="CI78" s="38" t="str">
        <f>Notes!W79</f>
        <v xml:space="preserve">               </v>
      </c>
      <c r="CJ78" s="4"/>
      <c r="CK78" s="44"/>
      <c r="CL78" s="42"/>
      <c r="CM78" s="42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</row>
    <row r="79" spans="1:105" x14ac:dyDescent="0.3">
      <c r="A79" s="12">
        <v>72</v>
      </c>
      <c r="B79" s="33"/>
      <c r="C79" s="38" t="str">
        <f>Notes!W80</f>
        <v xml:space="preserve">               </v>
      </c>
      <c r="D79" s="4"/>
      <c r="E79" s="44"/>
      <c r="F79" s="42"/>
      <c r="G79" s="42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W79" s="33"/>
      <c r="X79" s="38" t="str">
        <f>Notes!W80</f>
        <v xml:space="preserve">               </v>
      </c>
      <c r="Y79" s="4"/>
      <c r="Z79" s="44"/>
      <c r="AA79" s="42"/>
      <c r="AB79" s="42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R79" s="33"/>
      <c r="AS79" s="38" t="str">
        <f>Notes!U80</f>
        <v xml:space="preserve">         Jute baling</v>
      </c>
      <c r="AT79" s="4" t="s">
        <v>726</v>
      </c>
      <c r="AU79" s="44" t="s">
        <v>48</v>
      </c>
      <c r="AV79" s="42" t="s">
        <v>48</v>
      </c>
      <c r="AW79" s="42" t="s">
        <v>48</v>
      </c>
      <c r="AX79" s="40" t="s">
        <v>48</v>
      </c>
      <c r="AY79" s="40" t="s">
        <v>48</v>
      </c>
      <c r="AZ79" s="40" t="s">
        <v>48</v>
      </c>
      <c r="BA79" s="40" t="s">
        <v>48</v>
      </c>
      <c r="BB79" s="40" t="s">
        <v>48</v>
      </c>
      <c r="BC79" s="40" t="s">
        <v>48</v>
      </c>
      <c r="BD79" s="40" t="s">
        <v>48</v>
      </c>
      <c r="BE79" s="40" t="s">
        <v>48</v>
      </c>
      <c r="BF79" s="40" t="s">
        <v>48</v>
      </c>
      <c r="BG79" s="40" t="s">
        <v>48</v>
      </c>
      <c r="BH79" s="40" t="s">
        <v>48</v>
      </c>
      <c r="BI79" s="40" t="s">
        <v>48</v>
      </c>
      <c r="BJ79" s="40" t="s">
        <v>48</v>
      </c>
      <c r="BK79" s="40" t="s">
        <v>48</v>
      </c>
      <c r="BM79" s="33"/>
      <c r="BN79" s="38" t="str">
        <f>Notes!W80</f>
        <v xml:space="preserve">               </v>
      </c>
      <c r="BO79" s="4"/>
      <c r="BP79" s="44"/>
      <c r="BQ79" s="42"/>
      <c r="BR79" s="42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H79" s="33"/>
      <c r="CI79" s="38" t="str">
        <f>Notes!W80</f>
        <v xml:space="preserve">               </v>
      </c>
      <c r="CJ79" s="4"/>
      <c r="CK79" s="44"/>
      <c r="CL79" s="42"/>
      <c r="CM79" s="42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</row>
    <row r="80" spans="1:105" x14ac:dyDescent="0.3">
      <c r="A80" s="12">
        <v>73</v>
      </c>
      <c r="B80" s="33"/>
      <c r="C80" s="38" t="str">
        <f>Notes!W81</f>
        <v xml:space="preserve">               </v>
      </c>
      <c r="D80" s="4"/>
      <c r="E80" s="44"/>
      <c r="F80" s="42"/>
      <c r="G80" s="42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W80" s="33"/>
      <c r="X80" s="38" t="str">
        <f>Notes!W81</f>
        <v xml:space="preserve">               </v>
      </c>
      <c r="Y80" s="4"/>
      <c r="Z80" s="44"/>
      <c r="AA80" s="42"/>
      <c r="AB80" s="42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R80" s="33"/>
      <c r="AS80" s="38" t="str">
        <f>Notes!U81</f>
        <v xml:space="preserve">         Jute fabrication</v>
      </c>
      <c r="AT80" s="4" t="s">
        <v>728</v>
      </c>
      <c r="AU80" s="44">
        <v>0.24120265793696793</v>
      </c>
      <c r="AV80" s="42">
        <v>3.0338677600405539</v>
      </c>
      <c r="AW80" s="42" t="s">
        <v>48</v>
      </c>
      <c r="AX80" s="40" t="s">
        <v>48</v>
      </c>
      <c r="AY80" s="40" t="s">
        <v>48</v>
      </c>
      <c r="AZ80" s="40" t="s">
        <v>48</v>
      </c>
      <c r="BA80" s="40" t="s">
        <v>48</v>
      </c>
      <c r="BB80" s="40" t="s">
        <v>48</v>
      </c>
      <c r="BC80" s="40" t="s">
        <v>48</v>
      </c>
      <c r="BD80" s="40" t="s">
        <v>48</v>
      </c>
      <c r="BE80" s="40" t="s">
        <v>48</v>
      </c>
      <c r="BF80" s="40" t="s">
        <v>48</v>
      </c>
      <c r="BG80" s="40" t="s">
        <v>48</v>
      </c>
      <c r="BH80" s="40" t="s">
        <v>48</v>
      </c>
      <c r="BI80" s="40" t="s">
        <v>48</v>
      </c>
      <c r="BJ80" s="40" t="s">
        <v>48</v>
      </c>
      <c r="BK80" s="40" t="s">
        <v>48</v>
      </c>
      <c r="BM80" s="33"/>
      <c r="BN80" s="38" t="str">
        <f>Notes!W81</f>
        <v xml:space="preserve">               </v>
      </c>
      <c r="BO80" s="4"/>
      <c r="BP80" s="44"/>
      <c r="BQ80" s="42"/>
      <c r="BR80" s="42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H80" s="33"/>
      <c r="CI80" s="38" t="str">
        <f>Notes!W81</f>
        <v xml:space="preserve">               </v>
      </c>
      <c r="CJ80" s="4"/>
      <c r="CK80" s="44"/>
      <c r="CL80" s="42"/>
      <c r="CM80" s="42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</row>
    <row r="81" spans="1:105" x14ac:dyDescent="0.3">
      <c r="A81" s="12">
        <v>74</v>
      </c>
      <c r="B81" s="33"/>
      <c r="C81" s="38" t="str">
        <f>Notes!W82</f>
        <v xml:space="preserve">               </v>
      </c>
      <c r="D81" s="4"/>
      <c r="E81" s="44"/>
      <c r="F81" s="42"/>
      <c r="G81" s="42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W81" s="33"/>
      <c r="X81" s="38" t="str">
        <f>Notes!W82</f>
        <v xml:space="preserve">               </v>
      </c>
      <c r="Y81" s="4"/>
      <c r="Z81" s="44"/>
      <c r="AA81" s="42"/>
      <c r="AB81" s="42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R81" s="33"/>
      <c r="AS81" s="38" t="str">
        <f>Notes!U82</f>
        <v xml:space="preserve">         Cotton yarn</v>
      </c>
      <c r="AT81" s="4" t="s">
        <v>730</v>
      </c>
      <c r="AU81" s="44">
        <v>9.7854548043690374E-3</v>
      </c>
      <c r="AV81" s="42">
        <v>3.0559683339163923</v>
      </c>
      <c r="AW81" s="42" t="s">
        <v>48</v>
      </c>
      <c r="AX81" s="40" t="s">
        <v>48</v>
      </c>
      <c r="AY81" s="40" t="s">
        <v>48</v>
      </c>
      <c r="AZ81" s="40" t="s">
        <v>48</v>
      </c>
      <c r="BA81" s="40" t="s">
        <v>48</v>
      </c>
      <c r="BB81" s="40" t="s">
        <v>48</v>
      </c>
      <c r="BC81" s="40" t="s">
        <v>48</v>
      </c>
      <c r="BD81" s="40" t="s">
        <v>48</v>
      </c>
      <c r="BE81" s="40" t="s">
        <v>48</v>
      </c>
      <c r="BF81" s="40" t="s">
        <v>48</v>
      </c>
      <c r="BG81" s="40" t="s">
        <v>48</v>
      </c>
      <c r="BH81" s="40" t="s">
        <v>48</v>
      </c>
      <c r="BI81" s="40" t="s">
        <v>48</v>
      </c>
      <c r="BJ81" s="40" t="s">
        <v>48</v>
      </c>
      <c r="BK81" s="40" t="s">
        <v>48</v>
      </c>
      <c r="BM81" s="33"/>
      <c r="BN81" s="38" t="str">
        <f>Notes!W82</f>
        <v xml:space="preserve">               </v>
      </c>
      <c r="BO81" s="4"/>
      <c r="BP81" s="44"/>
      <c r="BQ81" s="42"/>
      <c r="BR81" s="42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H81" s="33"/>
      <c r="CI81" s="38" t="str">
        <f>Notes!W82</f>
        <v xml:space="preserve">               </v>
      </c>
      <c r="CJ81" s="4"/>
      <c r="CK81" s="44"/>
      <c r="CL81" s="42"/>
      <c r="CM81" s="42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</row>
    <row r="82" spans="1:105" x14ac:dyDescent="0.3">
      <c r="A82" s="12">
        <v>75</v>
      </c>
      <c r="B82" s="33"/>
      <c r="C82" s="38" t="str">
        <f>Notes!W83</f>
        <v xml:space="preserve">               </v>
      </c>
      <c r="D82" s="4"/>
      <c r="E82" s="44"/>
      <c r="F82" s="42"/>
      <c r="G82" s="42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W82" s="33"/>
      <c r="X82" s="38" t="str">
        <f>Notes!W83</f>
        <v xml:space="preserve">               </v>
      </c>
      <c r="Y82" s="4"/>
      <c r="Z82" s="44"/>
      <c r="AA82" s="42"/>
      <c r="AB82" s="42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R82" s="33"/>
      <c r="AS82" s="38" t="str">
        <f>Notes!U83</f>
        <v xml:space="preserve">         Textiles</v>
      </c>
      <c r="AT82" s="4" t="s">
        <v>375</v>
      </c>
      <c r="AU82" s="44">
        <v>2.9995357091793982</v>
      </c>
      <c r="AV82" s="42">
        <v>3.0513831798080204</v>
      </c>
      <c r="AW82" s="42" t="s">
        <v>48</v>
      </c>
      <c r="AX82" s="40" t="s">
        <v>48</v>
      </c>
      <c r="AY82" s="40" t="s">
        <v>48</v>
      </c>
      <c r="AZ82" s="40" t="s">
        <v>48</v>
      </c>
      <c r="BA82" s="40" t="s">
        <v>48</v>
      </c>
      <c r="BB82" s="40" t="s">
        <v>48</v>
      </c>
      <c r="BC82" s="40" t="s">
        <v>48</v>
      </c>
      <c r="BD82" s="40" t="s">
        <v>48</v>
      </c>
      <c r="BE82" s="40" t="s">
        <v>48</v>
      </c>
      <c r="BF82" s="40" t="s">
        <v>48</v>
      </c>
      <c r="BG82" s="40" t="s">
        <v>48</v>
      </c>
      <c r="BH82" s="40" t="s">
        <v>48</v>
      </c>
      <c r="BI82" s="40" t="s">
        <v>48</v>
      </c>
      <c r="BJ82" s="40" t="s">
        <v>48</v>
      </c>
      <c r="BK82" s="40" t="s">
        <v>48</v>
      </c>
      <c r="BM82" s="33"/>
      <c r="BN82" s="38" t="str">
        <f>Notes!W83</f>
        <v xml:space="preserve">               </v>
      </c>
      <c r="BO82" s="4"/>
      <c r="BP82" s="44"/>
      <c r="BQ82" s="42"/>
      <c r="BR82" s="42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H82" s="33"/>
      <c r="CI82" s="38" t="str">
        <f>Notes!W83</f>
        <v xml:space="preserve">               </v>
      </c>
      <c r="CJ82" s="4"/>
      <c r="CK82" s="44"/>
      <c r="CL82" s="42"/>
      <c r="CM82" s="42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</row>
    <row r="83" spans="1:105" x14ac:dyDescent="0.3">
      <c r="A83" s="12">
        <v>76</v>
      </c>
      <c r="B83" s="33"/>
      <c r="C83" s="38" t="str">
        <f>Notes!W84</f>
        <v xml:space="preserve">               </v>
      </c>
      <c r="D83" s="4"/>
      <c r="E83" s="44"/>
      <c r="F83" s="42"/>
      <c r="G83" s="42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W83" s="33"/>
      <c r="X83" s="38" t="str">
        <f>Notes!W84</f>
        <v xml:space="preserve">               </v>
      </c>
      <c r="Y83" s="4"/>
      <c r="Z83" s="44"/>
      <c r="AA83" s="42"/>
      <c r="AB83" s="42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R83" s="33"/>
      <c r="AS83" s="38" t="str">
        <f>Notes!U84</f>
        <v xml:space="preserve">         Clothing</v>
      </c>
      <c r="AT83" s="4" t="s">
        <v>376</v>
      </c>
      <c r="AU83" s="44">
        <v>7.7368339265997523</v>
      </c>
      <c r="AV83" s="42">
        <v>3.0304508188065071</v>
      </c>
      <c r="AW83" s="42" t="s">
        <v>48</v>
      </c>
      <c r="AX83" s="40" t="s">
        <v>48</v>
      </c>
      <c r="AY83" s="40" t="s">
        <v>48</v>
      </c>
      <c r="AZ83" s="40" t="s">
        <v>48</v>
      </c>
      <c r="BA83" s="40" t="s">
        <v>48</v>
      </c>
      <c r="BB83" s="40" t="s">
        <v>48</v>
      </c>
      <c r="BC83" s="40" t="s">
        <v>48</v>
      </c>
      <c r="BD83" s="40" t="s">
        <v>48</v>
      </c>
      <c r="BE83" s="40" t="s">
        <v>48</v>
      </c>
      <c r="BF83" s="40" t="s">
        <v>48</v>
      </c>
      <c r="BG83" s="40" t="s">
        <v>48</v>
      </c>
      <c r="BH83" s="40" t="s">
        <v>48</v>
      </c>
      <c r="BI83" s="40" t="s">
        <v>48</v>
      </c>
      <c r="BJ83" s="40" t="s">
        <v>48</v>
      </c>
      <c r="BK83" s="40" t="s">
        <v>48</v>
      </c>
      <c r="BM83" s="33"/>
      <c r="BN83" s="38" t="str">
        <f>Notes!W84</f>
        <v xml:space="preserve">               </v>
      </c>
      <c r="BO83" s="4"/>
      <c r="BP83" s="44"/>
      <c r="BQ83" s="42"/>
      <c r="BR83" s="42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H83" s="33"/>
      <c r="CI83" s="38" t="str">
        <f>Notes!W84</f>
        <v xml:space="preserve">               </v>
      </c>
      <c r="CJ83" s="4"/>
      <c r="CK83" s="44"/>
      <c r="CL83" s="42"/>
      <c r="CM83" s="42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</row>
    <row r="84" spans="1:105" x14ac:dyDescent="0.3">
      <c r="A84" s="12">
        <v>77</v>
      </c>
      <c r="B84" s="33"/>
      <c r="C84" s="38" t="str">
        <f>Notes!W85</f>
        <v xml:space="preserve">               </v>
      </c>
      <c r="D84" s="4"/>
      <c r="E84" s="44"/>
      <c r="F84" s="42"/>
      <c r="G84" s="42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W84" s="33"/>
      <c r="X84" s="38" t="str">
        <f>Notes!W85</f>
        <v xml:space="preserve">               </v>
      </c>
      <c r="Y84" s="4"/>
      <c r="Z84" s="44"/>
      <c r="AA84" s="42"/>
      <c r="AB84" s="42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R84" s="33"/>
      <c r="AS84" s="38" t="str">
        <f>Notes!U85</f>
        <v xml:space="preserve">         Leather and footwear</v>
      </c>
      <c r="AT84" s="4" t="s">
        <v>377</v>
      </c>
      <c r="AU84" s="44">
        <v>0.64420962083759548</v>
      </c>
      <c r="AV84" s="42">
        <v>3.0331206166835489</v>
      </c>
      <c r="AW84" s="42" t="s">
        <v>48</v>
      </c>
      <c r="AX84" s="40" t="s">
        <v>48</v>
      </c>
      <c r="AY84" s="40" t="s">
        <v>48</v>
      </c>
      <c r="AZ84" s="40" t="s">
        <v>48</v>
      </c>
      <c r="BA84" s="40" t="s">
        <v>48</v>
      </c>
      <c r="BB84" s="40" t="s">
        <v>48</v>
      </c>
      <c r="BC84" s="40" t="s">
        <v>48</v>
      </c>
      <c r="BD84" s="40" t="s">
        <v>48</v>
      </c>
      <c r="BE84" s="40" t="s">
        <v>48</v>
      </c>
      <c r="BF84" s="40" t="s">
        <v>48</v>
      </c>
      <c r="BG84" s="40" t="s">
        <v>48</v>
      </c>
      <c r="BH84" s="40" t="s">
        <v>48</v>
      </c>
      <c r="BI84" s="40" t="s">
        <v>48</v>
      </c>
      <c r="BJ84" s="40" t="s">
        <v>48</v>
      </c>
      <c r="BK84" s="40" t="s">
        <v>48</v>
      </c>
      <c r="BM84" s="33"/>
      <c r="BN84" s="38" t="str">
        <f>Notes!W85</f>
        <v xml:space="preserve">               </v>
      </c>
      <c r="BO84" s="4"/>
      <c r="BP84" s="44"/>
      <c r="BQ84" s="42"/>
      <c r="BR84" s="42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H84" s="33"/>
      <c r="CI84" s="38" t="str">
        <f>Notes!W85</f>
        <v xml:space="preserve">               </v>
      </c>
      <c r="CJ84" s="4"/>
      <c r="CK84" s="44"/>
      <c r="CL84" s="42"/>
      <c r="CM84" s="42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</row>
    <row r="85" spans="1:105" x14ac:dyDescent="0.3">
      <c r="A85" s="12">
        <v>78</v>
      </c>
      <c r="B85" s="33"/>
      <c r="C85" s="38" t="str">
        <f>Notes!W86</f>
        <v xml:space="preserve">               </v>
      </c>
      <c r="D85" s="4"/>
      <c r="E85" s="44"/>
      <c r="F85" s="42"/>
      <c r="G85" s="42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W85" s="33"/>
      <c r="X85" s="38" t="str">
        <f>Notes!W86</f>
        <v xml:space="preserve">               </v>
      </c>
      <c r="Y85" s="4"/>
      <c r="Z85" s="44"/>
      <c r="AA85" s="42"/>
      <c r="AB85" s="42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R85" s="33"/>
      <c r="AS85" s="38" t="str">
        <f>Notes!U86</f>
        <v xml:space="preserve">      Wood and paper products</v>
      </c>
      <c r="AT85" s="4" t="s">
        <v>378</v>
      </c>
      <c r="AU85" s="44">
        <v>0.7467579554760817</v>
      </c>
      <c r="AV85" s="42">
        <v>3.0552525073733294</v>
      </c>
      <c r="AW85" s="42" t="s">
        <v>48</v>
      </c>
      <c r="AX85" s="40" t="s">
        <v>48</v>
      </c>
      <c r="AY85" s="40" t="s">
        <v>48</v>
      </c>
      <c r="AZ85" s="40" t="s">
        <v>48</v>
      </c>
      <c r="BA85" s="40" t="s">
        <v>48</v>
      </c>
      <c r="BB85" s="40" t="s">
        <v>48</v>
      </c>
      <c r="BC85" s="40" t="s">
        <v>48</v>
      </c>
      <c r="BD85" s="40" t="s">
        <v>48</v>
      </c>
      <c r="BE85" s="40" t="s">
        <v>48</v>
      </c>
      <c r="BF85" s="40" t="s">
        <v>48</v>
      </c>
      <c r="BG85" s="40" t="s">
        <v>48</v>
      </c>
      <c r="BH85" s="40" t="s">
        <v>48</v>
      </c>
      <c r="BI85" s="40" t="s">
        <v>48</v>
      </c>
      <c r="BJ85" s="40" t="s">
        <v>48</v>
      </c>
      <c r="BK85" s="40" t="s">
        <v>48</v>
      </c>
      <c r="BM85" s="33"/>
      <c r="BN85" s="38" t="str">
        <f>Notes!W86</f>
        <v xml:space="preserve">               </v>
      </c>
      <c r="BO85" s="4"/>
      <c r="BP85" s="44"/>
      <c r="BQ85" s="42"/>
      <c r="BR85" s="42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H85" s="33"/>
      <c r="CI85" s="38" t="str">
        <f>Notes!W86</f>
        <v xml:space="preserve">               </v>
      </c>
      <c r="CJ85" s="4"/>
      <c r="CK85" s="44"/>
      <c r="CL85" s="42"/>
      <c r="CM85" s="42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</row>
    <row r="86" spans="1:105" x14ac:dyDescent="0.3">
      <c r="A86" s="12">
        <v>79</v>
      </c>
      <c r="B86" s="33"/>
      <c r="C86" s="38" t="str">
        <f>Notes!W87</f>
        <v xml:space="preserve">               </v>
      </c>
      <c r="D86" s="4"/>
      <c r="E86" s="44"/>
      <c r="F86" s="42"/>
      <c r="G86" s="42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W86" s="33"/>
      <c r="X86" s="38" t="str">
        <f>Notes!W87</f>
        <v xml:space="preserve">               </v>
      </c>
      <c r="Y86" s="4"/>
      <c r="Z86" s="44"/>
      <c r="AA86" s="42"/>
      <c r="AB86" s="42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R86" s="33"/>
      <c r="AS86" s="38" t="str">
        <f>Notes!U87</f>
        <v xml:space="preserve">         Wood products</v>
      </c>
      <c r="AT86" s="4" t="s">
        <v>380</v>
      </c>
      <c r="AU86" s="44">
        <v>0.24137113372292582</v>
      </c>
      <c r="AV86" s="42">
        <v>3.0718197468189601</v>
      </c>
      <c r="AW86" s="42" t="s">
        <v>48</v>
      </c>
      <c r="AX86" s="40" t="s">
        <v>48</v>
      </c>
      <c r="AY86" s="40" t="s">
        <v>48</v>
      </c>
      <c r="AZ86" s="40" t="s">
        <v>48</v>
      </c>
      <c r="BA86" s="40" t="s">
        <v>48</v>
      </c>
      <c r="BB86" s="40" t="s">
        <v>48</v>
      </c>
      <c r="BC86" s="40" t="s">
        <v>48</v>
      </c>
      <c r="BD86" s="40" t="s">
        <v>48</v>
      </c>
      <c r="BE86" s="40" t="s">
        <v>48</v>
      </c>
      <c r="BF86" s="40" t="s">
        <v>48</v>
      </c>
      <c r="BG86" s="40" t="s">
        <v>48</v>
      </c>
      <c r="BH86" s="40" t="s">
        <v>48</v>
      </c>
      <c r="BI86" s="40" t="s">
        <v>48</v>
      </c>
      <c r="BJ86" s="40" t="s">
        <v>48</v>
      </c>
      <c r="BK86" s="40" t="s">
        <v>48</v>
      </c>
      <c r="BM86" s="33"/>
      <c r="BN86" s="38" t="str">
        <f>Notes!W87</f>
        <v xml:space="preserve">               </v>
      </c>
      <c r="BO86" s="4"/>
      <c r="BP86" s="44"/>
      <c r="BQ86" s="42"/>
      <c r="BR86" s="42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H86" s="33"/>
      <c r="CI86" s="38" t="str">
        <f>Notes!W87</f>
        <v xml:space="preserve">               </v>
      </c>
      <c r="CJ86" s="4"/>
      <c r="CK86" s="44"/>
      <c r="CL86" s="42"/>
      <c r="CM86" s="42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</row>
    <row r="87" spans="1:105" x14ac:dyDescent="0.3">
      <c r="A87" s="12">
        <v>80</v>
      </c>
      <c r="B87" s="33"/>
      <c r="C87" s="38" t="str">
        <f>Notes!W88</f>
        <v xml:space="preserve">               </v>
      </c>
      <c r="D87" s="4"/>
      <c r="E87" s="44"/>
      <c r="F87" s="42"/>
      <c r="G87" s="42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W87" s="33"/>
      <c r="X87" s="38" t="str">
        <f>Notes!W88</f>
        <v xml:space="preserve">               </v>
      </c>
      <c r="Y87" s="4"/>
      <c r="Z87" s="44"/>
      <c r="AA87" s="42"/>
      <c r="AB87" s="42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R87" s="33"/>
      <c r="AS87" s="38" t="str">
        <f>Notes!U88</f>
        <v xml:space="preserve">         Paper products and publishing</v>
      </c>
      <c r="AT87" s="4" t="s">
        <v>381</v>
      </c>
      <c r="AU87" s="44">
        <v>0.50538682175315597</v>
      </c>
      <c r="AV87" s="42">
        <v>3.0473344047124984</v>
      </c>
      <c r="AW87" s="42" t="s">
        <v>48</v>
      </c>
      <c r="AX87" s="40" t="s">
        <v>48</v>
      </c>
      <c r="AY87" s="40" t="s">
        <v>48</v>
      </c>
      <c r="AZ87" s="40" t="s">
        <v>48</v>
      </c>
      <c r="BA87" s="40" t="s">
        <v>48</v>
      </c>
      <c r="BB87" s="40" t="s">
        <v>48</v>
      </c>
      <c r="BC87" s="40" t="s">
        <v>48</v>
      </c>
      <c r="BD87" s="40" t="s">
        <v>48</v>
      </c>
      <c r="BE87" s="40" t="s">
        <v>48</v>
      </c>
      <c r="BF87" s="40" t="s">
        <v>48</v>
      </c>
      <c r="BG87" s="40" t="s">
        <v>48</v>
      </c>
      <c r="BH87" s="40" t="s">
        <v>48</v>
      </c>
      <c r="BI87" s="40" t="s">
        <v>48</v>
      </c>
      <c r="BJ87" s="40" t="s">
        <v>48</v>
      </c>
      <c r="BK87" s="40" t="s">
        <v>48</v>
      </c>
      <c r="BM87" s="33"/>
      <c r="BN87" s="38" t="str">
        <f>Notes!W88</f>
        <v xml:space="preserve">               </v>
      </c>
      <c r="BO87" s="4"/>
      <c r="BP87" s="44"/>
      <c r="BQ87" s="42"/>
      <c r="BR87" s="42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H87" s="33"/>
      <c r="CI87" s="38" t="str">
        <f>Notes!W88</f>
        <v xml:space="preserve">               </v>
      </c>
      <c r="CJ87" s="4"/>
      <c r="CK87" s="44"/>
      <c r="CL87" s="42"/>
      <c r="CM87" s="42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</row>
    <row r="88" spans="1:105" x14ac:dyDescent="0.3">
      <c r="A88" s="12">
        <v>81</v>
      </c>
      <c r="B88" s="33"/>
      <c r="C88" s="38" t="str">
        <f>Notes!W89</f>
        <v xml:space="preserve">               </v>
      </c>
      <c r="D88" s="4"/>
      <c r="E88" s="44"/>
      <c r="F88" s="42"/>
      <c r="G88" s="42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W88" s="33"/>
      <c r="X88" s="38" t="str">
        <f>Notes!W89</f>
        <v xml:space="preserve">               </v>
      </c>
      <c r="Y88" s="4"/>
      <c r="Z88" s="44"/>
      <c r="AA88" s="42"/>
      <c r="AB88" s="42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R88" s="33"/>
      <c r="AS88" s="38" t="str">
        <f>Notes!U89</f>
        <v xml:space="preserve">      Chemical products</v>
      </c>
      <c r="AT88" s="4" t="s">
        <v>382</v>
      </c>
      <c r="AU88" s="44">
        <v>3.0264647054337352</v>
      </c>
      <c r="AV88" s="42">
        <v>3.0552158035861421</v>
      </c>
      <c r="AW88" s="42" t="s">
        <v>48</v>
      </c>
      <c r="AX88" s="40" t="s">
        <v>48</v>
      </c>
      <c r="AY88" s="40" t="s">
        <v>48</v>
      </c>
      <c r="AZ88" s="40" t="s">
        <v>48</v>
      </c>
      <c r="BA88" s="40" t="s">
        <v>48</v>
      </c>
      <c r="BB88" s="40" t="s">
        <v>48</v>
      </c>
      <c r="BC88" s="40" t="s">
        <v>48</v>
      </c>
      <c r="BD88" s="40" t="s">
        <v>48</v>
      </c>
      <c r="BE88" s="40" t="s">
        <v>48</v>
      </c>
      <c r="BF88" s="40" t="s">
        <v>48</v>
      </c>
      <c r="BG88" s="40" t="s">
        <v>48</v>
      </c>
      <c r="BH88" s="40" t="s">
        <v>48</v>
      </c>
      <c r="BI88" s="40" t="s">
        <v>48</v>
      </c>
      <c r="BJ88" s="40" t="s">
        <v>48</v>
      </c>
      <c r="BK88" s="40" t="s">
        <v>48</v>
      </c>
      <c r="BM88" s="33"/>
      <c r="BN88" s="38" t="str">
        <f>Notes!W89</f>
        <v xml:space="preserve">               </v>
      </c>
      <c r="BO88" s="4"/>
      <c r="BP88" s="44"/>
      <c r="BQ88" s="42"/>
      <c r="BR88" s="42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H88" s="33"/>
      <c r="CI88" s="38" t="str">
        <f>Notes!W89</f>
        <v xml:space="preserve">               </v>
      </c>
      <c r="CJ88" s="4"/>
      <c r="CK88" s="44"/>
      <c r="CL88" s="42"/>
      <c r="CM88" s="42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</row>
    <row r="89" spans="1:105" x14ac:dyDescent="0.3">
      <c r="A89" s="12">
        <v>82</v>
      </c>
      <c r="B89" s="33"/>
      <c r="C89" s="38" t="str">
        <f>Notes!W90</f>
        <v xml:space="preserve">               </v>
      </c>
      <c r="D89" s="4"/>
      <c r="E89" s="44"/>
      <c r="F89" s="42"/>
      <c r="G89" s="42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W89" s="33"/>
      <c r="X89" s="38" t="str">
        <f>Notes!W90</f>
        <v xml:space="preserve">               </v>
      </c>
      <c r="Y89" s="4"/>
      <c r="Z89" s="44"/>
      <c r="AA89" s="42"/>
      <c r="AB89" s="42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R89" s="33"/>
      <c r="AS89" s="38" t="str">
        <f>Notes!U90</f>
        <v xml:space="preserve">         Petroleum products</v>
      </c>
      <c r="AT89" s="4" t="s">
        <v>383</v>
      </c>
      <c r="AU89" s="44">
        <v>1.7380985251176952</v>
      </c>
      <c r="AV89" s="42">
        <v>3.0572474349465972</v>
      </c>
      <c r="AW89" s="42" t="s">
        <v>48</v>
      </c>
      <c r="AX89" s="40" t="s">
        <v>48</v>
      </c>
      <c r="AY89" s="40" t="s">
        <v>48</v>
      </c>
      <c r="AZ89" s="40" t="s">
        <v>48</v>
      </c>
      <c r="BA89" s="40" t="s">
        <v>48</v>
      </c>
      <c r="BB89" s="40" t="s">
        <v>48</v>
      </c>
      <c r="BC89" s="40" t="s">
        <v>48</v>
      </c>
      <c r="BD89" s="40" t="s">
        <v>48</v>
      </c>
      <c r="BE89" s="40" t="s">
        <v>48</v>
      </c>
      <c r="BF89" s="40" t="s">
        <v>48</v>
      </c>
      <c r="BG89" s="40" t="s">
        <v>48</v>
      </c>
      <c r="BH89" s="40" t="s">
        <v>48</v>
      </c>
      <c r="BI89" s="40" t="s">
        <v>48</v>
      </c>
      <c r="BJ89" s="40" t="s">
        <v>48</v>
      </c>
      <c r="BK89" s="40" t="s">
        <v>48</v>
      </c>
      <c r="BM89" s="33"/>
      <c r="BN89" s="38" t="str">
        <f>Notes!W90</f>
        <v xml:space="preserve">               </v>
      </c>
      <c r="BO89" s="4"/>
      <c r="BP89" s="44"/>
      <c r="BQ89" s="42"/>
      <c r="BR89" s="42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H89" s="33"/>
      <c r="CI89" s="38" t="str">
        <f>Notes!W90</f>
        <v xml:space="preserve">               </v>
      </c>
      <c r="CJ89" s="4"/>
      <c r="CK89" s="44"/>
      <c r="CL89" s="42"/>
      <c r="CM89" s="42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</row>
    <row r="90" spans="1:105" x14ac:dyDescent="0.3">
      <c r="A90" s="12">
        <v>83</v>
      </c>
      <c r="B90" s="33"/>
      <c r="C90" s="38" t="str">
        <f>Notes!W91</f>
        <v xml:space="preserve">               </v>
      </c>
      <c r="D90" s="4"/>
      <c r="E90" s="44"/>
      <c r="F90" s="42"/>
      <c r="G90" s="42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W90" s="33"/>
      <c r="X90" s="38" t="str">
        <f>Notes!W91</f>
        <v xml:space="preserve">               </v>
      </c>
      <c r="Y90" s="4"/>
      <c r="Z90" s="44"/>
      <c r="AA90" s="42"/>
      <c r="AB90" s="42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R90" s="33"/>
      <c r="AS90" s="38" t="str">
        <f>Notes!U91</f>
        <v xml:space="preserve">         Fertilizers and herbicides</v>
      </c>
      <c r="AT90" s="4" t="s">
        <v>384</v>
      </c>
      <c r="AU90" s="44" t="s">
        <v>48</v>
      </c>
      <c r="AV90" s="42" t="s">
        <v>48</v>
      </c>
      <c r="AW90" s="42" t="s">
        <v>48</v>
      </c>
      <c r="AX90" s="40" t="s">
        <v>48</v>
      </c>
      <c r="AY90" s="40" t="s">
        <v>48</v>
      </c>
      <c r="AZ90" s="40" t="s">
        <v>48</v>
      </c>
      <c r="BA90" s="40" t="s">
        <v>48</v>
      </c>
      <c r="BB90" s="40" t="s">
        <v>48</v>
      </c>
      <c r="BC90" s="40" t="s">
        <v>48</v>
      </c>
      <c r="BD90" s="40" t="s">
        <v>48</v>
      </c>
      <c r="BE90" s="40" t="s">
        <v>48</v>
      </c>
      <c r="BF90" s="40" t="s">
        <v>48</v>
      </c>
      <c r="BG90" s="40" t="s">
        <v>48</v>
      </c>
      <c r="BH90" s="40" t="s">
        <v>48</v>
      </c>
      <c r="BI90" s="40" t="s">
        <v>48</v>
      </c>
      <c r="BJ90" s="40" t="s">
        <v>48</v>
      </c>
      <c r="BK90" s="40" t="s">
        <v>48</v>
      </c>
      <c r="BM90" s="33"/>
      <c r="BN90" s="38" t="str">
        <f>Notes!W91</f>
        <v xml:space="preserve">               </v>
      </c>
      <c r="BO90" s="4"/>
      <c r="BP90" s="44"/>
      <c r="BQ90" s="42"/>
      <c r="BR90" s="42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H90" s="33"/>
      <c r="CI90" s="38" t="str">
        <f>Notes!W91</f>
        <v xml:space="preserve">               </v>
      </c>
      <c r="CJ90" s="4"/>
      <c r="CK90" s="44"/>
      <c r="CL90" s="42"/>
      <c r="CM90" s="42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</row>
    <row r="91" spans="1:105" x14ac:dyDescent="0.3">
      <c r="A91" s="12">
        <v>84</v>
      </c>
      <c r="B91" s="33"/>
      <c r="C91" s="38" t="str">
        <f>Notes!W92</f>
        <v xml:space="preserve">               </v>
      </c>
      <c r="D91" s="4"/>
      <c r="E91" s="44"/>
      <c r="F91" s="42"/>
      <c r="G91" s="42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W91" s="33"/>
      <c r="X91" s="38" t="str">
        <f>Notes!W92</f>
        <v xml:space="preserve">               </v>
      </c>
      <c r="Y91" s="4"/>
      <c r="Z91" s="44"/>
      <c r="AA91" s="42"/>
      <c r="AB91" s="42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R91" s="33"/>
      <c r="AS91" s="38" t="str">
        <f>Notes!U92</f>
        <v xml:space="preserve">         Other chemicals</v>
      </c>
      <c r="AT91" s="4" t="s">
        <v>385</v>
      </c>
      <c r="AU91" s="44">
        <v>1.2883661803160398</v>
      </c>
      <c r="AV91" s="42">
        <v>3.0524746061067365</v>
      </c>
      <c r="AW91" s="42" t="s">
        <v>48</v>
      </c>
      <c r="AX91" s="40" t="s">
        <v>48</v>
      </c>
      <c r="AY91" s="40" t="s">
        <v>48</v>
      </c>
      <c r="AZ91" s="40" t="s">
        <v>48</v>
      </c>
      <c r="BA91" s="40" t="s">
        <v>48</v>
      </c>
      <c r="BB91" s="40" t="s">
        <v>48</v>
      </c>
      <c r="BC91" s="40" t="s">
        <v>48</v>
      </c>
      <c r="BD91" s="40" t="s">
        <v>48</v>
      </c>
      <c r="BE91" s="40" t="s">
        <v>48</v>
      </c>
      <c r="BF91" s="40" t="s">
        <v>48</v>
      </c>
      <c r="BG91" s="40" t="s">
        <v>48</v>
      </c>
      <c r="BH91" s="40" t="s">
        <v>48</v>
      </c>
      <c r="BI91" s="40" t="s">
        <v>48</v>
      </c>
      <c r="BJ91" s="40" t="s">
        <v>48</v>
      </c>
      <c r="BK91" s="40" t="s">
        <v>48</v>
      </c>
      <c r="BM91" s="33"/>
      <c r="BN91" s="38" t="str">
        <f>Notes!W92</f>
        <v xml:space="preserve">               </v>
      </c>
      <c r="BO91" s="4"/>
      <c r="BP91" s="44"/>
      <c r="BQ91" s="42"/>
      <c r="BR91" s="42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H91" s="33"/>
      <c r="CI91" s="38" t="str">
        <f>Notes!W92</f>
        <v xml:space="preserve">               </v>
      </c>
      <c r="CJ91" s="4"/>
      <c r="CK91" s="44"/>
      <c r="CL91" s="42"/>
      <c r="CM91" s="42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</row>
    <row r="92" spans="1:105" x14ac:dyDescent="0.3">
      <c r="A92" s="12">
        <v>85</v>
      </c>
      <c r="B92" s="33"/>
      <c r="C92" s="38" t="str">
        <f>Notes!W93</f>
        <v xml:space="preserve">               </v>
      </c>
      <c r="D92" s="4"/>
      <c r="E92" s="44"/>
      <c r="F92" s="42"/>
      <c r="G92" s="42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W92" s="33"/>
      <c r="X92" s="38" t="str">
        <f>Notes!W93</f>
        <v xml:space="preserve">               </v>
      </c>
      <c r="Y92" s="4"/>
      <c r="Z92" s="44"/>
      <c r="AA92" s="42"/>
      <c r="AB92" s="42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R92" s="33"/>
      <c r="AS92" s="38" t="str">
        <f>Notes!U93</f>
        <v xml:space="preserve">      Non-metal minerals</v>
      </c>
      <c r="AT92" s="4" t="s">
        <v>386</v>
      </c>
      <c r="AU92" s="44">
        <v>9.0997657401666512</v>
      </c>
      <c r="AV92" s="42">
        <v>3.0575084825648746</v>
      </c>
      <c r="AW92" s="42" t="s">
        <v>48</v>
      </c>
      <c r="AX92" s="40" t="s">
        <v>48</v>
      </c>
      <c r="AY92" s="40" t="s">
        <v>48</v>
      </c>
      <c r="AZ92" s="40" t="s">
        <v>48</v>
      </c>
      <c r="BA92" s="40" t="s">
        <v>48</v>
      </c>
      <c r="BB92" s="40" t="s">
        <v>48</v>
      </c>
      <c r="BC92" s="40" t="s">
        <v>48</v>
      </c>
      <c r="BD92" s="40" t="s">
        <v>48</v>
      </c>
      <c r="BE92" s="40" t="s">
        <v>48</v>
      </c>
      <c r="BF92" s="40" t="s">
        <v>48</v>
      </c>
      <c r="BG92" s="40" t="s">
        <v>48</v>
      </c>
      <c r="BH92" s="40" t="s">
        <v>48</v>
      </c>
      <c r="BI92" s="40" t="s">
        <v>48</v>
      </c>
      <c r="BJ92" s="40" t="s">
        <v>48</v>
      </c>
      <c r="BK92" s="40" t="s">
        <v>48</v>
      </c>
      <c r="BM92" s="33"/>
      <c r="BN92" s="38" t="str">
        <f>Notes!W93</f>
        <v xml:space="preserve">               </v>
      </c>
      <c r="BO92" s="4"/>
      <c r="BP92" s="44"/>
      <c r="BQ92" s="42"/>
      <c r="BR92" s="42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H92" s="33"/>
      <c r="CI92" s="38" t="str">
        <f>Notes!W93</f>
        <v xml:space="preserve">               </v>
      </c>
      <c r="CJ92" s="4"/>
      <c r="CK92" s="44"/>
      <c r="CL92" s="42"/>
      <c r="CM92" s="42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</row>
    <row r="93" spans="1:105" x14ac:dyDescent="0.3">
      <c r="A93" s="12">
        <v>86</v>
      </c>
      <c r="B93" s="33"/>
      <c r="C93" s="38" t="str">
        <f>Notes!W94</f>
        <v xml:space="preserve">               </v>
      </c>
      <c r="D93" s="4"/>
      <c r="E93" s="44"/>
      <c r="F93" s="42"/>
      <c r="G93" s="42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W93" s="33"/>
      <c r="X93" s="38" t="str">
        <f>Notes!W94</f>
        <v xml:space="preserve">               </v>
      </c>
      <c r="Y93" s="4"/>
      <c r="Z93" s="44"/>
      <c r="AA93" s="42"/>
      <c r="AB93" s="42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R93" s="33"/>
      <c r="AS93" s="38" t="str">
        <f>Notes!U94</f>
        <v xml:space="preserve">      Metals and metal products</v>
      </c>
      <c r="AT93" s="4" t="s">
        <v>388</v>
      </c>
      <c r="AU93" s="44">
        <v>1.4199161632316559</v>
      </c>
      <c r="AV93" s="42">
        <v>3.0447724111820396</v>
      </c>
      <c r="AW93" s="42" t="s">
        <v>48</v>
      </c>
      <c r="AX93" s="40" t="s">
        <v>48</v>
      </c>
      <c r="AY93" s="40" t="s">
        <v>48</v>
      </c>
      <c r="AZ93" s="40" t="s">
        <v>48</v>
      </c>
      <c r="BA93" s="40" t="s">
        <v>48</v>
      </c>
      <c r="BB93" s="40" t="s">
        <v>48</v>
      </c>
      <c r="BC93" s="40" t="s">
        <v>48</v>
      </c>
      <c r="BD93" s="40" t="s">
        <v>48</v>
      </c>
      <c r="BE93" s="40" t="s">
        <v>48</v>
      </c>
      <c r="BF93" s="40" t="s">
        <v>48</v>
      </c>
      <c r="BG93" s="40" t="s">
        <v>48</v>
      </c>
      <c r="BH93" s="40" t="s">
        <v>48</v>
      </c>
      <c r="BI93" s="40" t="s">
        <v>48</v>
      </c>
      <c r="BJ93" s="40" t="s">
        <v>48</v>
      </c>
      <c r="BK93" s="40" t="s">
        <v>48</v>
      </c>
      <c r="BM93" s="33"/>
      <c r="BN93" s="38" t="str">
        <f>Notes!W94</f>
        <v xml:space="preserve">               </v>
      </c>
      <c r="BO93" s="4"/>
      <c r="BP93" s="44"/>
      <c r="BQ93" s="42"/>
      <c r="BR93" s="42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H93" s="33"/>
      <c r="CI93" s="38" t="str">
        <f>Notes!W94</f>
        <v xml:space="preserve">               </v>
      </c>
      <c r="CJ93" s="4"/>
      <c r="CK93" s="44"/>
      <c r="CL93" s="42"/>
      <c r="CM93" s="42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</row>
    <row r="94" spans="1:105" x14ac:dyDescent="0.3">
      <c r="A94" s="12">
        <v>87</v>
      </c>
      <c r="B94" s="33"/>
      <c r="C94" s="38" t="str">
        <f>Notes!W95</f>
        <v xml:space="preserve">               </v>
      </c>
      <c r="D94" s="4"/>
      <c r="E94" s="44"/>
      <c r="F94" s="42"/>
      <c r="G94" s="42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W94" s="33"/>
      <c r="X94" s="38" t="str">
        <f>Notes!W95</f>
        <v xml:space="preserve">               </v>
      </c>
      <c r="Y94" s="4"/>
      <c r="Z94" s="44"/>
      <c r="AA94" s="42"/>
      <c r="AB94" s="42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R94" s="33"/>
      <c r="AS94" s="38" t="str">
        <f>Notes!U95</f>
        <v xml:space="preserve">      Machinery and equipment</v>
      </c>
      <c r="AT94" s="4" t="s">
        <v>389</v>
      </c>
      <c r="AU94" s="44">
        <v>1.9966625764397246</v>
      </c>
      <c r="AV94" s="42">
        <v>3.0665993374121348</v>
      </c>
      <c r="AW94" s="42" t="s">
        <v>48</v>
      </c>
      <c r="AX94" s="40" t="s">
        <v>48</v>
      </c>
      <c r="AY94" s="40" t="s">
        <v>48</v>
      </c>
      <c r="AZ94" s="40" t="s">
        <v>48</v>
      </c>
      <c r="BA94" s="40" t="s">
        <v>48</v>
      </c>
      <c r="BB94" s="40" t="s">
        <v>48</v>
      </c>
      <c r="BC94" s="40" t="s">
        <v>48</v>
      </c>
      <c r="BD94" s="40" t="s">
        <v>48</v>
      </c>
      <c r="BE94" s="40" t="s">
        <v>48</v>
      </c>
      <c r="BF94" s="40" t="s">
        <v>48</v>
      </c>
      <c r="BG94" s="40" t="s">
        <v>48</v>
      </c>
      <c r="BH94" s="40" t="s">
        <v>48</v>
      </c>
      <c r="BI94" s="40" t="s">
        <v>48</v>
      </c>
      <c r="BJ94" s="40" t="s">
        <v>48</v>
      </c>
      <c r="BK94" s="40" t="s">
        <v>48</v>
      </c>
      <c r="BM94" s="33"/>
      <c r="BN94" s="38" t="str">
        <f>Notes!W95</f>
        <v xml:space="preserve">               </v>
      </c>
      <c r="BO94" s="4"/>
      <c r="BP94" s="44"/>
      <c r="BQ94" s="42"/>
      <c r="BR94" s="42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H94" s="33"/>
      <c r="CI94" s="38" t="str">
        <f>Notes!W95</f>
        <v xml:space="preserve">               </v>
      </c>
      <c r="CJ94" s="4"/>
      <c r="CK94" s="44"/>
      <c r="CL94" s="42"/>
      <c r="CM94" s="42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</row>
    <row r="95" spans="1:105" x14ac:dyDescent="0.3">
      <c r="A95" s="12">
        <v>88</v>
      </c>
      <c r="B95" s="33"/>
      <c r="C95" s="38" t="str">
        <f>Notes!W96</f>
        <v xml:space="preserve">               </v>
      </c>
      <c r="D95" s="4"/>
      <c r="E95" s="44"/>
      <c r="F95" s="42"/>
      <c r="G95" s="42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W95" s="33"/>
      <c r="X95" s="38" t="str">
        <f>Notes!W96</f>
        <v xml:space="preserve">               </v>
      </c>
      <c r="Y95" s="4"/>
      <c r="Z95" s="44"/>
      <c r="AA95" s="42"/>
      <c r="AB95" s="42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R95" s="33"/>
      <c r="AS95" s="38" t="str">
        <f>Notes!U96</f>
        <v xml:space="preserve">         Machinery and other equipment</v>
      </c>
      <c r="AT95" s="4" t="s">
        <v>390</v>
      </c>
      <c r="AU95" s="44">
        <v>1.3599048301405452E-2</v>
      </c>
      <c r="AV95" s="42">
        <v>3.0634473462734402</v>
      </c>
      <c r="AW95" s="42" t="s">
        <v>48</v>
      </c>
      <c r="AX95" s="40" t="s">
        <v>48</v>
      </c>
      <c r="AY95" s="40" t="s">
        <v>48</v>
      </c>
      <c r="AZ95" s="40" t="s">
        <v>48</v>
      </c>
      <c r="BA95" s="40" t="s">
        <v>48</v>
      </c>
      <c r="BB95" s="40" t="s">
        <v>48</v>
      </c>
      <c r="BC95" s="40" t="s">
        <v>48</v>
      </c>
      <c r="BD95" s="40" t="s">
        <v>48</v>
      </c>
      <c r="BE95" s="40" t="s">
        <v>48</v>
      </c>
      <c r="BF95" s="40" t="s">
        <v>48</v>
      </c>
      <c r="BG95" s="40" t="s">
        <v>48</v>
      </c>
      <c r="BH95" s="40" t="s">
        <v>48</v>
      </c>
      <c r="BI95" s="40" t="s">
        <v>48</v>
      </c>
      <c r="BJ95" s="40" t="s">
        <v>48</v>
      </c>
      <c r="BK95" s="40" t="s">
        <v>48</v>
      </c>
      <c r="BM95" s="33"/>
      <c r="BN95" s="38" t="str">
        <f>Notes!W96</f>
        <v xml:space="preserve">               </v>
      </c>
      <c r="BO95" s="4"/>
      <c r="BP95" s="44"/>
      <c r="BQ95" s="42"/>
      <c r="BR95" s="42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H95" s="33"/>
      <c r="CI95" s="38" t="str">
        <f>Notes!W96</f>
        <v xml:space="preserve">               </v>
      </c>
      <c r="CJ95" s="4"/>
      <c r="CK95" s="44"/>
      <c r="CL95" s="42"/>
      <c r="CM95" s="42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</row>
    <row r="96" spans="1:105" x14ac:dyDescent="0.3">
      <c r="A96" s="12">
        <v>89</v>
      </c>
      <c r="B96" s="33"/>
      <c r="C96" s="38" t="str">
        <f>Notes!W97</f>
        <v xml:space="preserve">               </v>
      </c>
      <c r="D96" s="4"/>
      <c r="E96" s="44"/>
      <c r="F96" s="42"/>
      <c r="G96" s="42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W96" s="33"/>
      <c r="X96" s="38" t="str">
        <f>Notes!W97</f>
        <v xml:space="preserve">               </v>
      </c>
      <c r="Y96" s="4"/>
      <c r="Z96" s="44"/>
      <c r="AA96" s="42"/>
      <c r="AB96" s="42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R96" s="33"/>
      <c r="AS96" s="38" t="str">
        <f>Notes!U97</f>
        <v xml:space="preserve">         Electrical equipment</v>
      </c>
      <c r="AT96" s="4" t="s">
        <v>391</v>
      </c>
      <c r="AU96" s="44">
        <v>0.7830837641364814</v>
      </c>
      <c r="AV96" s="42">
        <v>3.0579261224961352</v>
      </c>
      <c r="AW96" s="42" t="s">
        <v>48</v>
      </c>
      <c r="AX96" s="40" t="s">
        <v>48</v>
      </c>
      <c r="AY96" s="40" t="s">
        <v>48</v>
      </c>
      <c r="AZ96" s="40" t="s">
        <v>48</v>
      </c>
      <c r="BA96" s="40" t="s">
        <v>48</v>
      </c>
      <c r="BB96" s="40" t="s">
        <v>48</v>
      </c>
      <c r="BC96" s="40" t="s">
        <v>48</v>
      </c>
      <c r="BD96" s="40" t="s">
        <v>48</v>
      </c>
      <c r="BE96" s="40" t="s">
        <v>48</v>
      </c>
      <c r="BF96" s="40" t="s">
        <v>48</v>
      </c>
      <c r="BG96" s="40" t="s">
        <v>48</v>
      </c>
      <c r="BH96" s="40" t="s">
        <v>48</v>
      </c>
      <c r="BI96" s="40" t="s">
        <v>48</v>
      </c>
      <c r="BJ96" s="40" t="s">
        <v>48</v>
      </c>
      <c r="BK96" s="40" t="s">
        <v>48</v>
      </c>
      <c r="BM96" s="33"/>
      <c r="BN96" s="38" t="str">
        <f>Notes!W97</f>
        <v xml:space="preserve">               </v>
      </c>
      <c r="BO96" s="4"/>
      <c r="BP96" s="44"/>
      <c r="BQ96" s="42"/>
      <c r="BR96" s="42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H96" s="33"/>
      <c r="CI96" s="38" t="str">
        <f>Notes!W97</f>
        <v xml:space="preserve">               </v>
      </c>
      <c r="CJ96" s="4"/>
      <c r="CK96" s="44"/>
      <c r="CL96" s="42"/>
      <c r="CM96" s="42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</row>
    <row r="97" spans="1:105" x14ac:dyDescent="0.3">
      <c r="A97" s="12">
        <v>90</v>
      </c>
      <c r="B97" s="33"/>
      <c r="C97" s="38" t="str">
        <f>Notes!W98</f>
        <v xml:space="preserve">               </v>
      </c>
      <c r="D97" s="4"/>
      <c r="E97" s="44"/>
      <c r="F97" s="42"/>
      <c r="G97" s="42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W97" s="33"/>
      <c r="X97" s="38" t="str">
        <f>Notes!W98</f>
        <v xml:space="preserve">               </v>
      </c>
      <c r="Y97" s="4"/>
      <c r="Z97" s="44"/>
      <c r="AA97" s="42"/>
      <c r="AB97" s="42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R97" s="33"/>
      <c r="AS97" s="38" t="str">
        <f>Notes!U98</f>
        <v xml:space="preserve">         Vehicles and transport equipment</v>
      </c>
      <c r="AT97" s="4" t="s">
        <v>392</v>
      </c>
      <c r="AU97" s="44">
        <v>1.1999797640018375</v>
      </c>
      <c r="AV97" s="42">
        <v>3.072292656146125</v>
      </c>
      <c r="AW97" s="42" t="s">
        <v>48</v>
      </c>
      <c r="AX97" s="40" t="s">
        <v>48</v>
      </c>
      <c r="AY97" s="40" t="s">
        <v>48</v>
      </c>
      <c r="AZ97" s="40" t="s">
        <v>48</v>
      </c>
      <c r="BA97" s="40" t="s">
        <v>48</v>
      </c>
      <c r="BB97" s="40" t="s">
        <v>48</v>
      </c>
      <c r="BC97" s="40" t="s">
        <v>48</v>
      </c>
      <c r="BD97" s="40" t="s">
        <v>48</v>
      </c>
      <c r="BE97" s="40" t="s">
        <v>48</v>
      </c>
      <c r="BF97" s="40" t="s">
        <v>48</v>
      </c>
      <c r="BG97" s="40" t="s">
        <v>48</v>
      </c>
      <c r="BH97" s="40" t="s">
        <v>48</v>
      </c>
      <c r="BI97" s="40" t="s">
        <v>48</v>
      </c>
      <c r="BJ97" s="40" t="s">
        <v>48</v>
      </c>
      <c r="BK97" s="40" t="s">
        <v>48</v>
      </c>
      <c r="BM97" s="33"/>
      <c r="BN97" s="38" t="str">
        <f>Notes!W98</f>
        <v xml:space="preserve">               </v>
      </c>
      <c r="BO97" s="4"/>
      <c r="BP97" s="44"/>
      <c r="BQ97" s="42"/>
      <c r="BR97" s="42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H97" s="33"/>
      <c r="CI97" s="38" t="str">
        <f>Notes!W98</f>
        <v xml:space="preserve">               </v>
      </c>
      <c r="CJ97" s="4"/>
      <c r="CK97" s="44"/>
      <c r="CL97" s="42"/>
      <c r="CM97" s="42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</row>
    <row r="98" spans="1:105" x14ac:dyDescent="0.3">
      <c r="A98" s="12">
        <v>91</v>
      </c>
      <c r="B98" s="33"/>
      <c r="C98" s="38" t="str">
        <f>Notes!W99</f>
        <v xml:space="preserve">               </v>
      </c>
      <c r="D98" s="4"/>
      <c r="E98" s="44"/>
      <c r="F98" s="42"/>
      <c r="G98" s="42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W98" s="33"/>
      <c r="X98" s="38" t="str">
        <f>Notes!W99</f>
        <v xml:space="preserve">               </v>
      </c>
      <c r="Y98" s="4"/>
      <c r="Z98" s="44"/>
      <c r="AA98" s="42"/>
      <c r="AB98" s="42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R98" s="33"/>
      <c r="AS98" s="38" t="str">
        <f>Notes!U99</f>
        <v xml:space="preserve">      Other manufacturing</v>
      </c>
      <c r="AT98" s="4" t="s">
        <v>393</v>
      </c>
      <c r="AU98" s="44">
        <v>7.3373500939262177</v>
      </c>
      <c r="AV98" s="42">
        <v>3.055870218693979</v>
      </c>
      <c r="AW98" s="42" t="s">
        <v>48</v>
      </c>
      <c r="AX98" s="40" t="s">
        <v>48</v>
      </c>
      <c r="AY98" s="40" t="s">
        <v>48</v>
      </c>
      <c r="AZ98" s="40" t="s">
        <v>48</v>
      </c>
      <c r="BA98" s="40" t="s">
        <v>48</v>
      </c>
      <c r="BB98" s="40" t="s">
        <v>48</v>
      </c>
      <c r="BC98" s="40" t="s">
        <v>48</v>
      </c>
      <c r="BD98" s="40" t="s">
        <v>48</v>
      </c>
      <c r="BE98" s="40" t="s">
        <v>48</v>
      </c>
      <c r="BF98" s="40" t="s">
        <v>48</v>
      </c>
      <c r="BG98" s="40" t="s">
        <v>48</v>
      </c>
      <c r="BH98" s="40" t="s">
        <v>48</v>
      </c>
      <c r="BI98" s="40" t="s">
        <v>48</v>
      </c>
      <c r="BJ98" s="40" t="s">
        <v>48</v>
      </c>
      <c r="BK98" s="40" t="s">
        <v>48</v>
      </c>
      <c r="BM98" s="33"/>
      <c r="BN98" s="38" t="str">
        <f>Notes!W99</f>
        <v xml:space="preserve">               </v>
      </c>
      <c r="BO98" s="4"/>
      <c r="BP98" s="44"/>
      <c r="BQ98" s="42"/>
      <c r="BR98" s="42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H98" s="33"/>
      <c r="CI98" s="38" t="str">
        <f>Notes!W99</f>
        <v xml:space="preserve">               </v>
      </c>
      <c r="CJ98" s="4"/>
      <c r="CK98" s="44"/>
      <c r="CL98" s="42"/>
      <c r="CM98" s="42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</row>
    <row r="99" spans="1:105" x14ac:dyDescent="0.3">
      <c r="A99" s="12">
        <v>92</v>
      </c>
      <c r="B99" s="33"/>
      <c r="C99" s="38" t="str">
        <f>Notes!W100</f>
        <v xml:space="preserve">               </v>
      </c>
      <c r="D99" s="4"/>
      <c r="E99" s="44"/>
      <c r="F99" s="42"/>
      <c r="G99" s="42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W99" s="33"/>
      <c r="X99" s="38" t="str">
        <f>Notes!W100</f>
        <v xml:space="preserve">               </v>
      </c>
      <c r="Y99" s="4"/>
      <c r="Z99" s="44"/>
      <c r="AA99" s="42"/>
      <c r="AB99" s="42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R99" s="33"/>
      <c r="AS99" s="38" t="str">
        <f>Notes!U100</f>
        <v xml:space="preserve">   Utilities</v>
      </c>
      <c r="AT99" s="4" t="s">
        <v>395</v>
      </c>
      <c r="AU99" s="44">
        <v>1.9101283302489589</v>
      </c>
      <c r="AV99" s="42">
        <v>3.0774879330433658</v>
      </c>
      <c r="AW99" s="42" t="s">
        <v>48</v>
      </c>
      <c r="AX99" s="40" t="s">
        <v>48</v>
      </c>
      <c r="AY99" s="40" t="s">
        <v>48</v>
      </c>
      <c r="AZ99" s="40" t="s">
        <v>48</v>
      </c>
      <c r="BA99" s="40" t="s">
        <v>48</v>
      </c>
      <c r="BB99" s="40" t="s">
        <v>48</v>
      </c>
      <c r="BC99" s="40" t="s">
        <v>48</v>
      </c>
      <c r="BD99" s="40" t="s">
        <v>48</v>
      </c>
      <c r="BE99" s="40" t="s">
        <v>48</v>
      </c>
      <c r="BF99" s="40" t="s">
        <v>48</v>
      </c>
      <c r="BG99" s="40" t="s">
        <v>48</v>
      </c>
      <c r="BH99" s="40" t="s">
        <v>48</v>
      </c>
      <c r="BI99" s="40" t="s">
        <v>48</v>
      </c>
      <c r="BJ99" s="40" t="s">
        <v>48</v>
      </c>
      <c r="BK99" s="40" t="s">
        <v>48</v>
      </c>
      <c r="BM99" s="33"/>
      <c r="BN99" s="38" t="str">
        <f>Notes!W100</f>
        <v xml:space="preserve">               </v>
      </c>
      <c r="BO99" s="4"/>
      <c r="BP99" s="44"/>
      <c r="BQ99" s="42"/>
      <c r="BR99" s="42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H99" s="33"/>
      <c r="CI99" s="38" t="str">
        <f>Notes!W100</f>
        <v xml:space="preserve">               </v>
      </c>
      <c r="CJ99" s="4"/>
      <c r="CK99" s="44"/>
      <c r="CL99" s="42"/>
      <c r="CM99" s="42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</row>
    <row r="100" spans="1:105" x14ac:dyDescent="0.3">
      <c r="A100" s="12">
        <v>93</v>
      </c>
      <c r="B100" s="33"/>
      <c r="C100" s="38" t="str">
        <f>Notes!W101</f>
        <v xml:space="preserve">               </v>
      </c>
      <c r="D100" s="4"/>
      <c r="E100" s="44"/>
      <c r="F100" s="42"/>
      <c r="G100" s="42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W100" s="33"/>
      <c r="X100" s="38" t="str">
        <f>Notes!W101</f>
        <v xml:space="preserve">               </v>
      </c>
      <c r="Y100" s="4"/>
      <c r="Z100" s="44"/>
      <c r="AA100" s="42"/>
      <c r="AB100" s="42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R100" s="33"/>
      <c r="AS100" s="38" t="str">
        <f>Notes!U101</f>
        <v xml:space="preserve">      Electricity, gas and steam</v>
      </c>
      <c r="AT100" s="4" t="s">
        <v>397</v>
      </c>
      <c r="AU100" s="44">
        <v>1.6306883306886955</v>
      </c>
      <c r="AV100" s="42">
        <v>3.0805418350266844</v>
      </c>
      <c r="AW100" s="42" t="s">
        <v>48</v>
      </c>
      <c r="AX100" s="40" t="s">
        <v>48</v>
      </c>
      <c r="AY100" s="40" t="s">
        <v>48</v>
      </c>
      <c r="AZ100" s="40" t="s">
        <v>48</v>
      </c>
      <c r="BA100" s="40" t="s">
        <v>48</v>
      </c>
      <c r="BB100" s="40" t="s">
        <v>48</v>
      </c>
      <c r="BC100" s="40" t="s">
        <v>48</v>
      </c>
      <c r="BD100" s="40" t="s">
        <v>48</v>
      </c>
      <c r="BE100" s="40" t="s">
        <v>48</v>
      </c>
      <c r="BF100" s="40" t="s">
        <v>48</v>
      </c>
      <c r="BG100" s="40" t="s">
        <v>48</v>
      </c>
      <c r="BH100" s="40" t="s">
        <v>48</v>
      </c>
      <c r="BI100" s="40" t="s">
        <v>48</v>
      </c>
      <c r="BJ100" s="40" t="s">
        <v>48</v>
      </c>
      <c r="BK100" s="40" t="s">
        <v>48</v>
      </c>
      <c r="BM100" s="33"/>
      <c r="BN100" s="38" t="str">
        <f>Notes!W101</f>
        <v xml:space="preserve">               </v>
      </c>
      <c r="BO100" s="4"/>
      <c r="BP100" s="44"/>
      <c r="BQ100" s="42"/>
      <c r="BR100" s="42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H100" s="33"/>
      <c r="CI100" s="38" t="str">
        <f>Notes!W101</f>
        <v xml:space="preserve">               </v>
      </c>
      <c r="CJ100" s="4"/>
      <c r="CK100" s="44"/>
      <c r="CL100" s="42"/>
      <c r="CM100" s="42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</row>
    <row r="101" spans="1:105" x14ac:dyDescent="0.3">
      <c r="A101" s="12">
        <v>94</v>
      </c>
      <c r="B101" s="33"/>
      <c r="C101" s="38" t="str">
        <f>Notes!W102</f>
        <v xml:space="preserve">               </v>
      </c>
      <c r="D101" s="4"/>
      <c r="E101" s="44"/>
      <c r="F101" s="42"/>
      <c r="G101" s="42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W101" s="33"/>
      <c r="X101" s="38" t="str">
        <f>Notes!W102</f>
        <v xml:space="preserve">               </v>
      </c>
      <c r="Y101" s="4"/>
      <c r="Z101" s="44"/>
      <c r="AA101" s="42"/>
      <c r="AB101" s="42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R101" s="33"/>
      <c r="AS101" s="38" t="str">
        <f>Notes!U102</f>
        <v xml:space="preserve">      Water supply and sewage</v>
      </c>
      <c r="AT101" s="4" t="s">
        <v>399</v>
      </c>
      <c r="AU101" s="44">
        <v>0.2794399995602625</v>
      </c>
      <c r="AV101" s="42">
        <v>3.0596558747812086</v>
      </c>
      <c r="AW101" s="42" t="s">
        <v>48</v>
      </c>
      <c r="AX101" s="40" t="s">
        <v>48</v>
      </c>
      <c r="AY101" s="40" t="s">
        <v>48</v>
      </c>
      <c r="AZ101" s="40" t="s">
        <v>48</v>
      </c>
      <c r="BA101" s="40" t="s">
        <v>48</v>
      </c>
      <c r="BB101" s="40" t="s">
        <v>48</v>
      </c>
      <c r="BC101" s="40" t="s">
        <v>48</v>
      </c>
      <c r="BD101" s="40" t="s">
        <v>48</v>
      </c>
      <c r="BE101" s="40" t="s">
        <v>48</v>
      </c>
      <c r="BF101" s="40" t="s">
        <v>48</v>
      </c>
      <c r="BG101" s="40" t="s">
        <v>48</v>
      </c>
      <c r="BH101" s="40" t="s">
        <v>48</v>
      </c>
      <c r="BI101" s="40" t="s">
        <v>48</v>
      </c>
      <c r="BJ101" s="40" t="s">
        <v>48</v>
      </c>
      <c r="BK101" s="40" t="s">
        <v>48</v>
      </c>
      <c r="BM101" s="33"/>
      <c r="BN101" s="38" t="str">
        <f>Notes!W102</f>
        <v xml:space="preserve">               </v>
      </c>
      <c r="BO101" s="4"/>
      <c r="BP101" s="44"/>
      <c r="BQ101" s="42"/>
      <c r="BR101" s="42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H101" s="33"/>
      <c r="CI101" s="38" t="str">
        <f>Notes!W102</f>
        <v xml:space="preserve">               </v>
      </c>
      <c r="CJ101" s="4"/>
      <c r="CK101" s="44"/>
      <c r="CL101" s="42"/>
      <c r="CM101" s="42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</row>
    <row r="102" spans="1:105" x14ac:dyDescent="0.3">
      <c r="A102" s="12">
        <v>95</v>
      </c>
      <c r="B102" s="33"/>
      <c r="C102" s="38" t="str">
        <f>Notes!W103</f>
        <v xml:space="preserve">               </v>
      </c>
      <c r="D102" s="4"/>
      <c r="E102" s="44"/>
      <c r="F102" s="42"/>
      <c r="G102" s="42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W102" s="33"/>
      <c r="X102" s="38" t="str">
        <f>Notes!W103</f>
        <v xml:space="preserve">               </v>
      </c>
      <c r="Y102" s="4"/>
      <c r="Z102" s="44"/>
      <c r="AA102" s="42"/>
      <c r="AB102" s="42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R102" s="33"/>
      <c r="AS102" s="38" t="str">
        <f>Notes!U103</f>
        <v xml:space="preserve">   Construction</v>
      </c>
      <c r="AT102" s="4" t="s">
        <v>401</v>
      </c>
      <c r="AU102" s="44" t="s">
        <v>48</v>
      </c>
      <c r="AV102" s="42" t="s">
        <v>48</v>
      </c>
      <c r="AW102" s="42" t="s">
        <v>48</v>
      </c>
      <c r="AX102" s="40" t="s">
        <v>48</v>
      </c>
      <c r="AY102" s="40" t="s">
        <v>48</v>
      </c>
      <c r="AZ102" s="40" t="s">
        <v>48</v>
      </c>
      <c r="BA102" s="40" t="s">
        <v>48</v>
      </c>
      <c r="BB102" s="40" t="s">
        <v>48</v>
      </c>
      <c r="BC102" s="40" t="s">
        <v>48</v>
      </c>
      <c r="BD102" s="40" t="s">
        <v>48</v>
      </c>
      <c r="BE102" s="40" t="s">
        <v>48</v>
      </c>
      <c r="BF102" s="40" t="s">
        <v>48</v>
      </c>
      <c r="BG102" s="40" t="s">
        <v>48</v>
      </c>
      <c r="BH102" s="40" t="s">
        <v>48</v>
      </c>
      <c r="BI102" s="40" t="s">
        <v>48</v>
      </c>
      <c r="BJ102" s="40" t="s">
        <v>48</v>
      </c>
      <c r="BK102" s="40" t="s">
        <v>48</v>
      </c>
      <c r="BM102" s="33"/>
      <c r="BN102" s="38" t="str">
        <f>Notes!W103</f>
        <v xml:space="preserve">               </v>
      </c>
      <c r="BO102" s="4"/>
      <c r="BP102" s="44"/>
      <c r="BQ102" s="42"/>
      <c r="BR102" s="42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H102" s="33"/>
      <c r="CI102" s="38" t="str">
        <f>Notes!W103</f>
        <v xml:space="preserve">               </v>
      </c>
      <c r="CJ102" s="4"/>
      <c r="CK102" s="44"/>
      <c r="CL102" s="42"/>
      <c r="CM102" s="42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</row>
    <row r="103" spans="1:105" x14ac:dyDescent="0.3">
      <c r="A103" s="12">
        <v>96</v>
      </c>
      <c r="B103" s="33"/>
      <c r="C103" s="38" t="str">
        <f>Notes!W104</f>
        <v xml:space="preserve">               </v>
      </c>
      <c r="D103" s="4"/>
      <c r="E103" s="44"/>
      <c r="F103" s="42"/>
      <c r="G103" s="42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W103" s="33"/>
      <c r="X103" s="38" t="str">
        <f>Notes!W104</f>
        <v xml:space="preserve">               </v>
      </c>
      <c r="Y103" s="4"/>
      <c r="Z103" s="44"/>
      <c r="AA103" s="42"/>
      <c r="AB103" s="42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R103" s="33"/>
      <c r="AS103" s="38" t="str">
        <f>Notes!U104</f>
        <v>Services</v>
      </c>
      <c r="AT103" s="4" t="s">
        <v>403</v>
      </c>
      <c r="AU103" s="44">
        <v>29.810685097982709</v>
      </c>
      <c r="AV103" s="42">
        <v>3.0311010799304317</v>
      </c>
      <c r="AW103" s="42" t="s">
        <v>48</v>
      </c>
      <c r="AX103" s="40" t="s">
        <v>48</v>
      </c>
      <c r="AY103" s="40" t="s">
        <v>48</v>
      </c>
      <c r="AZ103" s="40" t="s">
        <v>48</v>
      </c>
      <c r="BA103" s="40" t="s">
        <v>48</v>
      </c>
      <c r="BB103" s="40" t="s">
        <v>48</v>
      </c>
      <c r="BC103" s="40" t="s">
        <v>48</v>
      </c>
      <c r="BD103" s="40" t="s">
        <v>48</v>
      </c>
      <c r="BE103" s="40" t="s">
        <v>48</v>
      </c>
      <c r="BF103" s="40" t="s">
        <v>48</v>
      </c>
      <c r="BG103" s="40" t="s">
        <v>48</v>
      </c>
      <c r="BH103" s="40" t="s">
        <v>48</v>
      </c>
      <c r="BI103" s="40" t="s">
        <v>48</v>
      </c>
      <c r="BJ103" s="40" t="s">
        <v>48</v>
      </c>
      <c r="BK103" s="40" t="s">
        <v>48</v>
      </c>
      <c r="BM103" s="33"/>
      <c r="BN103" s="38" t="str">
        <f>Notes!W104</f>
        <v xml:space="preserve">               </v>
      </c>
      <c r="BO103" s="4"/>
      <c r="BP103" s="44"/>
      <c r="BQ103" s="42"/>
      <c r="BR103" s="42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H103" s="33"/>
      <c r="CI103" s="38" t="str">
        <f>Notes!W104</f>
        <v xml:space="preserve">               </v>
      </c>
      <c r="CJ103" s="4"/>
      <c r="CK103" s="44"/>
      <c r="CL103" s="42"/>
      <c r="CM103" s="42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</row>
    <row r="104" spans="1:105" x14ac:dyDescent="0.3">
      <c r="A104" s="12">
        <v>97</v>
      </c>
      <c r="B104" s="33"/>
      <c r="C104" s="38" t="str">
        <f>Notes!W105</f>
        <v xml:space="preserve">               </v>
      </c>
      <c r="D104" s="4"/>
      <c r="E104" s="44"/>
      <c r="F104" s="42"/>
      <c r="G104" s="42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W104" s="33"/>
      <c r="X104" s="38" t="str">
        <f>Notes!W105</f>
        <v xml:space="preserve">               </v>
      </c>
      <c r="Y104" s="4"/>
      <c r="Z104" s="44"/>
      <c r="AA104" s="42"/>
      <c r="AB104" s="42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R104" s="33"/>
      <c r="AS104" s="38" t="str">
        <f>Notes!U105</f>
        <v xml:space="preserve">   Trade and food services</v>
      </c>
      <c r="AT104" s="4" t="s">
        <v>405</v>
      </c>
      <c r="AU104" s="44">
        <v>3.573173359840931</v>
      </c>
      <c r="AV104" s="42">
        <v>3.0419331370348024</v>
      </c>
      <c r="AW104" s="42" t="s">
        <v>48</v>
      </c>
      <c r="AX104" s="40" t="s">
        <v>48</v>
      </c>
      <c r="AY104" s="40" t="s">
        <v>48</v>
      </c>
      <c r="AZ104" s="40" t="s">
        <v>48</v>
      </c>
      <c r="BA104" s="40" t="s">
        <v>48</v>
      </c>
      <c r="BB104" s="40" t="s">
        <v>48</v>
      </c>
      <c r="BC104" s="40" t="s">
        <v>48</v>
      </c>
      <c r="BD104" s="40" t="s">
        <v>48</v>
      </c>
      <c r="BE104" s="40" t="s">
        <v>48</v>
      </c>
      <c r="BF104" s="40" t="s">
        <v>48</v>
      </c>
      <c r="BG104" s="40" t="s">
        <v>48</v>
      </c>
      <c r="BH104" s="40" t="s">
        <v>48</v>
      </c>
      <c r="BI104" s="40" t="s">
        <v>48</v>
      </c>
      <c r="BJ104" s="40" t="s">
        <v>48</v>
      </c>
      <c r="BK104" s="40" t="s">
        <v>48</v>
      </c>
      <c r="BM104" s="33"/>
      <c r="BN104" s="38" t="str">
        <f>Notes!W105</f>
        <v xml:space="preserve">               </v>
      </c>
      <c r="BO104" s="4"/>
      <c r="BP104" s="44"/>
      <c r="BQ104" s="42"/>
      <c r="BR104" s="42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H104" s="33"/>
      <c r="CI104" s="38" t="str">
        <f>Notes!W105</f>
        <v xml:space="preserve">               </v>
      </c>
      <c r="CJ104" s="4"/>
      <c r="CK104" s="44"/>
      <c r="CL104" s="42"/>
      <c r="CM104" s="42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</row>
    <row r="105" spans="1:105" x14ac:dyDescent="0.3">
      <c r="A105" s="12">
        <v>98</v>
      </c>
      <c r="B105" s="33"/>
      <c r="C105" s="38" t="str">
        <f>Notes!W106</f>
        <v xml:space="preserve">               </v>
      </c>
      <c r="D105" s="4"/>
      <c r="E105" s="44"/>
      <c r="F105" s="42"/>
      <c r="G105" s="42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W105" s="33"/>
      <c r="X105" s="38" t="str">
        <f>Notes!W106</f>
        <v xml:space="preserve">               </v>
      </c>
      <c r="Y105" s="4"/>
      <c r="Z105" s="44"/>
      <c r="AA105" s="42"/>
      <c r="AB105" s="42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R105" s="33"/>
      <c r="AS105" s="38" t="str">
        <f>Notes!U106</f>
        <v xml:space="preserve">      Wholesale and retail trade</v>
      </c>
      <c r="AT105" s="4" t="s">
        <v>407</v>
      </c>
      <c r="AU105" s="44" t="s">
        <v>48</v>
      </c>
      <c r="AV105" s="42" t="s">
        <v>48</v>
      </c>
      <c r="AW105" s="42" t="s">
        <v>48</v>
      </c>
      <c r="AX105" s="40" t="s">
        <v>48</v>
      </c>
      <c r="AY105" s="40" t="s">
        <v>48</v>
      </c>
      <c r="AZ105" s="40" t="s">
        <v>48</v>
      </c>
      <c r="BA105" s="40" t="s">
        <v>48</v>
      </c>
      <c r="BB105" s="40" t="s">
        <v>48</v>
      </c>
      <c r="BC105" s="40" t="s">
        <v>48</v>
      </c>
      <c r="BD105" s="40" t="s">
        <v>48</v>
      </c>
      <c r="BE105" s="40" t="s">
        <v>48</v>
      </c>
      <c r="BF105" s="40" t="s">
        <v>48</v>
      </c>
      <c r="BG105" s="40" t="s">
        <v>48</v>
      </c>
      <c r="BH105" s="40" t="s">
        <v>48</v>
      </c>
      <c r="BI105" s="40" t="s">
        <v>48</v>
      </c>
      <c r="BJ105" s="40" t="s">
        <v>48</v>
      </c>
      <c r="BK105" s="40" t="s">
        <v>48</v>
      </c>
      <c r="BM105" s="33"/>
      <c r="BN105" s="38" t="str">
        <f>Notes!W106</f>
        <v xml:space="preserve">               </v>
      </c>
      <c r="BO105" s="4"/>
      <c r="BP105" s="44"/>
      <c r="BQ105" s="42"/>
      <c r="BR105" s="42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H105" s="33"/>
      <c r="CI105" s="38" t="str">
        <f>Notes!W106</f>
        <v xml:space="preserve">               </v>
      </c>
      <c r="CJ105" s="4"/>
      <c r="CK105" s="44"/>
      <c r="CL105" s="42"/>
      <c r="CM105" s="42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</row>
    <row r="106" spans="1:105" x14ac:dyDescent="0.3">
      <c r="A106" s="12">
        <v>99</v>
      </c>
      <c r="B106" s="33"/>
      <c r="C106" s="38" t="str">
        <f>Notes!W107</f>
        <v xml:space="preserve">               </v>
      </c>
      <c r="D106" s="4"/>
      <c r="E106" s="44"/>
      <c r="F106" s="42"/>
      <c r="G106" s="42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W106" s="33"/>
      <c r="X106" s="38" t="str">
        <f>Notes!W107</f>
        <v xml:space="preserve">               </v>
      </c>
      <c r="Y106" s="4"/>
      <c r="Z106" s="44"/>
      <c r="AA106" s="42"/>
      <c r="AB106" s="42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R106" s="33"/>
      <c r="AS106" s="38" t="str">
        <f>Notes!U107</f>
        <v xml:space="preserve">      Accommodation</v>
      </c>
      <c r="AT106" s="4" t="s">
        <v>413</v>
      </c>
      <c r="AU106" s="44">
        <v>0.1385872480655212</v>
      </c>
      <c r="AV106" s="42">
        <v>3.0456804411369776</v>
      </c>
      <c r="AW106" s="42" t="s">
        <v>48</v>
      </c>
      <c r="AX106" s="40" t="s">
        <v>48</v>
      </c>
      <c r="AY106" s="40" t="s">
        <v>48</v>
      </c>
      <c r="AZ106" s="40" t="s">
        <v>48</v>
      </c>
      <c r="BA106" s="40" t="s">
        <v>48</v>
      </c>
      <c r="BB106" s="40" t="s">
        <v>48</v>
      </c>
      <c r="BC106" s="40" t="s">
        <v>48</v>
      </c>
      <c r="BD106" s="40" t="s">
        <v>48</v>
      </c>
      <c r="BE106" s="40" t="s">
        <v>48</v>
      </c>
      <c r="BF106" s="40" t="s">
        <v>48</v>
      </c>
      <c r="BG106" s="40" t="s">
        <v>48</v>
      </c>
      <c r="BH106" s="40" t="s">
        <v>48</v>
      </c>
      <c r="BI106" s="40" t="s">
        <v>48</v>
      </c>
      <c r="BJ106" s="40" t="s">
        <v>48</v>
      </c>
      <c r="BK106" s="40" t="s">
        <v>48</v>
      </c>
      <c r="BM106" s="33"/>
      <c r="BN106" s="38" t="str">
        <f>Notes!W107</f>
        <v xml:space="preserve">               </v>
      </c>
      <c r="BO106" s="4"/>
      <c r="BP106" s="44"/>
      <c r="BQ106" s="42"/>
      <c r="BR106" s="42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H106" s="33"/>
      <c r="CI106" s="38" t="str">
        <f>Notes!W107</f>
        <v xml:space="preserve">               </v>
      </c>
      <c r="CJ106" s="4"/>
      <c r="CK106" s="44"/>
      <c r="CL106" s="42"/>
      <c r="CM106" s="42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</row>
    <row r="107" spans="1:105" x14ac:dyDescent="0.3">
      <c r="A107" s="12">
        <v>100</v>
      </c>
      <c r="B107" s="33"/>
      <c r="C107" s="38" t="str">
        <f>Notes!W108</f>
        <v xml:space="preserve">               </v>
      </c>
      <c r="D107" s="4"/>
      <c r="E107" s="44"/>
      <c r="F107" s="42"/>
      <c r="G107" s="42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W107" s="33"/>
      <c r="X107" s="38" t="str">
        <f>Notes!W108</f>
        <v xml:space="preserve">               </v>
      </c>
      <c r="Y107" s="4"/>
      <c r="Z107" s="44"/>
      <c r="AA107" s="42"/>
      <c r="AB107" s="42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R107" s="33"/>
      <c r="AS107" s="38" t="str">
        <f>Notes!U108</f>
        <v xml:space="preserve">      Restaurants and food services</v>
      </c>
      <c r="AT107" s="4" t="s">
        <v>414</v>
      </c>
      <c r="AU107" s="44">
        <v>3.4345861117754097</v>
      </c>
      <c r="AV107" s="42">
        <v>3.0417819142978031</v>
      </c>
      <c r="AW107" s="42" t="s">
        <v>48</v>
      </c>
      <c r="AX107" s="40" t="s">
        <v>48</v>
      </c>
      <c r="AY107" s="40" t="s">
        <v>48</v>
      </c>
      <c r="AZ107" s="40" t="s">
        <v>48</v>
      </c>
      <c r="BA107" s="40" t="s">
        <v>48</v>
      </c>
      <c r="BB107" s="40" t="s">
        <v>48</v>
      </c>
      <c r="BC107" s="40" t="s">
        <v>48</v>
      </c>
      <c r="BD107" s="40" t="s">
        <v>48</v>
      </c>
      <c r="BE107" s="40" t="s">
        <v>48</v>
      </c>
      <c r="BF107" s="40" t="s">
        <v>48</v>
      </c>
      <c r="BG107" s="40" t="s">
        <v>48</v>
      </c>
      <c r="BH107" s="40" t="s">
        <v>48</v>
      </c>
      <c r="BI107" s="40" t="s">
        <v>48</v>
      </c>
      <c r="BJ107" s="40" t="s">
        <v>48</v>
      </c>
      <c r="BK107" s="40" t="s">
        <v>48</v>
      </c>
      <c r="BM107" s="33"/>
      <c r="BN107" s="38" t="str">
        <f>Notes!W108</f>
        <v xml:space="preserve">               </v>
      </c>
      <c r="BO107" s="4"/>
      <c r="BP107" s="44"/>
      <c r="BQ107" s="42"/>
      <c r="BR107" s="42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H107" s="33"/>
      <c r="CI107" s="38" t="str">
        <f>Notes!W108</f>
        <v xml:space="preserve">               </v>
      </c>
      <c r="CJ107" s="4"/>
      <c r="CK107" s="44"/>
      <c r="CL107" s="42"/>
      <c r="CM107" s="42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</row>
    <row r="108" spans="1:105" x14ac:dyDescent="0.3">
      <c r="A108" s="12">
        <v>101</v>
      </c>
      <c r="B108" s="33"/>
      <c r="C108" s="38" t="str">
        <f>Notes!W109</f>
        <v xml:space="preserve">               </v>
      </c>
      <c r="D108" s="4"/>
      <c r="E108" s="44"/>
      <c r="F108" s="42"/>
      <c r="G108" s="42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W108" s="33"/>
      <c r="X108" s="38" t="str">
        <f>Notes!W109</f>
        <v xml:space="preserve">               </v>
      </c>
      <c r="Y108" s="4"/>
      <c r="Z108" s="44"/>
      <c r="AA108" s="42"/>
      <c r="AB108" s="42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R108" s="33"/>
      <c r="AS108" s="38" t="str">
        <f>Notes!U109</f>
        <v xml:space="preserve">   Transport and communication</v>
      </c>
      <c r="AT108" s="4" t="s">
        <v>409</v>
      </c>
      <c r="AU108" s="44">
        <v>3.5746265498040191</v>
      </c>
      <c r="AV108" s="42">
        <v>3.0650490742289316</v>
      </c>
      <c r="AW108" s="42" t="s">
        <v>48</v>
      </c>
      <c r="AX108" s="40" t="s">
        <v>48</v>
      </c>
      <c r="AY108" s="40" t="s">
        <v>48</v>
      </c>
      <c r="AZ108" s="40" t="s">
        <v>48</v>
      </c>
      <c r="BA108" s="40" t="s">
        <v>48</v>
      </c>
      <c r="BB108" s="40" t="s">
        <v>48</v>
      </c>
      <c r="BC108" s="40" t="s">
        <v>48</v>
      </c>
      <c r="BD108" s="40" t="s">
        <v>48</v>
      </c>
      <c r="BE108" s="40" t="s">
        <v>48</v>
      </c>
      <c r="BF108" s="40" t="s">
        <v>48</v>
      </c>
      <c r="BG108" s="40" t="s">
        <v>48</v>
      </c>
      <c r="BH108" s="40" t="s">
        <v>48</v>
      </c>
      <c r="BI108" s="40" t="s">
        <v>48</v>
      </c>
      <c r="BJ108" s="40" t="s">
        <v>48</v>
      </c>
      <c r="BK108" s="40" t="s">
        <v>48</v>
      </c>
      <c r="BM108" s="33"/>
      <c r="BN108" s="38" t="str">
        <f>Notes!W109</f>
        <v xml:space="preserve">               </v>
      </c>
      <c r="BO108" s="4"/>
      <c r="BP108" s="44"/>
      <c r="BQ108" s="42"/>
      <c r="BR108" s="42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H108" s="33"/>
      <c r="CI108" s="38" t="str">
        <f>Notes!W109</f>
        <v xml:space="preserve">               </v>
      </c>
      <c r="CJ108" s="4"/>
      <c r="CK108" s="44"/>
      <c r="CL108" s="42"/>
      <c r="CM108" s="42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</row>
    <row r="109" spans="1:105" x14ac:dyDescent="0.3">
      <c r="A109" s="12">
        <v>102</v>
      </c>
      <c r="B109" s="33"/>
      <c r="C109" s="38" t="str">
        <f>Notes!W110</f>
        <v xml:space="preserve">               </v>
      </c>
      <c r="D109" s="4"/>
      <c r="E109" s="44"/>
      <c r="F109" s="42"/>
      <c r="G109" s="42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W109" s="33"/>
      <c r="X109" s="38" t="str">
        <f>Notes!W110</f>
        <v xml:space="preserve">               </v>
      </c>
      <c r="Y109" s="4"/>
      <c r="Z109" s="44"/>
      <c r="AA109" s="42"/>
      <c r="AB109" s="42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R109" s="33"/>
      <c r="AS109" s="38" t="str">
        <f>Notes!U110</f>
        <v xml:space="preserve">      Transportation and storage</v>
      </c>
      <c r="AT109" s="4" t="s">
        <v>411</v>
      </c>
      <c r="AU109" s="44">
        <v>2.0968916261468276</v>
      </c>
      <c r="AV109" s="42">
        <v>3.065070982552065</v>
      </c>
      <c r="AW109" s="42" t="s">
        <v>48</v>
      </c>
      <c r="AX109" s="40" t="s">
        <v>48</v>
      </c>
      <c r="AY109" s="40" t="s">
        <v>48</v>
      </c>
      <c r="AZ109" s="40" t="s">
        <v>48</v>
      </c>
      <c r="BA109" s="40" t="s">
        <v>48</v>
      </c>
      <c r="BB109" s="40" t="s">
        <v>48</v>
      </c>
      <c r="BC109" s="40" t="s">
        <v>48</v>
      </c>
      <c r="BD109" s="40" t="s">
        <v>48</v>
      </c>
      <c r="BE109" s="40" t="s">
        <v>48</v>
      </c>
      <c r="BF109" s="40" t="s">
        <v>48</v>
      </c>
      <c r="BG109" s="40" t="s">
        <v>48</v>
      </c>
      <c r="BH109" s="40" t="s">
        <v>48</v>
      </c>
      <c r="BI109" s="40" t="s">
        <v>48</v>
      </c>
      <c r="BJ109" s="40" t="s">
        <v>48</v>
      </c>
      <c r="BK109" s="40" t="s">
        <v>48</v>
      </c>
      <c r="BM109" s="33"/>
      <c r="BN109" s="38" t="str">
        <f>Notes!W110</f>
        <v xml:space="preserve">               </v>
      </c>
      <c r="BO109" s="4"/>
      <c r="BP109" s="44"/>
      <c r="BQ109" s="42"/>
      <c r="BR109" s="42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H109" s="33"/>
      <c r="CI109" s="38" t="str">
        <f>Notes!W110</f>
        <v xml:space="preserve">               </v>
      </c>
      <c r="CJ109" s="4"/>
      <c r="CK109" s="44"/>
      <c r="CL109" s="42"/>
      <c r="CM109" s="42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</row>
    <row r="110" spans="1:105" x14ac:dyDescent="0.3">
      <c r="A110" s="12">
        <v>103</v>
      </c>
      <c r="B110" s="33"/>
      <c r="C110" s="38" t="str">
        <f>Notes!W111</f>
        <v xml:space="preserve">               </v>
      </c>
      <c r="D110" s="4"/>
      <c r="E110" s="44"/>
      <c r="F110" s="42"/>
      <c r="G110" s="42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W110" s="33"/>
      <c r="X110" s="38" t="str">
        <f>Notes!W111</f>
        <v xml:space="preserve">               </v>
      </c>
      <c r="Y110" s="4"/>
      <c r="Z110" s="44"/>
      <c r="AA110" s="42"/>
      <c r="AB110" s="42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R110" s="33"/>
      <c r="AS110" s="38" t="str">
        <f>Notes!U111</f>
        <v xml:space="preserve">      Information and communication</v>
      </c>
      <c r="AT110" s="4" t="s">
        <v>415</v>
      </c>
      <c r="AU110" s="44">
        <v>1.4777349236571906</v>
      </c>
      <c r="AV110" s="42">
        <v>3.0650179864814442</v>
      </c>
      <c r="AW110" s="42" t="s">
        <v>48</v>
      </c>
      <c r="AX110" s="40" t="s">
        <v>48</v>
      </c>
      <c r="AY110" s="40" t="s">
        <v>48</v>
      </c>
      <c r="AZ110" s="40" t="s">
        <v>48</v>
      </c>
      <c r="BA110" s="40" t="s">
        <v>48</v>
      </c>
      <c r="BB110" s="40" t="s">
        <v>48</v>
      </c>
      <c r="BC110" s="40" t="s">
        <v>48</v>
      </c>
      <c r="BD110" s="40" t="s">
        <v>48</v>
      </c>
      <c r="BE110" s="40" t="s">
        <v>48</v>
      </c>
      <c r="BF110" s="40" t="s">
        <v>48</v>
      </c>
      <c r="BG110" s="40" t="s">
        <v>48</v>
      </c>
      <c r="BH110" s="40" t="s">
        <v>48</v>
      </c>
      <c r="BI110" s="40" t="s">
        <v>48</v>
      </c>
      <c r="BJ110" s="40" t="s">
        <v>48</v>
      </c>
      <c r="BK110" s="40" t="s">
        <v>48</v>
      </c>
      <c r="BM110" s="33"/>
      <c r="BN110" s="38" t="str">
        <f>Notes!W111</f>
        <v xml:space="preserve">               </v>
      </c>
      <c r="BO110" s="4"/>
      <c r="BP110" s="44"/>
      <c r="BQ110" s="42"/>
      <c r="BR110" s="42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H110" s="33"/>
      <c r="CI110" s="38" t="str">
        <f>Notes!W111</f>
        <v xml:space="preserve">               </v>
      </c>
      <c r="CJ110" s="4"/>
      <c r="CK110" s="44"/>
      <c r="CL110" s="42"/>
      <c r="CM110" s="42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</row>
    <row r="111" spans="1:105" x14ac:dyDescent="0.3">
      <c r="A111" s="12">
        <v>104</v>
      </c>
      <c r="B111" s="33"/>
      <c r="C111" s="38" t="str">
        <f>Notes!W112</f>
        <v xml:space="preserve">               </v>
      </c>
      <c r="D111" s="4"/>
      <c r="E111" s="44"/>
      <c r="F111" s="42"/>
      <c r="G111" s="42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W111" s="33"/>
      <c r="X111" s="38" t="str">
        <f>Notes!W112</f>
        <v xml:space="preserve">               </v>
      </c>
      <c r="Y111" s="4"/>
      <c r="Z111" s="44"/>
      <c r="AA111" s="42"/>
      <c r="AB111" s="42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R111" s="33"/>
      <c r="AS111" s="38" t="str">
        <f>Notes!U112</f>
        <v xml:space="preserve">   Finance and business services</v>
      </c>
      <c r="AT111" s="4" t="s">
        <v>417</v>
      </c>
      <c r="AU111" s="44">
        <v>11.336235922508999</v>
      </c>
      <c r="AV111" s="42">
        <v>3.0727942852939671</v>
      </c>
      <c r="AW111" s="42" t="s">
        <v>48</v>
      </c>
      <c r="AX111" s="40" t="s">
        <v>48</v>
      </c>
      <c r="AY111" s="40" t="s">
        <v>48</v>
      </c>
      <c r="AZ111" s="40" t="s">
        <v>48</v>
      </c>
      <c r="BA111" s="40" t="s">
        <v>48</v>
      </c>
      <c r="BB111" s="40" t="s">
        <v>48</v>
      </c>
      <c r="BC111" s="40" t="s">
        <v>48</v>
      </c>
      <c r="BD111" s="40" t="s">
        <v>48</v>
      </c>
      <c r="BE111" s="40" t="s">
        <v>48</v>
      </c>
      <c r="BF111" s="40" t="s">
        <v>48</v>
      </c>
      <c r="BG111" s="40" t="s">
        <v>48</v>
      </c>
      <c r="BH111" s="40" t="s">
        <v>48</v>
      </c>
      <c r="BI111" s="40" t="s">
        <v>48</v>
      </c>
      <c r="BJ111" s="40" t="s">
        <v>48</v>
      </c>
      <c r="BK111" s="40" t="s">
        <v>48</v>
      </c>
      <c r="BM111" s="33"/>
      <c r="BN111" s="38" t="str">
        <f>Notes!W112</f>
        <v xml:space="preserve">               </v>
      </c>
      <c r="BO111" s="4"/>
      <c r="BP111" s="44"/>
      <c r="BQ111" s="42"/>
      <c r="BR111" s="42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H111" s="33"/>
      <c r="CI111" s="38" t="str">
        <f>Notes!W112</f>
        <v xml:space="preserve">               </v>
      </c>
      <c r="CJ111" s="4"/>
      <c r="CK111" s="44"/>
      <c r="CL111" s="42"/>
      <c r="CM111" s="42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</row>
    <row r="112" spans="1:105" x14ac:dyDescent="0.3">
      <c r="A112" s="12">
        <v>105</v>
      </c>
      <c r="B112" s="33"/>
      <c r="C112" s="38" t="str">
        <f>Notes!W113</f>
        <v xml:space="preserve">               </v>
      </c>
      <c r="D112" s="4"/>
      <c r="E112" s="44"/>
      <c r="F112" s="42"/>
      <c r="G112" s="42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W112" s="33"/>
      <c r="X112" s="38" t="str">
        <f>Notes!W113</f>
        <v xml:space="preserve">               </v>
      </c>
      <c r="Y112" s="4"/>
      <c r="Z112" s="44"/>
      <c r="AA112" s="42"/>
      <c r="AB112" s="42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R112" s="33"/>
      <c r="AS112" s="38" t="str">
        <f>Notes!U113</f>
        <v xml:space="preserve">      Finance and insurance</v>
      </c>
      <c r="AT112" s="4" t="s">
        <v>419</v>
      </c>
      <c r="AU112" s="44" t="s">
        <v>48</v>
      </c>
      <c r="AV112" s="42" t="s">
        <v>48</v>
      </c>
      <c r="AW112" s="42" t="s">
        <v>48</v>
      </c>
      <c r="AX112" s="40" t="s">
        <v>48</v>
      </c>
      <c r="AY112" s="40" t="s">
        <v>48</v>
      </c>
      <c r="AZ112" s="40" t="s">
        <v>48</v>
      </c>
      <c r="BA112" s="40" t="s">
        <v>48</v>
      </c>
      <c r="BB112" s="40" t="s">
        <v>48</v>
      </c>
      <c r="BC112" s="40" t="s">
        <v>48</v>
      </c>
      <c r="BD112" s="40" t="s">
        <v>48</v>
      </c>
      <c r="BE112" s="40" t="s">
        <v>48</v>
      </c>
      <c r="BF112" s="40" t="s">
        <v>48</v>
      </c>
      <c r="BG112" s="40" t="s">
        <v>48</v>
      </c>
      <c r="BH112" s="40" t="s">
        <v>48</v>
      </c>
      <c r="BI112" s="40" t="s">
        <v>48</v>
      </c>
      <c r="BJ112" s="40" t="s">
        <v>48</v>
      </c>
      <c r="BK112" s="40" t="s">
        <v>48</v>
      </c>
      <c r="BM112" s="33"/>
      <c r="BN112" s="38" t="str">
        <f>Notes!W113</f>
        <v xml:space="preserve">               </v>
      </c>
      <c r="BO112" s="4"/>
      <c r="BP112" s="44"/>
      <c r="BQ112" s="42"/>
      <c r="BR112" s="42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H112" s="33"/>
      <c r="CI112" s="38" t="str">
        <f>Notes!W113</f>
        <v xml:space="preserve">               </v>
      </c>
      <c r="CJ112" s="4"/>
      <c r="CK112" s="44"/>
      <c r="CL112" s="42"/>
      <c r="CM112" s="42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</row>
    <row r="113" spans="1:105" x14ac:dyDescent="0.3">
      <c r="A113" s="12">
        <v>106</v>
      </c>
      <c r="B113" s="33"/>
      <c r="C113" s="38" t="str">
        <f>Notes!W114</f>
        <v xml:space="preserve">               </v>
      </c>
      <c r="D113" s="4"/>
      <c r="E113" s="44"/>
      <c r="F113" s="42"/>
      <c r="G113" s="42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W113" s="33"/>
      <c r="X113" s="38" t="str">
        <f>Notes!W114</f>
        <v xml:space="preserve">               </v>
      </c>
      <c r="Y113" s="4"/>
      <c r="Z113" s="44"/>
      <c r="AA113" s="42"/>
      <c r="AB113" s="42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R113" s="33"/>
      <c r="AS113" s="38" t="str">
        <f>Notes!U114</f>
        <v xml:space="preserve">      Real estate activities</v>
      </c>
      <c r="AT113" s="4" t="s">
        <v>421</v>
      </c>
      <c r="AU113" s="44">
        <v>11.271436221811541</v>
      </c>
      <c r="AV113" s="42">
        <v>3.0727703470141421</v>
      </c>
      <c r="AW113" s="42" t="s">
        <v>48</v>
      </c>
      <c r="AX113" s="40" t="s">
        <v>48</v>
      </c>
      <c r="AY113" s="40" t="s">
        <v>48</v>
      </c>
      <c r="AZ113" s="40" t="s">
        <v>48</v>
      </c>
      <c r="BA113" s="40" t="s">
        <v>48</v>
      </c>
      <c r="BB113" s="40" t="s">
        <v>48</v>
      </c>
      <c r="BC113" s="40" t="s">
        <v>48</v>
      </c>
      <c r="BD113" s="40" t="s">
        <v>48</v>
      </c>
      <c r="BE113" s="40" t="s">
        <v>48</v>
      </c>
      <c r="BF113" s="40" t="s">
        <v>48</v>
      </c>
      <c r="BG113" s="40" t="s">
        <v>48</v>
      </c>
      <c r="BH113" s="40" t="s">
        <v>48</v>
      </c>
      <c r="BI113" s="40" t="s">
        <v>48</v>
      </c>
      <c r="BJ113" s="40" t="s">
        <v>48</v>
      </c>
      <c r="BK113" s="40" t="s">
        <v>48</v>
      </c>
      <c r="BM113" s="33"/>
      <c r="BN113" s="38" t="str">
        <f>Notes!W114</f>
        <v xml:space="preserve">               </v>
      </c>
      <c r="BO113" s="4"/>
      <c r="BP113" s="44"/>
      <c r="BQ113" s="42"/>
      <c r="BR113" s="42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H113" s="33"/>
      <c r="CI113" s="38" t="str">
        <f>Notes!W114</f>
        <v xml:space="preserve">               </v>
      </c>
      <c r="CJ113" s="4"/>
      <c r="CK113" s="44"/>
      <c r="CL113" s="42"/>
      <c r="CM113" s="42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</row>
    <row r="114" spans="1:105" x14ac:dyDescent="0.3">
      <c r="A114" s="12">
        <v>107</v>
      </c>
      <c r="B114" s="33"/>
      <c r="C114" s="38" t="str">
        <f>Notes!W115</f>
        <v xml:space="preserve">               </v>
      </c>
      <c r="D114" s="4"/>
      <c r="E114" s="44"/>
      <c r="F114" s="42"/>
      <c r="G114" s="42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W114" s="33"/>
      <c r="X114" s="38" t="str">
        <f>Notes!W115</f>
        <v xml:space="preserve">               </v>
      </c>
      <c r="Y114" s="4"/>
      <c r="Z114" s="44"/>
      <c r="AA114" s="42"/>
      <c r="AB114" s="42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R114" s="33"/>
      <c r="AS114" s="38" t="str">
        <f>Notes!U115</f>
        <v xml:space="preserve">      Business services</v>
      </c>
      <c r="AT114" s="4" t="s">
        <v>423</v>
      </c>
      <c r="AU114" s="44">
        <v>6.4799700697460508E-2</v>
      </c>
      <c r="AV114" s="42">
        <v>3.0769576673626453</v>
      </c>
      <c r="AW114" s="42" t="s">
        <v>48</v>
      </c>
      <c r="AX114" s="40" t="s">
        <v>48</v>
      </c>
      <c r="AY114" s="40" t="s">
        <v>48</v>
      </c>
      <c r="AZ114" s="40" t="s">
        <v>48</v>
      </c>
      <c r="BA114" s="40" t="s">
        <v>48</v>
      </c>
      <c r="BB114" s="40" t="s">
        <v>48</v>
      </c>
      <c r="BC114" s="40" t="s">
        <v>48</v>
      </c>
      <c r="BD114" s="40" t="s">
        <v>48</v>
      </c>
      <c r="BE114" s="40" t="s">
        <v>48</v>
      </c>
      <c r="BF114" s="40" t="s">
        <v>48</v>
      </c>
      <c r="BG114" s="40" t="s">
        <v>48</v>
      </c>
      <c r="BH114" s="40" t="s">
        <v>48</v>
      </c>
      <c r="BI114" s="40" t="s">
        <v>48</v>
      </c>
      <c r="BJ114" s="40" t="s">
        <v>48</v>
      </c>
      <c r="BK114" s="40" t="s">
        <v>48</v>
      </c>
      <c r="BM114" s="33"/>
      <c r="BN114" s="38" t="str">
        <f>Notes!W115</f>
        <v xml:space="preserve">               </v>
      </c>
      <c r="BO114" s="4"/>
      <c r="BP114" s="44"/>
      <c r="BQ114" s="42"/>
      <c r="BR114" s="42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H114" s="33"/>
      <c r="CI114" s="38" t="str">
        <f>Notes!W115</f>
        <v xml:space="preserve">               </v>
      </c>
      <c r="CJ114" s="4"/>
      <c r="CK114" s="44"/>
      <c r="CL114" s="42"/>
      <c r="CM114" s="42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</row>
    <row r="115" spans="1:105" x14ac:dyDescent="0.3">
      <c r="A115" s="12">
        <v>108</v>
      </c>
      <c r="B115" s="33"/>
      <c r="C115" s="38" t="str">
        <f>Notes!W116</f>
        <v xml:space="preserve">               </v>
      </c>
      <c r="D115" s="4"/>
      <c r="E115" s="44"/>
      <c r="F115" s="42"/>
      <c r="G115" s="42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W115" s="33"/>
      <c r="X115" s="38" t="str">
        <f>Notes!W116</f>
        <v xml:space="preserve">               </v>
      </c>
      <c r="Y115" s="4"/>
      <c r="Z115" s="44"/>
      <c r="AA115" s="42"/>
      <c r="AB115" s="42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R115" s="33"/>
      <c r="AS115" s="38" t="str">
        <f>Notes!U116</f>
        <v xml:space="preserve">   Public and social services</v>
      </c>
      <c r="AT115" s="4" t="s">
        <v>425</v>
      </c>
      <c r="AU115" s="44">
        <v>10.286473952107059</v>
      </c>
      <c r="AV115" s="42">
        <v>2.9591629695610022</v>
      </c>
      <c r="AW115" s="42" t="s">
        <v>48</v>
      </c>
      <c r="AX115" s="40" t="s">
        <v>48</v>
      </c>
      <c r="AY115" s="40" t="s">
        <v>48</v>
      </c>
      <c r="AZ115" s="40" t="s">
        <v>48</v>
      </c>
      <c r="BA115" s="40" t="s">
        <v>48</v>
      </c>
      <c r="BB115" s="40" t="s">
        <v>48</v>
      </c>
      <c r="BC115" s="40" t="s">
        <v>48</v>
      </c>
      <c r="BD115" s="40" t="s">
        <v>48</v>
      </c>
      <c r="BE115" s="40" t="s">
        <v>48</v>
      </c>
      <c r="BF115" s="40" t="s">
        <v>48</v>
      </c>
      <c r="BG115" s="40" t="s">
        <v>48</v>
      </c>
      <c r="BH115" s="40" t="s">
        <v>48</v>
      </c>
      <c r="BI115" s="40" t="s">
        <v>48</v>
      </c>
      <c r="BJ115" s="40" t="s">
        <v>48</v>
      </c>
      <c r="BK115" s="40" t="s">
        <v>48</v>
      </c>
      <c r="BM115" s="33"/>
      <c r="BN115" s="38" t="str">
        <f>Notes!W116</f>
        <v xml:space="preserve">               </v>
      </c>
      <c r="BO115" s="4"/>
      <c r="BP115" s="44"/>
      <c r="BQ115" s="42"/>
      <c r="BR115" s="42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H115" s="33"/>
      <c r="CI115" s="38" t="str">
        <f>Notes!W116</f>
        <v xml:space="preserve">               </v>
      </c>
      <c r="CJ115" s="4"/>
      <c r="CK115" s="44"/>
      <c r="CL115" s="42"/>
      <c r="CM115" s="42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</row>
    <row r="116" spans="1:105" x14ac:dyDescent="0.3">
      <c r="A116" s="12">
        <v>109</v>
      </c>
      <c r="B116" s="33"/>
      <c r="C116" s="38" t="str">
        <f>Notes!W117</f>
        <v xml:space="preserve">               </v>
      </c>
      <c r="D116" s="4"/>
      <c r="E116" s="44"/>
      <c r="F116" s="42"/>
      <c r="G116" s="42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W116" s="33"/>
      <c r="X116" s="38" t="str">
        <f>Notes!W117</f>
        <v xml:space="preserve">               </v>
      </c>
      <c r="Y116" s="4"/>
      <c r="Z116" s="44"/>
      <c r="AA116" s="42"/>
      <c r="AB116" s="42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R116" s="33"/>
      <c r="AS116" s="38" t="str">
        <f>Notes!U117</f>
        <v xml:space="preserve">      Public administration</v>
      </c>
      <c r="AT116" s="4" t="s">
        <v>427</v>
      </c>
      <c r="AU116" s="44">
        <v>0.15450609665428947</v>
      </c>
      <c r="AV116" s="42">
        <v>2.9140812402700833</v>
      </c>
      <c r="AW116" s="42" t="s">
        <v>48</v>
      </c>
      <c r="AX116" s="40" t="s">
        <v>48</v>
      </c>
      <c r="AY116" s="40" t="s">
        <v>48</v>
      </c>
      <c r="AZ116" s="40" t="s">
        <v>48</v>
      </c>
      <c r="BA116" s="40" t="s">
        <v>48</v>
      </c>
      <c r="BB116" s="40" t="s">
        <v>48</v>
      </c>
      <c r="BC116" s="40" t="s">
        <v>48</v>
      </c>
      <c r="BD116" s="40" t="s">
        <v>48</v>
      </c>
      <c r="BE116" s="40" t="s">
        <v>48</v>
      </c>
      <c r="BF116" s="40" t="s">
        <v>48</v>
      </c>
      <c r="BG116" s="40" t="s">
        <v>48</v>
      </c>
      <c r="BH116" s="40" t="s">
        <v>48</v>
      </c>
      <c r="BI116" s="40" t="s">
        <v>48</v>
      </c>
      <c r="BJ116" s="40" t="s">
        <v>48</v>
      </c>
      <c r="BK116" s="40" t="s">
        <v>48</v>
      </c>
      <c r="BM116" s="33"/>
      <c r="BN116" s="38" t="str">
        <f>Notes!W117</f>
        <v xml:space="preserve">               </v>
      </c>
      <c r="BO116" s="4"/>
      <c r="BP116" s="44"/>
      <c r="BQ116" s="42"/>
      <c r="BR116" s="42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H116" s="33"/>
      <c r="CI116" s="38" t="str">
        <f>Notes!W117</f>
        <v xml:space="preserve">               </v>
      </c>
      <c r="CJ116" s="4"/>
      <c r="CK116" s="44"/>
      <c r="CL116" s="42"/>
      <c r="CM116" s="42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</row>
    <row r="117" spans="1:105" x14ac:dyDescent="0.3">
      <c r="A117" s="12">
        <v>110</v>
      </c>
      <c r="B117" s="33"/>
      <c r="C117" s="38" t="str">
        <f>Notes!W118</f>
        <v xml:space="preserve">               </v>
      </c>
      <c r="D117" s="4"/>
      <c r="E117" s="44"/>
      <c r="F117" s="42"/>
      <c r="G117" s="42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W117" s="33"/>
      <c r="X117" s="38" t="str">
        <f>Notes!W118</f>
        <v xml:space="preserve">               </v>
      </c>
      <c r="Y117" s="4"/>
      <c r="Z117" s="44"/>
      <c r="AA117" s="42"/>
      <c r="AB117" s="42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R117" s="33"/>
      <c r="AS117" s="38" t="str">
        <f>Notes!U118</f>
        <v xml:space="preserve">      Education</v>
      </c>
      <c r="AT117" s="4" t="s">
        <v>429</v>
      </c>
      <c r="AU117" s="44">
        <v>2.001105382751089</v>
      </c>
      <c r="AV117" s="42">
        <v>2.9243805641471221</v>
      </c>
      <c r="AW117" s="42" t="s">
        <v>48</v>
      </c>
      <c r="AX117" s="40" t="s">
        <v>48</v>
      </c>
      <c r="AY117" s="40" t="s">
        <v>48</v>
      </c>
      <c r="AZ117" s="40" t="s">
        <v>48</v>
      </c>
      <c r="BA117" s="40" t="s">
        <v>48</v>
      </c>
      <c r="BB117" s="40" t="s">
        <v>48</v>
      </c>
      <c r="BC117" s="40" t="s">
        <v>48</v>
      </c>
      <c r="BD117" s="40" t="s">
        <v>48</v>
      </c>
      <c r="BE117" s="40" t="s">
        <v>48</v>
      </c>
      <c r="BF117" s="40" t="s">
        <v>48</v>
      </c>
      <c r="BG117" s="40" t="s">
        <v>48</v>
      </c>
      <c r="BH117" s="40" t="s">
        <v>48</v>
      </c>
      <c r="BI117" s="40" t="s">
        <v>48</v>
      </c>
      <c r="BJ117" s="40" t="s">
        <v>48</v>
      </c>
      <c r="BK117" s="40" t="s">
        <v>48</v>
      </c>
      <c r="BM117" s="33"/>
      <c r="BN117" s="38" t="str">
        <f>Notes!W118</f>
        <v xml:space="preserve">               </v>
      </c>
      <c r="BO117" s="4"/>
      <c r="BP117" s="44"/>
      <c r="BQ117" s="42"/>
      <c r="BR117" s="42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H117" s="33"/>
      <c r="CI117" s="38" t="str">
        <f>Notes!W118</f>
        <v xml:space="preserve">               </v>
      </c>
      <c r="CJ117" s="4"/>
      <c r="CK117" s="44"/>
      <c r="CL117" s="42"/>
      <c r="CM117" s="42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</row>
    <row r="118" spans="1:105" x14ac:dyDescent="0.3">
      <c r="A118" s="12">
        <v>111</v>
      </c>
      <c r="B118" s="33"/>
      <c r="C118" s="38" t="str">
        <f>Notes!W119</f>
        <v xml:space="preserve">               </v>
      </c>
      <c r="D118" s="4"/>
      <c r="E118" s="44"/>
      <c r="F118" s="42"/>
      <c r="G118" s="42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W118" s="33"/>
      <c r="X118" s="38" t="str">
        <f>Notes!W119</f>
        <v xml:space="preserve">               </v>
      </c>
      <c r="Y118" s="4"/>
      <c r="Z118" s="44"/>
      <c r="AA118" s="42"/>
      <c r="AB118" s="42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R118" s="33"/>
      <c r="AS118" s="38" t="str">
        <f>Notes!U119</f>
        <v xml:space="preserve">      Health and social work</v>
      </c>
      <c r="AT118" s="4" t="s">
        <v>431</v>
      </c>
      <c r="AU118" s="44">
        <v>8.1308624727016809</v>
      </c>
      <c r="AV118" s="42">
        <v>2.9685676370619474</v>
      </c>
      <c r="AW118" s="42" t="s">
        <v>48</v>
      </c>
      <c r="AX118" s="40" t="s">
        <v>48</v>
      </c>
      <c r="AY118" s="40" t="s">
        <v>48</v>
      </c>
      <c r="AZ118" s="40" t="s">
        <v>48</v>
      </c>
      <c r="BA118" s="40" t="s">
        <v>48</v>
      </c>
      <c r="BB118" s="40" t="s">
        <v>48</v>
      </c>
      <c r="BC118" s="40" t="s">
        <v>48</v>
      </c>
      <c r="BD118" s="40" t="s">
        <v>48</v>
      </c>
      <c r="BE118" s="40" t="s">
        <v>48</v>
      </c>
      <c r="BF118" s="40" t="s">
        <v>48</v>
      </c>
      <c r="BG118" s="40" t="s">
        <v>48</v>
      </c>
      <c r="BH118" s="40" t="s">
        <v>48</v>
      </c>
      <c r="BI118" s="40" t="s">
        <v>48</v>
      </c>
      <c r="BJ118" s="40" t="s">
        <v>48</v>
      </c>
      <c r="BK118" s="40" t="s">
        <v>48</v>
      </c>
      <c r="BM118" s="33"/>
      <c r="BN118" s="38" t="str">
        <f>Notes!W119</f>
        <v xml:space="preserve">               </v>
      </c>
      <c r="BO118" s="4"/>
      <c r="BP118" s="44"/>
      <c r="BQ118" s="42"/>
      <c r="BR118" s="42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H118" s="33"/>
      <c r="CI118" s="38" t="str">
        <f>Notes!W119</f>
        <v xml:space="preserve">               </v>
      </c>
      <c r="CJ118" s="4"/>
      <c r="CK118" s="44"/>
      <c r="CL118" s="42"/>
      <c r="CM118" s="42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</row>
    <row r="119" spans="1:105" x14ac:dyDescent="0.3">
      <c r="A119" s="12">
        <v>112</v>
      </c>
      <c r="B119" s="33"/>
      <c r="C119" s="38" t="str">
        <f>Notes!W120</f>
        <v xml:space="preserve">               </v>
      </c>
      <c r="D119" s="4"/>
      <c r="E119" s="44"/>
      <c r="F119" s="42"/>
      <c r="G119" s="42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W119" s="33"/>
      <c r="X119" s="38" t="str">
        <f>Notes!W120</f>
        <v xml:space="preserve">               </v>
      </c>
      <c r="Y119" s="4"/>
      <c r="Z119" s="44"/>
      <c r="AA119" s="42"/>
      <c r="AB119" s="42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R119" s="33"/>
      <c r="AS119" s="38" t="str">
        <f>Notes!U120</f>
        <v xml:space="preserve">   Other services</v>
      </c>
      <c r="AT119" s="4" t="s">
        <v>433</v>
      </c>
      <c r="AU119" s="44">
        <v>1.0401753137216729</v>
      </c>
      <c r="AV119" s="42">
        <v>3.1317832655687772</v>
      </c>
      <c r="AW119" s="42" t="s">
        <v>48</v>
      </c>
      <c r="AX119" s="40" t="s">
        <v>48</v>
      </c>
      <c r="AY119" s="40" t="s">
        <v>48</v>
      </c>
      <c r="AZ119" s="40" t="s">
        <v>48</v>
      </c>
      <c r="BA119" s="40" t="s">
        <v>48</v>
      </c>
      <c r="BB119" s="40" t="s">
        <v>48</v>
      </c>
      <c r="BC119" s="40" t="s">
        <v>48</v>
      </c>
      <c r="BD119" s="40" t="s">
        <v>48</v>
      </c>
      <c r="BE119" s="40" t="s">
        <v>48</v>
      </c>
      <c r="BF119" s="40" t="s">
        <v>48</v>
      </c>
      <c r="BG119" s="40" t="s">
        <v>48</v>
      </c>
      <c r="BH119" s="40" t="s">
        <v>48</v>
      </c>
      <c r="BI119" s="40" t="s">
        <v>48</v>
      </c>
      <c r="BJ119" s="40" t="s">
        <v>48</v>
      </c>
      <c r="BK119" s="40" t="s">
        <v>48</v>
      </c>
      <c r="BM119" s="33"/>
      <c r="BN119" s="38" t="str">
        <f>Notes!W120</f>
        <v xml:space="preserve">               </v>
      </c>
      <c r="BO119" s="4"/>
      <c r="BP119" s="44"/>
      <c r="BQ119" s="42"/>
      <c r="BR119" s="42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H119" s="33"/>
      <c r="CI119" s="38" t="str">
        <f>Notes!W120</f>
        <v xml:space="preserve">               </v>
      </c>
      <c r="CJ119" s="4"/>
      <c r="CK119" s="44"/>
      <c r="CL119" s="42"/>
      <c r="CM119" s="42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</row>
    <row r="120" spans="1:105" x14ac:dyDescent="0.3">
      <c r="A120" s="12">
        <v>113</v>
      </c>
      <c r="B120" s="33"/>
      <c r="C120" s="38" t="str">
        <f>Notes!W121</f>
        <v xml:space="preserve">               </v>
      </c>
      <c r="D120" s="4"/>
      <c r="E120" s="44"/>
      <c r="F120" s="42"/>
      <c r="G120" s="42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W120" s="33"/>
      <c r="X120" s="38" t="str">
        <f>Notes!W121</f>
        <v xml:space="preserve">               </v>
      </c>
      <c r="Y120" s="4"/>
      <c r="Z120" s="44"/>
      <c r="AA120" s="42"/>
      <c r="AB120" s="42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R120" s="33"/>
      <c r="AS120" s="38" t="str">
        <f>Notes!U121</f>
        <v xml:space="preserve">               </v>
      </c>
      <c r="AT120" s="4" t="s">
        <v>427</v>
      </c>
      <c r="AU120" s="44">
        <v>4.9425303355858121</v>
      </c>
      <c r="AV120" s="42">
        <v>2.849504724896379</v>
      </c>
      <c r="AW120" s="42" t="s">
        <v>48</v>
      </c>
      <c r="AX120" s="40" t="s">
        <v>48</v>
      </c>
      <c r="AY120" s="40" t="s">
        <v>48</v>
      </c>
      <c r="AZ120" s="40" t="s">
        <v>48</v>
      </c>
      <c r="BA120" s="40" t="s">
        <v>48</v>
      </c>
      <c r="BB120" s="40" t="s">
        <v>48</v>
      </c>
      <c r="BC120" s="40" t="s">
        <v>48</v>
      </c>
      <c r="BD120" s="40" t="s">
        <v>48</v>
      </c>
      <c r="BE120" s="40" t="s">
        <v>48</v>
      </c>
      <c r="BF120" s="40" t="s">
        <v>48</v>
      </c>
      <c r="BG120" s="40" t="s">
        <v>48</v>
      </c>
      <c r="BH120" s="40" t="s">
        <v>48</v>
      </c>
      <c r="BI120" s="40" t="s">
        <v>48</v>
      </c>
      <c r="BJ120" s="40" t="s">
        <v>48</v>
      </c>
      <c r="BK120" s="40" t="s">
        <v>48</v>
      </c>
      <c r="BM120" s="33"/>
      <c r="BN120" s="38" t="str">
        <f>Notes!W121</f>
        <v xml:space="preserve">               </v>
      </c>
      <c r="BO120" s="4"/>
      <c r="BP120" s="44"/>
      <c r="BQ120" s="42"/>
      <c r="BR120" s="42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H120" s="33"/>
      <c r="CI120" s="38" t="str">
        <f>Notes!W121</f>
        <v xml:space="preserve">               </v>
      </c>
      <c r="CJ120" s="4"/>
      <c r="CK120" s="44"/>
      <c r="CL120" s="42"/>
      <c r="CM120" s="42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</row>
    <row r="121" spans="1:105" x14ac:dyDescent="0.3">
      <c r="A121" s="12">
        <v>114</v>
      </c>
      <c r="B121" s="33"/>
      <c r="C121" s="38" t="str">
        <f>Notes!W122</f>
        <v xml:space="preserve">               </v>
      </c>
      <c r="D121" s="4"/>
      <c r="E121" s="44"/>
      <c r="F121" s="42"/>
      <c r="G121" s="42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W121" s="33"/>
      <c r="X121" s="38" t="str">
        <f>Notes!W122</f>
        <v xml:space="preserve">               </v>
      </c>
      <c r="Y121" s="4"/>
      <c r="Z121" s="44"/>
      <c r="AA121" s="42"/>
      <c r="AB121" s="42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R121" s="33"/>
      <c r="AS121" s="38" t="str">
        <f>Notes!U122</f>
        <v xml:space="preserve">               </v>
      </c>
      <c r="AT121" s="4" t="s">
        <v>429</v>
      </c>
      <c r="AU121" s="44">
        <v>4.2713718578878961</v>
      </c>
      <c r="AV121" s="42">
        <v>2.894621929140051</v>
      </c>
      <c r="AW121" s="42" t="s">
        <v>48</v>
      </c>
      <c r="AX121" s="40" t="s">
        <v>48</v>
      </c>
      <c r="AY121" s="40" t="s">
        <v>48</v>
      </c>
      <c r="AZ121" s="40" t="s">
        <v>48</v>
      </c>
      <c r="BA121" s="40" t="s">
        <v>48</v>
      </c>
      <c r="BB121" s="40" t="s">
        <v>48</v>
      </c>
      <c r="BC121" s="40" t="s">
        <v>48</v>
      </c>
      <c r="BD121" s="40" t="s">
        <v>48</v>
      </c>
      <c r="BE121" s="40" t="s">
        <v>48</v>
      </c>
      <c r="BF121" s="40" t="s">
        <v>48</v>
      </c>
      <c r="BG121" s="40" t="s">
        <v>48</v>
      </c>
      <c r="BH121" s="40" t="s">
        <v>48</v>
      </c>
      <c r="BI121" s="40" t="s">
        <v>48</v>
      </c>
      <c r="BJ121" s="40" t="s">
        <v>48</v>
      </c>
      <c r="BK121" s="40" t="s">
        <v>48</v>
      </c>
      <c r="BM121" s="33"/>
      <c r="BN121" s="38" t="str">
        <f>Notes!W122</f>
        <v xml:space="preserve">               </v>
      </c>
      <c r="BO121" s="4"/>
      <c r="BP121" s="44"/>
      <c r="BQ121" s="42"/>
      <c r="BR121" s="42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H121" s="33"/>
      <c r="CI121" s="38" t="str">
        <f>Notes!W122</f>
        <v xml:space="preserve">               </v>
      </c>
      <c r="CJ121" s="4"/>
      <c r="CK121" s="44"/>
      <c r="CL121" s="42"/>
      <c r="CM121" s="42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</row>
    <row r="122" spans="1:105" x14ac:dyDescent="0.3">
      <c r="A122" s="12">
        <v>115</v>
      </c>
      <c r="B122" s="33"/>
      <c r="C122" s="38" t="str">
        <f>Notes!W123</f>
        <v xml:space="preserve">               </v>
      </c>
      <c r="D122" s="4"/>
      <c r="E122" s="44"/>
      <c r="F122" s="42"/>
      <c r="G122" s="42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W122" s="33"/>
      <c r="X122" s="38" t="str">
        <f>Notes!W123</f>
        <v xml:space="preserve">               </v>
      </c>
      <c r="Y122" s="4"/>
      <c r="Z122" s="44"/>
      <c r="AA122" s="42"/>
      <c r="AB122" s="42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R122" s="33"/>
      <c r="AS122" s="38" t="str">
        <f>Notes!U123</f>
        <v xml:space="preserve">               </v>
      </c>
      <c r="AT122" s="4" t="s">
        <v>431</v>
      </c>
      <c r="AU122" s="44">
        <v>0.34505793515694227</v>
      </c>
      <c r="AV122" s="42">
        <v>2.8680848853803509</v>
      </c>
      <c r="AW122" s="42" t="s">
        <v>48</v>
      </c>
      <c r="AX122" s="40" t="s">
        <v>48</v>
      </c>
      <c r="AY122" s="40" t="s">
        <v>48</v>
      </c>
      <c r="AZ122" s="40" t="s">
        <v>48</v>
      </c>
      <c r="BA122" s="40" t="s">
        <v>48</v>
      </c>
      <c r="BB122" s="40" t="s">
        <v>48</v>
      </c>
      <c r="BC122" s="40" t="s">
        <v>48</v>
      </c>
      <c r="BD122" s="40" t="s">
        <v>48</v>
      </c>
      <c r="BE122" s="40" t="s">
        <v>48</v>
      </c>
      <c r="BF122" s="40" t="s">
        <v>48</v>
      </c>
      <c r="BG122" s="40" t="s">
        <v>48</v>
      </c>
      <c r="BH122" s="40" t="s">
        <v>48</v>
      </c>
      <c r="BI122" s="40" t="s">
        <v>48</v>
      </c>
      <c r="BJ122" s="40" t="s">
        <v>48</v>
      </c>
      <c r="BK122" s="40" t="s">
        <v>48</v>
      </c>
      <c r="BM122" s="33"/>
      <c r="BN122" s="38" t="str">
        <f>Notes!W123</f>
        <v xml:space="preserve">               </v>
      </c>
      <c r="BO122" s="4"/>
      <c r="BP122" s="44"/>
      <c r="BQ122" s="42"/>
      <c r="BR122" s="42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H122" s="33"/>
      <c r="CI122" s="38" t="str">
        <f>Notes!W123</f>
        <v xml:space="preserve">               </v>
      </c>
      <c r="CJ122" s="4"/>
      <c r="CK122" s="44"/>
      <c r="CL122" s="42"/>
      <c r="CM122" s="42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</row>
    <row r="123" spans="1:105" x14ac:dyDescent="0.3">
      <c r="A123" s="12">
        <v>116</v>
      </c>
      <c r="B123" s="33"/>
      <c r="C123" s="38" t="str">
        <f>Notes!W124</f>
        <v xml:space="preserve">               </v>
      </c>
      <c r="D123" s="4"/>
      <c r="E123" s="44"/>
      <c r="F123" s="42"/>
      <c r="G123" s="42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W123" s="33"/>
      <c r="X123" s="38" t="str">
        <f>Notes!W124</f>
        <v xml:space="preserve">               </v>
      </c>
      <c r="Y123" s="4"/>
      <c r="Z123" s="44"/>
      <c r="AA123" s="42"/>
      <c r="AB123" s="42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R123" s="33"/>
      <c r="AS123" s="38" t="str">
        <f>Notes!U124</f>
        <v xml:space="preserve">               </v>
      </c>
      <c r="AT123" s="4" t="s">
        <v>433</v>
      </c>
      <c r="AU123" s="44">
        <v>1.0512846991436809E-2</v>
      </c>
      <c r="AV123" s="42">
        <v>2.9861406380538913</v>
      </c>
      <c r="AW123" s="42" t="s">
        <v>48</v>
      </c>
      <c r="AX123" s="40" t="s">
        <v>48</v>
      </c>
      <c r="AY123" s="40" t="s">
        <v>48</v>
      </c>
      <c r="AZ123" s="40" t="s">
        <v>48</v>
      </c>
      <c r="BA123" s="40" t="s">
        <v>48</v>
      </c>
      <c r="BB123" s="40" t="s">
        <v>48</v>
      </c>
      <c r="BC123" s="40" t="s">
        <v>48</v>
      </c>
      <c r="BD123" s="40" t="s">
        <v>48</v>
      </c>
      <c r="BE123" s="40" t="s">
        <v>48</v>
      </c>
      <c r="BF123" s="40" t="s">
        <v>48</v>
      </c>
      <c r="BG123" s="40" t="s">
        <v>48</v>
      </c>
      <c r="BH123" s="40" t="s">
        <v>48</v>
      </c>
      <c r="BI123" s="40" t="s">
        <v>48</v>
      </c>
      <c r="BJ123" s="40" t="s">
        <v>48</v>
      </c>
      <c r="BK123" s="40" t="s">
        <v>48</v>
      </c>
      <c r="BM123" s="33"/>
      <c r="BN123" s="38" t="str">
        <f>Notes!W124</f>
        <v xml:space="preserve">               </v>
      </c>
      <c r="BO123" s="4"/>
      <c r="BP123" s="44"/>
      <c r="BQ123" s="42"/>
      <c r="BR123" s="42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H123" s="33"/>
      <c r="CI123" s="38" t="str">
        <f>Notes!W124</f>
        <v xml:space="preserve">               </v>
      </c>
      <c r="CJ123" s="4"/>
      <c r="CK123" s="44"/>
      <c r="CL123" s="42"/>
      <c r="CM123" s="42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</row>
    <row r="124" spans="1:105" x14ac:dyDescent="0.3">
      <c r="A124" s="12">
        <v>117</v>
      </c>
      <c r="B124" s="33"/>
      <c r="C124" s="38" t="str">
        <f>Notes!W125</f>
        <v xml:space="preserve">               </v>
      </c>
      <c r="D124" s="4"/>
      <c r="E124" s="44"/>
      <c r="F124" s="42"/>
      <c r="G124" s="42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W124" s="33"/>
      <c r="X124" s="38" t="str">
        <f>Notes!W125</f>
        <v xml:space="preserve">               </v>
      </c>
      <c r="Y124" s="4"/>
      <c r="Z124" s="44"/>
      <c r="AA124" s="42"/>
      <c r="AB124" s="42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R124" s="33"/>
      <c r="AS124" s="38" t="str">
        <f>Notes!U125</f>
        <v xml:space="preserve">               </v>
      </c>
      <c r="AT124" s="4"/>
      <c r="AU124" s="44"/>
      <c r="AV124" s="42"/>
      <c r="AW124" s="42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M124" s="33"/>
      <c r="BN124" s="38" t="str">
        <f>Notes!W125</f>
        <v xml:space="preserve">               </v>
      </c>
      <c r="BO124" s="4"/>
      <c r="BP124" s="44"/>
      <c r="BQ124" s="42"/>
      <c r="BR124" s="42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H124" s="33"/>
      <c r="CI124" s="38" t="str">
        <f>Notes!W125</f>
        <v xml:space="preserve">               </v>
      </c>
      <c r="CJ124" s="4"/>
      <c r="CK124" s="44"/>
      <c r="CL124" s="42"/>
      <c r="CM124" s="42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</row>
    <row r="125" spans="1:105" x14ac:dyDescent="0.3">
      <c r="A125" s="12">
        <v>118</v>
      </c>
      <c r="B125" s="33"/>
      <c r="C125" s="38" t="str">
        <f>Notes!W126</f>
        <v xml:space="preserve">               </v>
      </c>
      <c r="D125" s="4"/>
      <c r="E125" s="44"/>
      <c r="F125" s="42"/>
      <c r="G125" s="42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W125" s="33"/>
      <c r="X125" s="38" t="str">
        <f>Notes!W126</f>
        <v xml:space="preserve">               </v>
      </c>
      <c r="Y125" s="4"/>
      <c r="Z125" s="44"/>
      <c r="AA125" s="42"/>
      <c r="AB125" s="42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R125" s="33"/>
      <c r="AS125" s="38" t="str">
        <f>Notes!U126</f>
        <v xml:space="preserve">               </v>
      </c>
      <c r="AT125" s="4"/>
      <c r="AU125" s="44"/>
      <c r="AV125" s="42"/>
      <c r="AW125" s="42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M125" s="33"/>
      <c r="BN125" s="38" t="str">
        <f>Notes!W126</f>
        <v xml:space="preserve">               </v>
      </c>
      <c r="BO125" s="4"/>
      <c r="BP125" s="44"/>
      <c r="BQ125" s="42"/>
      <c r="BR125" s="42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H125" s="33"/>
      <c r="CI125" s="38" t="str">
        <f>Notes!W126</f>
        <v xml:space="preserve">               </v>
      </c>
      <c r="CJ125" s="4"/>
      <c r="CK125" s="44"/>
      <c r="CL125" s="42"/>
      <c r="CM125" s="42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</row>
    <row r="126" spans="1:105" x14ac:dyDescent="0.3">
      <c r="A126" s="12">
        <v>119</v>
      </c>
      <c r="B126" s="33"/>
      <c r="C126" s="38" t="str">
        <f>Notes!W127</f>
        <v xml:space="preserve">               </v>
      </c>
      <c r="D126" s="4"/>
      <c r="E126" s="44"/>
      <c r="F126" s="42"/>
      <c r="G126" s="42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W126" s="33"/>
      <c r="X126" s="38" t="str">
        <f>Notes!W127</f>
        <v xml:space="preserve">               </v>
      </c>
      <c r="Y126" s="4"/>
      <c r="Z126" s="44"/>
      <c r="AA126" s="42"/>
      <c r="AB126" s="42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R126" s="33"/>
      <c r="AS126" s="38" t="str">
        <f>Notes!U127</f>
        <v xml:space="preserve">               </v>
      </c>
      <c r="AT126" s="4"/>
      <c r="AU126" s="44"/>
      <c r="AV126" s="42"/>
      <c r="AW126" s="42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M126" s="33"/>
      <c r="BN126" s="38" t="str">
        <f>Notes!W127</f>
        <v xml:space="preserve">               </v>
      </c>
      <c r="BO126" s="4"/>
      <c r="BP126" s="44"/>
      <c r="BQ126" s="42"/>
      <c r="BR126" s="42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H126" s="33"/>
      <c r="CI126" s="38" t="str">
        <f>Notes!W127</f>
        <v xml:space="preserve">               </v>
      </c>
      <c r="CJ126" s="4"/>
      <c r="CK126" s="44"/>
      <c r="CL126" s="42"/>
      <c r="CM126" s="42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</row>
    <row r="127" spans="1:105" x14ac:dyDescent="0.3">
      <c r="A127" s="12">
        <v>120</v>
      </c>
      <c r="B127" s="33"/>
      <c r="C127" s="38" t="str">
        <f>Notes!W128</f>
        <v xml:space="preserve">               </v>
      </c>
      <c r="D127" s="4"/>
      <c r="E127" s="44"/>
      <c r="F127" s="42"/>
      <c r="G127" s="4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W127" s="33"/>
      <c r="X127" s="38" t="str">
        <f>Notes!W128</f>
        <v xml:space="preserve">               </v>
      </c>
      <c r="Y127" s="4"/>
      <c r="Z127" s="44"/>
      <c r="AA127" s="42"/>
      <c r="AB127" s="42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R127" s="33"/>
      <c r="AS127" s="38" t="str">
        <f>Notes!U128</f>
        <v xml:space="preserve">               </v>
      </c>
      <c r="AT127" s="4"/>
      <c r="AU127" s="44"/>
      <c r="AV127" s="42"/>
      <c r="AW127" s="42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M127" s="33"/>
      <c r="BN127" s="38" t="str">
        <f>Notes!W128</f>
        <v xml:space="preserve">               </v>
      </c>
      <c r="BO127" s="4"/>
      <c r="BP127" s="44"/>
      <c r="BQ127" s="42"/>
      <c r="BR127" s="42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H127" s="33"/>
      <c r="CI127" s="38" t="str">
        <f>Notes!W128</f>
        <v xml:space="preserve">               </v>
      </c>
      <c r="CJ127" s="4"/>
      <c r="CK127" s="44"/>
      <c r="CL127" s="42"/>
      <c r="CM127" s="42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</row>
    <row r="128" spans="1:105" x14ac:dyDescent="0.3">
      <c r="A128" s="12">
        <v>121</v>
      </c>
      <c r="B128" s="33"/>
      <c r="C128" s="38" t="str">
        <f>Notes!W129</f>
        <v xml:space="preserve">               </v>
      </c>
      <c r="D128" s="4"/>
      <c r="E128" s="44"/>
      <c r="F128" s="42"/>
      <c r="G128" s="4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W128" s="33"/>
      <c r="X128" s="38" t="str">
        <f>Notes!W129</f>
        <v xml:space="preserve">               </v>
      </c>
      <c r="Y128" s="4"/>
      <c r="Z128" s="44"/>
      <c r="AA128" s="42"/>
      <c r="AB128" s="42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R128" s="33"/>
      <c r="AS128" s="38" t="str">
        <f>Notes!U129</f>
        <v xml:space="preserve">               </v>
      </c>
      <c r="AT128" s="4"/>
      <c r="AU128" s="44"/>
      <c r="AV128" s="42"/>
      <c r="AW128" s="42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M128" s="33"/>
      <c r="BN128" s="38" t="str">
        <f>Notes!W129</f>
        <v xml:space="preserve">               </v>
      </c>
      <c r="BO128" s="4"/>
      <c r="BP128" s="44"/>
      <c r="BQ128" s="42"/>
      <c r="BR128" s="42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H128" s="33"/>
      <c r="CI128" s="38" t="str">
        <f>Notes!W129</f>
        <v xml:space="preserve">               </v>
      </c>
      <c r="CJ128" s="4"/>
      <c r="CK128" s="44"/>
      <c r="CL128" s="42"/>
      <c r="CM128" s="42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</row>
    <row r="129" spans="1:105" x14ac:dyDescent="0.3">
      <c r="A129" s="12">
        <v>122</v>
      </c>
      <c r="B129" s="33"/>
      <c r="C129" s="38" t="str">
        <f>Notes!W130</f>
        <v xml:space="preserve">               </v>
      </c>
      <c r="D129" s="4"/>
      <c r="E129" s="44"/>
      <c r="F129" s="42"/>
      <c r="G129" s="4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W129" s="33"/>
      <c r="X129" s="38" t="str">
        <f>Notes!W130</f>
        <v xml:space="preserve">               </v>
      </c>
      <c r="Y129" s="4"/>
      <c r="Z129" s="44"/>
      <c r="AA129" s="42"/>
      <c r="AB129" s="42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R129" s="33"/>
      <c r="AS129" s="38" t="str">
        <f>Notes!U130</f>
        <v xml:space="preserve">               </v>
      </c>
      <c r="AT129" s="4"/>
      <c r="AU129" s="44"/>
      <c r="AV129" s="42"/>
      <c r="AW129" s="42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M129" s="33"/>
      <c r="BN129" s="38" t="str">
        <f>Notes!W130</f>
        <v xml:space="preserve">               </v>
      </c>
      <c r="BO129" s="4"/>
      <c r="BP129" s="44"/>
      <c r="BQ129" s="42"/>
      <c r="BR129" s="42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H129" s="33"/>
      <c r="CI129" s="38" t="str">
        <f>Notes!W130</f>
        <v xml:space="preserve">               </v>
      </c>
      <c r="CJ129" s="4"/>
      <c r="CK129" s="44"/>
      <c r="CL129" s="42"/>
      <c r="CM129" s="42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</row>
    <row r="130" spans="1:105" x14ac:dyDescent="0.3">
      <c r="A130" s="12">
        <v>123</v>
      </c>
      <c r="B130" s="33"/>
      <c r="C130" s="38" t="str">
        <f>Notes!W131</f>
        <v xml:space="preserve">               </v>
      </c>
      <c r="D130" s="4"/>
      <c r="E130" s="44"/>
      <c r="F130" s="42"/>
      <c r="G130" s="42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W130" s="33"/>
      <c r="X130" s="38" t="str">
        <f>Notes!W131</f>
        <v xml:space="preserve">               </v>
      </c>
      <c r="Y130" s="4"/>
      <c r="Z130" s="44"/>
      <c r="AA130" s="42"/>
      <c r="AB130" s="42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R130" s="33"/>
      <c r="AS130" s="38" t="str">
        <f>Notes!U131</f>
        <v xml:space="preserve">               </v>
      </c>
      <c r="AT130" s="4"/>
      <c r="AU130" s="44"/>
      <c r="AV130" s="42"/>
      <c r="AW130" s="42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M130" s="33"/>
      <c r="BN130" s="38" t="str">
        <f>Notes!W131</f>
        <v xml:space="preserve">               </v>
      </c>
      <c r="BO130" s="4"/>
      <c r="BP130" s="44"/>
      <c r="BQ130" s="42"/>
      <c r="BR130" s="42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H130" s="33"/>
      <c r="CI130" s="38" t="str">
        <f>Notes!W131</f>
        <v xml:space="preserve">               </v>
      </c>
      <c r="CJ130" s="4"/>
      <c r="CK130" s="44"/>
      <c r="CL130" s="42"/>
      <c r="CM130" s="42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</row>
    <row r="131" spans="1:105" x14ac:dyDescent="0.3">
      <c r="A131" s="12">
        <v>124</v>
      </c>
      <c r="B131" s="33"/>
      <c r="C131" s="38" t="str">
        <f>Notes!W132</f>
        <v xml:space="preserve">               </v>
      </c>
      <c r="D131" s="4"/>
      <c r="E131" s="44"/>
      <c r="F131" s="42"/>
      <c r="G131" s="42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W131" s="33"/>
      <c r="X131" s="38" t="str">
        <f>Notes!W132</f>
        <v xml:space="preserve">               </v>
      </c>
      <c r="Y131" s="4"/>
      <c r="Z131" s="44"/>
      <c r="AA131" s="42"/>
      <c r="AB131" s="42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R131" s="33"/>
      <c r="AS131" s="38" t="str">
        <f>Notes!U132</f>
        <v xml:space="preserve">               </v>
      </c>
      <c r="AT131" s="4"/>
      <c r="AU131" s="44"/>
      <c r="AV131" s="42"/>
      <c r="AW131" s="42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M131" s="33"/>
      <c r="BN131" s="38" t="str">
        <f>Notes!W132</f>
        <v xml:space="preserve">               </v>
      </c>
      <c r="BO131" s="4"/>
      <c r="BP131" s="44"/>
      <c r="BQ131" s="42"/>
      <c r="BR131" s="42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H131" s="33"/>
      <c r="CI131" s="38" t="str">
        <f>Notes!W132</f>
        <v xml:space="preserve">               </v>
      </c>
      <c r="CJ131" s="4"/>
      <c r="CK131" s="44"/>
      <c r="CL131" s="42"/>
      <c r="CM131" s="42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</row>
    <row r="132" spans="1:105" x14ac:dyDescent="0.3">
      <c r="A132" s="12">
        <v>125</v>
      </c>
      <c r="B132" s="33"/>
      <c r="C132" s="38" t="str">
        <f>Notes!W133</f>
        <v xml:space="preserve">               </v>
      </c>
      <c r="D132" s="4"/>
      <c r="E132" s="44"/>
      <c r="F132" s="42"/>
      <c r="G132" s="42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W132" s="33"/>
      <c r="X132" s="38" t="str">
        <f>Notes!W133</f>
        <v xml:space="preserve">               </v>
      </c>
      <c r="Y132" s="4"/>
      <c r="Z132" s="44"/>
      <c r="AA132" s="42"/>
      <c r="AB132" s="42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R132" s="33"/>
      <c r="AS132" s="38" t="str">
        <f>Notes!U133</f>
        <v xml:space="preserve">               </v>
      </c>
      <c r="AT132" s="4"/>
      <c r="AU132" s="44"/>
      <c r="AV132" s="42"/>
      <c r="AW132" s="42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M132" s="33"/>
      <c r="BN132" s="38" t="str">
        <f>Notes!W133</f>
        <v xml:space="preserve">               </v>
      </c>
      <c r="BO132" s="4"/>
      <c r="BP132" s="44"/>
      <c r="BQ132" s="42"/>
      <c r="BR132" s="42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H132" s="33"/>
      <c r="CI132" s="38" t="str">
        <f>Notes!W133</f>
        <v xml:space="preserve">               </v>
      </c>
      <c r="CJ132" s="4"/>
      <c r="CK132" s="44"/>
      <c r="CL132" s="42"/>
      <c r="CM132" s="42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</row>
    <row r="133" spans="1:105" x14ac:dyDescent="0.3">
      <c r="A133" s="12">
        <v>126</v>
      </c>
      <c r="B133" s="33"/>
      <c r="C133" s="38" t="str">
        <f>Notes!W134</f>
        <v xml:space="preserve">               </v>
      </c>
      <c r="D133" s="4"/>
      <c r="E133" s="44"/>
      <c r="F133" s="42"/>
      <c r="G133" s="42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W133" s="33"/>
      <c r="X133" s="38" t="str">
        <f>Notes!W134</f>
        <v xml:space="preserve">               </v>
      </c>
      <c r="Y133" s="4"/>
      <c r="Z133" s="44"/>
      <c r="AA133" s="42"/>
      <c r="AB133" s="42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R133" s="33"/>
      <c r="AS133" s="38" t="str">
        <f>Notes!U134</f>
        <v xml:space="preserve">               </v>
      </c>
      <c r="AT133" s="4"/>
      <c r="AU133" s="44"/>
      <c r="AV133" s="42"/>
      <c r="AW133" s="42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M133" s="33"/>
      <c r="BN133" s="38" t="str">
        <f>Notes!W134</f>
        <v xml:space="preserve">               </v>
      </c>
      <c r="BO133" s="4"/>
      <c r="BP133" s="44"/>
      <c r="BQ133" s="42"/>
      <c r="BR133" s="42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H133" s="33"/>
      <c r="CI133" s="38" t="str">
        <f>Notes!W134</f>
        <v xml:space="preserve">               </v>
      </c>
      <c r="CJ133" s="4"/>
      <c r="CK133" s="44"/>
      <c r="CL133" s="42"/>
      <c r="CM133" s="42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</row>
    <row r="134" spans="1:105" x14ac:dyDescent="0.3">
      <c r="A134" s="12">
        <v>127</v>
      </c>
      <c r="B134" s="33"/>
      <c r="C134" s="38" t="str">
        <f>Notes!W135</f>
        <v xml:space="preserve">               </v>
      </c>
      <c r="D134" s="4"/>
      <c r="E134" s="44"/>
      <c r="F134" s="42"/>
      <c r="G134" s="4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W134" s="33"/>
      <c r="X134" s="38" t="str">
        <f>Notes!W135</f>
        <v xml:space="preserve">               </v>
      </c>
      <c r="Y134" s="4"/>
      <c r="Z134" s="44"/>
      <c r="AA134" s="42"/>
      <c r="AB134" s="42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R134" s="33"/>
      <c r="AS134" s="38" t="str">
        <f>Notes!U135</f>
        <v xml:space="preserve">               </v>
      </c>
      <c r="AT134" s="4"/>
      <c r="AU134" s="44"/>
      <c r="AV134" s="42"/>
      <c r="AW134" s="42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M134" s="33"/>
      <c r="BN134" s="38" t="str">
        <f>Notes!W135</f>
        <v xml:space="preserve">               </v>
      </c>
      <c r="BO134" s="4"/>
      <c r="BP134" s="44"/>
      <c r="BQ134" s="42"/>
      <c r="BR134" s="42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H134" s="33"/>
      <c r="CI134" s="38" t="str">
        <f>Notes!W135</f>
        <v xml:space="preserve">               </v>
      </c>
      <c r="CJ134" s="4"/>
      <c r="CK134" s="44"/>
      <c r="CL134" s="42"/>
      <c r="CM134" s="42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</row>
    <row r="135" spans="1:105" x14ac:dyDescent="0.3">
      <c r="A135" s="12">
        <v>128</v>
      </c>
      <c r="B135" s="33"/>
      <c r="C135" s="38" t="str">
        <f>Notes!W136</f>
        <v xml:space="preserve">               </v>
      </c>
      <c r="D135" s="4"/>
      <c r="E135" s="44"/>
      <c r="F135" s="42"/>
      <c r="G135" s="4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W135" s="33"/>
      <c r="X135" s="38" t="str">
        <f>Notes!W136</f>
        <v xml:space="preserve">               </v>
      </c>
      <c r="Y135" s="4"/>
      <c r="Z135" s="44"/>
      <c r="AA135" s="42"/>
      <c r="AB135" s="42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R135" s="33"/>
      <c r="AS135" s="38" t="str">
        <f>Notes!U136</f>
        <v xml:space="preserve">               </v>
      </c>
      <c r="AT135" s="4"/>
      <c r="AU135" s="44"/>
      <c r="AV135" s="42"/>
      <c r="AW135" s="42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M135" s="33"/>
      <c r="BN135" s="38" t="str">
        <f>Notes!W136</f>
        <v xml:space="preserve">               </v>
      </c>
      <c r="BO135" s="4"/>
      <c r="BP135" s="44"/>
      <c r="BQ135" s="42"/>
      <c r="BR135" s="42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H135" s="33"/>
      <c r="CI135" s="38" t="str">
        <f>Notes!W136</f>
        <v xml:space="preserve">               </v>
      </c>
      <c r="CJ135" s="4"/>
      <c r="CK135" s="44"/>
      <c r="CL135" s="42"/>
      <c r="CM135" s="42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</row>
    <row r="136" spans="1:105" x14ac:dyDescent="0.3">
      <c r="A136" s="12">
        <v>129</v>
      </c>
      <c r="B136" s="33"/>
      <c r="C136" s="38" t="str">
        <f>Notes!W137</f>
        <v xml:space="preserve">               </v>
      </c>
      <c r="D136" s="4"/>
      <c r="E136" s="44"/>
      <c r="F136" s="42"/>
      <c r="G136" s="4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W136" s="33"/>
      <c r="X136" s="38" t="str">
        <f>Notes!W137</f>
        <v xml:space="preserve">               </v>
      </c>
      <c r="Y136" s="4"/>
      <c r="Z136" s="44"/>
      <c r="AA136" s="42"/>
      <c r="AB136" s="42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R136" s="33"/>
      <c r="AS136" s="38" t="str">
        <f>Notes!U137</f>
        <v xml:space="preserve">               </v>
      </c>
      <c r="AT136" s="4"/>
      <c r="AU136" s="44"/>
      <c r="AV136" s="42"/>
      <c r="AW136" s="42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M136" s="33"/>
      <c r="BN136" s="38" t="str">
        <f>Notes!W137</f>
        <v xml:space="preserve">               </v>
      </c>
      <c r="BO136" s="4"/>
      <c r="BP136" s="44"/>
      <c r="BQ136" s="42"/>
      <c r="BR136" s="42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H136" s="33"/>
      <c r="CI136" s="38" t="str">
        <f>Notes!W137</f>
        <v xml:space="preserve">               </v>
      </c>
      <c r="CJ136" s="4"/>
      <c r="CK136" s="44"/>
      <c r="CL136" s="42"/>
      <c r="CM136" s="42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</row>
    <row r="137" spans="1:105" x14ac:dyDescent="0.3">
      <c r="A137" s="12">
        <v>130</v>
      </c>
      <c r="B137" s="33"/>
      <c r="C137" s="38" t="str">
        <f>Notes!W138</f>
        <v xml:space="preserve">               </v>
      </c>
      <c r="D137" s="4"/>
      <c r="E137" s="44"/>
      <c r="F137" s="42"/>
      <c r="G137" s="4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W137" s="33"/>
      <c r="X137" s="38" t="str">
        <f>Notes!W138</f>
        <v xml:space="preserve">               </v>
      </c>
      <c r="Y137" s="4"/>
      <c r="Z137" s="44"/>
      <c r="AA137" s="42"/>
      <c r="AB137" s="42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R137" s="33"/>
      <c r="AS137" s="38" t="str">
        <f>Notes!U138</f>
        <v xml:space="preserve">               </v>
      </c>
      <c r="AT137" s="4"/>
      <c r="AU137" s="44"/>
      <c r="AV137" s="42"/>
      <c r="AW137" s="42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M137" s="33"/>
      <c r="BN137" s="38" t="str">
        <f>Notes!W138</f>
        <v xml:space="preserve">               </v>
      </c>
      <c r="BO137" s="4"/>
      <c r="BP137" s="44"/>
      <c r="BQ137" s="42"/>
      <c r="BR137" s="42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H137" s="33"/>
      <c r="CI137" s="38" t="str">
        <f>Notes!W138</f>
        <v xml:space="preserve">               </v>
      </c>
      <c r="CJ137" s="4"/>
      <c r="CK137" s="44"/>
      <c r="CL137" s="42"/>
      <c r="CM137" s="42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</row>
    <row r="138" spans="1:105" x14ac:dyDescent="0.3">
      <c r="A138" s="12">
        <v>131</v>
      </c>
      <c r="B138" s="33"/>
      <c r="C138" s="38" t="str">
        <f>Notes!W139</f>
        <v xml:space="preserve">               </v>
      </c>
      <c r="D138" s="4"/>
      <c r="E138" s="44"/>
      <c r="F138" s="42"/>
      <c r="G138" s="4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W138" s="33"/>
      <c r="X138" s="38" t="str">
        <f>Notes!W139</f>
        <v xml:space="preserve">               </v>
      </c>
      <c r="Y138" s="4"/>
      <c r="Z138" s="44"/>
      <c r="AA138" s="42"/>
      <c r="AB138" s="42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R138" s="33"/>
      <c r="AS138" s="38" t="str">
        <f>Notes!U139</f>
        <v xml:space="preserve">               </v>
      </c>
      <c r="AT138" s="4"/>
      <c r="AU138" s="44"/>
      <c r="AV138" s="42"/>
      <c r="AW138" s="42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M138" s="33"/>
      <c r="BN138" s="38" t="str">
        <f>Notes!W139</f>
        <v xml:space="preserve">               </v>
      </c>
      <c r="BO138" s="4"/>
      <c r="BP138" s="44"/>
      <c r="BQ138" s="42"/>
      <c r="BR138" s="42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H138" s="33"/>
      <c r="CI138" s="38" t="str">
        <f>Notes!W139</f>
        <v xml:space="preserve">               </v>
      </c>
      <c r="CJ138" s="4"/>
      <c r="CK138" s="44"/>
      <c r="CL138" s="42"/>
      <c r="CM138" s="42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</row>
    <row r="139" spans="1:105" x14ac:dyDescent="0.3">
      <c r="A139" s="12">
        <v>132</v>
      </c>
      <c r="B139" s="33"/>
      <c r="C139" s="38" t="str">
        <f>Notes!W140</f>
        <v xml:space="preserve">               </v>
      </c>
      <c r="D139" s="4"/>
      <c r="E139" s="44"/>
      <c r="F139" s="42"/>
      <c r="G139" s="4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W139" s="33"/>
      <c r="X139" s="38" t="str">
        <f>Notes!W140</f>
        <v xml:space="preserve">               </v>
      </c>
      <c r="Y139" s="4"/>
      <c r="Z139" s="44"/>
      <c r="AA139" s="42"/>
      <c r="AB139" s="42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R139" s="33"/>
      <c r="AS139" s="38" t="str">
        <f>Notes!U140</f>
        <v xml:space="preserve">               </v>
      </c>
      <c r="AT139" s="4"/>
      <c r="AU139" s="44"/>
      <c r="AV139" s="42"/>
      <c r="AW139" s="42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M139" s="33"/>
      <c r="BN139" s="38" t="str">
        <f>Notes!W140</f>
        <v xml:space="preserve">               </v>
      </c>
      <c r="BO139" s="4"/>
      <c r="BP139" s="44"/>
      <c r="BQ139" s="42"/>
      <c r="BR139" s="42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H139" s="33"/>
      <c r="CI139" s="38" t="str">
        <f>Notes!W140</f>
        <v xml:space="preserve">               </v>
      </c>
      <c r="CJ139" s="4"/>
      <c r="CK139" s="44"/>
      <c r="CL139" s="42"/>
      <c r="CM139" s="42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</row>
    <row r="140" spans="1:105" x14ac:dyDescent="0.3">
      <c r="A140" s="12">
        <v>133</v>
      </c>
      <c r="B140" s="33"/>
      <c r="C140" s="38" t="str">
        <f>Notes!W141</f>
        <v xml:space="preserve">               </v>
      </c>
      <c r="D140" s="4"/>
      <c r="E140" s="44"/>
      <c r="F140" s="42"/>
      <c r="G140" s="42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W140" s="33"/>
      <c r="X140" s="38" t="str">
        <f>Notes!W141</f>
        <v xml:space="preserve">               </v>
      </c>
      <c r="Y140" s="4"/>
      <c r="Z140" s="44"/>
      <c r="AA140" s="42"/>
      <c r="AB140" s="42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R140" s="33"/>
      <c r="AS140" s="38" t="str">
        <f>Notes!U141</f>
        <v xml:space="preserve">               </v>
      </c>
      <c r="AT140" s="4"/>
      <c r="AU140" s="44"/>
      <c r="AV140" s="42"/>
      <c r="AW140" s="42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M140" s="33"/>
      <c r="BN140" s="38" t="str">
        <f>Notes!W141</f>
        <v xml:space="preserve">               </v>
      </c>
      <c r="BO140" s="4"/>
      <c r="BP140" s="44"/>
      <c r="BQ140" s="42"/>
      <c r="BR140" s="42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H140" s="33"/>
      <c r="CI140" s="38" t="str">
        <f>Notes!W141</f>
        <v xml:space="preserve">               </v>
      </c>
      <c r="CJ140" s="4"/>
      <c r="CK140" s="44"/>
      <c r="CL140" s="42"/>
      <c r="CM140" s="42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</row>
    <row r="141" spans="1:105" x14ac:dyDescent="0.3">
      <c r="A141" s="12">
        <v>134</v>
      </c>
      <c r="B141" s="33"/>
      <c r="C141" s="38" t="str">
        <f>Notes!W142</f>
        <v xml:space="preserve">               </v>
      </c>
      <c r="D141" s="4"/>
      <c r="E141" s="44"/>
      <c r="F141" s="42"/>
      <c r="G141" s="42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W141" s="33"/>
      <c r="X141" s="38" t="str">
        <f>Notes!W142</f>
        <v xml:space="preserve">               </v>
      </c>
      <c r="Y141" s="4"/>
      <c r="Z141" s="44"/>
      <c r="AA141" s="42"/>
      <c r="AB141" s="42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R141" s="33"/>
      <c r="AS141" s="38" t="str">
        <f>Notes!U142</f>
        <v xml:space="preserve">               </v>
      </c>
      <c r="AT141" s="4"/>
      <c r="AU141" s="44"/>
      <c r="AV141" s="42"/>
      <c r="AW141" s="42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M141" s="33"/>
      <c r="BN141" s="38" t="str">
        <f>Notes!W142</f>
        <v xml:space="preserve">               </v>
      </c>
      <c r="BO141" s="4"/>
      <c r="BP141" s="44"/>
      <c r="BQ141" s="42"/>
      <c r="BR141" s="42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H141" s="33"/>
      <c r="CI141" s="38" t="str">
        <f>Notes!W142</f>
        <v xml:space="preserve">               </v>
      </c>
      <c r="CJ141" s="4"/>
      <c r="CK141" s="44"/>
      <c r="CL141" s="42"/>
      <c r="CM141" s="42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</row>
    <row r="142" spans="1:105" x14ac:dyDescent="0.3">
      <c r="A142" s="12">
        <v>135</v>
      </c>
      <c r="B142" s="33"/>
      <c r="C142" s="38" t="str">
        <f>Notes!W143</f>
        <v xml:space="preserve">               </v>
      </c>
      <c r="D142" s="4"/>
      <c r="E142" s="44"/>
      <c r="F142" s="42"/>
      <c r="G142" s="42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W142" s="33"/>
      <c r="X142" s="38" t="str">
        <f>Notes!W143</f>
        <v xml:space="preserve">               </v>
      </c>
      <c r="Y142" s="4"/>
      <c r="Z142" s="44"/>
      <c r="AA142" s="42"/>
      <c r="AB142" s="42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R142" s="33"/>
      <c r="AS142" s="38" t="str">
        <f>Notes!U143</f>
        <v xml:space="preserve">               </v>
      </c>
      <c r="AT142" s="4"/>
      <c r="AU142" s="44"/>
      <c r="AV142" s="42"/>
      <c r="AW142" s="42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M142" s="33"/>
      <c r="BN142" s="38" t="str">
        <f>Notes!W143</f>
        <v xml:space="preserve">               </v>
      </c>
      <c r="BO142" s="4"/>
      <c r="BP142" s="44"/>
      <c r="BQ142" s="42"/>
      <c r="BR142" s="42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H142" s="33"/>
      <c r="CI142" s="38" t="str">
        <f>Notes!W143</f>
        <v xml:space="preserve">               </v>
      </c>
      <c r="CJ142" s="4"/>
      <c r="CK142" s="44"/>
      <c r="CL142" s="42"/>
      <c r="CM142" s="42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</row>
    <row r="143" spans="1:105" x14ac:dyDescent="0.3">
      <c r="A143" s="12">
        <v>136</v>
      </c>
      <c r="B143" s="33"/>
      <c r="C143" s="38" t="str">
        <f>Notes!W144</f>
        <v xml:space="preserve">               </v>
      </c>
      <c r="D143" s="4"/>
      <c r="E143" s="44"/>
      <c r="F143" s="42"/>
      <c r="G143" s="42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W143" s="33"/>
      <c r="X143" s="38" t="str">
        <f>Notes!W144</f>
        <v xml:space="preserve">               </v>
      </c>
      <c r="Y143" s="4"/>
      <c r="Z143" s="44"/>
      <c r="AA143" s="42"/>
      <c r="AB143" s="42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R143" s="33"/>
      <c r="AS143" s="38" t="str">
        <f>Notes!U144</f>
        <v xml:space="preserve">               </v>
      </c>
      <c r="AT143" s="4"/>
      <c r="AU143" s="44"/>
      <c r="AV143" s="42"/>
      <c r="AW143" s="42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M143" s="33"/>
      <c r="BN143" s="38" t="str">
        <f>Notes!W144</f>
        <v xml:space="preserve">               </v>
      </c>
      <c r="BO143" s="4"/>
      <c r="BP143" s="44"/>
      <c r="BQ143" s="42"/>
      <c r="BR143" s="42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H143" s="33"/>
      <c r="CI143" s="38" t="str">
        <f>Notes!W144</f>
        <v xml:space="preserve">               </v>
      </c>
      <c r="CJ143" s="4"/>
      <c r="CK143" s="44"/>
      <c r="CL143" s="42"/>
      <c r="CM143" s="42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</row>
    <row r="144" spans="1:105" x14ac:dyDescent="0.3">
      <c r="A144" s="12">
        <v>137</v>
      </c>
      <c r="B144" s="33"/>
      <c r="C144" s="38" t="str">
        <f>Notes!W145</f>
        <v xml:space="preserve">               </v>
      </c>
      <c r="D144" s="4"/>
      <c r="E144" s="44"/>
      <c r="F144" s="42"/>
      <c r="G144" s="42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W144" s="33"/>
      <c r="X144" s="38" t="str">
        <f>Notes!W145</f>
        <v xml:space="preserve">               </v>
      </c>
      <c r="Y144" s="4"/>
      <c r="Z144" s="44"/>
      <c r="AA144" s="42"/>
      <c r="AB144" s="42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R144" s="33"/>
      <c r="AS144" s="38" t="str">
        <f>Notes!U145</f>
        <v xml:space="preserve">               </v>
      </c>
      <c r="AT144" s="4"/>
      <c r="AU144" s="44"/>
      <c r="AV144" s="42"/>
      <c r="AW144" s="42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M144" s="33"/>
      <c r="BN144" s="38" t="str">
        <f>Notes!W145</f>
        <v xml:space="preserve">               </v>
      </c>
      <c r="BO144" s="4"/>
      <c r="BP144" s="44"/>
      <c r="BQ144" s="42"/>
      <c r="BR144" s="42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H144" s="33"/>
      <c r="CI144" s="38" t="str">
        <f>Notes!W145</f>
        <v xml:space="preserve">               </v>
      </c>
      <c r="CJ144" s="4"/>
      <c r="CK144" s="44"/>
      <c r="CL144" s="42"/>
      <c r="CM144" s="42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</row>
    <row r="145" spans="1:105" x14ac:dyDescent="0.3">
      <c r="A145" s="12">
        <v>138</v>
      </c>
      <c r="B145" s="33"/>
      <c r="C145" s="38" t="str">
        <f>Notes!W146</f>
        <v xml:space="preserve">               </v>
      </c>
      <c r="D145" s="4"/>
      <c r="E145" s="44"/>
      <c r="F145" s="42"/>
      <c r="G145" s="4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W145" s="33"/>
      <c r="X145" s="38" t="str">
        <f>Notes!W146</f>
        <v xml:space="preserve">               </v>
      </c>
      <c r="Y145" s="4"/>
      <c r="Z145" s="44"/>
      <c r="AA145" s="42"/>
      <c r="AB145" s="42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R145" s="33"/>
      <c r="AS145" s="38" t="str">
        <f>Notes!U146</f>
        <v xml:space="preserve">               </v>
      </c>
      <c r="AT145" s="4"/>
      <c r="AU145" s="44"/>
      <c r="AV145" s="42"/>
      <c r="AW145" s="42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M145" s="33"/>
      <c r="BN145" s="38" t="str">
        <f>Notes!W146</f>
        <v xml:space="preserve">               </v>
      </c>
      <c r="BO145" s="4"/>
      <c r="BP145" s="44"/>
      <c r="BQ145" s="42"/>
      <c r="BR145" s="42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H145" s="33"/>
      <c r="CI145" s="38" t="str">
        <f>Notes!W146</f>
        <v xml:space="preserve">               </v>
      </c>
      <c r="CJ145" s="4"/>
      <c r="CK145" s="44"/>
      <c r="CL145" s="42"/>
      <c r="CM145" s="42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</row>
    <row r="146" spans="1:105" x14ac:dyDescent="0.3">
      <c r="A146" s="12">
        <v>139</v>
      </c>
      <c r="B146" s="33"/>
      <c r="C146" s="38" t="str">
        <f>Notes!W147</f>
        <v xml:space="preserve">               </v>
      </c>
      <c r="D146" s="4"/>
      <c r="E146" s="44"/>
      <c r="F146" s="42"/>
      <c r="G146" s="42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W146" s="33"/>
      <c r="X146" s="38" t="str">
        <f>Notes!W147</f>
        <v xml:space="preserve">               </v>
      </c>
      <c r="Y146" s="4"/>
      <c r="Z146" s="44"/>
      <c r="AA146" s="42"/>
      <c r="AB146" s="42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R146" s="33"/>
      <c r="AS146" s="38" t="str">
        <f>Notes!U147</f>
        <v xml:space="preserve">               </v>
      </c>
      <c r="AT146" s="4"/>
      <c r="AU146" s="44"/>
      <c r="AV146" s="42"/>
      <c r="AW146" s="42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M146" s="33"/>
      <c r="BN146" s="38" t="str">
        <f>Notes!W147</f>
        <v xml:space="preserve">               </v>
      </c>
      <c r="BO146" s="4"/>
      <c r="BP146" s="44"/>
      <c r="BQ146" s="42"/>
      <c r="BR146" s="42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H146" s="33"/>
      <c r="CI146" s="38" t="str">
        <f>Notes!W147</f>
        <v xml:space="preserve">               </v>
      </c>
      <c r="CJ146" s="4"/>
      <c r="CK146" s="44"/>
      <c r="CL146" s="42"/>
      <c r="CM146" s="42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</row>
    <row r="147" spans="1:105" x14ac:dyDescent="0.3">
      <c r="A147" s="12">
        <v>140</v>
      </c>
      <c r="B147" s="33"/>
      <c r="C147" s="38" t="str">
        <f>Notes!W148</f>
        <v xml:space="preserve">               </v>
      </c>
      <c r="D147" s="4"/>
      <c r="E147" s="44"/>
      <c r="F147" s="42"/>
      <c r="G147" s="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W147" s="33"/>
      <c r="X147" s="38" t="str">
        <f>Notes!W148</f>
        <v xml:space="preserve">               </v>
      </c>
      <c r="Y147" s="4"/>
      <c r="Z147" s="44"/>
      <c r="AA147" s="42"/>
      <c r="AB147" s="42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R147" s="33"/>
      <c r="AS147" s="38" t="str">
        <f>Notes!U148</f>
        <v xml:space="preserve">               </v>
      </c>
      <c r="AT147" s="4"/>
      <c r="AU147" s="44"/>
      <c r="AV147" s="42"/>
      <c r="AW147" s="42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M147" s="33"/>
      <c r="BN147" s="38" t="str">
        <f>Notes!W148</f>
        <v xml:space="preserve">               </v>
      </c>
      <c r="BO147" s="4"/>
      <c r="BP147" s="44"/>
      <c r="BQ147" s="42"/>
      <c r="BR147" s="42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H147" s="33"/>
      <c r="CI147" s="38" t="str">
        <f>Notes!W148</f>
        <v xml:space="preserve">               </v>
      </c>
      <c r="CJ147" s="4"/>
      <c r="CK147" s="44"/>
      <c r="CL147" s="42"/>
      <c r="CM147" s="42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</row>
    <row r="148" spans="1:105" x14ac:dyDescent="0.3">
      <c r="A148" s="12">
        <v>141</v>
      </c>
      <c r="B148" s="33"/>
      <c r="C148" s="38" t="str">
        <f>Notes!W149</f>
        <v xml:space="preserve">               </v>
      </c>
      <c r="D148" s="4"/>
      <c r="E148" s="44"/>
      <c r="F148" s="42"/>
      <c r="G148" s="42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W148" s="33"/>
      <c r="X148" s="38" t="str">
        <f>Notes!W149</f>
        <v xml:space="preserve">               </v>
      </c>
      <c r="Y148" s="4"/>
      <c r="Z148" s="44"/>
      <c r="AA148" s="42"/>
      <c r="AB148" s="42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R148" s="33"/>
      <c r="AS148" s="38" t="str">
        <f>Notes!U149</f>
        <v xml:space="preserve">               </v>
      </c>
      <c r="AT148" s="4"/>
      <c r="AU148" s="44"/>
      <c r="AV148" s="42"/>
      <c r="AW148" s="42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M148" s="33"/>
      <c r="BN148" s="38" t="str">
        <f>Notes!W149</f>
        <v xml:space="preserve">               </v>
      </c>
      <c r="BO148" s="4"/>
      <c r="BP148" s="44"/>
      <c r="BQ148" s="42"/>
      <c r="BR148" s="42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H148" s="33"/>
      <c r="CI148" s="38" t="str">
        <f>Notes!W149</f>
        <v xml:space="preserve">               </v>
      </c>
      <c r="CJ148" s="4"/>
      <c r="CK148" s="44"/>
      <c r="CL148" s="42"/>
      <c r="CM148" s="42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</row>
    <row r="149" spans="1:105" x14ac:dyDescent="0.3">
      <c r="A149" s="12">
        <v>142</v>
      </c>
      <c r="B149" s="33"/>
      <c r="C149" s="38" t="str">
        <f>Notes!W150</f>
        <v xml:space="preserve">               </v>
      </c>
      <c r="D149" s="4"/>
      <c r="E149" s="44"/>
      <c r="F149" s="42"/>
      <c r="G149" s="4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W149" s="33"/>
      <c r="X149" s="38" t="str">
        <f>Notes!W150</f>
        <v xml:space="preserve">               </v>
      </c>
      <c r="Y149" s="4"/>
      <c r="Z149" s="44"/>
      <c r="AA149" s="42"/>
      <c r="AB149" s="42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R149" s="33"/>
      <c r="AS149" s="38" t="str">
        <f>Notes!U150</f>
        <v xml:space="preserve">               </v>
      </c>
      <c r="AT149" s="4"/>
      <c r="AU149" s="44"/>
      <c r="AV149" s="42"/>
      <c r="AW149" s="42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M149" s="33"/>
      <c r="BN149" s="38" t="str">
        <f>Notes!W150</f>
        <v xml:space="preserve">               </v>
      </c>
      <c r="BO149" s="4"/>
      <c r="BP149" s="44"/>
      <c r="BQ149" s="42"/>
      <c r="BR149" s="42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H149" s="33"/>
      <c r="CI149" s="38" t="str">
        <f>Notes!W150</f>
        <v xml:space="preserve">               </v>
      </c>
      <c r="CJ149" s="4"/>
      <c r="CK149" s="44"/>
      <c r="CL149" s="42"/>
      <c r="CM149" s="42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</row>
    <row r="150" spans="1:105" x14ac:dyDescent="0.3">
      <c r="A150" s="12">
        <v>143</v>
      </c>
      <c r="B150" s="33"/>
      <c r="C150" s="38" t="str">
        <f>Notes!W151</f>
        <v xml:space="preserve">               </v>
      </c>
      <c r="D150" s="4"/>
      <c r="E150" s="44"/>
      <c r="F150" s="42"/>
      <c r="G150" s="42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W150" s="33"/>
      <c r="X150" s="38" t="str">
        <f>Notes!W151</f>
        <v xml:space="preserve">               </v>
      </c>
      <c r="Y150" s="4"/>
      <c r="Z150" s="44"/>
      <c r="AA150" s="42"/>
      <c r="AB150" s="42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R150" s="33"/>
      <c r="AS150" s="38" t="str">
        <f>Notes!U151</f>
        <v xml:space="preserve">               </v>
      </c>
      <c r="AT150" s="4"/>
      <c r="AU150" s="44"/>
      <c r="AV150" s="42"/>
      <c r="AW150" s="42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M150" s="33"/>
      <c r="BN150" s="38" t="str">
        <f>Notes!W151</f>
        <v xml:space="preserve">               </v>
      </c>
      <c r="BO150" s="4"/>
      <c r="BP150" s="44"/>
      <c r="BQ150" s="42"/>
      <c r="BR150" s="42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H150" s="33"/>
      <c r="CI150" s="38" t="str">
        <f>Notes!W151</f>
        <v xml:space="preserve">               </v>
      </c>
      <c r="CJ150" s="4"/>
      <c r="CK150" s="44"/>
      <c r="CL150" s="42"/>
      <c r="CM150" s="42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</row>
    <row r="151" spans="1:105" x14ac:dyDescent="0.3">
      <c r="A151" s="12">
        <v>144</v>
      </c>
      <c r="B151" s="33"/>
      <c r="C151" s="38" t="str">
        <f>Notes!W152</f>
        <v xml:space="preserve">               </v>
      </c>
      <c r="D151" s="4"/>
      <c r="E151" s="44"/>
      <c r="F151" s="42"/>
      <c r="G151" s="4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W151" s="33"/>
      <c r="X151" s="38" t="str">
        <f>Notes!W152</f>
        <v xml:space="preserve">               </v>
      </c>
      <c r="Y151" s="4"/>
      <c r="Z151" s="44"/>
      <c r="AA151" s="42"/>
      <c r="AB151" s="42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R151" s="33"/>
      <c r="AS151" s="38" t="str">
        <f>Notes!U152</f>
        <v xml:space="preserve">               </v>
      </c>
      <c r="AT151" s="4"/>
      <c r="AU151" s="44"/>
      <c r="AV151" s="42"/>
      <c r="AW151" s="42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M151" s="33"/>
      <c r="BN151" s="38" t="str">
        <f>Notes!W152</f>
        <v xml:space="preserve">               </v>
      </c>
      <c r="BO151" s="4"/>
      <c r="BP151" s="44"/>
      <c r="BQ151" s="42"/>
      <c r="BR151" s="42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H151" s="33"/>
      <c r="CI151" s="38" t="str">
        <f>Notes!W152</f>
        <v xml:space="preserve">               </v>
      </c>
      <c r="CJ151" s="4"/>
      <c r="CK151" s="44"/>
      <c r="CL151" s="42"/>
      <c r="CM151" s="42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</row>
    <row r="152" spans="1:105" x14ac:dyDescent="0.3">
      <c r="A152" s="12">
        <v>145</v>
      </c>
      <c r="B152" s="33"/>
      <c r="C152" s="38" t="str">
        <f>Notes!W153</f>
        <v xml:space="preserve">               </v>
      </c>
      <c r="D152" s="4"/>
      <c r="E152" s="44"/>
      <c r="F152" s="42"/>
      <c r="G152" s="42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W152" s="33"/>
      <c r="X152" s="38" t="str">
        <f>Notes!W153</f>
        <v xml:space="preserve">               </v>
      </c>
      <c r="Y152" s="4"/>
      <c r="Z152" s="44"/>
      <c r="AA152" s="42"/>
      <c r="AB152" s="42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R152" s="33"/>
      <c r="AS152" s="38" t="str">
        <f>Notes!U153</f>
        <v xml:space="preserve">               </v>
      </c>
      <c r="AT152" s="4"/>
      <c r="AU152" s="44"/>
      <c r="AV152" s="42"/>
      <c r="AW152" s="42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M152" s="33"/>
      <c r="BN152" s="38" t="str">
        <f>Notes!W153</f>
        <v xml:space="preserve">               </v>
      </c>
      <c r="BO152" s="4"/>
      <c r="BP152" s="44"/>
      <c r="BQ152" s="42"/>
      <c r="BR152" s="42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H152" s="33"/>
      <c r="CI152" s="38" t="str">
        <f>Notes!W153</f>
        <v xml:space="preserve">               </v>
      </c>
      <c r="CJ152" s="4"/>
      <c r="CK152" s="44"/>
      <c r="CL152" s="42"/>
      <c r="CM152" s="42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</row>
    <row r="153" spans="1:105" x14ac:dyDescent="0.3">
      <c r="A153" s="12">
        <v>146</v>
      </c>
      <c r="B153" s="33"/>
      <c r="C153" s="38" t="str">
        <f>Notes!W154</f>
        <v xml:space="preserve">               </v>
      </c>
      <c r="D153" s="4"/>
      <c r="E153" s="44"/>
      <c r="F153" s="42"/>
      <c r="G153" s="4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W153" s="33"/>
      <c r="X153" s="38" t="str">
        <f>Notes!W154</f>
        <v xml:space="preserve">               </v>
      </c>
      <c r="Y153" s="4"/>
      <c r="Z153" s="44"/>
      <c r="AA153" s="42"/>
      <c r="AB153" s="42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R153" s="33"/>
      <c r="AS153" s="38" t="str">
        <f>Notes!U154</f>
        <v xml:space="preserve">               </v>
      </c>
      <c r="AT153" s="4"/>
      <c r="AU153" s="44"/>
      <c r="AV153" s="42"/>
      <c r="AW153" s="42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M153" s="33"/>
      <c r="BN153" s="38" t="str">
        <f>Notes!W154</f>
        <v xml:space="preserve">               </v>
      </c>
      <c r="BO153" s="4"/>
      <c r="BP153" s="44"/>
      <c r="BQ153" s="42"/>
      <c r="BR153" s="42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H153" s="33"/>
      <c r="CI153" s="38" t="str">
        <f>Notes!W154</f>
        <v xml:space="preserve">               </v>
      </c>
      <c r="CJ153" s="4"/>
      <c r="CK153" s="44"/>
      <c r="CL153" s="42"/>
      <c r="CM153" s="42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</row>
    <row r="154" spans="1:105" x14ac:dyDescent="0.3">
      <c r="A154" s="12">
        <v>147</v>
      </c>
      <c r="B154" s="33"/>
      <c r="C154" s="38" t="str">
        <f>Notes!W155</f>
        <v xml:space="preserve">               </v>
      </c>
      <c r="D154" s="4"/>
      <c r="E154" s="44"/>
      <c r="F154" s="42"/>
      <c r="G154" s="42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W154" s="33"/>
      <c r="X154" s="38" t="str">
        <f>Notes!W155</f>
        <v xml:space="preserve">               </v>
      </c>
      <c r="Y154" s="4"/>
      <c r="Z154" s="44"/>
      <c r="AA154" s="42"/>
      <c r="AB154" s="4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R154" s="33"/>
      <c r="AS154" s="38" t="str">
        <f>Notes!U155</f>
        <v xml:space="preserve">               </v>
      </c>
      <c r="AT154" s="4"/>
      <c r="AU154" s="44"/>
      <c r="AV154" s="42"/>
      <c r="AW154" s="42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M154" s="33"/>
      <c r="BN154" s="38" t="str">
        <f>Notes!W155</f>
        <v xml:space="preserve">               </v>
      </c>
      <c r="BO154" s="4"/>
      <c r="BP154" s="44"/>
      <c r="BQ154" s="42"/>
      <c r="BR154" s="42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H154" s="33"/>
      <c r="CI154" s="38" t="str">
        <f>Notes!W155</f>
        <v xml:space="preserve">               </v>
      </c>
      <c r="CJ154" s="4"/>
      <c r="CK154" s="44"/>
      <c r="CL154" s="42"/>
      <c r="CM154" s="42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</row>
    <row r="155" spans="1:105" x14ac:dyDescent="0.3">
      <c r="A155" s="12">
        <v>148</v>
      </c>
      <c r="B155" s="33"/>
      <c r="C155" s="38" t="str">
        <f>Notes!W156</f>
        <v xml:space="preserve">               </v>
      </c>
      <c r="D155" s="4"/>
      <c r="E155" s="44"/>
      <c r="F155" s="42"/>
      <c r="G155" s="4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W155" s="33"/>
      <c r="X155" s="38" t="str">
        <f>Notes!W156</f>
        <v xml:space="preserve">               </v>
      </c>
      <c r="Y155" s="4"/>
      <c r="Z155" s="44"/>
      <c r="AA155" s="42"/>
      <c r="AB155" s="42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R155" s="33"/>
      <c r="AS155" s="38" t="str">
        <f>Notes!U156</f>
        <v xml:space="preserve">               </v>
      </c>
      <c r="AT155" s="4"/>
      <c r="AU155" s="44"/>
      <c r="AV155" s="42"/>
      <c r="AW155" s="42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M155" s="33"/>
      <c r="BN155" s="38" t="str">
        <f>Notes!W156</f>
        <v xml:space="preserve">               </v>
      </c>
      <c r="BO155" s="4"/>
      <c r="BP155" s="44"/>
      <c r="BQ155" s="42"/>
      <c r="BR155" s="42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H155" s="33"/>
      <c r="CI155" s="38" t="str">
        <f>Notes!W156</f>
        <v xml:space="preserve">               </v>
      </c>
      <c r="CJ155" s="4"/>
      <c r="CK155" s="44"/>
      <c r="CL155" s="42"/>
      <c r="CM155" s="42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</row>
    <row r="156" spans="1:105" x14ac:dyDescent="0.3">
      <c r="A156" s="12">
        <v>149</v>
      </c>
      <c r="B156" s="33"/>
      <c r="C156" s="38" t="str">
        <f>Notes!W157</f>
        <v xml:space="preserve">               </v>
      </c>
      <c r="D156" s="4"/>
      <c r="E156" s="44"/>
      <c r="F156" s="42"/>
      <c r="G156" s="42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W156" s="33"/>
      <c r="X156" s="38" t="str">
        <f>Notes!W157</f>
        <v xml:space="preserve">               </v>
      </c>
      <c r="Y156" s="4"/>
      <c r="Z156" s="44"/>
      <c r="AA156" s="42"/>
      <c r="AB156" s="42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R156" s="33"/>
      <c r="AS156" s="38" t="str">
        <f>Notes!U157</f>
        <v xml:space="preserve">               </v>
      </c>
      <c r="AT156" s="4"/>
      <c r="AU156" s="44"/>
      <c r="AV156" s="42"/>
      <c r="AW156" s="42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M156" s="33"/>
      <c r="BN156" s="38" t="str">
        <f>Notes!W157</f>
        <v xml:space="preserve">               </v>
      </c>
      <c r="BO156" s="4"/>
      <c r="BP156" s="44"/>
      <c r="BQ156" s="42"/>
      <c r="BR156" s="42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H156" s="33"/>
      <c r="CI156" s="38" t="str">
        <f>Notes!W157</f>
        <v xml:space="preserve">               </v>
      </c>
      <c r="CJ156" s="4"/>
      <c r="CK156" s="44"/>
      <c r="CL156" s="42"/>
      <c r="CM156" s="42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</row>
    <row r="157" spans="1:105" x14ac:dyDescent="0.3">
      <c r="A157" s="12">
        <v>150</v>
      </c>
      <c r="B157" s="33"/>
      <c r="C157" s="38" t="str">
        <f>Notes!W158</f>
        <v xml:space="preserve">               </v>
      </c>
      <c r="D157" s="4"/>
      <c r="E157" s="45"/>
      <c r="F157" s="42"/>
      <c r="G157" s="4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W157" s="33"/>
      <c r="X157" s="38" t="str">
        <f>Notes!W158</f>
        <v xml:space="preserve">               </v>
      </c>
      <c r="Y157" s="4"/>
      <c r="Z157" s="44"/>
      <c r="AA157" s="42"/>
      <c r="AB157" s="42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R157" s="33"/>
      <c r="AS157" s="38" t="str">
        <f>Notes!U158</f>
        <v xml:space="preserve">               </v>
      </c>
      <c r="AT157" s="4"/>
      <c r="AU157" s="44"/>
      <c r="AV157" s="42"/>
      <c r="AW157" s="42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M157" s="33"/>
      <c r="BN157" s="38" t="str">
        <f>Notes!W158</f>
        <v xml:space="preserve">               </v>
      </c>
      <c r="BO157" s="4"/>
      <c r="BP157" s="44"/>
      <c r="BQ157" s="42"/>
      <c r="BR157" s="42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H157" s="33"/>
      <c r="CI157" s="38" t="str">
        <f>Notes!W158</f>
        <v xml:space="preserve">               </v>
      </c>
      <c r="CJ157" s="4"/>
      <c r="CK157" s="44"/>
      <c r="CL157" s="42"/>
      <c r="CM157" s="42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</row>
    <row r="158" spans="1:105" x14ac:dyDescent="0.3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</row>
  </sheetData>
  <sheetProtection sheet="1" objects="1" scenarios="1"/>
  <conditionalFormatting sqref="E8:U157">
    <cfRule type="cellIs" dxfId="4" priority="15" operator="equal">
      <formula>"Eps"</formula>
    </cfRule>
  </conditionalFormatting>
  <conditionalFormatting sqref="Z8:AP157">
    <cfRule type="cellIs" dxfId="3" priority="5" operator="equal">
      <formula>"Eps"</formula>
    </cfRule>
  </conditionalFormatting>
  <conditionalFormatting sqref="AU8:BK157">
    <cfRule type="cellIs" dxfId="2" priority="3" operator="equal">
      <formula>"Eps"</formula>
    </cfRule>
  </conditionalFormatting>
  <conditionalFormatting sqref="BP8:CF157">
    <cfRule type="cellIs" dxfId="1" priority="2" operator="equal">
      <formula>"Eps"</formula>
    </cfRule>
  </conditionalFormatting>
  <conditionalFormatting sqref="CK8:DA157">
    <cfRule type="cellIs" dxfId="0" priority="1" operator="equal">
      <formula>"Eps"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3056-1B8D-4E0F-AF47-A8AD3FA6EFF5}">
  <sheetPr>
    <tabColor theme="9" tint="-0.499984740745262"/>
  </sheetPr>
  <dimension ref="A1:I158"/>
  <sheetViews>
    <sheetView zoomScale="85" zoomScaleNormal="85" workbookViewId="0">
      <pane ySplit="6" topLeftCell="A7" activePane="bottomLeft" state="frozen"/>
      <selection activeCell="E6" sqref="E6"/>
      <selection pane="bottomLeft" activeCell="C7" sqref="C7"/>
    </sheetView>
  </sheetViews>
  <sheetFormatPr defaultColWidth="0" defaultRowHeight="14.4" zeroHeight="1" x14ac:dyDescent="0.3"/>
  <cols>
    <col min="1" max="2" width="2.44140625" customWidth="1"/>
    <col min="3" max="8" width="15.5546875" customWidth="1"/>
    <col min="9" max="9" width="2.44140625" customWidth="1"/>
    <col min="10" max="16384" width="9.109375" hidden="1"/>
  </cols>
  <sheetData>
    <row r="1" spans="1:9" ht="18" x14ac:dyDescent="0.35">
      <c r="A1" s="9" t="s">
        <v>254</v>
      </c>
      <c r="B1" s="10"/>
      <c r="C1" s="10"/>
      <c r="D1" s="10"/>
      <c r="E1" s="10"/>
      <c r="F1" s="10"/>
      <c r="G1" s="10"/>
      <c r="H1" s="10"/>
      <c r="I1" s="10"/>
    </row>
    <row r="2" spans="1:9" x14ac:dyDescent="0.3"/>
    <row r="3" spans="1:9" x14ac:dyDescent="0.3"/>
    <row r="4" spans="1:9" x14ac:dyDescent="0.3">
      <c r="B4" s="13"/>
      <c r="C4" s="82" t="s">
        <v>251</v>
      </c>
      <c r="D4" s="82"/>
      <c r="E4" s="88" t="s">
        <v>252</v>
      </c>
      <c r="F4" s="82"/>
      <c r="G4" s="88" t="s">
        <v>253</v>
      </c>
      <c r="H4" s="13"/>
    </row>
    <row r="5" spans="1:9" x14ac:dyDescent="0.3">
      <c r="B5" s="83"/>
      <c r="C5" s="36" t="s">
        <v>255</v>
      </c>
      <c r="D5" s="36" t="s">
        <v>256</v>
      </c>
      <c r="E5" s="81" t="s">
        <v>255</v>
      </c>
      <c r="F5" s="36" t="s">
        <v>256</v>
      </c>
      <c r="G5" s="81" t="s">
        <v>255</v>
      </c>
      <c r="H5" s="36" t="s">
        <v>256</v>
      </c>
    </row>
    <row r="6" spans="1:9" x14ac:dyDescent="0.3">
      <c r="B6" s="33"/>
      <c r="C6" s="84" t="s">
        <v>12</v>
      </c>
      <c r="D6" s="84" t="s">
        <v>15</v>
      </c>
      <c r="E6" s="85" t="s">
        <v>13</v>
      </c>
      <c r="F6" s="84" t="s">
        <v>14</v>
      </c>
      <c r="G6" s="85" t="s">
        <v>16</v>
      </c>
      <c r="H6" s="84" t="s">
        <v>17</v>
      </c>
    </row>
    <row r="7" spans="1:9" x14ac:dyDescent="0.3">
      <c r="B7" s="33"/>
      <c r="C7" s="5" t="s">
        <v>296</v>
      </c>
      <c r="D7" s="5" t="s">
        <v>296</v>
      </c>
      <c r="E7" s="86" t="s">
        <v>300</v>
      </c>
      <c r="F7" s="5" t="s">
        <v>300</v>
      </c>
      <c r="G7" s="86" t="s">
        <v>302</v>
      </c>
      <c r="H7" s="5" t="s">
        <v>302</v>
      </c>
    </row>
    <row r="8" spans="1:9" x14ac:dyDescent="0.3">
      <c r="B8" s="33"/>
      <c r="C8" s="5" t="s">
        <v>303</v>
      </c>
      <c r="D8" s="5" t="s">
        <v>303</v>
      </c>
      <c r="E8" s="86" t="s">
        <v>588</v>
      </c>
      <c r="F8" s="5" t="s">
        <v>588</v>
      </c>
      <c r="G8" s="86" t="s">
        <v>609</v>
      </c>
      <c r="H8" s="5" t="s">
        <v>609</v>
      </c>
    </row>
    <row r="9" spans="1:9" x14ac:dyDescent="0.3">
      <c r="B9" s="33"/>
      <c r="C9" s="5" t="s">
        <v>305</v>
      </c>
      <c r="D9" s="5" t="s">
        <v>305</v>
      </c>
      <c r="E9" s="86" t="s">
        <v>590</v>
      </c>
      <c r="F9" s="5" t="s">
        <v>590</v>
      </c>
      <c r="G9" s="86" t="s">
        <v>611</v>
      </c>
      <c r="H9" s="5" t="s">
        <v>611</v>
      </c>
    </row>
    <row r="10" spans="1:9" x14ac:dyDescent="0.3">
      <c r="B10" s="33"/>
      <c r="C10" s="5" t="s">
        <v>308</v>
      </c>
      <c r="D10" s="5" t="s">
        <v>346</v>
      </c>
      <c r="E10" s="86" t="s">
        <v>591</v>
      </c>
      <c r="F10" s="5" t="s">
        <v>591</v>
      </c>
      <c r="G10" s="86" t="s">
        <v>613</v>
      </c>
      <c r="H10" s="5" t="s">
        <v>613</v>
      </c>
    </row>
    <row r="11" spans="1:9" x14ac:dyDescent="0.3">
      <c r="B11" s="33"/>
      <c r="C11" s="5" t="s">
        <v>508</v>
      </c>
      <c r="D11" s="5" t="s">
        <v>352</v>
      </c>
      <c r="E11" s="86" t="s">
        <v>592</v>
      </c>
      <c r="F11" s="5" t="s">
        <v>592</v>
      </c>
      <c r="G11" s="86" t="s">
        <v>615</v>
      </c>
      <c r="H11" s="5" t="s">
        <v>615</v>
      </c>
    </row>
    <row r="12" spans="1:9" x14ac:dyDescent="0.3">
      <c r="B12" s="33"/>
      <c r="C12" s="5" t="s">
        <v>705</v>
      </c>
      <c r="D12" s="5" t="s">
        <v>357</v>
      </c>
      <c r="E12" s="86" t="s">
        <v>593</v>
      </c>
      <c r="F12" s="5" t="s">
        <v>593</v>
      </c>
      <c r="G12" s="86" t="s">
        <v>617</v>
      </c>
      <c r="H12" s="5" t="s">
        <v>617</v>
      </c>
    </row>
    <row r="13" spans="1:9" x14ac:dyDescent="0.3">
      <c r="B13" s="33"/>
      <c r="C13" s="5" t="s">
        <v>707</v>
      </c>
      <c r="D13" s="5" t="s">
        <v>545</v>
      </c>
      <c r="E13" s="86" t="s">
        <v>312</v>
      </c>
      <c r="F13" s="5" t="s">
        <v>322</v>
      </c>
      <c r="G13" s="86" t="s">
        <v>619</v>
      </c>
      <c r="H13" s="5" t="s">
        <v>619</v>
      </c>
    </row>
    <row r="14" spans="1:9" x14ac:dyDescent="0.3">
      <c r="B14" s="33"/>
      <c r="C14" s="5" t="s">
        <v>510</v>
      </c>
      <c r="D14" s="5" t="s">
        <v>360</v>
      </c>
      <c r="E14" s="86" t="s">
        <v>316</v>
      </c>
      <c r="F14" s="5" t="s">
        <v>331</v>
      </c>
      <c r="G14" s="86" t="s">
        <v>621</v>
      </c>
      <c r="H14" s="5" t="s">
        <v>621</v>
      </c>
    </row>
    <row r="15" spans="1:9" x14ac:dyDescent="0.3">
      <c r="B15" s="33"/>
      <c r="C15" s="5" t="s">
        <v>314</v>
      </c>
      <c r="D15" s="5" t="s">
        <v>554</v>
      </c>
      <c r="E15" s="86" t="s">
        <v>319</v>
      </c>
      <c r="F15" s="5"/>
      <c r="G15" s="86" t="s">
        <v>623</v>
      </c>
      <c r="H15" s="5" t="s">
        <v>623</v>
      </c>
    </row>
    <row r="16" spans="1:9" x14ac:dyDescent="0.3">
      <c r="B16" s="33"/>
      <c r="C16" s="5" t="s">
        <v>317</v>
      </c>
      <c r="D16" s="5" t="s">
        <v>570</v>
      </c>
      <c r="E16" s="86" t="s">
        <v>320</v>
      </c>
      <c r="F16" s="5"/>
      <c r="G16" s="86" t="s">
        <v>625</v>
      </c>
      <c r="H16" s="5" t="s">
        <v>625</v>
      </c>
    </row>
    <row r="17" spans="2:8" x14ac:dyDescent="0.3">
      <c r="B17" s="33"/>
      <c r="C17" s="5" t="s">
        <v>512</v>
      </c>
      <c r="D17" s="5" t="s">
        <v>374</v>
      </c>
      <c r="E17" s="86" t="s">
        <v>322</v>
      </c>
      <c r="F17" s="5"/>
      <c r="G17" s="86" t="s">
        <v>627</v>
      </c>
      <c r="H17" s="5" t="s">
        <v>627</v>
      </c>
    </row>
    <row r="18" spans="2:8" x14ac:dyDescent="0.3">
      <c r="B18" s="33"/>
      <c r="C18" s="5" t="s">
        <v>321</v>
      </c>
      <c r="D18" s="5" t="s">
        <v>378</v>
      </c>
      <c r="E18" s="86" t="s">
        <v>323</v>
      </c>
      <c r="F18" s="5"/>
      <c r="G18" s="86" t="s">
        <v>313</v>
      </c>
      <c r="H18" s="5" t="s">
        <v>313</v>
      </c>
    </row>
    <row r="19" spans="2:8" x14ac:dyDescent="0.3">
      <c r="B19" s="33"/>
      <c r="C19" s="5" t="s">
        <v>515</v>
      </c>
      <c r="D19" s="5" t="s">
        <v>382</v>
      </c>
      <c r="E19" s="86" t="s">
        <v>324</v>
      </c>
      <c r="F19" s="5"/>
      <c r="G19" s="86" t="s">
        <v>734</v>
      </c>
      <c r="H19" s="5" t="s">
        <v>325</v>
      </c>
    </row>
    <row r="20" spans="2:8" x14ac:dyDescent="0.3">
      <c r="B20" s="33"/>
      <c r="C20" s="5" t="s">
        <v>517</v>
      </c>
      <c r="D20" s="5" t="s">
        <v>389</v>
      </c>
      <c r="E20" s="86" t="s">
        <v>326</v>
      </c>
      <c r="F20" s="5"/>
      <c r="G20" s="86" t="s">
        <v>735</v>
      </c>
      <c r="H20" s="5"/>
    </row>
    <row r="21" spans="2:8" x14ac:dyDescent="0.3">
      <c r="B21" s="33"/>
      <c r="C21" s="5" t="s">
        <v>519</v>
      </c>
      <c r="D21" s="5" t="s">
        <v>395</v>
      </c>
      <c r="E21" s="86" t="s">
        <v>328</v>
      </c>
      <c r="F21" s="5"/>
      <c r="G21" s="86" t="s">
        <v>736</v>
      </c>
      <c r="H21" s="5"/>
    </row>
    <row r="22" spans="2:8" x14ac:dyDescent="0.3">
      <c r="B22" s="33"/>
      <c r="C22" s="5" t="s">
        <v>327</v>
      </c>
      <c r="D22" s="5" t="s">
        <v>403</v>
      </c>
      <c r="E22" s="86" t="s">
        <v>7</v>
      </c>
      <c r="F22" s="5"/>
      <c r="G22" s="86" t="s">
        <v>737</v>
      </c>
      <c r="H22" s="5"/>
    </row>
    <row r="23" spans="2:8" x14ac:dyDescent="0.3">
      <c r="B23" s="33"/>
      <c r="C23" s="5" t="s">
        <v>709</v>
      </c>
      <c r="D23" s="5" t="s">
        <v>405</v>
      </c>
      <c r="E23" s="86" t="s">
        <v>331</v>
      </c>
      <c r="F23" s="5"/>
      <c r="G23" s="86" t="s">
        <v>738</v>
      </c>
      <c r="H23" s="5"/>
    </row>
    <row r="24" spans="2:8" x14ac:dyDescent="0.3">
      <c r="B24" s="33"/>
      <c r="C24" s="5" t="s">
        <v>330</v>
      </c>
      <c r="D24" s="5" t="s">
        <v>409</v>
      </c>
      <c r="E24" s="86" t="s">
        <v>335</v>
      </c>
      <c r="F24" s="5"/>
      <c r="G24" s="86" t="s">
        <v>739</v>
      </c>
      <c r="H24" s="5"/>
    </row>
    <row r="25" spans="2:8" x14ac:dyDescent="0.3">
      <c r="B25" s="33"/>
      <c r="C25" s="5" t="s">
        <v>333</v>
      </c>
      <c r="D25" s="5" t="s">
        <v>417</v>
      </c>
      <c r="E25" s="86" t="s">
        <v>338</v>
      </c>
      <c r="F25" s="5"/>
      <c r="G25" s="86" t="s">
        <v>740</v>
      </c>
      <c r="H25" s="5"/>
    </row>
    <row r="26" spans="2:8" x14ac:dyDescent="0.3">
      <c r="B26" s="33"/>
      <c r="C26" s="5" t="s">
        <v>336</v>
      </c>
      <c r="D26" s="5" t="s">
        <v>425</v>
      </c>
      <c r="E26" s="86" t="s">
        <v>341</v>
      </c>
      <c r="F26" s="5"/>
      <c r="G26" s="86" t="s">
        <v>741</v>
      </c>
      <c r="H26" s="5"/>
    </row>
    <row r="27" spans="2:8" x14ac:dyDescent="0.3">
      <c r="B27" s="33"/>
      <c r="C27" s="5" t="s">
        <v>339</v>
      </c>
      <c r="D27" s="5"/>
      <c r="E27" s="86" t="s">
        <v>607</v>
      </c>
      <c r="F27" s="5"/>
      <c r="G27" s="86" t="s">
        <v>742</v>
      </c>
      <c r="H27" s="5"/>
    </row>
    <row r="28" spans="2:8" x14ac:dyDescent="0.3">
      <c r="B28" s="33"/>
      <c r="C28" s="5" t="s">
        <v>712</v>
      </c>
      <c r="D28" s="5"/>
      <c r="E28" s="86"/>
      <c r="F28" s="5"/>
      <c r="G28" s="86" t="s">
        <v>743</v>
      </c>
      <c r="H28" s="5"/>
    </row>
    <row r="29" spans="2:8" x14ac:dyDescent="0.3">
      <c r="B29" s="33"/>
      <c r="C29" s="5" t="s">
        <v>522</v>
      </c>
      <c r="D29" s="5"/>
      <c r="E29" s="86"/>
      <c r="F29" s="5"/>
      <c r="G29" s="86" t="s">
        <v>325</v>
      </c>
      <c r="H29" s="5"/>
    </row>
    <row r="30" spans="2:8" x14ac:dyDescent="0.3">
      <c r="B30" s="33"/>
      <c r="C30" s="5" t="s">
        <v>523</v>
      </c>
      <c r="D30" s="5"/>
      <c r="E30" s="86"/>
      <c r="F30" s="5"/>
      <c r="G30" s="86" t="s">
        <v>744</v>
      </c>
      <c r="H30" s="5"/>
    </row>
    <row r="31" spans="2:8" x14ac:dyDescent="0.3">
      <c r="B31" s="33"/>
      <c r="C31" s="5" t="s">
        <v>342</v>
      </c>
      <c r="D31" s="5"/>
      <c r="E31" s="86"/>
      <c r="F31" s="5"/>
      <c r="G31" s="86" t="s">
        <v>745</v>
      </c>
      <c r="H31" s="5"/>
    </row>
    <row r="32" spans="2:8" x14ac:dyDescent="0.3">
      <c r="B32" s="33"/>
      <c r="C32" s="5" t="s">
        <v>525</v>
      </c>
      <c r="D32" s="5"/>
      <c r="E32" s="86"/>
      <c r="F32" s="5"/>
      <c r="G32" s="86" t="s">
        <v>746</v>
      </c>
      <c r="H32" s="5"/>
    </row>
    <row r="33" spans="2:8" x14ac:dyDescent="0.3">
      <c r="B33" s="33"/>
      <c r="C33" s="5" t="s">
        <v>343</v>
      </c>
      <c r="D33" s="5"/>
      <c r="E33" s="86"/>
      <c r="F33" s="5"/>
      <c r="G33" s="86" t="s">
        <v>747</v>
      </c>
      <c r="H33" s="5"/>
    </row>
    <row r="34" spans="2:8" x14ac:dyDescent="0.3">
      <c r="B34" s="33"/>
      <c r="C34" s="5" t="s">
        <v>528</v>
      </c>
      <c r="D34" s="5"/>
      <c r="E34" s="86"/>
      <c r="F34" s="5"/>
      <c r="G34" s="86" t="s">
        <v>748</v>
      </c>
      <c r="H34" s="5"/>
    </row>
    <row r="35" spans="2:8" x14ac:dyDescent="0.3">
      <c r="B35" s="33"/>
      <c r="C35" s="5" t="s">
        <v>530</v>
      </c>
      <c r="D35" s="5"/>
      <c r="E35" s="86"/>
      <c r="F35" s="5"/>
      <c r="G35" s="86" t="s">
        <v>749</v>
      </c>
      <c r="H35" s="5"/>
    </row>
    <row r="36" spans="2:8" x14ac:dyDescent="0.3">
      <c r="B36" s="33"/>
      <c r="C36" s="5" t="s">
        <v>532</v>
      </c>
      <c r="D36" s="5"/>
      <c r="E36" s="86"/>
      <c r="F36" s="5"/>
      <c r="G36" s="86" t="s">
        <v>750</v>
      </c>
      <c r="H36" s="5"/>
    </row>
    <row r="37" spans="2:8" x14ac:dyDescent="0.3">
      <c r="B37" s="33"/>
      <c r="C37" s="5" t="s">
        <v>344</v>
      </c>
      <c r="D37" s="5"/>
      <c r="E37" s="86"/>
      <c r="F37" s="5"/>
      <c r="G37" s="86" t="s">
        <v>751</v>
      </c>
      <c r="H37" s="5"/>
    </row>
    <row r="38" spans="2:8" x14ac:dyDescent="0.3">
      <c r="B38" s="33"/>
      <c r="C38" s="5" t="s">
        <v>346</v>
      </c>
      <c r="D38" s="5"/>
      <c r="E38" s="86"/>
      <c r="F38" s="5"/>
      <c r="G38" s="86" t="s">
        <v>752</v>
      </c>
      <c r="H38" s="5"/>
    </row>
    <row r="39" spans="2:8" x14ac:dyDescent="0.3">
      <c r="B39" s="33"/>
      <c r="C39" s="5" t="s">
        <v>348</v>
      </c>
      <c r="D39" s="5"/>
      <c r="E39" s="86"/>
      <c r="F39" s="5"/>
      <c r="G39" s="86" t="s">
        <v>753</v>
      </c>
      <c r="H39" s="5"/>
    </row>
    <row r="40" spans="2:8" x14ac:dyDescent="0.3">
      <c r="B40" s="33"/>
      <c r="C40" s="5" t="s">
        <v>535</v>
      </c>
      <c r="D40" s="5"/>
      <c r="E40" s="86"/>
      <c r="F40" s="5"/>
      <c r="G40" s="86"/>
      <c r="H40" s="5"/>
    </row>
    <row r="41" spans="2:8" x14ac:dyDescent="0.3">
      <c r="B41" s="33"/>
      <c r="C41" s="5" t="s">
        <v>349</v>
      </c>
      <c r="D41" s="5"/>
      <c r="E41" s="86"/>
      <c r="F41" s="5"/>
      <c r="G41" s="86"/>
      <c r="H41" s="5"/>
    </row>
    <row r="42" spans="2:8" x14ac:dyDescent="0.3">
      <c r="B42" s="33"/>
      <c r="C42" s="5" t="s">
        <v>538</v>
      </c>
      <c r="D42" s="5"/>
      <c r="E42" s="86"/>
      <c r="F42" s="5"/>
      <c r="G42" s="86"/>
      <c r="H42" s="5"/>
    </row>
    <row r="43" spans="2:8" x14ac:dyDescent="0.3">
      <c r="B43" s="33"/>
      <c r="C43" s="5" t="s">
        <v>540</v>
      </c>
      <c r="D43" s="5"/>
      <c r="E43" s="86"/>
      <c r="F43" s="5"/>
      <c r="G43" s="86"/>
      <c r="H43" s="5"/>
    </row>
    <row r="44" spans="2:8" x14ac:dyDescent="0.3">
      <c r="B44" s="33"/>
      <c r="C44" s="5" t="s">
        <v>350</v>
      </c>
      <c r="D44" s="5"/>
      <c r="E44" s="86"/>
      <c r="F44" s="5"/>
      <c r="G44" s="86"/>
      <c r="H44" s="5"/>
    </row>
    <row r="45" spans="2:8" x14ac:dyDescent="0.3">
      <c r="B45" s="33"/>
      <c r="C45" s="5" t="s">
        <v>352</v>
      </c>
      <c r="D45" s="5"/>
      <c r="E45" s="86"/>
      <c r="F45" s="5"/>
      <c r="G45" s="86"/>
      <c r="H45" s="5"/>
    </row>
    <row r="46" spans="2:8" x14ac:dyDescent="0.3">
      <c r="B46" s="33"/>
      <c r="C46" s="5" t="s">
        <v>354</v>
      </c>
      <c r="D46" s="5"/>
      <c r="E46" s="86"/>
      <c r="F46" s="5"/>
      <c r="G46" s="86"/>
      <c r="H46" s="5"/>
    </row>
    <row r="47" spans="2:8" x14ac:dyDescent="0.3">
      <c r="B47" s="33"/>
      <c r="C47" s="5" t="s">
        <v>542</v>
      </c>
      <c r="D47" s="5"/>
      <c r="E47" s="86"/>
      <c r="F47" s="5"/>
      <c r="G47" s="86"/>
      <c r="H47" s="5"/>
    </row>
    <row r="48" spans="2:8" x14ac:dyDescent="0.3">
      <c r="B48" s="33"/>
      <c r="C48" s="5" t="s">
        <v>356</v>
      </c>
      <c r="D48" s="5"/>
      <c r="E48" s="86"/>
      <c r="F48" s="5"/>
      <c r="G48" s="86"/>
      <c r="H48" s="5"/>
    </row>
    <row r="49" spans="2:8" x14ac:dyDescent="0.3">
      <c r="B49" s="33"/>
      <c r="C49" s="5" t="s">
        <v>357</v>
      </c>
      <c r="D49" s="5"/>
      <c r="E49" s="86"/>
      <c r="F49" s="5"/>
      <c r="G49" s="86"/>
      <c r="H49" s="5"/>
    </row>
    <row r="50" spans="2:8" x14ac:dyDescent="0.3">
      <c r="B50" s="33"/>
      <c r="C50" s="5" t="s">
        <v>545</v>
      </c>
      <c r="D50" s="5"/>
      <c r="E50" s="86"/>
      <c r="F50" s="5"/>
      <c r="G50" s="86"/>
      <c r="H50" s="5"/>
    </row>
    <row r="51" spans="2:8" x14ac:dyDescent="0.3">
      <c r="B51" s="33"/>
      <c r="C51" s="5" t="s">
        <v>546</v>
      </c>
      <c r="D51" s="5"/>
      <c r="E51" s="86"/>
      <c r="F51" s="5"/>
      <c r="G51" s="86"/>
      <c r="H51" s="5"/>
    </row>
    <row r="52" spans="2:8" x14ac:dyDescent="0.3">
      <c r="B52" s="33"/>
      <c r="C52" s="5" t="s">
        <v>548</v>
      </c>
      <c r="D52" s="5"/>
      <c r="E52" s="86"/>
      <c r="F52" s="5"/>
      <c r="G52" s="86"/>
      <c r="H52" s="5"/>
    </row>
    <row r="53" spans="2:8" x14ac:dyDescent="0.3">
      <c r="B53" s="33"/>
      <c r="C53" s="5" t="s">
        <v>550</v>
      </c>
      <c r="D53" s="5"/>
      <c r="E53" s="86"/>
      <c r="F53" s="5"/>
      <c r="G53" s="86"/>
      <c r="H53" s="5"/>
    </row>
    <row r="54" spans="2:8" x14ac:dyDescent="0.3">
      <c r="B54" s="33"/>
      <c r="C54" s="5" t="s">
        <v>552</v>
      </c>
      <c r="D54" s="5"/>
      <c r="E54" s="86"/>
      <c r="F54" s="5"/>
      <c r="G54" s="86"/>
      <c r="H54" s="5"/>
    </row>
    <row r="55" spans="2:8" x14ac:dyDescent="0.3">
      <c r="B55" s="33"/>
      <c r="C55" s="5" t="s">
        <v>360</v>
      </c>
      <c r="D55" s="5"/>
      <c r="E55" s="86"/>
      <c r="F55" s="5"/>
      <c r="G55" s="86"/>
      <c r="H55" s="5"/>
    </row>
    <row r="56" spans="2:8" x14ac:dyDescent="0.3">
      <c r="B56" s="33"/>
      <c r="C56" s="5" t="s">
        <v>554</v>
      </c>
      <c r="D56" s="5"/>
      <c r="E56" s="86"/>
      <c r="F56" s="5"/>
      <c r="G56" s="86"/>
      <c r="H56" s="5"/>
    </row>
    <row r="57" spans="2:8" x14ac:dyDescent="0.3">
      <c r="B57" s="33"/>
      <c r="C57" s="5" t="s">
        <v>556</v>
      </c>
      <c r="D57" s="5"/>
      <c r="E57" s="86"/>
      <c r="F57" s="5"/>
      <c r="G57" s="86"/>
      <c r="H57" s="5"/>
    </row>
    <row r="58" spans="2:8" x14ac:dyDescent="0.3">
      <c r="B58" s="33"/>
      <c r="C58" s="5" t="s">
        <v>557</v>
      </c>
      <c r="D58" s="5"/>
      <c r="E58" s="86"/>
      <c r="F58" s="5"/>
      <c r="G58" s="86"/>
      <c r="H58" s="5"/>
    </row>
    <row r="59" spans="2:8" x14ac:dyDescent="0.3">
      <c r="B59" s="33"/>
      <c r="C59" s="5" t="s">
        <v>559</v>
      </c>
      <c r="D59" s="5"/>
      <c r="E59" s="86"/>
      <c r="F59" s="5"/>
      <c r="G59" s="86"/>
      <c r="H59" s="5"/>
    </row>
    <row r="60" spans="2:8" x14ac:dyDescent="0.3">
      <c r="B60" s="33"/>
      <c r="C60" s="5" t="s">
        <v>561</v>
      </c>
      <c r="D60" s="5"/>
      <c r="E60" s="86"/>
      <c r="F60" s="5"/>
      <c r="G60" s="86"/>
      <c r="H60" s="5"/>
    </row>
    <row r="61" spans="2:8" x14ac:dyDescent="0.3">
      <c r="B61" s="33"/>
      <c r="C61" s="5" t="s">
        <v>563</v>
      </c>
      <c r="D61" s="5"/>
      <c r="E61" s="86"/>
      <c r="F61" s="5"/>
      <c r="G61" s="86"/>
      <c r="H61" s="5"/>
    </row>
    <row r="62" spans="2:8" x14ac:dyDescent="0.3">
      <c r="B62" s="33"/>
      <c r="C62" s="5" t="s">
        <v>362</v>
      </c>
      <c r="D62" s="5"/>
      <c r="E62" s="86"/>
      <c r="F62" s="5"/>
      <c r="G62" s="86"/>
      <c r="H62" s="5"/>
    </row>
    <row r="63" spans="2:8" x14ac:dyDescent="0.3">
      <c r="B63" s="33"/>
      <c r="C63" s="5" t="s">
        <v>363</v>
      </c>
      <c r="D63" s="5"/>
      <c r="E63" s="86"/>
      <c r="F63" s="5"/>
      <c r="G63" s="86"/>
      <c r="H63" s="5"/>
    </row>
    <row r="64" spans="2:8" x14ac:dyDescent="0.3">
      <c r="B64" s="33"/>
      <c r="C64" s="5" t="s">
        <v>364</v>
      </c>
      <c r="D64" s="5"/>
      <c r="E64" s="86"/>
      <c r="F64" s="5"/>
      <c r="G64" s="86"/>
      <c r="H64" s="5"/>
    </row>
    <row r="65" spans="2:8" x14ac:dyDescent="0.3">
      <c r="B65" s="33"/>
      <c r="C65" s="5" t="s">
        <v>720</v>
      </c>
      <c r="D65" s="5"/>
      <c r="E65" s="86"/>
      <c r="F65" s="5"/>
      <c r="G65" s="86"/>
      <c r="H65" s="5"/>
    </row>
    <row r="66" spans="2:8" x14ac:dyDescent="0.3">
      <c r="B66" s="33"/>
      <c r="C66" s="5" t="s">
        <v>722</v>
      </c>
      <c r="D66" s="5"/>
      <c r="E66" s="86"/>
      <c r="F66" s="5"/>
      <c r="G66" s="86"/>
      <c r="H66" s="5"/>
    </row>
    <row r="67" spans="2:8" x14ac:dyDescent="0.3">
      <c r="B67" s="33"/>
      <c r="C67" s="5" t="s">
        <v>365</v>
      </c>
      <c r="D67" s="5"/>
      <c r="E67" s="86"/>
      <c r="F67" s="5"/>
      <c r="G67" s="86"/>
      <c r="H67" s="5"/>
    </row>
    <row r="68" spans="2:8" x14ac:dyDescent="0.3">
      <c r="B68" s="33"/>
      <c r="C68" s="5" t="s">
        <v>366</v>
      </c>
      <c r="D68" s="5"/>
      <c r="E68" s="86"/>
      <c r="F68" s="5"/>
      <c r="G68" s="86"/>
      <c r="H68" s="5"/>
    </row>
    <row r="69" spans="2:8" x14ac:dyDescent="0.3">
      <c r="B69" s="33"/>
      <c r="C69" s="5" t="s">
        <v>367</v>
      </c>
      <c r="D69" s="5"/>
      <c r="E69" s="86"/>
      <c r="F69" s="5"/>
      <c r="G69" s="86"/>
      <c r="H69" s="5"/>
    </row>
    <row r="70" spans="2:8" x14ac:dyDescent="0.3">
      <c r="B70" s="33"/>
      <c r="C70" s="5" t="s">
        <v>368</v>
      </c>
      <c r="D70" s="5"/>
      <c r="E70" s="86"/>
      <c r="F70" s="5"/>
      <c r="G70" s="86"/>
      <c r="H70" s="5"/>
    </row>
    <row r="71" spans="2:8" x14ac:dyDescent="0.3">
      <c r="B71" s="33"/>
      <c r="C71" s="5" t="s">
        <v>369</v>
      </c>
      <c r="D71" s="5"/>
      <c r="E71" s="86"/>
      <c r="F71" s="5"/>
      <c r="G71" s="86"/>
      <c r="H71" s="5"/>
    </row>
    <row r="72" spans="2:8" x14ac:dyDescent="0.3">
      <c r="B72" s="33"/>
      <c r="C72" s="5" t="s">
        <v>370</v>
      </c>
      <c r="D72" s="5"/>
      <c r="E72" s="86"/>
      <c r="F72" s="5"/>
      <c r="G72" s="86"/>
      <c r="H72" s="5"/>
    </row>
    <row r="73" spans="2:8" x14ac:dyDescent="0.3">
      <c r="B73" s="33"/>
      <c r="C73" s="5" t="s">
        <v>371</v>
      </c>
      <c r="D73" s="5"/>
      <c r="E73" s="86"/>
      <c r="F73" s="5"/>
      <c r="G73" s="86"/>
      <c r="H73" s="5"/>
    </row>
    <row r="74" spans="2:8" x14ac:dyDescent="0.3">
      <c r="B74" s="33"/>
      <c r="C74" s="5" t="s">
        <v>570</v>
      </c>
      <c r="D74" s="5"/>
      <c r="E74" s="86"/>
      <c r="F74" s="5"/>
      <c r="G74" s="86"/>
      <c r="H74" s="5"/>
    </row>
    <row r="75" spans="2:8" x14ac:dyDescent="0.3">
      <c r="B75" s="33"/>
      <c r="C75" s="5" t="s">
        <v>372</v>
      </c>
      <c r="D75" s="5"/>
      <c r="E75" s="86"/>
      <c r="F75" s="5"/>
      <c r="G75" s="86"/>
      <c r="H75" s="5"/>
    </row>
    <row r="76" spans="2:8" x14ac:dyDescent="0.3">
      <c r="B76" s="33"/>
      <c r="C76" s="5" t="s">
        <v>373</v>
      </c>
      <c r="D76" s="5"/>
      <c r="E76" s="86"/>
      <c r="F76" s="5"/>
      <c r="G76" s="86"/>
      <c r="H76" s="5"/>
    </row>
    <row r="77" spans="2:8" x14ac:dyDescent="0.3">
      <c r="B77" s="33"/>
      <c r="C77" s="5" t="s">
        <v>374</v>
      </c>
      <c r="D77" s="5"/>
      <c r="E77" s="86"/>
      <c r="F77" s="5"/>
      <c r="G77" s="86"/>
      <c r="H77" s="5"/>
    </row>
    <row r="78" spans="2:8" x14ac:dyDescent="0.3">
      <c r="B78" s="33"/>
      <c r="C78" s="5" t="s">
        <v>726</v>
      </c>
      <c r="D78" s="5"/>
      <c r="E78" s="86"/>
      <c r="F78" s="5"/>
      <c r="G78" s="86"/>
      <c r="H78" s="5"/>
    </row>
    <row r="79" spans="2:8" x14ac:dyDescent="0.3">
      <c r="B79" s="33"/>
      <c r="C79" s="5" t="s">
        <v>728</v>
      </c>
      <c r="D79" s="5"/>
      <c r="E79" s="86"/>
      <c r="F79" s="5"/>
      <c r="G79" s="86"/>
      <c r="H79" s="5"/>
    </row>
    <row r="80" spans="2:8" x14ac:dyDescent="0.3">
      <c r="B80" s="33"/>
      <c r="C80" s="5" t="s">
        <v>730</v>
      </c>
      <c r="D80" s="5"/>
      <c r="E80" s="86"/>
      <c r="F80" s="5"/>
      <c r="G80" s="86"/>
      <c r="H80" s="5"/>
    </row>
    <row r="81" spans="2:8" x14ac:dyDescent="0.3">
      <c r="B81" s="33"/>
      <c r="C81" s="5" t="s">
        <v>375</v>
      </c>
      <c r="D81" s="5"/>
      <c r="E81" s="86"/>
      <c r="F81" s="5"/>
      <c r="G81" s="86"/>
      <c r="H81" s="5"/>
    </row>
    <row r="82" spans="2:8" x14ac:dyDescent="0.3">
      <c r="B82" s="33"/>
      <c r="C82" s="5" t="s">
        <v>376</v>
      </c>
      <c r="D82" s="5"/>
      <c r="E82" s="86"/>
      <c r="F82" s="5"/>
      <c r="G82" s="86"/>
      <c r="H82" s="5"/>
    </row>
    <row r="83" spans="2:8" x14ac:dyDescent="0.3">
      <c r="B83" s="33"/>
      <c r="C83" s="5" t="s">
        <v>377</v>
      </c>
      <c r="D83" s="5"/>
      <c r="E83" s="86"/>
      <c r="F83" s="5"/>
      <c r="G83" s="86"/>
      <c r="H83" s="5"/>
    </row>
    <row r="84" spans="2:8" x14ac:dyDescent="0.3">
      <c r="B84" s="33"/>
      <c r="C84" s="5" t="s">
        <v>378</v>
      </c>
      <c r="D84" s="5"/>
      <c r="E84" s="86"/>
      <c r="F84" s="5"/>
      <c r="G84" s="86"/>
      <c r="H84" s="5"/>
    </row>
    <row r="85" spans="2:8" x14ac:dyDescent="0.3">
      <c r="B85" s="33"/>
      <c r="C85" s="5" t="s">
        <v>380</v>
      </c>
      <c r="D85" s="5"/>
      <c r="E85" s="86"/>
      <c r="F85" s="5"/>
      <c r="G85" s="86"/>
      <c r="H85" s="5"/>
    </row>
    <row r="86" spans="2:8" x14ac:dyDescent="0.3">
      <c r="B86" s="33"/>
      <c r="C86" s="5" t="s">
        <v>381</v>
      </c>
      <c r="D86" s="5"/>
      <c r="E86" s="86"/>
      <c r="F86" s="5"/>
      <c r="G86" s="86"/>
      <c r="H86" s="5"/>
    </row>
    <row r="87" spans="2:8" x14ac:dyDescent="0.3">
      <c r="B87" s="33"/>
      <c r="C87" s="5" t="s">
        <v>382</v>
      </c>
      <c r="D87" s="5"/>
      <c r="E87" s="86"/>
      <c r="F87" s="5"/>
      <c r="G87" s="86"/>
      <c r="H87" s="5"/>
    </row>
    <row r="88" spans="2:8" x14ac:dyDescent="0.3">
      <c r="B88" s="33"/>
      <c r="C88" s="5" t="s">
        <v>383</v>
      </c>
      <c r="D88" s="5"/>
      <c r="E88" s="86"/>
      <c r="F88" s="5"/>
      <c r="G88" s="86"/>
      <c r="H88" s="5"/>
    </row>
    <row r="89" spans="2:8" x14ac:dyDescent="0.3">
      <c r="B89" s="33"/>
      <c r="C89" s="5" t="s">
        <v>384</v>
      </c>
      <c r="D89" s="5"/>
      <c r="E89" s="86"/>
      <c r="F89" s="5"/>
      <c r="G89" s="86"/>
      <c r="H89" s="5"/>
    </row>
    <row r="90" spans="2:8" x14ac:dyDescent="0.3">
      <c r="B90" s="33"/>
      <c r="C90" s="5" t="s">
        <v>385</v>
      </c>
      <c r="D90" s="5"/>
      <c r="E90" s="86"/>
      <c r="F90" s="5"/>
      <c r="G90" s="86"/>
      <c r="H90" s="5"/>
    </row>
    <row r="91" spans="2:8" x14ac:dyDescent="0.3">
      <c r="B91" s="33"/>
      <c r="C91" s="5" t="s">
        <v>386</v>
      </c>
      <c r="D91" s="5"/>
      <c r="E91" s="86"/>
      <c r="F91" s="5"/>
      <c r="G91" s="86"/>
      <c r="H91" s="5"/>
    </row>
    <row r="92" spans="2:8" x14ac:dyDescent="0.3">
      <c r="B92" s="33"/>
      <c r="C92" s="5" t="s">
        <v>388</v>
      </c>
      <c r="D92" s="5"/>
      <c r="E92" s="86"/>
      <c r="F92" s="5"/>
      <c r="G92" s="86"/>
      <c r="H92" s="5"/>
    </row>
    <row r="93" spans="2:8" x14ac:dyDescent="0.3">
      <c r="B93" s="33"/>
      <c r="C93" s="5" t="s">
        <v>389</v>
      </c>
      <c r="D93" s="5"/>
      <c r="E93" s="86"/>
      <c r="F93" s="5"/>
      <c r="G93" s="86"/>
      <c r="H93" s="5"/>
    </row>
    <row r="94" spans="2:8" x14ac:dyDescent="0.3">
      <c r="B94" s="33"/>
      <c r="C94" s="5" t="s">
        <v>390</v>
      </c>
      <c r="D94" s="5"/>
      <c r="E94" s="86"/>
      <c r="F94" s="5"/>
      <c r="G94" s="86"/>
      <c r="H94" s="5"/>
    </row>
    <row r="95" spans="2:8" x14ac:dyDescent="0.3">
      <c r="B95" s="33"/>
      <c r="C95" s="5" t="s">
        <v>391</v>
      </c>
      <c r="D95" s="5"/>
      <c r="E95" s="86"/>
      <c r="F95" s="5"/>
      <c r="G95" s="86"/>
      <c r="H95" s="5"/>
    </row>
    <row r="96" spans="2:8" x14ac:dyDescent="0.3">
      <c r="B96" s="33"/>
      <c r="C96" s="5" t="s">
        <v>392</v>
      </c>
      <c r="D96" s="5"/>
      <c r="E96" s="86"/>
      <c r="F96" s="5"/>
      <c r="G96" s="86"/>
      <c r="H96" s="5"/>
    </row>
    <row r="97" spans="2:8" x14ac:dyDescent="0.3">
      <c r="B97" s="33"/>
      <c r="C97" s="5" t="s">
        <v>393</v>
      </c>
      <c r="D97" s="5"/>
      <c r="E97" s="86"/>
      <c r="F97" s="5"/>
      <c r="G97" s="86"/>
      <c r="H97" s="5"/>
    </row>
    <row r="98" spans="2:8" x14ac:dyDescent="0.3">
      <c r="B98" s="33"/>
      <c r="C98" s="5" t="s">
        <v>395</v>
      </c>
      <c r="D98" s="5"/>
      <c r="E98" s="86"/>
      <c r="F98" s="5"/>
      <c r="G98" s="86"/>
      <c r="H98" s="5"/>
    </row>
    <row r="99" spans="2:8" x14ac:dyDescent="0.3">
      <c r="B99" s="33"/>
      <c r="C99" s="5" t="s">
        <v>397</v>
      </c>
      <c r="D99" s="5"/>
      <c r="E99" s="86"/>
      <c r="F99" s="5"/>
      <c r="G99" s="86"/>
      <c r="H99" s="5"/>
    </row>
    <row r="100" spans="2:8" x14ac:dyDescent="0.3">
      <c r="B100" s="33"/>
      <c r="C100" s="5" t="s">
        <v>399</v>
      </c>
      <c r="D100" s="5"/>
      <c r="E100" s="86"/>
      <c r="F100" s="5"/>
      <c r="G100" s="86"/>
      <c r="H100" s="5"/>
    </row>
    <row r="101" spans="2:8" x14ac:dyDescent="0.3">
      <c r="B101" s="33"/>
      <c r="C101" s="5" t="s">
        <v>401</v>
      </c>
      <c r="D101" s="5"/>
      <c r="E101" s="86"/>
      <c r="F101" s="5"/>
      <c r="G101" s="86"/>
      <c r="H101" s="5"/>
    </row>
    <row r="102" spans="2:8" x14ac:dyDescent="0.3">
      <c r="B102" s="33"/>
      <c r="C102" s="5" t="s">
        <v>403</v>
      </c>
      <c r="D102" s="5"/>
      <c r="E102" s="86"/>
      <c r="F102" s="5"/>
      <c r="G102" s="86"/>
      <c r="H102" s="5"/>
    </row>
    <row r="103" spans="2:8" x14ac:dyDescent="0.3">
      <c r="B103" s="33"/>
      <c r="C103" s="5" t="s">
        <v>405</v>
      </c>
      <c r="D103" s="5"/>
      <c r="E103" s="86"/>
      <c r="F103" s="5"/>
      <c r="G103" s="86"/>
      <c r="H103" s="5"/>
    </row>
    <row r="104" spans="2:8" x14ac:dyDescent="0.3">
      <c r="B104" s="33"/>
      <c r="C104" s="5" t="s">
        <v>407</v>
      </c>
      <c r="D104" s="5"/>
      <c r="E104" s="86"/>
      <c r="F104" s="5"/>
      <c r="G104" s="86"/>
      <c r="H104" s="5"/>
    </row>
    <row r="105" spans="2:8" x14ac:dyDescent="0.3">
      <c r="B105" s="33"/>
      <c r="C105" s="5" t="s">
        <v>413</v>
      </c>
      <c r="D105" s="5"/>
      <c r="E105" s="86"/>
      <c r="F105" s="5"/>
      <c r="G105" s="86"/>
      <c r="H105" s="5"/>
    </row>
    <row r="106" spans="2:8" x14ac:dyDescent="0.3">
      <c r="B106" s="33"/>
      <c r="C106" s="5" t="s">
        <v>414</v>
      </c>
      <c r="D106" s="5"/>
      <c r="E106" s="86"/>
      <c r="F106" s="5"/>
      <c r="G106" s="86"/>
      <c r="H106" s="5"/>
    </row>
    <row r="107" spans="2:8" x14ac:dyDescent="0.3">
      <c r="B107" s="33"/>
      <c r="C107" s="5" t="s">
        <v>409</v>
      </c>
      <c r="D107" s="5"/>
      <c r="E107" s="86"/>
      <c r="F107" s="5"/>
      <c r="G107" s="86"/>
      <c r="H107" s="5"/>
    </row>
    <row r="108" spans="2:8" x14ac:dyDescent="0.3">
      <c r="B108" s="33"/>
      <c r="C108" s="5" t="s">
        <v>411</v>
      </c>
      <c r="D108" s="5"/>
      <c r="E108" s="86"/>
      <c r="F108" s="5"/>
      <c r="G108" s="86"/>
      <c r="H108" s="5"/>
    </row>
    <row r="109" spans="2:8" x14ac:dyDescent="0.3">
      <c r="B109" s="33"/>
      <c r="C109" s="5" t="s">
        <v>415</v>
      </c>
      <c r="D109" s="5"/>
      <c r="E109" s="86"/>
      <c r="F109" s="5"/>
      <c r="G109" s="86"/>
      <c r="H109" s="5"/>
    </row>
    <row r="110" spans="2:8" x14ac:dyDescent="0.3">
      <c r="B110" s="33"/>
      <c r="C110" s="5" t="s">
        <v>417</v>
      </c>
      <c r="D110" s="5"/>
      <c r="E110" s="86"/>
      <c r="F110" s="5"/>
      <c r="G110" s="86"/>
      <c r="H110" s="5"/>
    </row>
    <row r="111" spans="2:8" x14ac:dyDescent="0.3">
      <c r="B111" s="33"/>
      <c r="C111" s="5" t="s">
        <v>419</v>
      </c>
      <c r="D111" s="5"/>
      <c r="E111" s="86"/>
      <c r="F111" s="5"/>
      <c r="G111" s="86"/>
      <c r="H111" s="5"/>
    </row>
    <row r="112" spans="2:8" x14ac:dyDescent="0.3">
      <c r="B112" s="33"/>
      <c r="C112" s="5" t="s">
        <v>421</v>
      </c>
      <c r="D112" s="5"/>
      <c r="E112" s="86"/>
      <c r="F112" s="5"/>
      <c r="G112" s="86"/>
      <c r="H112" s="5"/>
    </row>
    <row r="113" spans="2:8" x14ac:dyDescent="0.3">
      <c r="B113" s="33"/>
      <c r="C113" s="5" t="s">
        <v>423</v>
      </c>
      <c r="D113" s="5"/>
      <c r="E113" s="86"/>
      <c r="F113" s="5"/>
      <c r="G113" s="86"/>
      <c r="H113" s="5"/>
    </row>
    <row r="114" spans="2:8" x14ac:dyDescent="0.3">
      <c r="B114" s="33"/>
      <c r="C114" s="5" t="s">
        <v>425</v>
      </c>
      <c r="D114" s="5"/>
      <c r="E114" s="86"/>
      <c r="F114" s="5"/>
      <c r="G114" s="86"/>
      <c r="H114" s="5"/>
    </row>
    <row r="115" spans="2:8" x14ac:dyDescent="0.3">
      <c r="B115" s="33"/>
      <c r="C115" s="5" t="s">
        <v>427</v>
      </c>
      <c r="D115" s="5"/>
      <c r="E115" s="86"/>
      <c r="F115" s="5"/>
      <c r="G115" s="86"/>
      <c r="H115" s="5"/>
    </row>
    <row r="116" spans="2:8" x14ac:dyDescent="0.3">
      <c r="B116" s="33"/>
      <c r="C116" s="5" t="s">
        <v>429</v>
      </c>
      <c r="D116" s="5"/>
      <c r="E116" s="86"/>
      <c r="F116" s="5"/>
      <c r="G116" s="86"/>
      <c r="H116" s="5"/>
    </row>
    <row r="117" spans="2:8" x14ac:dyDescent="0.3">
      <c r="B117" s="33"/>
      <c r="C117" s="5" t="s">
        <v>431</v>
      </c>
      <c r="D117" s="5"/>
      <c r="E117" s="86"/>
      <c r="F117" s="5"/>
      <c r="G117" s="86"/>
      <c r="H117" s="5"/>
    </row>
    <row r="118" spans="2:8" x14ac:dyDescent="0.3">
      <c r="B118" s="33"/>
      <c r="C118" s="5" t="s">
        <v>433</v>
      </c>
      <c r="D118" s="5"/>
      <c r="E118" s="86"/>
      <c r="F118" s="5"/>
      <c r="G118" s="86"/>
      <c r="H118" s="5"/>
    </row>
    <row r="119" spans="2:8" x14ac:dyDescent="0.3">
      <c r="B119" s="33"/>
      <c r="C119" s="5"/>
      <c r="D119" s="5"/>
      <c r="E119" s="86"/>
      <c r="F119" s="5"/>
      <c r="G119" s="86"/>
      <c r="H119" s="5"/>
    </row>
    <row r="120" spans="2:8" x14ac:dyDescent="0.3">
      <c r="B120" s="33"/>
      <c r="C120" s="5"/>
      <c r="D120" s="5"/>
      <c r="E120" s="86"/>
      <c r="F120" s="5"/>
      <c r="G120" s="86"/>
      <c r="H120" s="5"/>
    </row>
    <row r="121" spans="2:8" x14ac:dyDescent="0.3">
      <c r="B121" s="33"/>
      <c r="C121" s="5"/>
      <c r="D121" s="5"/>
      <c r="E121" s="86"/>
      <c r="F121" s="5"/>
      <c r="G121" s="86"/>
      <c r="H121" s="5"/>
    </row>
    <row r="122" spans="2:8" x14ac:dyDescent="0.3">
      <c r="B122" s="33"/>
      <c r="C122" s="5"/>
      <c r="D122" s="5"/>
      <c r="E122" s="86"/>
      <c r="F122" s="5"/>
      <c r="G122" s="86"/>
      <c r="H122" s="5"/>
    </row>
    <row r="123" spans="2:8" x14ac:dyDescent="0.3">
      <c r="B123" s="33"/>
      <c r="C123" s="5"/>
      <c r="D123" s="5"/>
      <c r="E123" s="86"/>
      <c r="F123" s="5"/>
      <c r="G123" s="86"/>
      <c r="H123" s="5"/>
    </row>
    <row r="124" spans="2:8" x14ac:dyDescent="0.3">
      <c r="B124" s="33"/>
      <c r="C124" s="5"/>
      <c r="D124" s="5"/>
      <c r="E124" s="86"/>
      <c r="F124" s="5"/>
      <c r="G124" s="86"/>
      <c r="H124" s="5"/>
    </row>
    <row r="125" spans="2:8" x14ac:dyDescent="0.3">
      <c r="B125" s="33"/>
      <c r="C125" s="5"/>
      <c r="D125" s="5"/>
      <c r="E125" s="86"/>
      <c r="F125" s="5"/>
      <c r="G125" s="86"/>
      <c r="H125" s="5"/>
    </row>
    <row r="126" spans="2:8" x14ac:dyDescent="0.3">
      <c r="B126" s="33"/>
      <c r="C126" s="5"/>
      <c r="D126" s="5"/>
      <c r="E126" s="86"/>
      <c r="F126" s="5"/>
      <c r="G126" s="86"/>
      <c r="H126" s="5"/>
    </row>
    <row r="127" spans="2:8" x14ac:dyDescent="0.3">
      <c r="B127" s="33"/>
      <c r="C127" s="5"/>
      <c r="D127" s="5"/>
      <c r="E127" s="86"/>
      <c r="F127" s="5"/>
      <c r="G127" s="86"/>
      <c r="H127" s="5"/>
    </row>
    <row r="128" spans="2:8" x14ac:dyDescent="0.3">
      <c r="B128" s="33"/>
      <c r="C128" s="5"/>
      <c r="D128" s="5"/>
      <c r="E128" s="86"/>
      <c r="F128" s="5"/>
      <c r="G128" s="86"/>
      <c r="H128" s="5"/>
    </row>
    <row r="129" spans="2:8" x14ac:dyDescent="0.3">
      <c r="B129" s="33"/>
      <c r="C129" s="5"/>
      <c r="D129" s="5"/>
      <c r="E129" s="86"/>
      <c r="F129" s="5"/>
      <c r="G129" s="86"/>
      <c r="H129" s="5"/>
    </row>
    <row r="130" spans="2:8" x14ac:dyDescent="0.3">
      <c r="B130" s="33"/>
      <c r="C130" s="5"/>
      <c r="D130" s="5"/>
      <c r="E130" s="86"/>
      <c r="F130" s="5"/>
      <c r="G130" s="86"/>
      <c r="H130" s="5"/>
    </row>
    <row r="131" spans="2:8" x14ac:dyDescent="0.3">
      <c r="B131" s="33"/>
      <c r="C131" s="5"/>
      <c r="D131" s="5"/>
      <c r="E131" s="86"/>
      <c r="F131" s="5"/>
      <c r="G131" s="86"/>
      <c r="H131" s="5"/>
    </row>
    <row r="132" spans="2:8" x14ac:dyDescent="0.3">
      <c r="B132" s="33"/>
      <c r="C132" s="5"/>
      <c r="D132" s="5"/>
      <c r="E132" s="86"/>
      <c r="F132" s="5"/>
      <c r="G132" s="86"/>
      <c r="H132" s="5"/>
    </row>
    <row r="133" spans="2:8" x14ac:dyDescent="0.3">
      <c r="B133" s="33"/>
      <c r="C133" s="5"/>
      <c r="D133" s="5"/>
      <c r="E133" s="86"/>
      <c r="F133" s="5"/>
      <c r="G133" s="86"/>
      <c r="H133" s="5"/>
    </row>
    <row r="134" spans="2:8" x14ac:dyDescent="0.3">
      <c r="B134" s="33"/>
      <c r="C134" s="5"/>
      <c r="D134" s="5"/>
      <c r="E134" s="86"/>
      <c r="F134" s="5"/>
      <c r="G134" s="86"/>
      <c r="H134" s="5"/>
    </row>
    <row r="135" spans="2:8" x14ac:dyDescent="0.3">
      <c r="B135" s="33"/>
      <c r="C135" s="5"/>
      <c r="D135" s="5"/>
      <c r="E135" s="86"/>
      <c r="F135" s="5"/>
      <c r="G135" s="86"/>
      <c r="H135" s="5"/>
    </row>
    <row r="136" spans="2:8" x14ac:dyDescent="0.3">
      <c r="B136" s="33"/>
      <c r="C136" s="5"/>
      <c r="D136" s="5"/>
      <c r="E136" s="86"/>
      <c r="F136" s="5"/>
      <c r="G136" s="86"/>
      <c r="H136" s="5"/>
    </row>
    <row r="137" spans="2:8" x14ac:dyDescent="0.3">
      <c r="B137" s="33"/>
      <c r="C137" s="5"/>
      <c r="D137" s="5"/>
      <c r="E137" s="86"/>
      <c r="F137" s="5"/>
      <c r="G137" s="86"/>
      <c r="H137" s="5"/>
    </row>
    <row r="138" spans="2:8" x14ac:dyDescent="0.3">
      <c r="B138" s="33"/>
      <c r="C138" s="5"/>
      <c r="D138" s="5"/>
      <c r="E138" s="86"/>
      <c r="F138" s="5"/>
      <c r="G138" s="86"/>
      <c r="H138" s="5"/>
    </row>
    <row r="139" spans="2:8" x14ac:dyDescent="0.3">
      <c r="B139" s="33"/>
      <c r="C139" s="5"/>
      <c r="D139" s="5"/>
      <c r="E139" s="86"/>
      <c r="F139" s="5"/>
      <c r="G139" s="86"/>
      <c r="H139" s="5"/>
    </row>
    <row r="140" spans="2:8" x14ac:dyDescent="0.3">
      <c r="B140" s="33"/>
      <c r="C140" s="5"/>
      <c r="D140" s="5"/>
      <c r="E140" s="86"/>
      <c r="F140" s="5"/>
      <c r="G140" s="86"/>
      <c r="H140" s="5"/>
    </row>
    <row r="141" spans="2:8" x14ac:dyDescent="0.3">
      <c r="B141" s="33"/>
      <c r="C141" s="5"/>
      <c r="D141" s="5"/>
      <c r="E141" s="86"/>
      <c r="F141" s="5"/>
      <c r="G141" s="86"/>
      <c r="H141" s="5"/>
    </row>
    <row r="142" spans="2:8" x14ac:dyDescent="0.3">
      <c r="B142" s="33"/>
      <c r="C142" s="5"/>
      <c r="D142" s="5"/>
      <c r="E142" s="86"/>
      <c r="F142" s="5"/>
      <c r="G142" s="86"/>
      <c r="H142" s="5"/>
    </row>
    <row r="143" spans="2:8" x14ac:dyDescent="0.3">
      <c r="B143" s="33"/>
      <c r="C143" s="5"/>
      <c r="D143" s="5"/>
      <c r="E143" s="86"/>
      <c r="F143" s="5"/>
      <c r="G143" s="86"/>
      <c r="H143" s="5"/>
    </row>
    <row r="144" spans="2:8" x14ac:dyDescent="0.3">
      <c r="B144" s="33"/>
      <c r="C144" s="5"/>
      <c r="D144" s="5"/>
      <c r="E144" s="86"/>
      <c r="F144" s="5"/>
      <c r="G144" s="86"/>
      <c r="H144" s="5"/>
    </row>
    <row r="145" spans="2:8" x14ac:dyDescent="0.3">
      <c r="B145" s="33"/>
      <c r="C145" s="5"/>
      <c r="D145" s="5"/>
      <c r="E145" s="86"/>
      <c r="F145" s="5"/>
      <c r="G145" s="86"/>
      <c r="H145" s="5"/>
    </row>
    <row r="146" spans="2:8" x14ac:dyDescent="0.3">
      <c r="B146" s="33"/>
      <c r="C146" s="5"/>
      <c r="D146" s="5"/>
      <c r="E146" s="86"/>
      <c r="F146" s="5"/>
      <c r="G146" s="86"/>
      <c r="H146" s="5"/>
    </row>
    <row r="147" spans="2:8" x14ac:dyDescent="0.3">
      <c r="B147" s="33"/>
      <c r="C147" s="5"/>
      <c r="D147" s="5"/>
      <c r="E147" s="86"/>
      <c r="F147" s="5"/>
      <c r="G147" s="86"/>
      <c r="H147" s="5"/>
    </row>
    <row r="148" spans="2:8" x14ac:dyDescent="0.3">
      <c r="B148" s="33"/>
      <c r="C148" s="5"/>
      <c r="D148" s="5"/>
      <c r="E148" s="86"/>
      <c r="F148" s="5"/>
      <c r="G148" s="86"/>
      <c r="H148" s="5"/>
    </row>
    <row r="149" spans="2:8" x14ac:dyDescent="0.3">
      <c r="B149" s="33"/>
      <c r="C149" s="5"/>
      <c r="D149" s="5"/>
      <c r="E149" s="86"/>
      <c r="F149" s="5"/>
      <c r="G149" s="86"/>
      <c r="H149" s="5"/>
    </row>
    <row r="150" spans="2:8" x14ac:dyDescent="0.3">
      <c r="B150" s="33"/>
      <c r="C150" s="5"/>
      <c r="D150" s="5"/>
      <c r="E150" s="86"/>
      <c r="F150" s="5"/>
      <c r="G150" s="86"/>
      <c r="H150" s="5"/>
    </row>
    <row r="151" spans="2:8" x14ac:dyDescent="0.3">
      <c r="B151" s="33"/>
      <c r="C151" s="5"/>
      <c r="D151" s="5"/>
      <c r="E151" s="86"/>
      <c r="F151" s="5"/>
      <c r="G151" s="86"/>
      <c r="H151" s="5"/>
    </row>
    <row r="152" spans="2:8" x14ac:dyDescent="0.3">
      <c r="B152" s="33"/>
      <c r="C152" s="5"/>
      <c r="D152" s="5"/>
      <c r="E152" s="86"/>
      <c r="F152" s="5"/>
      <c r="G152" s="86"/>
      <c r="H152" s="5"/>
    </row>
    <row r="153" spans="2:8" x14ac:dyDescent="0.3">
      <c r="B153" s="33"/>
      <c r="C153" s="5"/>
      <c r="D153" s="5"/>
      <c r="E153" s="86"/>
      <c r="F153" s="5"/>
      <c r="G153" s="86"/>
      <c r="H153" s="5"/>
    </row>
    <row r="154" spans="2:8" x14ac:dyDescent="0.3">
      <c r="B154" s="33"/>
      <c r="C154" s="5"/>
      <c r="D154" s="5"/>
      <c r="E154" s="86"/>
      <c r="F154" s="5"/>
      <c r="G154" s="86"/>
      <c r="H154" s="5"/>
    </row>
    <row r="155" spans="2:8" x14ac:dyDescent="0.3">
      <c r="B155" s="33"/>
      <c r="C155" s="5"/>
      <c r="D155" s="5"/>
      <c r="E155" s="86"/>
      <c r="F155" s="5"/>
      <c r="G155" s="86"/>
      <c r="H155" s="5"/>
    </row>
    <row r="156" spans="2:8" x14ac:dyDescent="0.3">
      <c r="B156" s="33"/>
      <c r="C156" s="5"/>
      <c r="D156" s="5"/>
      <c r="E156" s="86"/>
      <c r="F156" s="5"/>
      <c r="G156" s="86"/>
      <c r="H156" s="5"/>
    </row>
    <row r="157" spans="2:8" x14ac:dyDescent="0.3">
      <c r="B157" s="33"/>
      <c r="C157" s="5"/>
      <c r="D157" s="5"/>
      <c r="E157" s="87"/>
      <c r="F157" s="5"/>
      <c r="G157" s="87"/>
      <c r="H157" s="5"/>
    </row>
    <row r="158" spans="2:8" x14ac:dyDescent="0.3">
      <c r="B158" s="37"/>
      <c r="C158" s="37"/>
      <c r="D158" s="37"/>
      <c r="E158" s="37"/>
      <c r="F158" s="37"/>
      <c r="G158" s="37"/>
      <c r="H158" s="37"/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D1D5-6E25-48E8-88AD-987F8F30C5EE}">
  <sheetPr>
    <tabColor theme="9" tint="-0.499984740745262"/>
  </sheetPr>
  <dimension ref="A1:EY157"/>
  <sheetViews>
    <sheetView showZeros="0" zoomScale="85" zoomScaleNormal="85" workbookViewId="0">
      <pane xSplit="4" ySplit="6" topLeftCell="E7" activePane="bottomRight" state="frozen"/>
      <selection activeCell="E6" sqref="E6"/>
      <selection pane="topRight" activeCell="E6" sqref="E6"/>
      <selection pane="bottomLeft" activeCell="E6" sqref="E6"/>
      <selection pane="bottomRight" activeCell="E6" sqref="E6:CY134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15.5546875" customWidth="1"/>
    <col min="5" max="154" width="9.109375" customWidth="1"/>
    <col min="155" max="155" width="2.44140625" customWidth="1"/>
    <col min="156" max="16384" width="9.109375" hidden="1"/>
  </cols>
  <sheetData>
    <row r="1" spans="1:155" ht="18" x14ac:dyDescent="0.35">
      <c r="A1" s="9" t="s">
        <v>36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"/>
    <row r="3" spans="1:155" x14ac:dyDescent="0.3"/>
    <row r="4" spans="1:155" x14ac:dyDescent="0.3"/>
    <row r="5" spans="1:155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">
      <c r="B6" s="33"/>
      <c r="D6" s="5"/>
      <c r="E6" s="5" t="s">
        <v>435</v>
      </c>
      <c r="F6" s="5" t="s">
        <v>649</v>
      </c>
      <c r="G6" s="5" t="s">
        <v>754</v>
      </c>
      <c r="H6" s="5" t="s">
        <v>755</v>
      </c>
      <c r="I6" s="5" t="s">
        <v>650</v>
      </c>
      <c r="J6" s="5" t="s">
        <v>436</v>
      </c>
      <c r="K6" s="5" t="s">
        <v>437</v>
      </c>
      <c r="L6" s="5" t="s">
        <v>651</v>
      </c>
      <c r="M6" s="5" t="s">
        <v>438</v>
      </c>
      <c r="N6" s="5" t="s">
        <v>652</v>
      </c>
      <c r="O6" s="5" t="s">
        <v>653</v>
      </c>
      <c r="P6" s="5" t="s">
        <v>654</v>
      </c>
      <c r="Q6" s="5" t="s">
        <v>439</v>
      </c>
      <c r="R6" s="5" t="s">
        <v>756</v>
      </c>
      <c r="S6" s="5" t="s">
        <v>440</v>
      </c>
      <c r="T6" s="5" t="s">
        <v>441</v>
      </c>
      <c r="U6" s="5" t="s">
        <v>442</v>
      </c>
      <c r="V6" s="5" t="s">
        <v>443</v>
      </c>
      <c r="W6" s="5" t="s">
        <v>757</v>
      </c>
      <c r="X6" s="5" t="s">
        <v>655</v>
      </c>
      <c r="Y6" s="5" t="s">
        <v>656</v>
      </c>
      <c r="Z6" s="5" t="s">
        <v>444</v>
      </c>
      <c r="AA6" s="5" t="s">
        <v>657</v>
      </c>
      <c r="AB6" s="5" t="s">
        <v>445</v>
      </c>
      <c r="AC6" s="5" t="s">
        <v>658</v>
      </c>
      <c r="AD6" s="5" t="s">
        <v>659</v>
      </c>
      <c r="AE6" s="5" t="s">
        <v>660</v>
      </c>
      <c r="AF6" s="5" t="s">
        <v>446</v>
      </c>
      <c r="AG6" s="5" t="s">
        <v>447</v>
      </c>
      <c r="AH6" s="5" t="s">
        <v>661</v>
      </c>
      <c r="AI6" s="5" t="s">
        <v>448</v>
      </c>
      <c r="AJ6" s="5" t="s">
        <v>662</v>
      </c>
      <c r="AK6" s="5" t="s">
        <v>663</v>
      </c>
      <c r="AL6" s="5" t="s">
        <v>449</v>
      </c>
      <c r="AM6" s="5" t="s">
        <v>450</v>
      </c>
      <c r="AN6" s="5" t="s">
        <v>664</v>
      </c>
      <c r="AO6" s="5" t="s">
        <v>451</v>
      </c>
      <c r="AP6" s="5" t="s">
        <v>665</v>
      </c>
      <c r="AQ6" s="5" t="s">
        <v>666</v>
      </c>
      <c r="AR6" s="5" t="s">
        <v>667</v>
      </c>
      <c r="AS6" s="5" t="s">
        <v>668</v>
      </c>
      <c r="AT6" s="5" t="s">
        <v>669</v>
      </c>
      <c r="AU6" s="5" t="s">
        <v>670</v>
      </c>
      <c r="AV6" s="5" t="s">
        <v>671</v>
      </c>
      <c r="AW6" s="5" t="s">
        <v>672</v>
      </c>
      <c r="AX6" s="5" t="s">
        <v>673</v>
      </c>
      <c r="AY6" s="5" t="s">
        <v>674</v>
      </c>
      <c r="AZ6" s="5" t="s">
        <v>675</v>
      </c>
      <c r="BA6" s="5" t="s">
        <v>676</v>
      </c>
      <c r="BB6" s="5" t="s">
        <v>758</v>
      </c>
      <c r="BC6" s="5" t="s">
        <v>759</v>
      </c>
      <c r="BD6" s="5" t="s">
        <v>677</v>
      </c>
      <c r="BE6" s="5" t="s">
        <v>678</v>
      </c>
      <c r="BF6" s="5" t="s">
        <v>679</v>
      </c>
      <c r="BG6" s="5" t="s">
        <v>680</v>
      </c>
      <c r="BH6" s="5" t="s">
        <v>681</v>
      </c>
      <c r="BI6" s="5" t="s">
        <v>452</v>
      </c>
      <c r="BJ6" s="5" t="s">
        <v>682</v>
      </c>
      <c r="BK6" s="5" t="s">
        <v>453</v>
      </c>
      <c r="BL6" s="5" t="s">
        <v>683</v>
      </c>
      <c r="BM6" s="5" t="s">
        <v>760</v>
      </c>
      <c r="BN6" s="5" t="s">
        <v>761</v>
      </c>
      <c r="BO6" s="5" t="s">
        <v>762</v>
      </c>
      <c r="BP6" s="5" t="s">
        <v>454</v>
      </c>
      <c r="BQ6" s="5" t="s">
        <v>684</v>
      </c>
      <c r="BR6" s="5" t="s">
        <v>685</v>
      </c>
      <c r="BS6" s="5" t="s">
        <v>455</v>
      </c>
      <c r="BT6" s="5" t="s">
        <v>686</v>
      </c>
      <c r="BU6" s="5" t="s">
        <v>687</v>
      </c>
      <c r="BV6" s="5" t="s">
        <v>688</v>
      </c>
      <c r="BW6" s="5" t="s">
        <v>456</v>
      </c>
      <c r="BX6" s="5" t="s">
        <v>457</v>
      </c>
      <c r="BY6" s="5" t="s">
        <v>458</v>
      </c>
      <c r="BZ6" s="5" t="s">
        <v>459</v>
      </c>
      <c r="CA6" s="5" t="s">
        <v>689</v>
      </c>
      <c r="CB6" s="5" t="s">
        <v>690</v>
      </c>
      <c r="CC6" s="5" t="s">
        <v>460</v>
      </c>
      <c r="CD6" s="5" t="s">
        <v>461</v>
      </c>
      <c r="CE6" s="5" t="s">
        <v>462</v>
      </c>
      <c r="CF6" s="5" t="s">
        <v>463</v>
      </c>
      <c r="CG6" s="5" t="s">
        <v>464</v>
      </c>
      <c r="CH6" s="5" t="s">
        <v>465</v>
      </c>
      <c r="CI6" s="5" t="s">
        <v>466</v>
      </c>
      <c r="CJ6" s="5" t="s">
        <v>691</v>
      </c>
      <c r="CK6" s="5" t="s">
        <v>467</v>
      </c>
      <c r="CL6" s="5" t="s">
        <v>468</v>
      </c>
      <c r="CM6" s="5" t="s">
        <v>469</v>
      </c>
      <c r="CN6" s="5" t="s">
        <v>470</v>
      </c>
      <c r="CO6" s="5" t="s">
        <v>471</v>
      </c>
      <c r="CP6" s="5" t="s">
        <v>472</v>
      </c>
      <c r="CQ6" s="5" t="s">
        <v>473</v>
      </c>
      <c r="CR6" s="5" t="s">
        <v>474</v>
      </c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">
      <c r="A7" s="3"/>
      <c r="B7" s="33"/>
      <c r="C7" t="str">
        <f>Notes!T9</f>
        <v>All sectors</v>
      </c>
      <c r="D7" s="5" t="str">
        <f>Notes!D9</f>
        <v>aa_GDP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">
      <c r="A8" s="3"/>
      <c r="B8" s="33"/>
      <c r="C8" t="str">
        <f>Notes!T10</f>
        <v>Agriculture</v>
      </c>
      <c r="D8" s="5" t="str">
        <f>Notes!D10</f>
        <v>aa_AGRI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">
      <c r="A9" s="3"/>
      <c r="B9" s="33"/>
      <c r="C9" t="str">
        <f>Notes!T11</f>
        <v xml:space="preserve">   Crops</v>
      </c>
      <c r="D9" s="5" t="str">
        <f>Notes!D11</f>
        <v>aa_CROP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">
      <c r="A10" s="3"/>
      <c r="B10" s="33"/>
      <c r="C10" t="str">
        <f>Notes!T12</f>
        <v xml:space="preserve">      Maize</v>
      </c>
      <c r="D10" s="5" t="str">
        <f>Notes!D12</f>
        <v>a_maiz</v>
      </c>
      <c r="E10" s="5">
        <v>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">
      <c r="A11" s="3"/>
      <c r="B11" s="33"/>
      <c r="C11" t="str">
        <f>Notes!T13</f>
        <v xml:space="preserve">      Sorghum and millet</v>
      </c>
      <c r="D11" s="5" t="str">
        <f>Notes!D13</f>
        <v>a_sorg</v>
      </c>
      <c r="E11" s="5"/>
      <c r="F11" s="5"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">
      <c r="A12" s="3"/>
      <c r="B12" s="33"/>
      <c r="C12" t="str">
        <f>Notes!T14</f>
        <v xml:space="preserve">      Rice paddy (Aman)</v>
      </c>
      <c r="D12" s="5" t="str">
        <f>Notes!D14</f>
        <v>a_aman</v>
      </c>
      <c r="E12" s="5"/>
      <c r="F12" s="5"/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">
      <c r="A13" s="3"/>
      <c r="B13" s="33"/>
      <c r="C13" t="str">
        <f>Notes!T15</f>
        <v xml:space="preserve">      Rice paddy (Boro)</v>
      </c>
      <c r="D13" s="5" t="str">
        <f>Notes!D15</f>
        <v>a_boro</v>
      </c>
      <c r="E13" s="5"/>
      <c r="F13" s="5"/>
      <c r="G13" s="5"/>
      <c r="H13" s="5">
        <v>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">
      <c r="A14" s="3"/>
      <c r="B14" s="33"/>
      <c r="C14" t="str">
        <f>Notes!T16</f>
        <v xml:space="preserve">      Wheat and barley</v>
      </c>
      <c r="D14" s="5" t="str">
        <f>Notes!D16</f>
        <v>a_whea</v>
      </c>
      <c r="E14" s="5"/>
      <c r="F14" s="5"/>
      <c r="G14" s="5"/>
      <c r="H14" s="5"/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">
      <c r="A15" s="3"/>
      <c r="B15" s="33"/>
      <c r="C15" t="str">
        <f>Notes!T17</f>
        <v xml:space="preserve">      Other cereals</v>
      </c>
      <c r="D15" s="5" t="str">
        <f>Notes!D17</f>
        <v>a_ocer</v>
      </c>
      <c r="E15" s="5"/>
      <c r="F15" s="5"/>
      <c r="G15" s="5"/>
      <c r="H15" s="5"/>
      <c r="I15" s="5"/>
      <c r="J15" s="5">
        <v>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">
      <c r="A16" s="3"/>
      <c r="B16" s="33"/>
      <c r="C16" t="str">
        <f>Notes!T18</f>
        <v xml:space="preserve">      Pulses</v>
      </c>
      <c r="D16" s="5" t="str">
        <f>Notes!D18</f>
        <v>a_puls</v>
      </c>
      <c r="E16" s="5"/>
      <c r="F16" s="5"/>
      <c r="G16" s="5"/>
      <c r="H16" s="5"/>
      <c r="I16" s="5"/>
      <c r="J16" s="5"/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">
      <c r="A17" s="3"/>
      <c r="B17" s="33"/>
      <c r="C17" t="str">
        <f>Notes!T19</f>
        <v xml:space="preserve">      Groundnuts</v>
      </c>
      <c r="D17" s="5" t="str">
        <f>Notes!D19</f>
        <v>a_gnut</v>
      </c>
      <c r="E17" s="5"/>
      <c r="F17" s="5"/>
      <c r="G17" s="5"/>
      <c r="H17" s="5"/>
      <c r="I17" s="5"/>
      <c r="J17" s="5"/>
      <c r="K17" s="5"/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">
      <c r="A18" s="3"/>
      <c r="B18" s="33"/>
      <c r="C18" t="str">
        <f>Notes!T20</f>
        <v xml:space="preserve">      Other oilseeds</v>
      </c>
      <c r="D18" s="5" t="str">
        <f>Notes!D20</f>
        <v>a_oils</v>
      </c>
      <c r="E18" s="5"/>
      <c r="F18" s="5"/>
      <c r="G18" s="5"/>
      <c r="H18" s="5"/>
      <c r="I18" s="5"/>
      <c r="J18" s="5"/>
      <c r="K18" s="5"/>
      <c r="L18" s="5"/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">
      <c r="A19" s="3"/>
      <c r="B19" s="33"/>
      <c r="C19" t="str">
        <f>Notes!T21</f>
        <v xml:space="preserve">      Cassava</v>
      </c>
      <c r="D19" s="5" t="str">
        <f>Notes!D21</f>
        <v>a_cass</v>
      </c>
      <c r="E19" s="5"/>
      <c r="F19" s="5"/>
      <c r="G19" s="5"/>
      <c r="H19" s="5"/>
      <c r="I19" s="5"/>
      <c r="J19" s="5"/>
      <c r="K19" s="5"/>
      <c r="L19" s="5"/>
      <c r="M19" s="5"/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">
      <c r="A20" s="3"/>
      <c r="B20" s="33"/>
      <c r="C20" t="str">
        <f>Notes!T22</f>
        <v xml:space="preserve">      Irish potatoes</v>
      </c>
      <c r="D20" s="5" t="str">
        <f>Notes!D22</f>
        <v>a_ipot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">
      <c r="A21" s="3"/>
      <c r="B21" s="33"/>
      <c r="C21" t="str">
        <f>Notes!T23</f>
        <v xml:space="preserve">      Sweet potatoes</v>
      </c>
      <c r="D21" s="5" t="str">
        <f>Notes!D23</f>
        <v>a_spot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">
      <c r="A22" s="3"/>
      <c r="B22" s="33"/>
      <c r="C22" t="str">
        <f>Notes!T24</f>
        <v xml:space="preserve">      Other roots</v>
      </c>
      <c r="D22" s="5" t="str">
        <f>Notes!D24</f>
        <v>a_root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">
      <c r="A23" s="3"/>
      <c r="B23" s="33"/>
      <c r="C23" t="str">
        <f>Notes!T25</f>
        <v xml:space="preserve">      Leafy vegetables</v>
      </c>
      <c r="D23" s="5" t="str">
        <f>Notes!D25</f>
        <v>a_leaf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">
      <c r="A24" s="3"/>
      <c r="B24" s="33"/>
      <c r="C24" t="str">
        <f>Notes!T26</f>
        <v xml:space="preserve">      Other vegetables</v>
      </c>
      <c r="D24" s="5" t="str">
        <f>Notes!D26</f>
        <v>a_vege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">
      <c r="A25" s="3"/>
      <c r="B25" s="33"/>
      <c r="C25" t="str">
        <f>Notes!T27</f>
        <v xml:space="preserve">      Sugarcane</v>
      </c>
      <c r="D25" s="5" t="str">
        <f>Notes!D27</f>
        <v>a_sugr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">
      <c r="A26" s="3"/>
      <c r="B26" s="33"/>
      <c r="C26" t="str">
        <f>Notes!T28</f>
        <v xml:space="preserve">      Tobacco</v>
      </c>
      <c r="D26" s="5" t="str">
        <f>Notes!D28</f>
        <v>a_toba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">
      <c r="A27" s="3"/>
      <c r="B27" s="33"/>
      <c r="C27" t="str">
        <f>Notes!T29</f>
        <v xml:space="preserve">      Cotton and fibres</v>
      </c>
      <c r="D27" s="5" t="str">
        <f>Notes!D29</f>
        <v>a_cott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">
      <c r="A28" s="3"/>
      <c r="B28" s="33"/>
      <c r="C28" t="str">
        <f>Notes!T30</f>
        <v xml:space="preserve">      Jute</v>
      </c>
      <c r="D28" s="5" t="str">
        <f>Notes!D30</f>
        <v>a_jute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">
      <c r="A29" s="3"/>
      <c r="B29" s="33"/>
      <c r="C29" t="str">
        <f>Notes!T31</f>
        <v xml:space="preserve">      Nuts</v>
      </c>
      <c r="D29" s="5" t="str">
        <f>Notes!D31</f>
        <v>a_nuts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>
        <v>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">
      <c r="A30" s="3"/>
      <c r="B30" s="33"/>
      <c r="C30" t="str">
        <f>Notes!T32</f>
        <v xml:space="preserve">      Bananas and plantains</v>
      </c>
      <c r="D30" s="5" t="str">
        <f>Notes!D32</f>
        <v>a_bana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">
      <c r="A31" s="3"/>
      <c r="B31" s="33"/>
      <c r="C31" t="str">
        <f>Notes!T33</f>
        <v xml:space="preserve">      Other fruits</v>
      </c>
      <c r="D31" s="5" t="str">
        <f>Notes!D33</f>
        <v>a_frui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1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">
      <c r="A32" s="3"/>
      <c r="B32" s="33"/>
      <c r="C32" t="str">
        <f>Notes!T34</f>
        <v xml:space="preserve">      Leaf tea</v>
      </c>
      <c r="D32" s="5" t="str">
        <f>Notes!D34</f>
        <v>a_teal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1:154" x14ac:dyDescent="0.3">
      <c r="A33" s="3"/>
      <c r="B33" s="33"/>
      <c r="C33" t="str">
        <f>Notes!T35</f>
        <v xml:space="preserve">      Coffee</v>
      </c>
      <c r="D33" s="5" t="str">
        <f>Notes!D35</f>
        <v>a_coff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1:154" x14ac:dyDescent="0.3">
      <c r="A34" s="3"/>
      <c r="B34" s="33"/>
      <c r="C34" t="str">
        <f>Notes!T36</f>
        <v xml:space="preserve">      Cocoa</v>
      </c>
      <c r="D34" s="5" t="str">
        <f>Notes!D36</f>
        <v>a_coco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1:154" x14ac:dyDescent="0.3">
      <c r="A35" s="3"/>
      <c r="B35" s="33"/>
      <c r="C35" t="str">
        <f>Notes!T37</f>
        <v xml:space="preserve">      Cut flowers</v>
      </c>
      <c r="D35" s="5" t="str">
        <f>Notes!D37</f>
        <v>a_flwr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1:154" x14ac:dyDescent="0.3">
      <c r="A36" s="3"/>
      <c r="B36" s="33"/>
      <c r="C36" t="str">
        <f>Notes!T38</f>
        <v xml:space="preserve">      Rubber</v>
      </c>
      <c r="D36" s="5" t="str">
        <f>Notes!D38</f>
        <v>a_rubb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1:154" x14ac:dyDescent="0.3">
      <c r="A37" s="3"/>
      <c r="B37" s="33"/>
      <c r="C37" t="str">
        <f>Notes!T39</f>
        <v xml:space="preserve">      Other crops</v>
      </c>
      <c r="D37" s="5" t="str">
        <f>Notes!D39</f>
        <v>a_ocrp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1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1:154" x14ac:dyDescent="0.3">
      <c r="A38" s="3"/>
      <c r="B38" s="33"/>
      <c r="C38" t="str">
        <f>Notes!T40</f>
        <v xml:space="preserve">   Livestock</v>
      </c>
      <c r="D38" s="5" t="str">
        <f>Notes!D40</f>
        <v>aa_LIVE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1:154" x14ac:dyDescent="0.3">
      <c r="A39" s="3"/>
      <c r="B39" s="33"/>
      <c r="C39" t="str">
        <f>Notes!T41</f>
        <v xml:space="preserve">      Cattle</v>
      </c>
      <c r="D39" s="5" t="str">
        <f>Notes!D41</f>
        <v>a_catt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1:154" x14ac:dyDescent="0.3">
      <c r="A40" s="3"/>
      <c r="B40" s="33"/>
      <c r="C40" t="str">
        <f>Notes!T42</f>
        <v xml:space="preserve">      Raw milk</v>
      </c>
      <c r="D40" s="5" t="str">
        <f>Notes!D42</f>
        <v>a_milk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1:154" x14ac:dyDescent="0.3">
      <c r="A41" s="3"/>
      <c r="B41" s="33"/>
      <c r="C41" t="str">
        <f>Notes!T43</f>
        <v xml:space="preserve">      Poultry</v>
      </c>
      <c r="D41" s="5" t="str">
        <f>Notes!D43</f>
        <v>a_poul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1:154" x14ac:dyDescent="0.3">
      <c r="A42" s="3"/>
      <c r="B42" s="33"/>
      <c r="C42" t="str">
        <f>Notes!T44</f>
        <v xml:space="preserve">      Eggs</v>
      </c>
      <c r="D42" s="5" t="str">
        <f>Notes!D44</f>
        <v>a_eggs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1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1:154" x14ac:dyDescent="0.3">
      <c r="A43" s="3"/>
      <c r="B43" s="33"/>
      <c r="C43" t="str">
        <f>Notes!T45</f>
        <v xml:space="preserve">      Small ruminants</v>
      </c>
      <c r="D43" s="5" t="str">
        <f>Notes!D45</f>
        <v>a_smlr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1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1:154" x14ac:dyDescent="0.3">
      <c r="A44" s="3"/>
      <c r="B44" s="33"/>
      <c r="C44" t="str">
        <f>Notes!T46</f>
        <v xml:space="preserve">      Other livestock</v>
      </c>
      <c r="D44" s="5" t="str">
        <f>Notes!D46</f>
        <v>a_oliv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1:154" x14ac:dyDescent="0.3">
      <c r="A45" s="3"/>
      <c r="B45" s="33"/>
      <c r="C45" t="str">
        <f>Notes!T47</f>
        <v xml:space="preserve">   Other agriculture</v>
      </c>
      <c r="D45" s="5" t="str">
        <f>Notes!D47</f>
        <v>aa_OAGR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</v>
      </c>
      <c r="AN45" s="5">
        <v>1</v>
      </c>
      <c r="AO45" s="5">
        <v>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1:154" x14ac:dyDescent="0.3">
      <c r="A46" s="3"/>
      <c r="B46" s="33"/>
      <c r="C46" t="str">
        <f>Notes!T48</f>
        <v xml:space="preserve">      Forestry</v>
      </c>
      <c r="D46" s="5" t="str">
        <f>Notes!D48</f>
        <v>a_fore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>
        <v>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1:154" x14ac:dyDescent="0.3">
      <c r="A47" s="3"/>
      <c r="B47" s="33"/>
      <c r="C47" t="str">
        <f>Notes!T49</f>
        <v xml:space="preserve">      Aquaculture</v>
      </c>
      <c r="D47" s="5" t="str">
        <f>Notes!D49</f>
        <v>a_aqua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1:154" x14ac:dyDescent="0.3">
      <c r="A48" s="3"/>
      <c r="B48" s="33"/>
      <c r="C48" t="str">
        <f>Notes!T50</f>
        <v xml:space="preserve">      Capture fisheries</v>
      </c>
      <c r="D48" s="5" t="str">
        <f>Notes!D50</f>
        <v>a_fish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>
        <v>1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1:154" x14ac:dyDescent="0.3">
      <c r="A49" s="3"/>
      <c r="B49" s="33"/>
      <c r="C49" t="str">
        <f>Notes!T51</f>
        <v>Industry</v>
      </c>
      <c r="D49" s="5" t="str">
        <f>Notes!D51</f>
        <v>aa_INDU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1:154" x14ac:dyDescent="0.3">
      <c r="A50" s="3"/>
      <c r="B50" s="33"/>
      <c r="C50" t="str">
        <f>Notes!T52</f>
        <v xml:space="preserve">   Mining</v>
      </c>
      <c r="D50" s="5" t="str">
        <f>Notes!D52</f>
        <v>aa_MINE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>
        <v>1</v>
      </c>
      <c r="AQ50" s="5">
        <v>1</v>
      </c>
      <c r="AR50" s="5">
        <v>1</v>
      </c>
      <c r="AS50" s="5">
        <v>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1:154" x14ac:dyDescent="0.3">
      <c r="A51" s="3"/>
      <c r="B51" s="33"/>
      <c r="C51" t="str">
        <f>Notes!T53</f>
        <v xml:space="preserve">      Coal and lignite</v>
      </c>
      <c r="D51" s="5" t="str">
        <f>Notes!D53</f>
        <v>a_coal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>
        <v>1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1:154" x14ac:dyDescent="0.3">
      <c r="A52" s="3"/>
      <c r="B52" s="33"/>
      <c r="C52" t="str">
        <f>Notes!T54</f>
        <v xml:space="preserve">      Crude oil</v>
      </c>
      <c r="D52" s="5" t="str">
        <f>Notes!D54</f>
        <v>a_coil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1:154" x14ac:dyDescent="0.3">
      <c r="A53" s="3"/>
      <c r="B53" s="33"/>
      <c r="C53" t="str">
        <f>Notes!T55</f>
        <v xml:space="preserve">      Natural gas</v>
      </c>
      <c r="D53" s="5" t="str">
        <f>Notes!D55</f>
        <v>a_ngas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1:154" x14ac:dyDescent="0.3">
      <c r="A54" s="3"/>
      <c r="B54" s="33"/>
      <c r="C54" t="str">
        <f>Notes!T56</f>
        <v xml:space="preserve">      Other mining</v>
      </c>
      <c r="D54" s="5" t="str">
        <f>Notes!D56</f>
        <v>a_omin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1:154" x14ac:dyDescent="0.3">
      <c r="A55" s="3"/>
      <c r="B55" s="33"/>
      <c r="C55" t="str">
        <f>Notes!T57</f>
        <v xml:space="preserve">   Manufacturing</v>
      </c>
      <c r="D55" s="5" t="str">
        <f>Notes!D57</f>
        <v>aa_MANU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1:154" x14ac:dyDescent="0.3">
      <c r="A56" s="3"/>
      <c r="B56" s="33"/>
      <c r="C56" t="str">
        <f>Notes!T58</f>
        <v xml:space="preserve">      Food processing</v>
      </c>
      <c r="D56" s="5" t="str">
        <f>Notes!D58</f>
        <v>aa_FOOD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1:154" x14ac:dyDescent="0.3">
      <c r="A57" s="3"/>
      <c r="B57" s="33"/>
      <c r="C57" t="str">
        <f>Notes!T59</f>
        <v xml:space="preserve">         Meat processing</v>
      </c>
      <c r="D57" s="5" t="str">
        <f>Notes!D59</f>
        <v>a_meat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1:154" x14ac:dyDescent="0.3">
      <c r="A58" s="3"/>
      <c r="B58" s="33"/>
      <c r="C58" t="str">
        <f>Notes!T60</f>
        <v xml:space="preserve">         Fish and seafood processing</v>
      </c>
      <c r="D58" s="5" t="str">
        <f>Notes!D60</f>
        <v>a_fsea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1:154" x14ac:dyDescent="0.3">
      <c r="A59" s="3"/>
      <c r="B59" s="33"/>
      <c r="C59" t="str">
        <f>Notes!T61</f>
        <v xml:space="preserve">         Dairy</v>
      </c>
      <c r="D59" s="5" t="str">
        <f>Notes!D61</f>
        <v>a_dair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</v>
      </c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1:154" x14ac:dyDescent="0.3">
      <c r="A60" s="3"/>
      <c r="B60" s="33"/>
      <c r="C60" t="str">
        <f>Notes!T62</f>
        <v xml:space="preserve">         Fruit and vegetable processing</v>
      </c>
      <c r="D60" s="5" t="str">
        <f>Notes!D62</f>
        <v>a_fveg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1:154" x14ac:dyDescent="0.3">
      <c r="A61" s="3"/>
      <c r="B61" s="33"/>
      <c r="C61" t="str">
        <f>Notes!T63</f>
        <v xml:space="preserve">         Fats and oils</v>
      </c>
      <c r="D61" s="5" t="str">
        <f>Notes!D63</f>
        <v>a_foil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</v>
      </c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1:154" x14ac:dyDescent="0.3">
      <c r="A62" s="3"/>
      <c r="B62" s="33"/>
      <c r="C62" t="str">
        <f>Notes!T64</f>
        <v xml:space="preserve">         Maize milling</v>
      </c>
      <c r="D62" s="5" t="str">
        <f>Notes!D64</f>
        <v>a_mmll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1:154" x14ac:dyDescent="0.3">
      <c r="A63" s="3"/>
      <c r="B63" s="33"/>
      <c r="C63" t="str">
        <f>Notes!T65</f>
        <v xml:space="preserve">         Sorghum and millet milling</v>
      </c>
      <c r="D63" s="5" t="str">
        <f>Notes!D65</f>
        <v>a_smll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1:154" x14ac:dyDescent="0.3">
      <c r="A64" s="3"/>
      <c r="B64" s="33"/>
      <c r="C64" t="str">
        <f>Notes!T66</f>
        <v xml:space="preserve">         Rice milling</v>
      </c>
      <c r="D64" s="5" t="str">
        <f>Notes!D66</f>
        <v>a_rmll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1:154" x14ac:dyDescent="0.3">
      <c r="A65" s="3"/>
      <c r="B65" s="33"/>
      <c r="C65" t="str">
        <f>Notes!T67</f>
        <v xml:space="preserve">         Rice milling - coarse</v>
      </c>
      <c r="D65" s="5" t="str">
        <f>Notes!D67</f>
        <v>a_rmlc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1:154" x14ac:dyDescent="0.3">
      <c r="A66" s="3"/>
      <c r="B66" s="33"/>
      <c r="C66" t="str">
        <f>Notes!T68</f>
        <v xml:space="preserve">         Rice milling - other</v>
      </c>
      <c r="D66" s="5" t="str">
        <f>Notes!D68</f>
        <v>a_rmlo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1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1:154" x14ac:dyDescent="0.3">
      <c r="A67" s="3"/>
      <c r="B67" s="33"/>
      <c r="C67" t="str">
        <f>Notes!T69</f>
        <v xml:space="preserve">         Wheat and barley milling</v>
      </c>
      <c r="D67" s="5" t="str">
        <f>Notes!D69</f>
        <v>a_wmll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</v>
      </c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1:154" x14ac:dyDescent="0.3">
      <c r="A68" s="3"/>
      <c r="B68" s="33"/>
      <c r="C68" t="str">
        <f>Notes!T70</f>
        <v xml:space="preserve">         Other grain milling</v>
      </c>
      <c r="D68" s="5" t="str">
        <f>Notes!D70</f>
        <v>a_gmll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1:154" x14ac:dyDescent="0.3">
      <c r="A69" s="3"/>
      <c r="B69" s="33"/>
      <c r="C69" t="str">
        <f>Notes!T71</f>
        <v xml:space="preserve">         Sugar refining</v>
      </c>
      <c r="D69" s="5" t="str">
        <f>Notes!D71</f>
        <v>a_sref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1:154" x14ac:dyDescent="0.3">
      <c r="A70" s="3"/>
      <c r="B70" s="33"/>
      <c r="C70" t="str">
        <f>Notes!T72</f>
        <v xml:space="preserve">         Coffee processing</v>
      </c>
      <c r="D70" s="5" t="str">
        <f>Notes!D72</f>
        <v>a_pcof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1:154" x14ac:dyDescent="0.3">
      <c r="A71" s="3"/>
      <c r="B71" s="33"/>
      <c r="C71" t="str">
        <f>Notes!T73</f>
        <v xml:space="preserve">         Tea processing</v>
      </c>
      <c r="D71" s="5" t="str">
        <f>Notes!D73</f>
        <v>a_ptea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1</v>
      </c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1:154" x14ac:dyDescent="0.3">
      <c r="A72" s="3"/>
      <c r="B72" s="33"/>
      <c r="C72" t="str">
        <f>Notes!T74</f>
        <v xml:space="preserve">         Other foods</v>
      </c>
      <c r="D72" s="5" t="str">
        <f>Notes!D74</f>
        <v>a_food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1:154" x14ac:dyDescent="0.3">
      <c r="A73" s="3"/>
      <c r="B73" s="33"/>
      <c r="C73" t="str">
        <f>Notes!T75</f>
        <v xml:space="preserve">         Animal feed</v>
      </c>
      <c r="D73" s="5" t="str">
        <f>Notes!D75</f>
        <v>a_feed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1:154" x14ac:dyDescent="0.3">
      <c r="A74" s="3"/>
      <c r="B74" s="33"/>
      <c r="C74" t="str">
        <f>Notes!T76</f>
        <v xml:space="preserve">      Beverages and tobacco</v>
      </c>
      <c r="D74" s="5" t="str">
        <f>Notes!D76</f>
        <v>aa_BEVE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1</v>
      </c>
      <c r="BL74" s="5">
        <v>1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1:154" x14ac:dyDescent="0.3">
      <c r="A75" s="3"/>
      <c r="B75" s="33"/>
      <c r="C75" t="str">
        <f>Notes!T77</f>
        <v xml:space="preserve">         Beverages</v>
      </c>
      <c r="D75" s="5" t="str">
        <f>Notes!D77</f>
        <v>a_beve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1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1:154" x14ac:dyDescent="0.3">
      <c r="A76" s="3"/>
      <c r="B76" s="33"/>
      <c r="C76" t="str">
        <f>Notes!T78</f>
        <v xml:space="preserve">         Tobacco processing</v>
      </c>
      <c r="D76" s="5" t="str">
        <f>Notes!D78</f>
        <v>a_ptob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1:154" x14ac:dyDescent="0.3">
      <c r="A77" s="3"/>
      <c r="B77" s="33"/>
      <c r="C77" t="str">
        <f>Notes!T79</f>
        <v xml:space="preserve">      Textiles, clothing and leather</v>
      </c>
      <c r="D77" s="5" t="str">
        <f>Notes!D79</f>
        <v>aa_TEXT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1:154" x14ac:dyDescent="0.3">
      <c r="A78" s="3"/>
      <c r="B78" s="33"/>
      <c r="C78" t="str">
        <f>Notes!T80</f>
        <v xml:space="preserve">         Jute baling</v>
      </c>
      <c r="D78" s="5" t="str">
        <f>Notes!D80</f>
        <v>a_bale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1:154" x14ac:dyDescent="0.3">
      <c r="A79" s="3"/>
      <c r="B79" s="33"/>
      <c r="C79" t="str">
        <f>Notes!T81</f>
        <v xml:space="preserve">         Jute fabrication</v>
      </c>
      <c r="D79" s="5" t="str">
        <f>Notes!D81</f>
        <v>a_pjut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1:154" x14ac:dyDescent="0.3">
      <c r="A80" s="3"/>
      <c r="B80" s="33"/>
      <c r="C80" t="str">
        <f>Notes!T82</f>
        <v xml:space="preserve">         Cotton yarn</v>
      </c>
      <c r="D80" s="5" t="str">
        <f>Notes!D82</f>
        <v>a_yarn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1:154" x14ac:dyDescent="0.3">
      <c r="A81" s="3"/>
      <c r="B81" s="33"/>
      <c r="C81" t="str">
        <f>Notes!T83</f>
        <v xml:space="preserve">         Textiles</v>
      </c>
      <c r="D81" s="5" t="str">
        <f>Notes!D83</f>
        <v>a_text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1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1:154" x14ac:dyDescent="0.3">
      <c r="A82" s="3"/>
      <c r="B82" s="33"/>
      <c r="C82" t="str">
        <f>Notes!T84</f>
        <v xml:space="preserve">         Clothing</v>
      </c>
      <c r="D82" s="5" t="str">
        <f>Notes!D84</f>
        <v>a_clth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>
        <v>1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1:154" x14ac:dyDescent="0.3">
      <c r="A83" s="3"/>
      <c r="B83" s="33"/>
      <c r="C83" t="str">
        <f>Notes!T85</f>
        <v xml:space="preserve">         Leather and footwear</v>
      </c>
      <c r="D83" s="5" t="str">
        <f>Notes!D85</f>
        <v>a_leat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>
        <v>1</v>
      </c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1:154" x14ac:dyDescent="0.3">
      <c r="A84" s="3"/>
      <c r="B84" s="33"/>
      <c r="C84" t="str">
        <f>Notes!T86</f>
        <v xml:space="preserve">      Wood and paper products</v>
      </c>
      <c r="D84" s="5" t="str">
        <f>Notes!D86</f>
        <v>aa_WOOD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</v>
      </c>
      <c r="BT84" s="5">
        <v>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1:154" x14ac:dyDescent="0.3">
      <c r="A85" s="3"/>
      <c r="B85" s="33"/>
      <c r="C85" t="str">
        <f>Notes!T87</f>
        <v xml:space="preserve">         Wood products</v>
      </c>
      <c r="D85" s="5" t="str">
        <f>Notes!D87</f>
        <v>a_wood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1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1:154" x14ac:dyDescent="0.3">
      <c r="A86" s="3"/>
      <c r="B86" s="33"/>
      <c r="C86" t="str">
        <f>Notes!T88</f>
        <v xml:space="preserve">         Paper products and publishing</v>
      </c>
      <c r="D86" s="5" t="str">
        <f>Notes!D88</f>
        <v>a_papr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1:154" x14ac:dyDescent="0.3">
      <c r="A87" s="3"/>
      <c r="B87" s="33"/>
      <c r="C87" t="str">
        <f>Notes!T89</f>
        <v xml:space="preserve">      Chemical products</v>
      </c>
      <c r="D87" s="5" t="str">
        <f>Notes!D89</f>
        <v>aa_CHEM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>
        <v>1</v>
      </c>
      <c r="BV87" s="5">
        <v>1</v>
      </c>
      <c r="BW87" s="5">
        <v>1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1:154" x14ac:dyDescent="0.3">
      <c r="A88" s="3"/>
      <c r="B88" s="33"/>
      <c r="C88" t="str">
        <f>Notes!T90</f>
        <v xml:space="preserve">         Petroleum products</v>
      </c>
      <c r="D88" s="5" t="str">
        <f>Notes!D90</f>
        <v>a_petr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>
        <v>1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1:154" x14ac:dyDescent="0.3">
      <c r="A89" s="3"/>
      <c r="B89" s="33"/>
      <c r="C89" t="str">
        <f>Notes!T91</f>
        <v xml:space="preserve">         Fertilizers and herbicides</v>
      </c>
      <c r="D89" s="5" t="str">
        <f>Notes!D91</f>
        <v>a_fert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1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1:154" x14ac:dyDescent="0.3">
      <c r="A90" s="3"/>
      <c r="B90" s="33"/>
      <c r="C90" t="str">
        <f>Notes!T92</f>
        <v xml:space="preserve">         Other chemicals</v>
      </c>
      <c r="D90" s="5" t="str">
        <f>Notes!D92</f>
        <v>a_chem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1:154" x14ac:dyDescent="0.3">
      <c r="A91" s="3"/>
      <c r="B91" s="33"/>
      <c r="C91" t="str">
        <f>Notes!T93</f>
        <v xml:space="preserve">      Non-metal minerals</v>
      </c>
      <c r="D91" s="5" t="str">
        <f>Notes!D93</f>
        <v>a_nmet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1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1:154" x14ac:dyDescent="0.3">
      <c r="A92" s="3"/>
      <c r="B92" s="33"/>
      <c r="C92" t="str">
        <f>Notes!T94</f>
        <v xml:space="preserve">      Metals and metal products</v>
      </c>
      <c r="D92" s="5" t="str">
        <f>Notes!D94</f>
        <v>a_metl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>
        <v>1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1:154" x14ac:dyDescent="0.3">
      <c r="A93" s="3"/>
      <c r="B93" s="33"/>
      <c r="C93" t="str">
        <f>Notes!T95</f>
        <v xml:space="preserve">      Machinery and equipment</v>
      </c>
      <c r="D93" s="5" t="str">
        <f>Notes!D95</f>
        <v>aa_MACH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</v>
      </c>
      <c r="CA93" s="5">
        <v>1</v>
      </c>
      <c r="CB93" s="5">
        <v>1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1:154" x14ac:dyDescent="0.3">
      <c r="A94" s="3"/>
      <c r="B94" s="33"/>
      <c r="C94" t="str">
        <f>Notes!T96</f>
        <v xml:space="preserve">         Machinery and other equipment</v>
      </c>
      <c r="D94" s="5" t="str">
        <f>Notes!D96</f>
        <v>a_mach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1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1:154" x14ac:dyDescent="0.3">
      <c r="A95" s="3"/>
      <c r="B95" s="33"/>
      <c r="C95" t="str">
        <f>Notes!T97</f>
        <v xml:space="preserve">         Electrical equipment</v>
      </c>
      <c r="D95" s="5" t="str">
        <f>Notes!D97</f>
        <v>a_equi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1:154" x14ac:dyDescent="0.3">
      <c r="A96" s="3"/>
      <c r="B96" s="33"/>
      <c r="C96" t="str">
        <f>Notes!T98</f>
        <v xml:space="preserve">         Vehicles and transport equipment</v>
      </c>
      <c r="D96" s="5" t="str">
        <f>Notes!D98</f>
        <v>a_vehi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>
        <v>1</v>
      </c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1:154" x14ac:dyDescent="0.3">
      <c r="A97" s="3"/>
      <c r="B97" s="33"/>
      <c r="C97" t="str">
        <f>Notes!T99</f>
        <v xml:space="preserve">      Other manufacturing</v>
      </c>
      <c r="D97" s="5" t="str">
        <f>Notes!D99</f>
        <v>a_oman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>
        <v>1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1:154" x14ac:dyDescent="0.3">
      <c r="A98" s="3"/>
      <c r="B98" s="33"/>
      <c r="C98" t="str">
        <f>Notes!T100</f>
        <v xml:space="preserve">   Utilities</v>
      </c>
      <c r="D98" s="5" t="str">
        <f>Notes!D100</f>
        <v>aa_UTIL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>
        <v>1</v>
      </c>
      <c r="CE98" s="5">
        <v>1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1:154" x14ac:dyDescent="0.3">
      <c r="A99" s="3"/>
      <c r="B99" s="33"/>
      <c r="C99" t="str">
        <f>Notes!T101</f>
        <v xml:space="preserve">      Electricity, gas and steam</v>
      </c>
      <c r="D99" s="5" t="str">
        <f>Notes!D101</f>
        <v>a_elec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>
        <v>1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1:154" x14ac:dyDescent="0.3">
      <c r="A100" s="3"/>
      <c r="B100" s="33"/>
      <c r="C100" t="str">
        <f>Notes!T102</f>
        <v xml:space="preserve">      Water supply and sewage</v>
      </c>
      <c r="D100" s="5" t="str">
        <f>Notes!D102</f>
        <v>a_watr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1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1:154" x14ac:dyDescent="0.3">
      <c r="A101" s="3"/>
      <c r="B101" s="33"/>
      <c r="C101" t="str">
        <f>Notes!T103</f>
        <v xml:space="preserve">   Construction</v>
      </c>
      <c r="D101" s="5" t="str">
        <f>Notes!D103</f>
        <v>a_cons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>
        <v>1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1:154" x14ac:dyDescent="0.3">
      <c r="A102" s="3"/>
      <c r="B102" s="33"/>
      <c r="C102" t="str">
        <f>Notes!T104</f>
        <v>Services</v>
      </c>
      <c r="D102" s="5" t="str">
        <f>Notes!D104</f>
        <v>aa_SERV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1:154" x14ac:dyDescent="0.3">
      <c r="A103" s="3"/>
      <c r="B103" s="33"/>
      <c r="C103" t="str">
        <f>Notes!T105</f>
        <v xml:space="preserve">   Trade and food services</v>
      </c>
      <c r="D103" s="5" t="str">
        <f>Notes!D105</f>
        <v>aa_TRAD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>
        <v>1</v>
      </c>
      <c r="CH103" s="5"/>
      <c r="CI103" s="5">
        <v>1</v>
      </c>
      <c r="CJ103" s="5">
        <v>1</v>
      </c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1:154" x14ac:dyDescent="0.3">
      <c r="A104" s="3"/>
      <c r="B104" s="33"/>
      <c r="C104" t="str">
        <f>Notes!T106</f>
        <v xml:space="preserve">      Wholesale and retail trade</v>
      </c>
      <c r="D104" s="5" t="str">
        <f>Notes!D106</f>
        <v>a_trad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>
        <v>1</v>
      </c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1:154" x14ac:dyDescent="0.3">
      <c r="A105" s="3"/>
      <c r="B105" s="33"/>
      <c r="C105" t="str">
        <f>Notes!T107</f>
        <v xml:space="preserve">      Accommodation</v>
      </c>
      <c r="D105" s="5" t="str">
        <f>Notes!D107</f>
        <v>a_hotl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>
        <v>1</v>
      </c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1:154" x14ac:dyDescent="0.3">
      <c r="A106" s="3"/>
      <c r="B106" s="33"/>
      <c r="C106" t="str">
        <f>Notes!T108</f>
        <v xml:space="preserve">      Restaurants and food services</v>
      </c>
      <c r="D106" s="5" t="str">
        <f>Notes!D108</f>
        <v>a_rest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>
        <v>1</v>
      </c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1:154" x14ac:dyDescent="0.3">
      <c r="A107" s="3"/>
      <c r="B107" s="33"/>
      <c r="C107" t="str">
        <f>Notes!T109</f>
        <v xml:space="preserve">   Transport and communication</v>
      </c>
      <c r="D107" s="5" t="str">
        <f>Notes!D109</f>
        <v>aa_TRAN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>
        <v>1</v>
      </c>
      <c r="CI107" s="5"/>
      <c r="CJ107" s="5"/>
      <c r="CK107" s="5">
        <v>1</v>
      </c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1:154" x14ac:dyDescent="0.3">
      <c r="A108" s="3"/>
      <c r="B108" s="33"/>
      <c r="C108" t="str">
        <f>Notes!T110</f>
        <v xml:space="preserve">      Transportation and storage</v>
      </c>
      <c r="D108" s="5" t="str">
        <f>Notes!D110</f>
        <v>a_tran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>
        <v>1</v>
      </c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1:154" x14ac:dyDescent="0.3">
      <c r="A109" s="3"/>
      <c r="B109" s="33"/>
      <c r="C109" t="str">
        <f>Notes!T111</f>
        <v xml:space="preserve">      Information and communication</v>
      </c>
      <c r="D109" s="5" t="str">
        <f>Notes!D111</f>
        <v>a_comm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>
        <v>1</v>
      </c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1:154" x14ac:dyDescent="0.3">
      <c r="A110" s="3"/>
      <c r="B110" s="33"/>
      <c r="C110" t="str">
        <f>Notes!T112</f>
        <v xml:space="preserve">   Finance and business services</v>
      </c>
      <c r="D110" s="5" t="str">
        <f>Notes!D112</f>
        <v>aa_FBSV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>
        <v>1</v>
      </c>
      <c r="CM110" s="5">
        <v>1</v>
      </c>
      <c r="CN110" s="5">
        <v>1</v>
      </c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1:154" x14ac:dyDescent="0.3">
      <c r="A111" s="3"/>
      <c r="B111" s="33"/>
      <c r="C111" t="str">
        <f>Notes!T113</f>
        <v xml:space="preserve">      Finance and insurance</v>
      </c>
      <c r="D111" s="5" t="str">
        <f>Notes!D113</f>
        <v>a_fsrv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>
        <v>1</v>
      </c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1:154" x14ac:dyDescent="0.3">
      <c r="A112" s="3"/>
      <c r="B112" s="33"/>
      <c r="C112" t="str">
        <f>Notes!T114</f>
        <v xml:space="preserve">      Real estate activities</v>
      </c>
      <c r="D112" s="5" t="str">
        <f>Notes!D114</f>
        <v>a_real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>
        <v>1</v>
      </c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1:154" x14ac:dyDescent="0.3">
      <c r="A113" s="3"/>
      <c r="B113" s="33"/>
      <c r="C113" t="str">
        <f>Notes!T115</f>
        <v xml:space="preserve">      Business services</v>
      </c>
      <c r="D113" s="5" t="str">
        <f>Notes!D115</f>
        <v>a_bsrv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>
        <v>1</v>
      </c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1:154" x14ac:dyDescent="0.3">
      <c r="A114" s="3"/>
      <c r="B114" s="33"/>
      <c r="C114" t="str">
        <f>Notes!T116</f>
        <v xml:space="preserve">   Public and social services</v>
      </c>
      <c r="D114" s="5" t="str">
        <f>Notes!D116</f>
        <v>aa_GSRV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>
        <v>1</v>
      </c>
      <c r="CP114" s="5">
        <v>1</v>
      </c>
      <c r="CQ114" s="5">
        <v>1</v>
      </c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1:154" x14ac:dyDescent="0.3">
      <c r="A115" s="3"/>
      <c r="B115" s="33"/>
      <c r="C115" t="str">
        <f>Notes!T117</f>
        <v xml:space="preserve">      Public administration</v>
      </c>
      <c r="D115" s="5" t="str">
        <f>Notes!D117</f>
        <v>a_padm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>
        <v>1</v>
      </c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1:154" x14ac:dyDescent="0.3">
      <c r="A116" s="3"/>
      <c r="B116" s="33"/>
      <c r="C116" t="str">
        <f>Notes!T118</f>
        <v xml:space="preserve">      Education</v>
      </c>
      <c r="D116" s="5" t="str">
        <f>Notes!D118</f>
        <v>a_educ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>
        <v>1</v>
      </c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1:154" x14ac:dyDescent="0.3">
      <c r="A117" s="3"/>
      <c r="B117" s="33"/>
      <c r="C117" t="str">
        <f>Notes!T119</f>
        <v xml:space="preserve">      Health and social work</v>
      </c>
      <c r="D117" s="5" t="str">
        <f>Notes!D119</f>
        <v>a_heal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>
        <v>1</v>
      </c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1:154" x14ac:dyDescent="0.3">
      <c r="A118" s="3"/>
      <c r="B118" s="33"/>
      <c r="C118" t="str">
        <f>Notes!T120</f>
        <v xml:space="preserve">   Other services</v>
      </c>
      <c r="D118" s="5" t="str">
        <f>Notes!D120</f>
        <v>a_osrv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>
        <v>1</v>
      </c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1:154" x14ac:dyDescent="0.3">
      <c r="A119" s="3"/>
      <c r="B119" s="33"/>
      <c r="C119" t="str">
        <f>Notes!T121</f>
        <v xml:space="preserve">               </v>
      </c>
      <c r="D119" s="5">
        <f>Notes!D121</f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1:154" x14ac:dyDescent="0.3">
      <c r="A120" s="3"/>
      <c r="B120" s="33"/>
      <c r="C120" t="str">
        <f>Notes!T122</f>
        <v xml:space="preserve">               </v>
      </c>
      <c r="D120" s="5">
        <f>Notes!D122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1:154" x14ac:dyDescent="0.3">
      <c r="A121" s="3"/>
      <c r="B121" s="33"/>
      <c r="C121" t="str">
        <f>Notes!T123</f>
        <v xml:space="preserve">               </v>
      </c>
      <c r="D121" s="5">
        <f>Notes!D123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1:154" x14ac:dyDescent="0.3">
      <c r="A122" s="3"/>
      <c r="B122" s="33"/>
      <c r="C122" t="str">
        <f>Notes!T124</f>
        <v xml:space="preserve">               </v>
      </c>
      <c r="D122" s="5">
        <f>Notes!D124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1:154" x14ac:dyDescent="0.3">
      <c r="A123" s="3"/>
      <c r="B123" s="33"/>
      <c r="C123" t="str">
        <f>Notes!T125</f>
        <v xml:space="preserve">               </v>
      </c>
      <c r="D123" s="5">
        <f>Notes!D125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1:154" x14ac:dyDescent="0.3">
      <c r="A124" s="3"/>
      <c r="B124" s="33"/>
      <c r="C124" t="str">
        <f>Notes!T126</f>
        <v xml:space="preserve">               </v>
      </c>
      <c r="D124" s="5">
        <f>Notes!D126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1:154" x14ac:dyDescent="0.3">
      <c r="A125" s="3"/>
      <c r="B125" s="33"/>
      <c r="C125" t="str">
        <f>Notes!T127</f>
        <v xml:space="preserve">               </v>
      </c>
      <c r="D125" s="5">
        <f>Notes!D127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1:154" x14ac:dyDescent="0.3">
      <c r="A126" s="3"/>
      <c r="B126" s="33"/>
      <c r="C126" t="str">
        <f>Notes!T128</f>
        <v xml:space="preserve">               </v>
      </c>
      <c r="D126" s="5">
        <f>Notes!D128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1:154" x14ac:dyDescent="0.3">
      <c r="A127" s="3"/>
      <c r="B127" s="33"/>
      <c r="C127" t="str">
        <f>Notes!T129</f>
        <v xml:space="preserve">               </v>
      </c>
      <c r="D127" s="5">
        <f>Notes!D129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1:154" x14ac:dyDescent="0.3">
      <c r="A128" s="3"/>
      <c r="B128" s="33"/>
      <c r="C128" t="str">
        <f>Notes!T130</f>
        <v xml:space="preserve">               </v>
      </c>
      <c r="D128" s="5">
        <f>Notes!D130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1:154" x14ac:dyDescent="0.3">
      <c r="A129" s="3"/>
      <c r="B129" s="33"/>
      <c r="C129" t="str">
        <f>Notes!T131</f>
        <v xml:space="preserve">               </v>
      </c>
      <c r="D129" s="5">
        <f>Notes!D131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1:154" x14ac:dyDescent="0.3">
      <c r="A130" s="3"/>
      <c r="B130" s="33"/>
      <c r="C130" t="str">
        <f>Notes!T132</f>
        <v xml:space="preserve">               </v>
      </c>
      <c r="D130" s="5">
        <f>Notes!D132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1:154" x14ac:dyDescent="0.3">
      <c r="A131" s="3"/>
      <c r="B131" s="33"/>
      <c r="C131" t="str">
        <f>Notes!T133</f>
        <v xml:space="preserve">               </v>
      </c>
      <c r="D131" s="5">
        <f>Notes!D133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1:154" x14ac:dyDescent="0.3">
      <c r="A132" s="3"/>
      <c r="B132" s="33"/>
      <c r="C132" t="str">
        <f>Notes!T134</f>
        <v xml:space="preserve">               </v>
      </c>
      <c r="D132" s="5">
        <f>Notes!D134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1:154" x14ac:dyDescent="0.3">
      <c r="A133" s="3"/>
      <c r="B133" s="33"/>
      <c r="C133" t="str">
        <f>Notes!T135</f>
        <v xml:space="preserve">               </v>
      </c>
      <c r="D133" s="5">
        <f>Notes!D135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1:154" x14ac:dyDescent="0.3">
      <c r="A134" s="3"/>
      <c r="B134" s="33"/>
      <c r="C134" t="str">
        <f>Notes!T136</f>
        <v xml:space="preserve">               </v>
      </c>
      <c r="D134" s="5">
        <f>Notes!D136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1:154" x14ac:dyDescent="0.3">
      <c r="A135" s="3"/>
      <c r="B135" s="33"/>
      <c r="C135" t="str">
        <f>Notes!T137</f>
        <v xml:space="preserve">               </v>
      </c>
      <c r="D135" s="5">
        <f>Notes!D137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1:154" x14ac:dyDescent="0.3">
      <c r="A136" s="3"/>
      <c r="B136" s="33"/>
      <c r="C136" t="str">
        <f>Notes!T138</f>
        <v xml:space="preserve">               </v>
      </c>
      <c r="D136" s="5">
        <f>Notes!D138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1:154" x14ac:dyDescent="0.3">
      <c r="A137" s="3"/>
      <c r="B137" s="33"/>
      <c r="C137" t="str">
        <f>Notes!T139</f>
        <v xml:space="preserve">               </v>
      </c>
      <c r="D137" s="5">
        <f>Notes!D139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1:154" x14ac:dyDescent="0.3">
      <c r="A138" s="3"/>
      <c r="B138" s="33"/>
      <c r="C138" t="str">
        <f>Notes!T140</f>
        <v xml:space="preserve">               </v>
      </c>
      <c r="D138" s="5">
        <f>Notes!D140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1:154" x14ac:dyDescent="0.3">
      <c r="A139" s="3"/>
      <c r="B139" s="33"/>
      <c r="C139" t="str">
        <f>Notes!T141</f>
        <v xml:space="preserve">               </v>
      </c>
      <c r="D139" s="5">
        <f>Notes!D141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1:154" x14ac:dyDescent="0.3">
      <c r="A140" s="3"/>
      <c r="B140" s="33"/>
      <c r="C140" t="str">
        <f>Notes!T142</f>
        <v xml:space="preserve">               </v>
      </c>
      <c r="D140" s="5">
        <f>Notes!D142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1:154" x14ac:dyDescent="0.3">
      <c r="A141" s="3"/>
      <c r="B141" s="33"/>
      <c r="C141" t="str">
        <f>Notes!T143</f>
        <v xml:space="preserve">               </v>
      </c>
      <c r="D141" s="5">
        <f>Notes!D143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1:154" x14ac:dyDescent="0.3">
      <c r="A142" s="3"/>
      <c r="B142" s="33"/>
      <c r="C142" t="str">
        <f>Notes!T144</f>
        <v xml:space="preserve">               </v>
      </c>
      <c r="D142" s="5">
        <f>Notes!D144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1:154" x14ac:dyDescent="0.3">
      <c r="A143" s="3"/>
      <c r="B143" s="33"/>
      <c r="C143" t="str">
        <f>Notes!T145</f>
        <v xml:space="preserve">               </v>
      </c>
      <c r="D143" s="5">
        <f>Notes!D145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1:154" x14ac:dyDescent="0.3">
      <c r="A144" s="3"/>
      <c r="B144" s="33"/>
      <c r="C144" t="str">
        <f>Notes!T146</f>
        <v xml:space="preserve">               </v>
      </c>
      <c r="D144" s="5">
        <f>Notes!D146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1:154" x14ac:dyDescent="0.3">
      <c r="A145" s="3"/>
      <c r="B145" s="33"/>
      <c r="C145" t="str">
        <f>Notes!T147</f>
        <v xml:space="preserve">               </v>
      </c>
      <c r="D145" s="5">
        <f>Notes!D147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1:154" x14ac:dyDescent="0.3">
      <c r="A146" s="3"/>
      <c r="B146" s="33"/>
      <c r="C146" t="str">
        <f>Notes!T148</f>
        <v xml:space="preserve">               </v>
      </c>
      <c r="D146" s="5">
        <f>Notes!D148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1:154" x14ac:dyDescent="0.3">
      <c r="A147" s="3"/>
      <c r="B147" s="33"/>
      <c r="C147" t="str">
        <f>Notes!T149</f>
        <v xml:space="preserve">               </v>
      </c>
      <c r="D147" s="5">
        <f>Notes!D149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1:154" x14ac:dyDescent="0.3">
      <c r="A148" s="3"/>
      <c r="B148" s="33"/>
      <c r="C148" t="str">
        <f>Notes!T150</f>
        <v xml:space="preserve">               </v>
      </c>
      <c r="D148" s="5">
        <f>Notes!D150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1:154" x14ac:dyDescent="0.3">
      <c r="A149" s="3"/>
      <c r="B149" s="33"/>
      <c r="C149" t="str">
        <f>Notes!T151</f>
        <v xml:space="preserve">               </v>
      </c>
      <c r="D149" s="5">
        <f>Notes!D151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1:154" x14ac:dyDescent="0.3">
      <c r="A150" s="3"/>
      <c r="B150" s="33"/>
      <c r="C150" t="str">
        <f>Notes!T152</f>
        <v xml:space="preserve">               </v>
      </c>
      <c r="D150" s="5">
        <f>Notes!D152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1:154" x14ac:dyDescent="0.3">
      <c r="A151" s="3"/>
      <c r="B151" s="33"/>
      <c r="C151" t="str">
        <f>Notes!T153</f>
        <v xml:space="preserve">               </v>
      </c>
      <c r="D151" s="5">
        <f>Notes!D153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1:154" x14ac:dyDescent="0.3">
      <c r="A152" s="3"/>
      <c r="B152" s="33"/>
      <c r="C152" t="str">
        <f>Notes!T154</f>
        <v xml:space="preserve">               </v>
      </c>
      <c r="D152" s="5">
        <f>Notes!D154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1:154" x14ac:dyDescent="0.3">
      <c r="A153" s="3"/>
      <c r="B153" s="33"/>
      <c r="C153" t="str">
        <f>Notes!T155</f>
        <v xml:space="preserve">               </v>
      </c>
      <c r="D153" s="5">
        <f>Notes!D155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1:154" x14ac:dyDescent="0.3">
      <c r="A154" s="3"/>
      <c r="B154" s="33"/>
      <c r="C154" t="str">
        <f>Notes!T156</f>
        <v xml:space="preserve">               </v>
      </c>
      <c r="D154" s="5">
        <f>Notes!D156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1:154" x14ac:dyDescent="0.3">
      <c r="A155" s="3"/>
      <c r="B155" s="33"/>
      <c r="C155" t="str">
        <f>Notes!T157</f>
        <v xml:space="preserve">               </v>
      </c>
      <c r="D155" s="5">
        <f>Notes!D157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1:154" x14ac:dyDescent="0.3">
      <c r="A156" s="3"/>
      <c r="B156" s="33"/>
      <c r="C156" t="str">
        <f>Notes!T158</f>
        <v xml:space="preserve">               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1:154" x14ac:dyDescent="0.3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4DB2-BCD0-4FEB-9358-0EA9BE0ACD53}">
  <sheetPr>
    <tabColor theme="9" tint="-0.499984740745262"/>
  </sheetPr>
  <dimension ref="A1:EY157"/>
  <sheetViews>
    <sheetView showZeros="0" zoomScale="85" zoomScaleNormal="85" workbookViewId="0">
      <pane xSplit="4" ySplit="6" topLeftCell="E7" activePane="bottomRight" state="frozen"/>
      <selection activeCell="E6" sqref="E6"/>
      <selection pane="topRight" activeCell="E6" sqref="E6"/>
      <selection pane="bottomLeft" activeCell="E6" sqref="E6"/>
      <selection pane="bottomRight" activeCell="D7" sqref="D7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15.5546875" customWidth="1"/>
    <col min="5" max="154" width="9.109375" customWidth="1"/>
    <col min="155" max="155" width="2.44140625" customWidth="1"/>
    <col min="156" max="16384" width="9.109375" hidden="1"/>
  </cols>
  <sheetData>
    <row r="1" spans="1:155" ht="18" x14ac:dyDescent="0.35">
      <c r="A1" s="9" t="s">
        <v>38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"/>
    <row r="3" spans="1:155" x14ac:dyDescent="0.3"/>
    <row r="4" spans="1:155" x14ac:dyDescent="0.3"/>
    <row r="5" spans="1:155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">
      <c r="B6" s="33"/>
      <c r="D6" s="5"/>
      <c r="E6" s="5" t="s">
        <v>692</v>
      </c>
      <c r="F6" s="5" t="s">
        <v>693</v>
      </c>
      <c r="G6" s="5" t="s">
        <v>694</v>
      </c>
      <c r="H6" s="5" t="s">
        <v>695</v>
      </c>
      <c r="I6" s="5" t="s">
        <v>696</v>
      </c>
      <c r="J6" s="5" t="s">
        <v>697</v>
      </c>
      <c r="K6" s="5" t="s">
        <v>698</v>
      </c>
      <c r="L6" s="5" t="s">
        <v>699</v>
      </c>
      <c r="M6" s="5" t="s">
        <v>6</v>
      </c>
      <c r="N6" s="5" t="s">
        <v>700</v>
      </c>
      <c r="O6" s="5" t="s">
        <v>701</v>
      </c>
      <c r="P6" s="5" t="s">
        <v>702</v>
      </c>
      <c r="Q6" s="5" t="s">
        <v>703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">
      <c r="A7" s="3"/>
      <c r="B7" s="33"/>
      <c r="C7" t="str">
        <f>Notes!V9</f>
        <v>Labor</v>
      </c>
      <c r="D7" s="5" t="str">
        <f>Notes!J9</f>
        <v>ff_LAB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">
      <c r="A8" s="3"/>
      <c r="B8" s="33"/>
      <c r="C8" t="str">
        <f>Notes!V10</f>
        <v xml:space="preserve">      Labor - uneducated</v>
      </c>
      <c r="D8" s="5" t="str">
        <f>Notes!J10</f>
        <v>ff_LAB_N</v>
      </c>
      <c r="E8" s="5">
        <v>1</v>
      </c>
      <c r="F8" s="5"/>
      <c r="G8" s="5"/>
      <c r="H8" s="5"/>
      <c r="I8" s="5"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">
      <c r="A9" s="3"/>
      <c r="B9" s="33"/>
      <c r="C9" t="str">
        <f>Notes!V11</f>
        <v xml:space="preserve">      Labor - primary</v>
      </c>
      <c r="D9" s="5" t="str">
        <f>Notes!J11</f>
        <v>ff_LAB_P</v>
      </c>
      <c r="E9" s="5"/>
      <c r="F9" s="5">
        <v>1</v>
      </c>
      <c r="G9" s="5"/>
      <c r="H9" s="5"/>
      <c r="I9" s="5"/>
      <c r="J9" s="5">
        <v>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">
      <c r="A10" s="3"/>
      <c r="B10" s="33"/>
      <c r="C10" t="str">
        <f>Notes!V12</f>
        <v xml:space="preserve">      Labor - secondary</v>
      </c>
      <c r="D10" s="5" t="str">
        <f>Notes!J12</f>
        <v>ff_LAB_S</v>
      </c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">
      <c r="A11" s="3"/>
      <c r="B11" s="33"/>
      <c r="C11" t="str">
        <f>Notes!V13</f>
        <v xml:space="preserve">      Labor - tertiary</v>
      </c>
      <c r="D11" s="5" t="str">
        <f>Notes!J13</f>
        <v>ff_LAB_T</v>
      </c>
      <c r="E11" s="5"/>
      <c r="F11" s="5"/>
      <c r="G11" s="5"/>
      <c r="H11" s="5">
        <v>1</v>
      </c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">
      <c r="A12" s="3"/>
      <c r="B12" s="33"/>
      <c r="C12" t="str">
        <f>Notes!V14</f>
        <v xml:space="preserve">   Labor - rural</v>
      </c>
      <c r="D12" s="5" t="str">
        <f>Notes!J14</f>
        <v>ff_RUR</v>
      </c>
      <c r="E12" s="5">
        <v>1</v>
      </c>
      <c r="F12" s="5">
        <v>1</v>
      </c>
      <c r="G12" s="5">
        <v>1</v>
      </c>
      <c r="H12" s="5">
        <v>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">
      <c r="A13" s="3"/>
      <c r="B13" s="33"/>
      <c r="C13" t="str">
        <f>Notes!V15</f>
        <v xml:space="preserve">      Labor - rural uneducated</v>
      </c>
      <c r="D13" s="5" t="str">
        <f>Notes!J15</f>
        <v>f_lab-rn</v>
      </c>
      <c r="E13" s="5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">
      <c r="A14" s="3"/>
      <c r="B14" s="33"/>
      <c r="C14" t="str">
        <f>Notes!V16</f>
        <v xml:space="preserve">      Labor - rural primary</v>
      </c>
      <c r="D14" s="5" t="str">
        <f>Notes!J16</f>
        <v>f_lab-rp</v>
      </c>
      <c r="E14" s="5"/>
      <c r="F14" s="5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">
      <c r="A15" s="3"/>
      <c r="B15" s="33"/>
      <c r="C15" t="str">
        <f>Notes!V17</f>
        <v xml:space="preserve">      Labor - rural secondary</v>
      </c>
      <c r="D15" s="5" t="str">
        <f>Notes!J17</f>
        <v>f_lab-rs</v>
      </c>
      <c r="E15" s="5"/>
      <c r="F15" s="5"/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">
      <c r="A16" s="3"/>
      <c r="B16" s="33"/>
      <c r="C16" t="str">
        <f>Notes!V18</f>
        <v xml:space="preserve">      Labor - rural tertiary</v>
      </c>
      <c r="D16" s="5" t="str">
        <f>Notes!J18</f>
        <v>f_lab-rt</v>
      </c>
      <c r="E16" s="5"/>
      <c r="F16" s="5"/>
      <c r="G16" s="5"/>
      <c r="H16" s="5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">
      <c r="A17" s="3"/>
      <c r="B17" s="33"/>
      <c r="C17" t="str">
        <f>Notes!V19</f>
        <v xml:space="preserve">   Labor - urban</v>
      </c>
      <c r="D17" s="5" t="str">
        <f>Notes!J19</f>
        <v>ff_URB</v>
      </c>
      <c r="E17" s="5"/>
      <c r="F17" s="5"/>
      <c r="G17" s="5"/>
      <c r="H17" s="5"/>
      <c r="I17" s="5">
        <v>1</v>
      </c>
      <c r="J17" s="5">
        <v>1</v>
      </c>
      <c r="K17" s="5">
        <v>1</v>
      </c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">
      <c r="A18" s="3"/>
      <c r="B18" s="33"/>
      <c r="C18" t="str">
        <f>Notes!V20</f>
        <v xml:space="preserve">      Labor - urban uneducated</v>
      </c>
      <c r="D18" s="5" t="str">
        <f>Notes!J20</f>
        <v>f_lab-un</v>
      </c>
      <c r="E18" s="5"/>
      <c r="F18" s="5"/>
      <c r="G18" s="5"/>
      <c r="H18" s="5"/>
      <c r="I18" s="5">
        <v>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">
      <c r="A19" s="3"/>
      <c r="B19" s="33"/>
      <c r="C19" t="str">
        <f>Notes!V21</f>
        <v xml:space="preserve">      Labor - urban primary</v>
      </c>
      <c r="D19" s="5" t="str">
        <f>Notes!J21</f>
        <v>f_lab-up</v>
      </c>
      <c r="E19" s="5"/>
      <c r="F19" s="5"/>
      <c r="G19" s="5"/>
      <c r="H19" s="5"/>
      <c r="I19" s="5"/>
      <c r="J19" s="5">
        <v>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">
      <c r="A20" s="3"/>
      <c r="B20" s="33"/>
      <c r="C20" t="str">
        <f>Notes!V22</f>
        <v xml:space="preserve">      Labor - urban secondary</v>
      </c>
      <c r="D20" s="5" t="str">
        <f>Notes!J22</f>
        <v>f_lab-us</v>
      </c>
      <c r="E20" s="5"/>
      <c r="F20" s="5"/>
      <c r="G20" s="5"/>
      <c r="H20" s="5"/>
      <c r="I20" s="5"/>
      <c r="J20" s="5"/>
      <c r="K20" s="5">
        <v>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">
      <c r="A21" s="3"/>
      <c r="B21" s="33"/>
      <c r="C21" t="str">
        <f>Notes!V23</f>
        <v xml:space="preserve">      Labor - urban tertiary</v>
      </c>
      <c r="D21" s="5" t="str">
        <f>Notes!J23</f>
        <v>f_lab-ut</v>
      </c>
      <c r="E21" s="5"/>
      <c r="F21" s="5"/>
      <c r="G21" s="5"/>
      <c r="H21" s="5"/>
      <c r="I21" s="5"/>
      <c r="J21" s="5"/>
      <c r="K21" s="5"/>
      <c r="L21" s="5">
        <v>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">
      <c r="A22" s="3"/>
      <c r="B22" s="33"/>
      <c r="C22" t="str">
        <f>Notes!V24</f>
        <v>Crop land</v>
      </c>
      <c r="D22" s="5" t="str">
        <f>Notes!J24</f>
        <v>f_lnd</v>
      </c>
      <c r="E22" s="5"/>
      <c r="F22" s="5"/>
      <c r="G22" s="5"/>
      <c r="H22" s="5"/>
      <c r="I22" s="5"/>
      <c r="J22" s="5"/>
      <c r="K22" s="5"/>
      <c r="L22" s="5"/>
      <c r="M22" s="5">
        <v>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">
      <c r="A23" s="3"/>
      <c r="B23" s="33"/>
      <c r="C23" t="str">
        <f>Notes!V25</f>
        <v>Capital</v>
      </c>
      <c r="D23" s="5" t="str">
        <f>Notes!J25</f>
        <v>ff_CAP</v>
      </c>
      <c r="E23" s="5"/>
      <c r="F23" s="5"/>
      <c r="G23" s="5"/>
      <c r="H23" s="5"/>
      <c r="I23" s="5"/>
      <c r="J23" s="5"/>
      <c r="K23" s="5"/>
      <c r="L23" s="5"/>
      <c r="M23" s="5"/>
      <c r="N23" s="5">
        <v>1</v>
      </c>
      <c r="O23" s="5">
        <v>1</v>
      </c>
      <c r="P23" s="5">
        <v>1</v>
      </c>
      <c r="Q23" s="5">
        <v>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">
      <c r="A24" s="3"/>
      <c r="B24" s="33"/>
      <c r="C24" t="str">
        <f>Notes!V26</f>
        <v xml:space="preserve">   Capital - crops</v>
      </c>
      <c r="D24" s="5" t="str">
        <f>Notes!J26</f>
        <v>f_cap-c</v>
      </c>
      <c r="E24" s="5"/>
      <c r="F24" s="5"/>
      <c r="G24" s="5"/>
      <c r="H24" s="5"/>
      <c r="I24" s="5"/>
      <c r="J24" s="5"/>
      <c r="K24" s="5"/>
      <c r="L24" s="5"/>
      <c r="M24" s="5"/>
      <c r="N24" s="5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">
      <c r="A25" s="3"/>
      <c r="B25" s="33"/>
      <c r="C25" t="str">
        <f>Notes!V27</f>
        <v xml:space="preserve">   Capital - livestock</v>
      </c>
      <c r="D25" s="5" t="str">
        <f>Notes!J27</f>
        <v>f_cap-l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">
      <c r="A26" s="3"/>
      <c r="B26" s="33"/>
      <c r="C26" t="str">
        <f>Notes!V28</f>
        <v xml:space="preserve">   Capital - mining</v>
      </c>
      <c r="D26" s="5" t="str">
        <f>Notes!J28</f>
        <v>f_cap-m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">
      <c r="B27" s="33"/>
      <c r="C27" t="str">
        <f>Notes!V29</f>
        <v xml:space="preserve">   Capital - non-primary</v>
      </c>
      <c r="D27" s="5" t="str">
        <f>Notes!J29</f>
        <v>f_cap-n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">
      <c r="B28" s="33"/>
      <c r="C28" t="str">
        <f>Notes!V30</f>
        <v xml:space="preserve">               </v>
      </c>
      <c r="D28" s="5">
        <f>Notes!J30</f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">
      <c r="B29" s="33"/>
      <c r="C29" t="str">
        <f>Notes!V31</f>
        <v xml:space="preserve">               </v>
      </c>
      <c r="D29" s="5">
        <f>Notes!J31</f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">
      <c r="B30" s="33"/>
      <c r="C30" t="str">
        <f>Notes!V32</f>
        <v xml:space="preserve">               </v>
      </c>
      <c r="D30" s="5">
        <f>Notes!J32</f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">
      <c r="B31" s="33"/>
      <c r="C31" t="str">
        <f>Notes!V33</f>
        <v xml:space="preserve">               </v>
      </c>
      <c r="D31" s="5">
        <f>Notes!J33</f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">
      <c r="B32" s="33"/>
      <c r="C32" t="str">
        <f>Notes!V34</f>
        <v xml:space="preserve">               </v>
      </c>
      <c r="D32" s="5">
        <f>Notes!J34</f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2:154" x14ac:dyDescent="0.3">
      <c r="B33" s="33"/>
      <c r="C33" t="str">
        <f>Notes!V35</f>
        <v xml:space="preserve">               </v>
      </c>
      <c r="D33" s="5">
        <f>Notes!J35</f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2:154" x14ac:dyDescent="0.3">
      <c r="B34" s="33"/>
      <c r="C34" t="str">
        <f>Notes!V36</f>
        <v xml:space="preserve">               </v>
      </c>
      <c r="D34" s="5">
        <f>Notes!J36</f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2:154" x14ac:dyDescent="0.3">
      <c r="B35" s="33"/>
      <c r="C35" t="str">
        <f>Notes!V37</f>
        <v xml:space="preserve">               </v>
      </c>
      <c r="D35" s="5">
        <f>Notes!J37</f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2:154" x14ac:dyDescent="0.3">
      <c r="B36" s="33"/>
      <c r="C36" t="str">
        <f>Notes!V38</f>
        <v xml:space="preserve">               </v>
      </c>
      <c r="D36" s="5">
        <f>Notes!J38</f>
        <v>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2:154" x14ac:dyDescent="0.3">
      <c r="B37" s="33"/>
      <c r="C37" t="str">
        <f>Notes!V39</f>
        <v xml:space="preserve">               </v>
      </c>
      <c r="D37" s="5">
        <f>Notes!J39</f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2:154" x14ac:dyDescent="0.3">
      <c r="B38" s="33"/>
      <c r="C38" t="str">
        <f>Notes!V40</f>
        <v xml:space="preserve">               </v>
      </c>
      <c r="D38" s="5">
        <f>Notes!J40</f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2:154" x14ac:dyDescent="0.3">
      <c r="B39" s="33"/>
      <c r="C39" t="str">
        <f>Notes!V41</f>
        <v xml:space="preserve">               </v>
      </c>
      <c r="D39" s="5">
        <f>Notes!J41</f>
        <v>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2:154" x14ac:dyDescent="0.3">
      <c r="B40" s="33"/>
      <c r="C40" t="str">
        <f>Notes!V42</f>
        <v xml:space="preserve">               </v>
      </c>
      <c r="D40" s="5">
        <f>Notes!J42</f>
        <v>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2:154" x14ac:dyDescent="0.3">
      <c r="B41" s="33"/>
      <c r="C41" t="str">
        <f>Notes!V43</f>
        <v xml:space="preserve">               </v>
      </c>
      <c r="D41" s="5">
        <f>Notes!J43</f>
        <v>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2:154" x14ac:dyDescent="0.3">
      <c r="B42" s="33"/>
      <c r="C42" t="str">
        <f>Notes!V44</f>
        <v xml:space="preserve">               </v>
      </c>
      <c r="D42" s="5">
        <f>Notes!J44</f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2:154" x14ac:dyDescent="0.3">
      <c r="B43" s="33"/>
      <c r="C43" t="str">
        <f>Notes!V45</f>
        <v xml:space="preserve">               </v>
      </c>
      <c r="D43" s="5">
        <f>Notes!J45</f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2:154" x14ac:dyDescent="0.3">
      <c r="B44" s="33"/>
      <c r="C44" t="str">
        <f>Notes!V46</f>
        <v xml:space="preserve">               </v>
      </c>
      <c r="D44" s="5">
        <f>Notes!J46</f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2:154" x14ac:dyDescent="0.3">
      <c r="B45" s="33"/>
      <c r="C45" t="str">
        <f>Notes!V47</f>
        <v xml:space="preserve">               </v>
      </c>
      <c r="D45" s="5">
        <f>Notes!J47</f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2:154" x14ac:dyDescent="0.3">
      <c r="B46" s="33"/>
      <c r="C46" t="str">
        <f>Notes!V48</f>
        <v xml:space="preserve">               </v>
      </c>
      <c r="D46" s="5">
        <f>Notes!J48</f>
        <v>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2:154" x14ac:dyDescent="0.3">
      <c r="B47" s="33"/>
      <c r="C47" t="str">
        <f>Notes!V49</f>
        <v xml:space="preserve">               </v>
      </c>
      <c r="D47" s="5">
        <f>Notes!J49</f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2:154" x14ac:dyDescent="0.3">
      <c r="B48" s="33"/>
      <c r="C48" t="str">
        <f>Notes!V50</f>
        <v xml:space="preserve">               </v>
      </c>
      <c r="D48" s="5">
        <f>Notes!J50</f>
        <v>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2:154" x14ac:dyDescent="0.3">
      <c r="B49" s="33"/>
      <c r="C49" t="str">
        <f>Notes!V51</f>
        <v xml:space="preserve">               </v>
      </c>
      <c r="D49" s="5">
        <f>Notes!J51</f>
        <v>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2:154" x14ac:dyDescent="0.3">
      <c r="B50" s="33"/>
      <c r="C50" t="str">
        <f>Notes!V52</f>
        <v xml:space="preserve">               </v>
      </c>
      <c r="D50" s="5">
        <f>Notes!J52</f>
        <v>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2:154" x14ac:dyDescent="0.3">
      <c r="B51" s="33"/>
      <c r="C51" t="str">
        <f>Notes!V53</f>
        <v xml:space="preserve">               </v>
      </c>
      <c r="D51" s="5">
        <f>Notes!J53</f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2:154" x14ac:dyDescent="0.3">
      <c r="B52" s="33"/>
      <c r="C52" t="str">
        <f>Notes!V54</f>
        <v xml:space="preserve">               </v>
      </c>
      <c r="D52" s="5">
        <f>Notes!J54</f>
        <v>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2:154" x14ac:dyDescent="0.3">
      <c r="B53" s="33"/>
      <c r="C53" t="str">
        <f>Notes!V55</f>
        <v xml:space="preserve">               </v>
      </c>
      <c r="D53" s="5">
        <f>Notes!J55</f>
        <v>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2:154" x14ac:dyDescent="0.3">
      <c r="B54" s="33"/>
      <c r="C54" t="str">
        <f>Notes!V56</f>
        <v xml:space="preserve">               </v>
      </c>
      <c r="D54" s="5">
        <f>Notes!J56</f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2:154" x14ac:dyDescent="0.3">
      <c r="B55" s="33"/>
      <c r="C55" t="str">
        <f>Notes!V57</f>
        <v xml:space="preserve">               </v>
      </c>
      <c r="D55" s="5">
        <f>Notes!J57</f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2:154" x14ac:dyDescent="0.3">
      <c r="B56" s="33"/>
      <c r="C56" t="str">
        <f>Notes!V58</f>
        <v xml:space="preserve">               </v>
      </c>
      <c r="D56" s="5">
        <f>Notes!J58</f>
        <v>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2:154" x14ac:dyDescent="0.3">
      <c r="B57" s="33"/>
      <c r="C57" t="str">
        <f>Notes!V59</f>
        <v xml:space="preserve">               </v>
      </c>
      <c r="D57" s="5">
        <f>Notes!J59</f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2:154" x14ac:dyDescent="0.3">
      <c r="B58" s="33"/>
      <c r="C58" t="str">
        <f>Notes!V60</f>
        <v xml:space="preserve">               </v>
      </c>
      <c r="D58" s="5">
        <f>Notes!J60</f>
        <v>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2:154" x14ac:dyDescent="0.3">
      <c r="B59" s="33"/>
      <c r="C59" t="str">
        <f>Notes!V61</f>
        <v xml:space="preserve">               </v>
      </c>
      <c r="D59" s="5">
        <f>Notes!J61</f>
        <v>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2:154" x14ac:dyDescent="0.3">
      <c r="B60" s="33"/>
      <c r="C60" t="str">
        <f>Notes!V62</f>
        <v xml:space="preserve">               </v>
      </c>
      <c r="D60" s="5">
        <f>Notes!J62</f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2:154" x14ac:dyDescent="0.3">
      <c r="B61" s="33"/>
      <c r="C61" t="str">
        <f>Notes!V63</f>
        <v xml:space="preserve">               </v>
      </c>
      <c r="D61" s="5">
        <f>Notes!J63</f>
        <v>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2:154" x14ac:dyDescent="0.3">
      <c r="B62" s="33"/>
      <c r="C62" t="str">
        <f>Notes!V64</f>
        <v xml:space="preserve">               </v>
      </c>
      <c r="D62" s="5">
        <f>Notes!J64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2:154" x14ac:dyDescent="0.3">
      <c r="B63" s="33"/>
      <c r="C63" t="str">
        <f>Notes!V65</f>
        <v xml:space="preserve">               </v>
      </c>
      <c r="D63" s="5">
        <f>Notes!J65</f>
        <v>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2:154" x14ac:dyDescent="0.3">
      <c r="B64" s="33"/>
      <c r="C64" t="str">
        <f>Notes!V66</f>
        <v xml:space="preserve">               </v>
      </c>
      <c r="D64" s="5">
        <f>Notes!J66</f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2:154" x14ac:dyDescent="0.3">
      <c r="B65" s="33"/>
      <c r="C65" t="str">
        <f>Notes!V67</f>
        <v xml:space="preserve">               </v>
      </c>
      <c r="D65" s="5">
        <f>Notes!J67</f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2:154" x14ac:dyDescent="0.3">
      <c r="B66" s="33"/>
      <c r="C66" t="str">
        <f>Notes!V68</f>
        <v xml:space="preserve">               </v>
      </c>
      <c r="D66" s="5">
        <f>Notes!J68</f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2:154" x14ac:dyDescent="0.3">
      <c r="B67" s="33"/>
      <c r="C67" t="str">
        <f>Notes!V69</f>
        <v xml:space="preserve">               </v>
      </c>
      <c r="D67" s="5">
        <f>Notes!J69</f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2:154" x14ac:dyDescent="0.3">
      <c r="B68" s="33"/>
      <c r="C68" t="str">
        <f>Notes!V70</f>
        <v xml:space="preserve">               </v>
      </c>
      <c r="D68" s="5">
        <f>Notes!J70</f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2:154" x14ac:dyDescent="0.3">
      <c r="B69" s="33"/>
      <c r="C69" t="str">
        <f>Notes!V71</f>
        <v xml:space="preserve">               </v>
      </c>
      <c r="D69" s="5">
        <f>Notes!J71</f>
        <v>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2:154" x14ac:dyDescent="0.3">
      <c r="B70" s="33"/>
      <c r="C70" t="str">
        <f>Notes!V72</f>
        <v xml:space="preserve">               </v>
      </c>
      <c r="D70" s="5">
        <f>Notes!J72</f>
        <v>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2:154" x14ac:dyDescent="0.3">
      <c r="B71" s="33"/>
      <c r="C71" t="str">
        <f>Notes!V73</f>
        <v xml:space="preserve">               </v>
      </c>
      <c r="D71" s="5">
        <f>Notes!J73</f>
        <v>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2:154" x14ac:dyDescent="0.3">
      <c r="B72" s="33"/>
      <c r="C72" t="str">
        <f>Notes!V74</f>
        <v xml:space="preserve">               </v>
      </c>
      <c r="D72" s="5">
        <f>Notes!J74</f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2:154" x14ac:dyDescent="0.3">
      <c r="B73" s="33"/>
      <c r="C73" t="str">
        <f>Notes!V75</f>
        <v xml:space="preserve">               </v>
      </c>
      <c r="D73" s="5">
        <f>Notes!J75</f>
        <v>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2:154" x14ac:dyDescent="0.3">
      <c r="B74" s="33"/>
      <c r="C74" t="str">
        <f>Notes!V76</f>
        <v xml:space="preserve">               </v>
      </c>
      <c r="D74" s="5">
        <f>Notes!J76</f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2:154" x14ac:dyDescent="0.3">
      <c r="B75" s="33"/>
      <c r="C75" t="str">
        <f>Notes!V77</f>
        <v xml:space="preserve">               </v>
      </c>
      <c r="D75" s="5">
        <f>Notes!J77</f>
        <v>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2:154" x14ac:dyDescent="0.3">
      <c r="B76" s="33"/>
      <c r="C76" t="str">
        <f>Notes!V78</f>
        <v xml:space="preserve">               </v>
      </c>
      <c r="D76" s="5">
        <f>Notes!J78</f>
        <v>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2:154" x14ac:dyDescent="0.3">
      <c r="B77" s="33"/>
      <c r="C77" t="str">
        <f>Notes!V79</f>
        <v xml:space="preserve">               </v>
      </c>
      <c r="D77" s="5">
        <f>Notes!J79</f>
        <v>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2:154" x14ac:dyDescent="0.3">
      <c r="B78" s="33"/>
      <c r="C78" t="str">
        <f>Notes!V80</f>
        <v xml:space="preserve">               </v>
      </c>
      <c r="D78" s="5">
        <f>Notes!J80</f>
        <v>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2:154" x14ac:dyDescent="0.3">
      <c r="B79" s="33"/>
      <c r="C79" t="str">
        <f>Notes!V81</f>
        <v xml:space="preserve">               </v>
      </c>
      <c r="D79" s="5">
        <f>Notes!J81</f>
        <v>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2:154" x14ac:dyDescent="0.3">
      <c r="B80" s="33"/>
      <c r="C80" t="str">
        <f>Notes!V82</f>
        <v xml:space="preserve">               </v>
      </c>
      <c r="D80" s="5">
        <f>Notes!J82</f>
        <v>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2:154" x14ac:dyDescent="0.3">
      <c r="B81" s="33"/>
      <c r="C81" t="str">
        <f>Notes!V83</f>
        <v xml:space="preserve">               </v>
      </c>
      <c r="D81" s="5">
        <f>Notes!J83</f>
        <v>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2:154" x14ac:dyDescent="0.3">
      <c r="B82" s="33"/>
      <c r="C82" t="str">
        <f>Notes!V84</f>
        <v xml:space="preserve">               </v>
      </c>
      <c r="D82" s="5">
        <f>Notes!J84</f>
        <v>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2:154" x14ac:dyDescent="0.3">
      <c r="B83" s="33"/>
      <c r="C83" t="str">
        <f>Notes!V85</f>
        <v xml:space="preserve">               </v>
      </c>
      <c r="D83" s="5">
        <f>Notes!J85</f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2:154" x14ac:dyDescent="0.3">
      <c r="B84" s="33"/>
      <c r="C84" t="str">
        <f>Notes!V86</f>
        <v xml:space="preserve">               </v>
      </c>
      <c r="D84" s="5">
        <f>Notes!J86</f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2:154" x14ac:dyDescent="0.3">
      <c r="B85" s="33"/>
      <c r="C85" t="str">
        <f>Notes!V87</f>
        <v xml:space="preserve">               </v>
      </c>
      <c r="D85" s="5">
        <f>Notes!J87</f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2:154" x14ac:dyDescent="0.3">
      <c r="B86" s="33"/>
      <c r="C86" t="str">
        <f>Notes!V88</f>
        <v xml:space="preserve">               </v>
      </c>
      <c r="D86" s="5">
        <f>Notes!J88</f>
        <v>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2:154" x14ac:dyDescent="0.3">
      <c r="B87" s="33"/>
      <c r="C87" t="str">
        <f>Notes!V89</f>
        <v xml:space="preserve">               </v>
      </c>
      <c r="D87" s="5">
        <f>Notes!J89</f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2:154" x14ac:dyDescent="0.3">
      <c r="B88" s="33"/>
      <c r="C88" t="str">
        <f>Notes!V90</f>
        <v xml:space="preserve">               </v>
      </c>
      <c r="D88" s="5">
        <f>Notes!J90</f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2:154" x14ac:dyDescent="0.3">
      <c r="B89" s="33"/>
      <c r="C89" t="str">
        <f>Notes!V91</f>
        <v xml:space="preserve">               </v>
      </c>
      <c r="D89" s="5">
        <f>Notes!J91</f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2:154" x14ac:dyDescent="0.3">
      <c r="B90" s="33"/>
      <c r="C90" t="str">
        <f>Notes!V92</f>
        <v xml:space="preserve">               </v>
      </c>
      <c r="D90" s="5">
        <f>Notes!J92</f>
        <v>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2:154" x14ac:dyDescent="0.3">
      <c r="B91" s="33"/>
      <c r="C91" t="str">
        <f>Notes!V93</f>
        <v xml:space="preserve">               </v>
      </c>
      <c r="D91" s="5">
        <f>Notes!J93</f>
        <v>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2:154" x14ac:dyDescent="0.3">
      <c r="B92" s="33"/>
      <c r="C92" t="str">
        <f>Notes!V94</f>
        <v xml:space="preserve">               </v>
      </c>
      <c r="D92" s="5">
        <f>Notes!J94</f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2:154" x14ac:dyDescent="0.3">
      <c r="B93" s="33"/>
      <c r="C93" t="str">
        <f>Notes!V95</f>
        <v xml:space="preserve">               </v>
      </c>
      <c r="D93" s="5">
        <f>Notes!J95</f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2:154" x14ac:dyDescent="0.3">
      <c r="B94" s="33"/>
      <c r="C94" t="str">
        <f>Notes!V96</f>
        <v xml:space="preserve">               </v>
      </c>
      <c r="D94" s="5">
        <f>Notes!J96</f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2:154" x14ac:dyDescent="0.3">
      <c r="B95" s="33"/>
      <c r="C95" t="str">
        <f>Notes!V97</f>
        <v xml:space="preserve">               </v>
      </c>
      <c r="D95" s="5">
        <f>Notes!J97</f>
        <v>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2:154" x14ac:dyDescent="0.3">
      <c r="B96" s="33"/>
      <c r="C96" t="str">
        <f>Notes!V98</f>
        <v xml:space="preserve">               </v>
      </c>
      <c r="D96" s="5">
        <f>Notes!J98</f>
        <v>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2:154" x14ac:dyDescent="0.3">
      <c r="B97" s="33"/>
      <c r="C97" t="str">
        <f>Notes!V99</f>
        <v xml:space="preserve">               </v>
      </c>
      <c r="D97" s="5">
        <f>Notes!J99</f>
        <v>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2:154" x14ac:dyDescent="0.3">
      <c r="B98" s="33"/>
      <c r="C98" t="str">
        <f>Notes!V100</f>
        <v xml:space="preserve">               </v>
      </c>
      <c r="D98" s="5">
        <f>Notes!J100</f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2:154" x14ac:dyDescent="0.3">
      <c r="B99" s="33"/>
      <c r="C99" t="str">
        <f>Notes!V101</f>
        <v xml:space="preserve">               </v>
      </c>
      <c r="D99" s="5">
        <f>Notes!J101</f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2:154" x14ac:dyDescent="0.3">
      <c r="B100" s="33"/>
      <c r="C100" t="str">
        <f>Notes!V102</f>
        <v xml:space="preserve">               </v>
      </c>
      <c r="D100" s="5">
        <f>Notes!J102</f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2:154" x14ac:dyDescent="0.3">
      <c r="B101" s="33"/>
      <c r="C101" t="str">
        <f>Notes!V103</f>
        <v xml:space="preserve">               </v>
      </c>
      <c r="D101" s="5">
        <f>Notes!J103</f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2:154" x14ac:dyDescent="0.3">
      <c r="B102" s="33"/>
      <c r="C102" t="str">
        <f>Notes!V104</f>
        <v xml:space="preserve">               </v>
      </c>
      <c r="D102" s="5">
        <f>Notes!J104</f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2:154" x14ac:dyDescent="0.3">
      <c r="B103" s="33"/>
      <c r="C103" t="str">
        <f>Notes!V105</f>
        <v xml:space="preserve">               </v>
      </c>
      <c r="D103" s="5">
        <f>Notes!J105</f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2:154" x14ac:dyDescent="0.3">
      <c r="B104" s="33"/>
      <c r="C104" t="str">
        <f>Notes!V106</f>
        <v xml:space="preserve">               </v>
      </c>
      <c r="D104" s="5">
        <f>Notes!J106</f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2:154" x14ac:dyDescent="0.3">
      <c r="B105" s="33"/>
      <c r="C105" t="str">
        <f>Notes!V107</f>
        <v xml:space="preserve">               </v>
      </c>
      <c r="D105" s="5">
        <f>Notes!J107</f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2:154" x14ac:dyDescent="0.3">
      <c r="B106" s="33"/>
      <c r="C106" t="str">
        <f>Notes!V108</f>
        <v xml:space="preserve">               </v>
      </c>
      <c r="D106" s="5">
        <f>Notes!J108</f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2:154" x14ac:dyDescent="0.3">
      <c r="B107" s="33"/>
      <c r="C107" t="str">
        <f>Notes!V109</f>
        <v xml:space="preserve">               </v>
      </c>
      <c r="D107" s="5">
        <f>Notes!J109</f>
        <v>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2:154" x14ac:dyDescent="0.3">
      <c r="B108" s="33"/>
      <c r="C108" t="str">
        <f>Notes!V110</f>
        <v xml:space="preserve">               </v>
      </c>
      <c r="D108" s="5">
        <f>Notes!J110</f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2:154" x14ac:dyDescent="0.3">
      <c r="B109" s="33"/>
      <c r="C109" t="str">
        <f>Notes!V111</f>
        <v xml:space="preserve">               </v>
      </c>
      <c r="D109" s="5">
        <f>Notes!J111</f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2:154" x14ac:dyDescent="0.3">
      <c r="B110" s="33"/>
      <c r="C110" t="str">
        <f>Notes!V112</f>
        <v xml:space="preserve">               </v>
      </c>
      <c r="D110" s="5">
        <f>Notes!J112</f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2:154" x14ac:dyDescent="0.3">
      <c r="B111" s="33"/>
      <c r="C111" t="str">
        <f>Notes!V113</f>
        <v xml:space="preserve">               </v>
      </c>
      <c r="D111" s="5">
        <f>Notes!J113</f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2:154" x14ac:dyDescent="0.3">
      <c r="B112" s="33"/>
      <c r="C112" t="str">
        <f>Notes!V114</f>
        <v xml:space="preserve">               </v>
      </c>
      <c r="D112" s="5">
        <f>Notes!J114</f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2:154" x14ac:dyDescent="0.3">
      <c r="B113" s="33"/>
      <c r="C113" t="str">
        <f>Notes!V115</f>
        <v xml:space="preserve">               </v>
      </c>
      <c r="D113" s="5">
        <f>Notes!J115</f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2:154" x14ac:dyDescent="0.3">
      <c r="B114" s="33"/>
      <c r="C114" t="str">
        <f>Notes!V116</f>
        <v xml:space="preserve">               </v>
      </c>
      <c r="D114" s="5">
        <f>Notes!J116</f>
        <v>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2:154" x14ac:dyDescent="0.3">
      <c r="B115" s="33"/>
      <c r="C115" t="str">
        <f>Notes!V117</f>
        <v xml:space="preserve">               </v>
      </c>
      <c r="D115" s="5">
        <f>Notes!J117</f>
        <v>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2:154" x14ac:dyDescent="0.3">
      <c r="B116" s="33"/>
      <c r="C116" t="str">
        <f>Notes!V118</f>
        <v xml:space="preserve">               </v>
      </c>
      <c r="D116" s="5">
        <f>Notes!J118</f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2:154" x14ac:dyDescent="0.3">
      <c r="B117" s="33"/>
      <c r="C117" t="str">
        <f>Notes!V119</f>
        <v xml:space="preserve">               </v>
      </c>
      <c r="D117" s="5">
        <f>Notes!J119</f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2:154" x14ac:dyDescent="0.3">
      <c r="B118" s="33"/>
      <c r="C118" t="str">
        <f>Notes!V120</f>
        <v xml:space="preserve">               </v>
      </c>
      <c r="D118" s="5">
        <f>Notes!J120</f>
        <v>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2:154" x14ac:dyDescent="0.3">
      <c r="B119" s="33"/>
      <c r="C119" t="str">
        <f>Notes!V121</f>
        <v xml:space="preserve">               </v>
      </c>
      <c r="D119" s="5">
        <f>Notes!J121</f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2:154" x14ac:dyDescent="0.3">
      <c r="B120" s="33"/>
      <c r="C120" t="str">
        <f>Notes!V122</f>
        <v xml:space="preserve">               </v>
      </c>
      <c r="D120" s="5">
        <f>Notes!J122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2:154" x14ac:dyDescent="0.3">
      <c r="B121" s="33"/>
      <c r="C121" t="str">
        <f>Notes!V123</f>
        <v xml:space="preserve">               </v>
      </c>
      <c r="D121" s="5">
        <f>Notes!J123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2:154" x14ac:dyDescent="0.3">
      <c r="B122" s="33"/>
      <c r="C122" t="str">
        <f>Notes!V124</f>
        <v xml:space="preserve">               </v>
      </c>
      <c r="D122" s="5">
        <f>Notes!J124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2:154" x14ac:dyDescent="0.3">
      <c r="B123" s="33"/>
      <c r="C123" t="str">
        <f>Notes!V125</f>
        <v xml:space="preserve">               </v>
      </c>
      <c r="D123" s="5">
        <f>Notes!J125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2:154" x14ac:dyDescent="0.3">
      <c r="B124" s="33"/>
      <c r="C124" t="str">
        <f>Notes!V126</f>
        <v xml:space="preserve">               </v>
      </c>
      <c r="D124" s="5">
        <f>Notes!J126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2:154" x14ac:dyDescent="0.3">
      <c r="B125" s="33"/>
      <c r="C125" t="str">
        <f>Notes!V127</f>
        <v xml:space="preserve">               </v>
      </c>
      <c r="D125" s="5">
        <f>Notes!J127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2:154" x14ac:dyDescent="0.3">
      <c r="B126" s="33"/>
      <c r="C126" t="str">
        <f>Notes!V128</f>
        <v xml:space="preserve">               </v>
      </c>
      <c r="D126" s="5">
        <f>Notes!J128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2:154" x14ac:dyDescent="0.3">
      <c r="B127" s="33"/>
      <c r="C127" t="str">
        <f>Notes!V129</f>
        <v xml:space="preserve">               </v>
      </c>
      <c r="D127" s="5">
        <f>Notes!J129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2:154" x14ac:dyDescent="0.3">
      <c r="B128" s="33"/>
      <c r="C128" t="str">
        <f>Notes!V130</f>
        <v xml:space="preserve">               </v>
      </c>
      <c r="D128" s="5">
        <f>Notes!J130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2:154" x14ac:dyDescent="0.3">
      <c r="B129" s="33"/>
      <c r="C129" t="str">
        <f>Notes!V131</f>
        <v xml:space="preserve">               </v>
      </c>
      <c r="D129" s="5">
        <f>Notes!J131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2:154" x14ac:dyDescent="0.3">
      <c r="B130" s="33"/>
      <c r="C130" t="str">
        <f>Notes!V132</f>
        <v xml:space="preserve">               </v>
      </c>
      <c r="D130" s="5">
        <f>Notes!J132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2:154" x14ac:dyDescent="0.3">
      <c r="B131" s="33"/>
      <c r="C131" t="str">
        <f>Notes!V133</f>
        <v xml:space="preserve">               </v>
      </c>
      <c r="D131" s="5">
        <f>Notes!J133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2:154" x14ac:dyDescent="0.3">
      <c r="B132" s="33"/>
      <c r="C132" t="str">
        <f>Notes!V134</f>
        <v xml:space="preserve">               </v>
      </c>
      <c r="D132" s="5">
        <f>Notes!J134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2:154" x14ac:dyDescent="0.3">
      <c r="B133" s="33"/>
      <c r="C133" t="str">
        <f>Notes!V135</f>
        <v xml:space="preserve">               </v>
      </c>
      <c r="D133" s="5">
        <f>Notes!J135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2:154" x14ac:dyDescent="0.3">
      <c r="B134" s="33"/>
      <c r="C134" t="str">
        <f>Notes!V136</f>
        <v xml:space="preserve">               </v>
      </c>
      <c r="D134" s="5">
        <f>Notes!J136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2:154" x14ac:dyDescent="0.3">
      <c r="B135" s="33"/>
      <c r="C135" t="str">
        <f>Notes!V137</f>
        <v xml:space="preserve">               </v>
      </c>
      <c r="D135" s="5">
        <f>Notes!J137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2:154" x14ac:dyDescent="0.3">
      <c r="B136" s="33"/>
      <c r="C136" t="str">
        <f>Notes!V138</f>
        <v xml:space="preserve">               </v>
      </c>
      <c r="D136" s="5">
        <f>Notes!J138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2:154" x14ac:dyDescent="0.3">
      <c r="B137" s="33"/>
      <c r="C137" t="str">
        <f>Notes!V139</f>
        <v xml:space="preserve">               </v>
      </c>
      <c r="D137" s="5">
        <f>Notes!J139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2:154" x14ac:dyDescent="0.3">
      <c r="B138" s="33"/>
      <c r="C138" t="str">
        <f>Notes!V140</f>
        <v xml:space="preserve">               </v>
      </c>
      <c r="D138" s="5">
        <f>Notes!J140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2:154" x14ac:dyDescent="0.3">
      <c r="B139" s="33"/>
      <c r="C139" t="str">
        <f>Notes!V141</f>
        <v xml:space="preserve">               </v>
      </c>
      <c r="D139" s="5">
        <f>Notes!J141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2:154" x14ac:dyDescent="0.3">
      <c r="B140" s="33"/>
      <c r="C140" t="str">
        <f>Notes!V142</f>
        <v xml:space="preserve">               </v>
      </c>
      <c r="D140" s="5">
        <f>Notes!J142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2:154" x14ac:dyDescent="0.3">
      <c r="B141" s="33"/>
      <c r="C141" t="str">
        <f>Notes!V143</f>
        <v xml:space="preserve">               </v>
      </c>
      <c r="D141" s="5">
        <f>Notes!J143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2:154" x14ac:dyDescent="0.3">
      <c r="B142" s="33"/>
      <c r="C142" t="str">
        <f>Notes!V144</f>
        <v xml:space="preserve">               </v>
      </c>
      <c r="D142" s="5">
        <f>Notes!J144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2:154" x14ac:dyDescent="0.3">
      <c r="B143" s="33"/>
      <c r="C143" t="str">
        <f>Notes!V145</f>
        <v xml:space="preserve">               </v>
      </c>
      <c r="D143" s="5">
        <f>Notes!J145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2:154" x14ac:dyDescent="0.3">
      <c r="B144" s="33"/>
      <c r="C144" t="str">
        <f>Notes!V146</f>
        <v xml:space="preserve">               </v>
      </c>
      <c r="D144" s="5">
        <f>Notes!J146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2:154" x14ac:dyDescent="0.3">
      <c r="B145" s="33"/>
      <c r="C145" t="str">
        <f>Notes!V147</f>
        <v xml:space="preserve">               </v>
      </c>
      <c r="D145" s="5">
        <f>Notes!J147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2:154" x14ac:dyDescent="0.3">
      <c r="B146" s="33"/>
      <c r="C146" t="str">
        <f>Notes!V148</f>
        <v xml:space="preserve">               </v>
      </c>
      <c r="D146" s="5">
        <f>Notes!J148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2:154" x14ac:dyDescent="0.3">
      <c r="B147" s="33"/>
      <c r="C147" t="str">
        <f>Notes!V149</f>
        <v xml:space="preserve">               </v>
      </c>
      <c r="D147" s="5">
        <f>Notes!J149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2:154" x14ac:dyDescent="0.3">
      <c r="B148" s="33"/>
      <c r="C148" t="str">
        <f>Notes!V150</f>
        <v xml:space="preserve">               </v>
      </c>
      <c r="D148" s="5">
        <f>Notes!J150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2:154" x14ac:dyDescent="0.3">
      <c r="B149" s="33"/>
      <c r="C149" t="str">
        <f>Notes!V151</f>
        <v xml:space="preserve">               </v>
      </c>
      <c r="D149" s="5">
        <f>Notes!J151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2:154" x14ac:dyDescent="0.3">
      <c r="B150" s="33"/>
      <c r="C150" t="str">
        <f>Notes!V152</f>
        <v xml:space="preserve">               </v>
      </c>
      <c r="D150" s="5">
        <f>Notes!J152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2:154" x14ac:dyDescent="0.3">
      <c r="B151" s="33"/>
      <c r="C151" t="str">
        <f>Notes!V153</f>
        <v xml:space="preserve">               </v>
      </c>
      <c r="D151" s="5">
        <f>Notes!J153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2:154" x14ac:dyDescent="0.3">
      <c r="B152" s="33"/>
      <c r="C152" t="str">
        <f>Notes!V154</f>
        <v xml:space="preserve">               </v>
      </c>
      <c r="D152" s="5">
        <f>Notes!J154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2:154" x14ac:dyDescent="0.3">
      <c r="B153" s="33"/>
      <c r="C153" t="str">
        <f>Notes!V155</f>
        <v xml:space="preserve">               </v>
      </c>
      <c r="D153" s="5">
        <f>Notes!J155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2:154" x14ac:dyDescent="0.3">
      <c r="B154" s="33"/>
      <c r="C154" t="str">
        <f>Notes!V156</f>
        <v xml:space="preserve">               </v>
      </c>
      <c r="D154" s="5">
        <f>Notes!J156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2:154" x14ac:dyDescent="0.3">
      <c r="B155" s="33"/>
      <c r="C155" t="str">
        <f>Notes!V157</f>
        <v xml:space="preserve">               </v>
      </c>
      <c r="D155" s="5">
        <f>Notes!J157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2:154" x14ac:dyDescent="0.3">
      <c r="B156" s="33"/>
      <c r="C156" t="str">
        <f>Notes!V158</f>
        <v xml:space="preserve">               </v>
      </c>
      <c r="D156" s="5">
        <f>Notes!J158</f>
        <v>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2:154" x14ac:dyDescent="0.3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981C-701B-4F3B-8451-97CC3CF399D7}">
  <sheetPr>
    <tabColor theme="9" tint="-0.499984740745262"/>
  </sheetPr>
  <dimension ref="A1:EY157"/>
  <sheetViews>
    <sheetView showZeros="0" zoomScale="85" zoomScaleNormal="85" workbookViewId="0">
      <pane xSplit="4" ySplit="6" topLeftCell="E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4.4" zeroHeight="1" x14ac:dyDescent="0.3"/>
  <cols>
    <col min="1" max="2" width="2.44140625" customWidth="1"/>
    <col min="3" max="3" width="28.88671875" customWidth="1"/>
    <col min="4" max="4" width="15.5546875" customWidth="1"/>
    <col min="5" max="154" width="9.109375" customWidth="1"/>
    <col min="155" max="155" width="2.44140625" customWidth="1"/>
    <col min="156" max="16384" width="9.109375" hidden="1"/>
  </cols>
  <sheetData>
    <row r="1" spans="1:155" ht="18" x14ac:dyDescent="0.35">
      <c r="A1" s="9" t="s">
        <v>39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</row>
    <row r="2" spans="1:155" x14ac:dyDescent="0.3"/>
    <row r="3" spans="1:155" x14ac:dyDescent="0.3"/>
    <row r="4" spans="1:155" x14ac:dyDescent="0.3"/>
    <row r="5" spans="1:155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5" x14ac:dyDescent="0.3">
      <c r="B6" s="33"/>
      <c r="D6" s="5"/>
      <c r="E6" s="5" t="s">
        <v>763</v>
      </c>
      <c r="F6" s="5" t="s">
        <v>764</v>
      </c>
      <c r="G6" s="5" t="s">
        <v>765</v>
      </c>
      <c r="H6" s="5" t="s">
        <v>766</v>
      </c>
      <c r="I6" s="5" t="s">
        <v>767</v>
      </c>
      <c r="J6" s="5" t="s">
        <v>768</v>
      </c>
      <c r="K6" s="5" t="s">
        <v>769</v>
      </c>
      <c r="L6" s="5" t="s">
        <v>770</v>
      </c>
      <c r="M6" s="5" t="s">
        <v>771</v>
      </c>
      <c r="N6" s="5" t="s">
        <v>772</v>
      </c>
      <c r="O6" s="5" t="s">
        <v>773</v>
      </c>
      <c r="P6" s="5" t="s">
        <v>774</v>
      </c>
      <c r="Q6" s="5" t="s">
        <v>775</v>
      </c>
      <c r="R6" s="5" t="s">
        <v>776</v>
      </c>
      <c r="S6" s="5" t="s">
        <v>777</v>
      </c>
      <c r="T6" s="5" t="s">
        <v>778</v>
      </c>
      <c r="U6" s="5" t="s">
        <v>779</v>
      </c>
      <c r="V6" s="5" t="s">
        <v>780</v>
      </c>
      <c r="W6" s="5" t="s">
        <v>781</v>
      </c>
      <c r="X6" s="5" t="s">
        <v>782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</row>
    <row r="7" spans="1:155" x14ac:dyDescent="0.3">
      <c r="A7" s="3"/>
      <c r="B7" s="33"/>
      <c r="C7" t="str">
        <f>Notes!W9</f>
        <v>All households</v>
      </c>
      <c r="D7" s="5" t="str">
        <f>Notes!O9</f>
        <v>hh_ALL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</row>
    <row r="8" spans="1:155" x14ac:dyDescent="0.3">
      <c r="A8" s="3"/>
      <c r="B8" s="33"/>
      <c r="C8" t="str">
        <f>Notes!W10</f>
        <v xml:space="preserve">      Decile 1 (low)</v>
      </c>
      <c r="D8" s="5" t="str">
        <f>Notes!O10</f>
        <v>hh_D1</v>
      </c>
      <c r="E8" s="5">
        <v>1</v>
      </c>
      <c r="F8" s="5"/>
      <c r="G8" s="5"/>
      <c r="H8" s="5"/>
      <c r="I8" s="5"/>
      <c r="J8" s="5"/>
      <c r="K8" s="5"/>
      <c r="L8" s="5"/>
      <c r="M8" s="5"/>
      <c r="N8" s="5"/>
      <c r="O8" s="5">
        <v>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</row>
    <row r="9" spans="1:155" x14ac:dyDescent="0.3">
      <c r="A9" s="3"/>
      <c r="B9" s="33"/>
      <c r="C9" t="str">
        <f>Notes!W11</f>
        <v xml:space="preserve">      Decile 2</v>
      </c>
      <c r="D9" s="5" t="str">
        <f>Notes!O11</f>
        <v>hh_D2</v>
      </c>
      <c r="E9" s="5"/>
      <c r="F9" s="5">
        <v>1</v>
      </c>
      <c r="G9" s="5"/>
      <c r="H9" s="5"/>
      <c r="I9" s="5"/>
      <c r="J9" s="5"/>
      <c r="K9" s="5"/>
      <c r="L9" s="5"/>
      <c r="M9" s="5"/>
      <c r="N9" s="5"/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</row>
    <row r="10" spans="1:155" x14ac:dyDescent="0.3">
      <c r="A10" s="3"/>
      <c r="B10" s="33"/>
      <c r="C10" t="str">
        <f>Notes!W12</f>
        <v xml:space="preserve">      Decile 3</v>
      </c>
      <c r="D10" s="5" t="str">
        <f>Notes!O12</f>
        <v>hh_D3</v>
      </c>
      <c r="E10" s="5"/>
      <c r="F10" s="5"/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>
        <v>1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</row>
    <row r="11" spans="1:155" x14ac:dyDescent="0.3">
      <c r="A11" s="3"/>
      <c r="B11" s="33"/>
      <c r="C11" t="str">
        <f>Notes!W13</f>
        <v xml:space="preserve">      Decile 4</v>
      </c>
      <c r="D11" s="5" t="str">
        <f>Notes!O13</f>
        <v>hh_D4</v>
      </c>
      <c r="E11" s="5"/>
      <c r="F11" s="5"/>
      <c r="G11" s="5"/>
      <c r="H11" s="5">
        <v>1</v>
      </c>
      <c r="I11" s="5"/>
      <c r="J11" s="5"/>
      <c r="K11" s="5"/>
      <c r="L11" s="5"/>
      <c r="M11" s="5"/>
      <c r="N11" s="5"/>
      <c r="O11" s="5"/>
      <c r="P11" s="5"/>
      <c r="Q11" s="5"/>
      <c r="R11" s="5">
        <v>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</row>
    <row r="12" spans="1:155" x14ac:dyDescent="0.3">
      <c r="A12" s="3"/>
      <c r="B12" s="33"/>
      <c r="C12" t="str">
        <f>Notes!W14</f>
        <v xml:space="preserve">      Decile 5</v>
      </c>
      <c r="D12" s="5" t="str">
        <f>Notes!O14</f>
        <v>hh_D5</v>
      </c>
      <c r="E12" s="5"/>
      <c r="F12" s="5"/>
      <c r="G12" s="5"/>
      <c r="H12" s="5"/>
      <c r="I12" s="5">
        <v>1</v>
      </c>
      <c r="J12" s="5"/>
      <c r="K12" s="5"/>
      <c r="L12" s="5"/>
      <c r="M12" s="5"/>
      <c r="N12" s="5"/>
      <c r="O12" s="5"/>
      <c r="P12" s="5"/>
      <c r="Q12" s="5"/>
      <c r="R12" s="5"/>
      <c r="S12" s="5">
        <v>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</row>
    <row r="13" spans="1:155" x14ac:dyDescent="0.3">
      <c r="A13" s="3"/>
      <c r="B13" s="33"/>
      <c r="C13" t="str">
        <f>Notes!W15</f>
        <v xml:space="preserve">      Decile 6</v>
      </c>
      <c r="D13" s="5" t="str">
        <f>Notes!O15</f>
        <v>hh_D6</v>
      </c>
      <c r="E13" s="5"/>
      <c r="F13" s="5"/>
      <c r="G13" s="5"/>
      <c r="H13" s="5"/>
      <c r="I13" s="5"/>
      <c r="J13" s="5">
        <v>1</v>
      </c>
      <c r="K13" s="5"/>
      <c r="L13" s="5"/>
      <c r="M13" s="5"/>
      <c r="N13" s="5"/>
      <c r="O13" s="5"/>
      <c r="P13" s="5"/>
      <c r="Q13" s="5"/>
      <c r="R13" s="5"/>
      <c r="S13" s="5"/>
      <c r="T13" s="5">
        <v>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</row>
    <row r="14" spans="1:155" x14ac:dyDescent="0.3">
      <c r="A14" s="3"/>
      <c r="B14" s="33"/>
      <c r="C14" t="str">
        <f>Notes!W16</f>
        <v xml:space="preserve">      Decile 7</v>
      </c>
      <c r="D14" s="5" t="str">
        <f>Notes!O16</f>
        <v>hh_D7</v>
      </c>
      <c r="E14" s="5"/>
      <c r="F14" s="5"/>
      <c r="G14" s="5"/>
      <c r="H14" s="5"/>
      <c r="I14" s="5"/>
      <c r="J14" s="5"/>
      <c r="K14" s="5">
        <v>1</v>
      </c>
      <c r="L14" s="5"/>
      <c r="M14" s="5"/>
      <c r="N14" s="5"/>
      <c r="O14" s="5"/>
      <c r="P14" s="5"/>
      <c r="Q14" s="5"/>
      <c r="R14" s="5"/>
      <c r="S14" s="5"/>
      <c r="T14" s="5"/>
      <c r="U14" s="5">
        <v>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</row>
    <row r="15" spans="1:155" x14ac:dyDescent="0.3">
      <c r="A15" s="3"/>
      <c r="B15" s="33"/>
      <c r="C15" t="str">
        <f>Notes!W17</f>
        <v xml:space="preserve">      Decile 8</v>
      </c>
      <c r="D15" s="5" t="str">
        <f>Notes!O17</f>
        <v>hh_D8</v>
      </c>
      <c r="E15" s="5"/>
      <c r="F15" s="5"/>
      <c r="G15" s="5"/>
      <c r="H15" s="5"/>
      <c r="I15" s="5"/>
      <c r="J15" s="5"/>
      <c r="K15" s="5"/>
      <c r="L15" s="5">
        <v>1</v>
      </c>
      <c r="M15" s="5"/>
      <c r="N15" s="5"/>
      <c r="O15" s="5"/>
      <c r="P15" s="5"/>
      <c r="Q15" s="5"/>
      <c r="R15" s="5"/>
      <c r="S15" s="5"/>
      <c r="T15" s="5"/>
      <c r="U15" s="5"/>
      <c r="V15" s="5">
        <v>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</row>
    <row r="16" spans="1:155" x14ac:dyDescent="0.3">
      <c r="A16" s="3"/>
      <c r="B16" s="33"/>
      <c r="C16" t="str">
        <f>Notes!W18</f>
        <v xml:space="preserve">      Decile 9</v>
      </c>
      <c r="D16" s="5" t="str">
        <f>Notes!O18</f>
        <v>hh_D9</v>
      </c>
      <c r="E16" s="5"/>
      <c r="F16" s="5"/>
      <c r="G16" s="5"/>
      <c r="H16" s="5"/>
      <c r="I16" s="5"/>
      <c r="J16" s="5"/>
      <c r="K16" s="5"/>
      <c r="L16" s="5"/>
      <c r="M16" s="5">
        <v>1</v>
      </c>
      <c r="N16" s="5"/>
      <c r="O16" s="5"/>
      <c r="P16" s="5"/>
      <c r="Q16" s="5"/>
      <c r="R16" s="5"/>
      <c r="S16" s="5"/>
      <c r="T16" s="5"/>
      <c r="U16" s="5"/>
      <c r="V16" s="5"/>
      <c r="W16" s="5">
        <v>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</row>
    <row r="17" spans="1:154" x14ac:dyDescent="0.3">
      <c r="A17" s="3"/>
      <c r="B17" s="33"/>
      <c r="C17" t="str">
        <f>Notes!W19</f>
        <v xml:space="preserve">      Decile 10 (high)</v>
      </c>
      <c r="D17" s="5" t="str">
        <f>Notes!O19</f>
        <v>hh_D10</v>
      </c>
      <c r="E17" s="5"/>
      <c r="F17" s="5"/>
      <c r="G17" s="5"/>
      <c r="H17" s="5"/>
      <c r="I17" s="5"/>
      <c r="J17" s="5"/>
      <c r="K17" s="5"/>
      <c r="L17" s="5"/>
      <c r="M17" s="5"/>
      <c r="N17" s="5">
        <v>1</v>
      </c>
      <c r="O17" s="5"/>
      <c r="P17" s="5"/>
      <c r="Q17" s="5"/>
      <c r="R17" s="5"/>
      <c r="S17" s="5"/>
      <c r="T17" s="5"/>
      <c r="U17" s="5"/>
      <c r="V17" s="5"/>
      <c r="W17" s="5"/>
      <c r="X17" s="5">
        <v>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</row>
    <row r="18" spans="1:154" x14ac:dyDescent="0.3">
      <c r="A18" s="3"/>
      <c r="B18" s="33"/>
      <c r="C18" t="str">
        <f>Notes!W20</f>
        <v xml:space="preserve">   Rural households</v>
      </c>
      <c r="D18" s="5" t="str">
        <f>Notes!O20</f>
        <v>hh_RUR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</row>
    <row r="19" spans="1:154" x14ac:dyDescent="0.3">
      <c r="A19" s="3"/>
      <c r="B19" s="33"/>
      <c r="C19" t="str">
        <f>Notes!W21</f>
        <v xml:space="preserve">      Rural - decile 1 (low)</v>
      </c>
      <c r="D19" s="5" t="str">
        <f>Notes!O21</f>
        <v>h_hhd-r0</v>
      </c>
      <c r="E19" s="5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</row>
    <row r="20" spans="1:154" x14ac:dyDescent="0.3">
      <c r="A20" s="3"/>
      <c r="B20" s="33"/>
      <c r="C20" t="str">
        <f>Notes!W22</f>
        <v xml:space="preserve">      Rural - decile 2</v>
      </c>
      <c r="D20" s="5" t="str">
        <f>Notes!O22</f>
        <v>h_hhd-r1</v>
      </c>
      <c r="E20" s="5"/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</row>
    <row r="21" spans="1:154" x14ac:dyDescent="0.3">
      <c r="A21" s="3"/>
      <c r="B21" s="33"/>
      <c r="C21" t="str">
        <f>Notes!W23</f>
        <v xml:space="preserve">      Rural - decile 3</v>
      </c>
      <c r="D21" s="5" t="str">
        <f>Notes!O23</f>
        <v>h_hhd-r2</v>
      </c>
      <c r="E21" s="5"/>
      <c r="F21" s="5"/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</row>
    <row r="22" spans="1:154" x14ac:dyDescent="0.3">
      <c r="A22" s="3"/>
      <c r="B22" s="33"/>
      <c r="C22" t="str">
        <f>Notes!W24</f>
        <v xml:space="preserve">      Rural - decile 4</v>
      </c>
      <c r="D22" s="5" t="str">
        <f>Notes!O24</f>
        <v>h_hhd-r3</v>
      </c>
      <c r="E22" s="5"/>
      <c r="F22" s="5"/>
      <c r="G22" s="5"/>
      <c r="H22" s="5">
        <v>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</row>
    <row r="23" spans="1:154" x14ac:dyDescent="0.3">
      <c r="A23" s="3"/>
      <c r="B23" s="33"/>
      <c r="C23" t="str">
        <f>Notes!W25</f>
        <v xml:space="preserve">      Rural - decile 5</v>
      </c>
      <c r="D23" s="5" t="str">
        <f>Notes!O25</f>
        <v>h_hhd-r4</v>
      </c>
      <c r="E23" s="5"/>
      <c r="F23" s="5"/>
      <c r="G23" s="5"/>
      <c r="H23" s="5"/>
      <c r="I23" s="5">
        <v>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</row>
    <row r="24" spans="1:154" x14ac:dyDescent="0.3">
      <c r="A24" s="3"/>
      <c r="B24" s="33"/>
      <c r="C24" t="str">
        <f>Notes!W26</f>
        <v xml:space="preserve">      Rural - decile 6</v>
      </c>
      <c r="D24" s="5" t="str">
        <f>Notes!O26</f>
        <v>h_hhd-r5</v>
      </c>
      <c r="E24" s="5"/>
      <c r="F24" s="5"/>
      <c r="G24" s="5"/>
      <c r="H24" s="5"/>
      <c r="I24" s="5"/>
      <c r="J24" s="5">
        <v>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</row>
    <row r="25" spans="1:154" x14ac:dyDescent="0.3">
      <c r="A25" s="3"/>
      <c r="B25" s="33"/>
      <c r="C25" t="str">
        <f>Notes!W27</f>
        <v xml:space="preserve">      Rural - decile 7</v>
      </c>
      <c r="D25" s="5" t="str">
        <f>Notes!O27</f>
        <v>h_hhd-r6</v>
      </c>
      <c r="E25" s="5"/>
      <c r="F25" s="5"/>
      <c r="G25" s="5"/>
      <c r="H25" s="5"/>
      <c r="I25" s="5"/>
      <c r="J25" s="5"/>
      <c r="K25" s="5">
        <v>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</row>
    <row r="26" spans="1:154" x14ac:dyDescent="0.3">
      <c r="A26" s="3"/>
      <c r="B26" s="33"/>
      <c r="C26" t="str">
        <f>Notes!W28</f>
        <v xml:space="preserve">      Rural - decile 8</v>
      </c>
      <c r="D26" s="5" t="str">
        <f>Notes!O28</f>
        <v>h_hhd-r7</v>
      </c>
      <c r="E26" s="5"/>
      <c r="F26" s="5"/>
      <c r="G26" s="5"/>
      <c r="H26" s="5"/>
      <c r="I26" s="5"/>
      <c r="J26" s="5"/>
      <c r="K26" s="5"/>
      <c r="L26" s="5">
        <v>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</row>
    <row r="27" spans="1:154" x14ac:dyDescent="0.3">
      <c r="A27" s="3"/>
      <c r="B27" s="33"/>
      <c r="C27" t="str">
        <f>Notes!W29</f>
        <v xml:space="preserve">      Rural - decile 9</v>
      </c>
      <c r="D27" s="5" t="str">
        <f>Notes!O29</f>
        <v>h_hhd-r8</v>
      </c>
      <c r="E27" s="5"/>
      <c r="F27" s="5"/>
      <c r="G27" s="5"/>
      <c r="H27" s="5"/>
      <c r="I27" s="5"/>
      <c r="J27" s="5"/>
      <c r="K27" s="5"/>
      <c r="L27" s="5"/>
      <c r="M27" s="5">
        <v>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</row>
    <row r="28" spans="1:154" x14ac:dyDescent="0.3">
      <c r="A28" s="3"/>
      <c r="B28" s="33"/>
      <c r="C28" t="str">
        <f>Notes!W30</f>
        <v xml:space="preserve">      Rural - decile 10 (high)</v>
      </c>
      <c r="D28" s="5" t="str">
        <f>Notes!O30</f>
        <v>h_hhd-r9</v>
      </c>
      <c r="E28" s="5"/>
      <c r="F28" s="5"/>
      <c r="G28" s="5"/>
      <c r="H28" s="5"/>
      <c r="I28" s="5"/>
      <c r="J28" s="5"/>
      <c r="K28" s="5"/>
      <c r="L28" s="5"/>
      <c r="M28" s="5"/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</row>
    <row r="29" spans="1:154" x14ac:dyDescent="0.3">
      <c r="A29" s="3"/>
      <c r="B29" s="33"/>
      <c r="C29" t="str">
        <f>Notes!W31</f>
        <v xml:space="preserve">   Urban households</v>
      </c>
      <c r="D29" s="5" t="str">
        <f>Notes!O31</f>
        <v>hh_URB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</row>
    <row r="30" spans="1:154" x14ac:dyDescent="0.3">
      <c r="A30" s="3"/>
      <c r="B30" s="33"/>
      <c r="C30" t="str">
        <f>Notes!W32</f>
        <v xml:space="preserve">      Urban - decile 1 (low)</v>
      </c>
      <c r="D30" s="5" t="str">
        <f>Notes!O32</f>
        <v>h_hhd-u0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</row>
    <row r="31" spans="1:154" x14ac:dyDescent="0.3">
      <c r="A31" s="3"/>
      <c r="B31" s="33"/>
      <c r="C31" t="str">
        <f>Notes!W33</f>
        <v xml:space="preserve">      Urban - decile 2</v>
      </c>
      <c r="D31" s="5" t="str">
        <f>Notes!O33</f>
        <v>h_hhd-u1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</row>
    <row r="32" spans="1:154" x14ac:dyDescent="0.3">
      <c r="A32" s="3"/>
      <c r="B32" s="33"/>
      <c r="C32" t="str">
        <f>Notes!W34</f>
        <v xml:space="preserve">      Urban - decile 3</v>
      </c>
      <c r="D32" s="5" t="str">
        <f>Notes!O34</f>
        <v>h_hhd-u2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</row>
    <row r="33" spans="1:154" x14ac:dyDescent="0.3">
      <c r="A33" s="3"/>
      <c r="B33" s="33"/>
      <c r="C33" t="str">
        <f>Notes!W35</f>
        <v xml:space="preserve">      Urban - decile 4</v>
      </c>
      <c r="D33" s="5" t="str">
        <f>Notes!O35</f>
        <v>h_hhd-u3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</row>
    <row r="34" spans="1:154" x14ac:dyDescent="0.3">
      <c r="A34" s="3"/>
      <c r="B34" s="33"/>
      <c r="C34" t="str">
        <f>Notes!W36</f>
        <v xml:space="preserve">      Urban - decile 5</v>
      </c>
      <c r="D34" s="5" t="str">
        <f>Notes!O36</f>
        <v>h_hhd-u4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</row>
    <row r="35" spans="1:154" x14ac:dyDescent="0.3">
      <c r="A35" s="3"/>
      <c r="B35" s="33"/>
      <c r="C35" t="str">
        <f>Notes!W37</f>
        <v xml:space="preserve">      Urban - decile 6</v>
      </c>
      <c r="D35" s="5" t="str">
        <f>Notes!O37</f>
        <v>h_hhd-u5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</row>
    <row r="36" spans="1:154" x14ac:dyDescent="0.3">
      <c r="A36" s="3"/>
      <c r="B36" s="33"/>
      <c r="C36" t="str">
        <f>Notes!W38</f>
        <v xml:space="preserve">      Urban - decile 7</v>
      </c>
      <c r="D36" s="5" t="str">
        <f>Notes!O38</f>
        <v>h_hhd-u6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</row>
    <row r="37" spans="1:154" x14ac:dyDescent="0.3">
      <c r="A37" s="3"/>
      <c r="B37" s="33"/>
      <c r="C37" t="str">
        <f>Notes!W39</f>
        <v xml:space="preserve">      Urban - decile 8</v>
      </c>
      <c r="D37" s="5" t="str">
        <f>Notes!O39</f>
        <v>h_hhd-u7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</row>
    <row r="38" spans="1:154" x14ac:dyDescent="0.3">
      <c r="A38" s="3"/>
      <c r="B38" s="33"/>
      <c r="C38" t="str">
        <f>Notes!W40</f>
        <v xml:space="preserve">      Urban - decile 9</v>
      </c>
      <c r="D38" s="5" t="str">
        <f>Notes!O40</f>
        <v>h_hhd-u8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</row>
    <row r="39" spans="1:154" x14ac:dyDescent="0.3">
      <c r="A39" s="3"/>
      <c r="B39" s="33"/>
      <c r="C39" t="str">
        <f>Notes!W41</f>
        <v xml:space="preserve">      Urban - decile 10 (high)</v>
      </c>
      <c r="D39" s="5" t="str">
        <f>Notes!O41</f>
        <v>h_hhd-u9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</row>
    <row r="40" spans="1:154" x14ac:dyDescent="0.3">
      <c r="A40" s="3"/>
      <c r="B40" s="33"/>
      <c r="C40" t="str">
        <f>Notes!W42</f>
        <v xml:space="preserve">               </v>
      </c>
      <c r="D40" s="5">
        <f>Notes!O42</f>
        <v>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</row>
    <row r="41" spans="1:154" x14ac:dyDescent="0.3">
      <c r="A41" s="3"/>
      <c r="B41" s="33"/>
      <c r="C41" t="str">
        <f>Notes!W43</f>
        <v xml:space="preserve">               </v>
      </c>
      <c r="D41" s="5">
        <f>Notes!O43</f>
        <v>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</row>
    <row r="42" spans="1:154" x14ac:dyDescent="0.3">
      <c r="A42" s="3"/>
      <c r="B42" s="33"/>
      <c r="C42" t="str">
        <f>Notes!W44</f>
        <v xml:space="preserve">               </v>
      </c>
      <c r="D42" s="5">
        <f>Notes!O44</f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</row>
    <row r="43" spans="1:154" x14ac:dyDescent="0.3">
      <c r="A43" s="3"/>
      <c r="B43" s="33"/>
      <c r="C43" t="str">
        <f>Notes!W45</f>
        <v xml:space="preserve">               </v>
      </c>
      <c r="D43" s="5">
        <f>Notes!O45</f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</row>
    <row r="44" spans="1:154" x14ac:dyDescent="0.3">
      <c r="A44" s="3"/>
      <c r="B44" s="33"/>
      <c r="C44" t="str">
        <f>Notes!W46</f>
        <v xml:space="preserve">               </v>
      </c>
      <c r="D44" s="5">
        <f>Notes!O46</f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</row>
    <row r="45" spans="1:154" x14ac:dyDescent="0.3">
      <c r="A45" s="3"/>
      <c r="B45" s="33"/>
      <c r="C45" t="str">
        <f>Notes!W47</f>
        <v xml:space="preserve">               </v>
      </c>
      <c r="D45" s="5">
        <f>Notes!O47</f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</row>
    <row r="46" spans="1:154" x14ac:dyDescent="0.3">
      <c r="A46" s="3"/>
      <c r="B46" s="33"/>
      <c r="C46" t="str">
        <f>Notes!W48</f>
        <v xml:space="preserve">               </v>
      </c>
      <c r="D46" s="5">
        <f>Notes!O48</f>
        <v>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</row>
    <row r="47" spans="1:154" x14ac:dyDescent="0.3">
      <c r="B47" s="33"/>
      <c r="C47" t="str">
        <f>Notes!W49</f>
        <v xml:space="preserve">               </v>
      </c>
      <c r="D47" s="5">
        <f>Notes!O49</f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</row>
    <row r="48" spans="1:154" x14ac:dyDescent="0.3">
      <c r="B48" s="33"/>
      <c r="C48" t="str">
        <f>Notes!W50</f>
        <v xml:space="preserve">               </v>
      </c>
      <c r="D48" s="5">
        <f>Notes!O50</f>
        <v>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</row>
    <row r="49" spans="2:154" x14ac:dyDescent="0.3">
      <c r="B49" s="33"/>
      <c r="C49" t="str">
        <f>Notes!W51</f>
        <v xml:space="preserve">               </v>
      </c>
      <c r="D49" s="5">
        <f>Notes!O51</f>
        <v>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</row>
    <row r="50" spans="2:154" x14ac:dyDescent="0.3">
      <c r="B50" s="33"/>
      <c r="C50" t="str">
        <f>Notes!W52</f>
        <v xml:space="preserve">               </v>
      </c>
      <c r="D50" s="5">
        <f>Notes!O52</f>
        <v>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</row>
    <row r="51" spans="2:154" x14ac:dyDescent="0.3">
      <c r="B51" s="33"/>
      <c r="C51" t="str">
        <f>Notes!W53</f>
        <v xml:space="preserve">               </v>
      </c>
      <c r="D51" s="5">
        <f>Notes!O53</f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</row>
    <row r="52" spans="2:154" x14ac:dyDescent="0.3">
      <c r="B52" s="33"/>
      <c r="C52" t="str">
        <f>Notes!W54</f>
        <v xml:space="preserve">               </v>
      </c>
      <c r="D52" s="5">
        <f>Notes!O54</f>
        <v>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</row>
    <row r="53" spans="2:154" x14ac:dyDescent="0.3">
      <c r="B53" s="33"/>
      <c r="C53" t="str">
        <f>Notes!W55</f>
        <v xml:space="preserve">               </v>
      </c>
      <c r="D53" s="5">
        <f>Notes!O55</f>
        <v>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</row>
    <row r="54" spans="2:154" x14ac:dyDescent="0.3">
      <c r="B54" s="33"/>
      <c r="C54" t="str">
        <f>Notes!W56</f>
        <v xml:space="preserve">               </v>
      </c>
      <c r="D54" s="5">
        <f>Notes!O56</f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</row>
    <row r="55" spans="2:154" x14ac:dyDescent="0.3">
      <c r="B55" s="33"/>
      <c r="C55" t="str">
        <f>Notes!W57</f>
        <v xml:space="preserve">               </v>
      </c>
      <c r="D55" s="5">
        <f>Notes!O57</f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</row>
    <row r="56" spans="2:154" x14ac:dyDescent="0.3">
      <c r="B56" s="33"/>
      <c r="C56" t="str">
        <f>Notes!W58</f>
        <v xml:space="preserve">               </v>
      </c>
      <c r="D56" s="5">
        <f>Notes!O58</f>
        <v>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</row>
    <row r="57" spans="2:154" x14ac:dyDescent="0.3">
      <c r="B57" s="33"/>
      <c r="C57" t="str">
        <f>Notes!W59</f>
        <v xml:space="preserve">               </v>
      </c>
      <c r="D57" s="5">
        <f>Notes!O59</f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</row>
    <row r="58" spans="2:154" x14ac:dyDescent="0.3">
      <c r="B58" s="33"/>
      <c r="C58" t="str">
        <f>Notes!W60</f>
        <v xml:space="preserve">               </v>
      </c>
      <c r="D58" s="5">
        <f>Notes!O60</f>
        <v>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</row>
    <row r="59" spans="2:154" x14ac:dyDescent="0.3">
      <c r="B59" s="33"/>
      <c r="C59" t="str">
        <f>Notes!W61</f>
        <v xml:space="preserve">               </v>
      </c>
      <c r="D59" s="5">
        <f>Notes!O61</f>
        <v>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</row>
    <row r="60" spans="2:154" x14ac:dyDescent="0.3">
      <c r="B60" s="33"/>
      <c r="C60" t="str">
        <f>Notes!W62</f>
        <v xml:space="preserve">               </v>
      </c>
      <c r="D60" s="5">
        <f>Notes!O62</f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</row>
    <row r="61" spans="2:154" x14ac:dyDescent="0.3">
      <c r="B61" s="33"/>
      <c r="C61" t="str">
        <f>Notes!W63</f>
        <v xml:space="preserve">               </v>
      </c>
      <c r="D61" s="5">
        <f>Notes!O63</f>
        <v>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</row>
    <row r="62" spans="2:154" x14ac:dyDescent="0.3">
      <c r="B62" s="33"/>
      <c r="C62" t="str">
        <f>Notes!W64</f>
        <v xml:space="preserve">               </v>
      </c>
      <c r="D62" s="5">
        <f>Notes!O64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</row>
    <row r="63" spans="2:154" x14ac:dyDescent="0.3">
      <c r="B63" s="33"/>
      <c r="C63" t="str">
        <f>Notes!W65</f>
        <v xml:space="preserve">               </v>
      </c>
      <c r="D63" s="5">
        <f>Notes!O65</f>
        <v>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</row>
    <row r="64" spans="2:154" x14ac:dyDescent="0.3">
      <c r="B64" s="33"/>
      <c r="C64" t="str">
        <f>Notes!W66</f>
        <v xml:space="preserve">               </v>
      </c>
      <c r="D64" s="5">
        <f>Notes!O66</f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</row>
    <row r="65" spans="2:154" x14ac:dyDescent="0.3">
      <c r="B65" s="33"/>
      <c r="C65" t="str">
        <f>Notes!W67</f>
        <v xml:space="preserve">               </v>
      </c>
      <c r="D65" s="5">
        <f>Notes!O67</f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</row>
    <row r="66" spans="2:154" x14ac:dyDescent="0.3">
      <c r="B66" s="33"/>
      <c r="C66" t="str">
        <f>Notes!W68</f>
        <v xml:space="preserve">               </v>
      </c>
      <c r="D66" s="5">
        <f>Notes!O68</f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</row>
    <row r="67" spans="2:154" x14ac:dyDescent="0.3">
      <c r="B67" s="33"/>
      <c r="C67" t="str">
        <f>Notes!W69</f>
        <v xml:space="preserve">               </v>
      </c>
      <c r="D67" s="5">
        <f>Notes!O69</f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</row>
    <row r="68" spans="2:154" x14ac:dyDescent="0.3">
      <c r="B68" s="33"/>
      <c r="C68" t="str">
        <f>Notes!W70</f>
        <v xml:space="preserve">               </v>
      </c>
      <c r="D68" s="5">
        <f>Notes!O70</f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</row>
    <row r="69" spans="2:154" x14ac:dyDescent="0.3">
      <c r="B69" s="33"/>
      <c r="C69" t="str">
        <f>Notes!W71</f>
        <v xml:space="preserve">               </v>
      </c>
      <c r="D69" s="5">
        <f>Notes!O71</f>
        <v>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</row>
    <row r="70" spans="2:154" x14ac:dyDescent="0.3">
      <c r="B70" s="33"/>
      <c r="C70" t="str">
        <f>Notes!W72</f>
        <v xml:space="preserve">               </v>
      </c>
      <c r="D70" s="5">
        <f>Notes!O72</f>
        <v>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</row>
    <row r="71" spans="2:154" x14ac:dyDescent="0.3">
      <c r="B71" s="33"/>
      <c r="C71" t="str">
        <f>Notes!W73</f>
        <v xml:space="preserve">               </v>
      </c>
      <c r="D71" s="5">
        <f>Notes!O73</f>
        <v>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</row>
    <row r="72" spans="2:154" x14ac:dyDescent="0.3">
      <c r="B72" s="33"/>
      <c r="C72" t="str">
        <f>Notes!W74</f>
        <v xml:space="preserve">               </v>
      </c>
      <c r="D72" s="5">
        <f>Notes!O74</f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</row>
    <row r="73" spans="2:154" x14ac:dyDescent="0.3">
      <c r="B73" s="33"/>
      <c r="C73" t="str">
        <f>Notes!W75</f>
        <v xml:space="preserve">               </v>
      </c>
      <c r="D73" s="5">
        <f>Notes!O75</f>
        <v>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</row>
    <row r="74" spans="2:154" x14ac:dyDescent="0.3">
      <c r="B74" s="33"/>
      <c r="C74" t="str">
        <f>Notes!W76</f>
        <v xml:space="preserve">               </v>
      </c>
      <c r="D74" s="5">
        <f>Notes!O76</f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</row>
    <row r="75" spans="2:154" x14ac:dyDescent="0.3">
      <c r="B75" s="33"/>
      <c r="C75" t="str">
        <f>Notes!W77</f>
        <v xml:space="preserve">               </v>
      </c>
      <c r="D75" s="5">
        <f>Notes!O77</f>
        <v>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</row>
    <row r="76" spans="2:154" x14ac:dyDescent="0.3">
      <c r="B76" s="33"/>
      <c r="C76" t="str">
        <f>Notes!W78</f>
        <v xml:space="preserve">               </v>
      </c>
      <c r="D76" s="5">
        <f>Notes!O78</f>
        <v>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</row>
    <row r="77" spans="2:154" x14ac:dyDescent="0.3">
      <c r="B77" s="33"/>
      <c r="C77" t="str">
        <f>Notes!W79</f>
        <v xml:space="preserve">               </v>
      </c>
      <c r="D77" s="5">
        <f>Notes!O79</f>
        <v>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</row>
    <row r="78" spans="2:154" x14ac:dyDescent="0.3">
      <c r="B78" s="33"/>
      <c r="C78" t="str">
        <f>Notes!W80</f>
        <v xml:space="preserve">               </v>
      </c>
      <c r="D78" s="5">
        <f>Notes!O80</f>
        <v>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</row>
    <row r="79" spans="2:154" x14ac:dyDescent="0.3">
      <c r="B79" s="33"/>
      <c r="C79" t="str">
        <f>Notes!W81</f>
        <v xml:space="preserve">               </v>
      </c>
      <c r="D79" s="5">
        <f>Notes!O81</f>
        <v>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</row>
    <row r="80" spans="2:154" x14ac:dyDescent="0.3">
      <c r="B80" s="33"/>
      <c r="C80" t="str">
        <f>Notes!W82</f>
        <v xml:space="preserve">               </v>
      </c>
      <c r="D80" s="5">
        <f>Notes!O82</f>
        <v>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</row>
    <row r="81" spans="2:154" x14ac:dyDescent="0.3">
      <c r="B81" s="33"/>
      <c r="C81" t="str">
        <f>Notes!W83</f>
        <v xml:space="preserve">               </v>
      </c>
      <c r="D81" s="5">
        <f>Notes!O83</f>
        <v>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</row>
    <row r="82" spans="2:154" x14ac:dyDescent="0.3">
      <c r="B82" s="33"/>
      <c r="C82" t="str">
        <f>Notes!W84</f>
        <v xml:space="preserve">               </v>
      </c>
      <c r="D82" s="5">
        <f>Notes!O84</f>
        <v>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</row>
    <row r="83" spans="2:154" x14ac:dyDescent="0.3">
      <c r="B83" s="33"/>
      <c r="C83" t="str">
        <f>Notes!W85</f>
        <v xml:space="preserve">               </v>
      </c>
      <c r="D83" s="5">
        <f>Notes!O85</f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</row>
    <row r="84" spans="2:154" x14ac:dyDescent="0.3">
      <c r="B84" s="33"/>
      <c r="C84" t="str">
        <f>Notes!W86</f>
        <v xml:space="preserve">               </v>
      </c>
      <c r="D84" s="5">
        <f>Notes!O86</f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</row>
    <row r="85" spans="2:154" x14ac:dyDescent="0.3">
      <c r="B85" s="33"/>
      <c r="C85" t="str">
        <f>Notes!W87</f>
        <v xml:space="preserve">               </v>
      </c>
      <c r="D85" s="5">
        <f>Notes!O87</f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</row>
    <row r="86" spans="2:154" x14ac:dyDescent="0.3">
      <c r="B86" s="33"/>
      <c r="C86" t="str">
        <f>Notes!W88</f>
        <v xml:space="preserve">               </v>
      </c>
      <c r="D86" s="5">
        <f>Notes!O88</f>
        <v>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</row>
    <row r="87" spans="2:154" x14ac:dyDescent="0.3">
      <c r="B87" s="33"/>
      <c r="C87" t="str">
        <f>Notes!W89</f>
        <v xml:space="preserve">               </v>
      </c>
      <c r="D87" s="5">
        <f>Notes!O89</f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</row>
    <row r="88" spans="2:154" x14ac:dyDescent="0.3">
      <c r="B88" s="33"/>
      <c r="C88" t="str">
        <f>Notes!W90</f>
        <v xml:space="preserve">               </v>
      </c>
      <c r="D88" s="5">
        <f>Notes!O90</f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</row>
    <row r="89" spans="2:154" x14ac:dyDescent="0.3">
      <c r="B89" s="33"/>
      <c r="C89" t="str">
        <f>Notes!W91</f>
        <v xml:space="preserve">               </v>
      </c>
      <c r="D89" s="5">
        <f>Notes!O91</f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</row>
    <row r="90" spans="2:154" x14ac:dyDescent="0.3">
      <c r="B90" s="33"/>
      <c r="C90" t="str">
        <f>Notes!W92</f>
        <v xml:space="preserve">               </v>
      </c>
      <c r="D90" s="5">
        <f>Notes!O92</f>
        <v>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</row>
    <row r="91" spans="2:154" x14ac:dyDescent="0.3">
      <c r="B91" s="33"/>
      <c r="C91" t="str">
        <f>Notes!W93</f>
        <v xml:space="preserve">               </v>
      </c>
      <c r="D91" s="5">
        <f>Notes!O93</f>
        <v>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</row>
    <row r="92" spans="2:154" x14ac:dyDescent="0.3">
      <c r="B92" s="33"/>
      <c r="C92" t="str">
        <f>Notes!W94</f>
        <v xml:space="preserve">               </v>
      </c>
      <c r="D92" s="5">
        <f>Notes!O94</f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</row>
    <row r="93" spans="2:154" x14ac:dyDescent="0.3">
      <c r="B93" s="33"/>
      <c r="C93" t="str">
        <f>Notes!W95</f>
        <v xml:space="preserve">               </v>
      </c>
      <c r="D93" s="5">
        <f>Notes!O95</f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</row>
    <row r="94" spans="2:154" x14ac:dyDescent="0.3">
      <c r="B94" s="33"/>
      <c r="C94" t="str">
        <f>Notes!W96</f>
        <v xml:space="preserve">               </v>
      </c>
      <c r="D94" s="5">
        <f>Notes!O96</f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</row>
    <row r="95" spans="2:154" x14ac:dyDescent="0.3">
      <c r="B95" s="33"/>
      <c r="C95" t="str">
        <f>Notes!W97</f>
        <v xml:space="preserve">               </v>
      </c>
      <c r="D95" s="5">
        <f>Notes!O97</f>
        <v>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</row>
    <row r="96" spans="2:154" x14ac:dyDescent="0.3">
      <c r="B96" s="33"/>
      <c r="C96" t="str">
        <f>Notes!W98</f>
        <v xml:space="preserve">               </v>
      </c>
      <c r="D96" s="5">
        <f>Notes!O98</f>
        <v>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</row>
    <row r="97" spans="2:154" x14ac:dyDescent="0.3">
      <c r="B97" s="33"/>
      <c r="C97" t="str">
        <f>Notes!W99</f>
        <v xml:space="preserve">               </v>
      </c>
      <c r="D97" s="5">
        <f>Notes!O99</f>
        <v>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</row>
    <row r="98" spans="2:154" x14ac:dyDescent="0.3">
      <c r="B98" s="33"/>
      <c r="C98" t="str">
        <f>Notes!W100</f>
        <v xml:space="preserve">               </v>
      </c>
      <c r="D98" s="5">
        <f>Notes!O100</f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</row>
    <row r="99" spans="2:154" x14ac:dyDescent="0.3">
      <c r="B99" s="33"/>
      <c r="C99" t="str">
        <f>Notes!W101</f>
        <v xml:space="preserve">               </v>
      </c>
      <c r="D99" s="5">
        <f>Notes!O101</f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</row>
    <row r="100" spans="2:154" x14ac:dyDescent="0.3">
      <c r="B100" s="33"/>
      <c r="C100" t="str">
        <f>Notes!W102</f>
        <v xml:space="preserve">               </v>
      </c>
      <c r="D100" s="5">
        <f>Notes!O102</f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</row>
    <row r="101" spans="2:154" x14ac:dyDescent="0.3">
      <c r="B101" s="33"/>
      <c r="C101" t="str">
        <f>Notes!W103</f>
        <v xml:space="preserve">               </v>
      </c>
      <c r="D101" s="5">
        <f>Notes!O103</f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</row>
    <row r="102" spans="2:154" x14ac:dyDescent="0.3">
      <c r="B102" s="33"/>
      <c r="C102" t="str">
        <f>Notes!W104</f>
        <v xml:space="preserve">               </v>
      </c>
      <c r="D102" s="5">
        <f>Notes!O104</f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</row>
    <row r="103" spans="2:154" x14ac:dyDescent="0.3">
      <c r="B103" s="33"/>
      <c r="C103" t="str">
        <f>Notes!W105</f>
        <v xml:space="preserve">               </v>
      </c>
      <c r="D103" s="5">
        <f>Notes!O105</f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</row>
    <row r="104" spans="2:154" x14ac:dyDescent="0.3">
      <c r="B104" s="33"/>
      <c r="C104" t="str">
        <f>Notes!W106</f>
        <v xml:space="preserve">               </v>
      </c>
      <c r="D104" s="5">
        <f>Notes!O106</f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</row>
    <row r="105" spans="2:154" x14ac:dyDescent="0.3">
      <c r="B105" s="33"/>
      <c r="C105" t="str">
        <f>Notes!W107</f>
        <v xml:space="preserve">               </v>
      </c>
      <c r="D105" s="5">
        <f>Notes!O107</f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</row>
    <row r="106" spans="2:154" x14ac:dyDescent="0.3">
      <c r="B106" s="33"/>
      <c r="C106" t="str">
        <f>Notes!W108</f>
        <v xml:space="preserve">               </v>
      </c>
      <c r="D106" s="5">
        <f>Notes!O108</f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</row>
    <row r="107" spans="2:154" x14ac:dyDescent="0.3">
      <c r="B107" s="33"/>
      <c r="C107" t="str">
        <f>Notes!W109</f>
        <v xml:space="preserve">               </v>
      </c>
      <c r="D107" s="5">
        <f>Notes!O109</f>
        <v>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</row>
    <row r="108" spans="2:154" x14ac:dyDescent="0.3">
      <c r="B108" s="33"/>
      <c r="C108" t="str">
        <f>Notes!W110</f>
        <v xml:space="preserve">               </v>
      </c>
      <c r="D108" s="5">
        <f>Notes!O110</f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</row>
    <row r="109" spans="2:154" x14ac:dyDescent="0.3">
      <c r="B109" s="33"/>
      <c r="C109" t="str">
        <f>Notes!W111</f>
        <v xml:space="preserve">               </v>
      </c>
      <c r="D109" s="5">
        <f>Notes!O111</f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</row>
    <row r="110" spans="2:154" x14ac:dyDescent="0.3">
      <c r="B110" s="33"/>
      <c r="C110" t="str">
        <f>Notes!W112</f>
        <v xml:space="preserve">               </v>
      </c>
      <c r="D110" s="5">
        <f>Notes!O112</f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</row>
    <row r="111" spans="2:154" x14ac:dyDescent="0.3">
      <c r="B111" s="33"/>
      <c r="C111" t="str">
        <f>Notes!W113</f>
        <v xml:space="preserve">               </v>
      </c>
      <c r="D111" s="5">
        <f>Notes!O113</f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</row>
    <row r="112" spans="2:154" x14ac:dyDescent="0.3">
      <c r="B112" s="33"/>
      <c r="C112" t="str">
        <f>Notes!W114</f>
        <v xml:space="preserve">               </v>
      </c>
      <c r="D112" s="5">
        <f>Notes!O114</f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</row>
    <row r="113" spans="2:154" x14ac:dyDescent="0.3">
      <c r="B113" s="33"/>
      <c r="C113" t="str">
        <f>Notes!W115</f>
        <v xml:space="preserve">               </v>
      </c>
      <c r="D113" s="5">
        <f>Notes!O115</f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</row>
    <row r="114" spans="2:154" x14ac:dyDescent="0.3">
      <c r="B114" s="33"/>
      <c r="C114" t="str">
        <f>Notes!W116</f>
        <v xml:space="preserve">               </v>
      </c>
      <c r="D114" s="5">
        <f>Notes!O116</f>
        <v>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</row>
    <row r="115" spans="2:154" x14ac:dyDescent="0.3">
      <c r="B115" s="33"/>
      <c r="C115" t="str">
        <f>Notes!W117</f>
        <v xml:space="preserve">               </v>
      </c>
      <c r="D115" s="5">
        <f>Notes!O117</f>
        <v>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</row>
    <row r="116" spans="2:154" x14ac:dyDescent="0.3">
      <c r="B116" s="33"/>
      <c r="C116" t="str">
        <f>Notes!W118</f>
        <v xml:space="preserve">               </v>
      </c>
      <c r="D116" s="5">
        <f>Notes!O118</f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</row>
    <row r="117" spans="2:154" x14ac:dyDescent="0.3">
      <c r="B117" s="33"/>
      <c r="C117" t="str">
        <f>Notes!W119</f>
        <v xml:space="preserve">               </v>
      </c>
      <c r="D117" s="5">
        <f>Notes!O119</f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</row>
    <row r="118" spans="2:154" x14ac:dyDescent="0.3">
      <c r="B118" s="33"/>
      <c r="C118" t="str">
        <f>Notes!W120</f>
        <v xml:space="preserve">               </v>
      </c>
      <c r="D118" s="5">
        <f>Notes!O120</f>
        <v>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</row>
    <row r="119" spans="2:154" x14ac:dyDescent="0.3">
      <c r="B119" s="33"/>
      <c r="C119" t="str">
        <f>Notes!W121</f>
        <v xml:space="preserve">               </v>
      </c>
      <c r="D119" s="5">
        <f>Notes!O121</f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</row>
    <row r="120" spans="2:154" x14ac:dyDescent="0.3">
      <c r="B120" s="33"/>
      <c r="C120" t="str">
        <f>Notes!W122</f>
        <v xml:space="preserve">               </v>
      </c>
      <c r="D120" s="5">
        <f>Notes!O122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</row>
    <row r="121" spans="2:154" x14ac:dyDescent="0.3">
      <c r="B121" s="33"/>
      <c r="C121" t="str">
        <f>Notes!W123</f>
        <v xml:space="preserve">               </v>
      </c>
      <c r="D121" s="5">
        <f>Notes!O123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</row>
    <row r="122" spans="2:154" x14ac:dyDescent="0.3">
      <c r="B122" s="33"/>
      <c r="C122" t="str">
        <f>Notes!W124</f>
        <v xml:space="preserve">               </v>
      </c>
      <c r="D122" s="5">
        <f>Notes!O124</f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</row>
    <row r="123" spans="2:154" x14ac:dyDescent="0.3">
      <c r="B123" s="33"/>
      <c r="C123" t="str">
        <f>Notes!W125</f>
        <v xml:space="preserve">               </v>
      </c>
      <c r="D123" s="5">
        <f>Notes!O125</f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</row>
    <row r="124" spans="2:154" x14ac:dyDescent="0.3">
      <c r="B124" s="33"/>
      <c r="C124" t="str">
        <f>Notes!W126</f>
        <v xml:space="preserve">               </v>
      </c>
      <c r="D124" s="5">
        <f>Notes!O126</f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</row>
    <row r="125" spans="2:154" x14ac:dyDescent="0.3">
      <c r="B125" s="33"/>
      <c r="C125" t="str">
        <f>Notes!W127</f>
        <v xml:space="preserve">               </v>
      </c>
      <c r="D125" s="5">
        <f>Notes!O127</f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</row>
    <row r="126" spans="2:154" x14ac:dyDescent="0.3">
      <c r="B126" s="33"/>
      <c r="C126" t="str">
        <f>Notes!W128</f>
        <v xml:space="preserve">               </v>
      </c>
      <c r="D126" s="5">
        <f>Notes!O128</f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</row>
    <row r="127" spans="2:154" x14ac:dyDescent="0.3">
      <c r="B127" s="33"/>
      <c r="C127" t="str">
        <f>Notes!W129</f>
        <v xml:space="preserve">               </v>
      </c>
      <c r="D127" s="5">
        <f>Notes!O129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</row>
    <row r="128" spans="2:154" x14ac:dyDescent="0.3">
      <c r="B128" s="33"/>
      <c r="C128" t="str">
        <f>Notes!W130</f>
        <v xml:space="preserve">               </v>
      </c>
      <c r="D128" s="5">
        <f>Notes!O130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</row>
    <row r="129" spans="2:154" x14ac:dyDescent="0.3">
      <c r="B129" s="33"/>
      <c r="C129" t="str">
        <f>Notes!W131</f>
        <v xml:space="preserve">               </v>
      </c>
      <c r="D129" s="5">
        <f>Notes!O131</f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</row>
    <row r="130" spans="2:154" x14ac:dyDescent="0.3">
      <c r="B130" s="33"/>
      <c r="C130" t="str">
        <f>Notes!W132</f>
        <v xml:space="preserve">               </v>
      </c>
      <c r="D130" s="5">
        <f>Notes!O132</f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</row>
    <row r="131" spans="2:154" x14ac:dyDescent="0.3">
      <c r="B131" s="33"/>
      <c r="C131" t="str">
        <f>Notes!W133</f>
        <v xml:space="preserve">               </v>
      </c>
      <c r="D131" s="5">
        <f>Notes!O133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</row>
    <row r="132" spans="2:154" x14ac:dyDescent="0.3">
      <c r="B132" s="33"/>
      <c r="C132" t="str">
        <f>Notes!W134</f>
        <v xml:space="preserve">               </v>
      </c>
      <c r="D132" s="5">
        <f>Notes!O134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</row>
    <row r="133" spans="2:154" x14ac:dyDescent="0.3">
      <c r="B133" s="33"/>
      <c r="C133" t="str">
        <f>Notes!W135</f>
        <v xml:space="preserve">               </v>
      </c>
      <c r="D133" s="5">
        <f>Notes!O135</f>
        <v>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</row>
    <row r="134" spans="2:154" x14ac:dyDescent="0.3">
      <c r="B134" s="33"/>
      <c r="C134" t="str">
        <f>Notes!W136</f>
        <v xml:space="preserve">               </v>
      </c>
      <c r="D134" s="5">
        <f>Notes!O136</f>
        <v>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</row>
    <row r="135" spans="2:154" x14ac:dyDescent="0.3">
      <c r="B135" s="33"/>
      <c r="C135" t="str">
        <f>Notes!W137</f>
        <v xml:space="preserve">               </v>
      </c>
      <c r="D135" s="5">
        <f>Notes!O137</f>
        <v>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</row>
    <row r="136" spans="2:154" x14ac:dyDescent="0.3">
      <c r="B136" s="33"/>
      <c r="C136" t="str">
        <f>Notes!W138</f>
        <v xml:space="preserve">               </v>
      </c>
      <c r="D136" s="5">
        <f>Notes!O138</f>
        <v>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</row>
    <row r="137" spans="2:154" x14ac:dyDescent="0.3">
      <c r="B137" s="33"/>
      <c r="C137" t="str">
        <f>Notes!W139</f>
        <v xml:space="preserve">               </v>
      </c>
      <c r="D137" s="5">
        <f>Notes!O139</f>
        <v>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</row>
    <row r="138" spans="2:154" x14ac:dyDescent="0.3">
      <c r="B138" s="33"/>
      <c r="C138" t="str">
        <f>Notes!W140</f>
        <v xml:space="preserve">               </v>
      </c>
      <c r="D138" s="5">
        <f>Notes!O140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</row>
    <row r="139" spans="2:154" x14ac:dyDescent="0.3">
      <c r="B139" s="33"/>
      <c r="C139" t="str">
        <f>Notes!W141</f>
        <v xml:space="preserve">               </v>
      </c>
      <c r="D139" s="5">
        <f>Notes!O141</f>
        <v>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</row>
    <row r="140" spans="2:154" x14ac:dyDescent="0.3">
      <c r="B140" s="33"/>
      <c r="C140" t="str">
        <f>Notes!W142</f>
        <v xml:space="preserve">               </v>
      </c>
      <c r="D140" s="5">
        <f>Notes!O142</f>
        <v>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</row>
    <row r="141" spans="2:154" x14ac:dyDescent="0.3">
      <c r="B141" s="33"/>
      <c r="C141" t="str">
        <f>Notes!W143</f>
        <v xml:space="preserve">               </v>
      </c>
      <c r="D141" s="5">
        <f>Notes!O143</f>
        <v>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</row>
    <row r="142" spans="2:154" x14ac:dyDescent="0.3">
      <c r="B142" s="33"/>
      <c r="C142" t="str">
        <f>Notes!W144</f>
        <v xml:space="preserve">               </v>
      </c>
      <c r="D142" s="5">
        <f>Notes!O144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</row>
    <row r="143" spans="2:154" x14ac:dyDescent="0.3">
      <c r="B143" s="33"/>
      <c r="C143" t="str">
        <f>Notes!W145</f>
        <v xml:space="preserve">               </v>
      </c>
      <c r="D143" s="5">
        <f>Notes!O145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</row>
    <row r="144" spans="2:154" x14ac:dyDescent="0.3">
      <c r="B144" s="33"/>
      <c r="C144" t="str">
        <f>Notes!W146</f>
        <v xml:space="preserve">               </v>
      </c>
      <c r="D144" s="5">
        <f>Notes!O146</f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</row>
    <row r="145" spans="2:154" x14ac:dyDescent="0.3">
      <c r="B145" s="33"/>
      <c r="C145" t="str">
        <f>Notes!W147</f>
        <v xml:space="preserve">               </v>
      </c>
      <c r="D145" s="5">
        <f>Notes!O147</f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</row>
    <row r="146" spans="2:154" x14ac:dyDescent="0.3">
      <c r="B146" s="33"/>
      <c r="C146" t="str">
        <f>Notes!W148</f>
        <v xml:space="preserve">               </v>
      </c>
      <c r="D146" s="5">
        <f>Notes!O148</f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</row>
    <row r="147" spans="2:154" x14ac:dyDescent="0.3">
      <c r="B147" s="33"/>
      <c r="C147" t="str">
        <f>Notes!W149</f>
        <v xml:space="preserve">               </v>
      </c>
      <c r="D147" s="5">
        <f>Notes!O149</f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</row>
    <row r="148" spans="2:154" x14ac:dyDescent="0.3">
      <c r="B148" s="33"/>
      <c r="C148" t="str">
        <f>Notes!W150</f>
        <v xml:space="preserve">               </v>
      </c>
      <c r="D148" s="5">
        <f>Notes!O150</f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</row>
    <row r="149" spans="2:154" x14ac:dyDescent="0.3">
      <c r="B149" s="33"/>
      <c r="C149" t="str">
        <f>Notes!W151</f>
        <v xml:space="preserve">               </v>
      </c>
      <c r="D149" s="5">
        <f>Notes!O151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</row>
    <row r="150" spans="2:154" x14ac:dyDescent="0.3">
      <c r="B150" s="33"/>
      <c r="C150" t="str">
        <f>Notes!W152</f>
        <v xml:space="preserve">               </v>
      </c>
      <c r="D150" s="5">
        <f>Notes!O152</f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</row>
    <row r="151" spans="2:154" x14ac:dyDescent="0.3">
      <c r="B151" s="33"/>
      <c r="C151" t="str">
        <f>Notes!W153</f>
        <v xml:space="preserve">               </v>
      </c>
      <c r="D151" s="5">
        <f>Notes!O153</f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</row>
    <row r="152" spans="2:154" x14ac:dyDescent="0.3">
      <c r="B152" s="33"/>
      <c r="C152" t="str">
        <f>Notes!W154</f>
        <v xml:space="preserve">               </v>
      </c>
      <c r="D152" s="5">
        <f>Notes!O154</f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</row>
    <row r="153" spans="2:154" x14ac:dyDescent="0.3">
      <c r="B153" s="33"/>
      <c r="C153" t="str">
        <f>Notes!W155</f>
        <v xml:space="preserve">               </v>
      </c>
      <c r="D153" s="5">
        <f>Notes!O155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</row>
    <row r="154" spans="2:154" x14ac:dyDescent="0.3">
      <c r="B154" s="33"/>
      <c r="C154" t="str">
        <f>Notes!W156</f>
        <v xml:space="preserve">               </v>
      </c>
      <c r="D154" s="5">
        <f>Notes!O156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</row>
    <row r="155" spans="2:154" x14ac:dyDescent="0.3">
      <c r="B155" s="33"/>
      <c r="C155" t="str">
        <f>Notes!W157</f>
        <v xml:space="preserve">               </v>
      </c>
      <c r="D155" s="5">
        <f>Notes!O157</f>
        <v>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</row>
    <row r="156" spans="2:154" x14ac:dyDescent="0.3">
      <c r="B156" s="33"/>
      <c r="C156" t="str">
        <f>Notes!W158</f>
        <v xml:space="preserve">               </v>
      </c>
      <c r="D156" s="5">
        <f>Notes!O158</f>
        <v>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</row>
    <row r="157" spans="2:154" x14ac:dyDescent="0.3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</row>
  </sheetData>
  <sheetProtection sheet="1" objects="1" scenarios="1"/>
  <pageMargins left="0.7" right="0.7" top="0.75" bottom="0.75" header="0.3" footer="0.3"/>
  <ignoredErrors>
    <ignoredError sqref="D15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pane ySplit="5" topLeftCell="A9" activePane="bottomLeft" state="frozen"/>
      <selection activeCell="E10" sqref="E10"/>
      <selection pane="bottomLeft" activeCell="C23" sqref="C23"/>
    </sheetView>
  </sheetViews>
  <sheetFormatPr defaultRowHeight="14.4" x14ac:dyDescent="0.3"/>
  <cols>
    <col min="2" max="2" width="11.109375" bestFit="1" customWidth="1"/>
    <col min="3" max="3" width="18.44140625" customWidth="1"/>
  </cols>
  <sheetData>
    <row r="1" spans="1:5" ht="18" x14ac:dyDescent="0.35">
      <c r="A1" s="2" t="s">
        <v>31</v>
      </c>
    </row>
    <row r="5" spans="1:5" x14ac:dyDescent="0.3"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>
        <v>1</v>
      </c>
    </row>
    <row r="7" spans="1:5" x14ac:dyDescent="0.3">
      <c r="A7" t="s">
        <v>20</v>
      </c>
      <c r="B7" t="s">
        <v>26</v>
      </c>
      <c r="C7" t="s">
        <v>23</v>
      </c>
      <c r="D7">
        <v>1</v>
      </c>
    </row>
    <row r="8" spans="1:5" x14ac:dyDescent="0.3">
      <c r="A8" t="s">
        <v>20</v>
      </c>
      <c r="B8" t="s">
        <v>27</v>
      </c>
      <c r="C8" t="s">
        <v>24</v>
      </c>
      <c r="D8">
        <v>1</v>
      </c>
    </row>
    <row r="9" spans="1:5" x14ac:dyDescent="0.3">
      <c r="A9" t="s">
        <v>20</v>
      </c>
      <c r="B9" t="s">
        <v>28</v>
      </c>
      <c r="C9" t="s">
        <v>25</v>
      </c>
      <c r="D9">
        <v>1</v>
      </c>
    </row>
    <row r="10" spans="1:5" x14ac:dyDescent="0.3">
      <c r="A10" t="s">
        <v>20</v>
      </c>
      <c r="B10" t="s">
        <v>29</v>
      </c>
      <c r="C10" t="s">
        <v>249</v>
      </c>
      <c r="D10">
        <v>1</v>
      </c>
    </row>
    <row r="11" spans="1:5" x14ac:dyDescent="0.3">
      <c r="A11" t="s">
        <v>20</v>
      </c>
      <c r="B11" t="s">
        <v>30</v>
      </c>
      <c r="C11" t="s">
        <v>250</v>
      </c>
      <c r="D11">
        <v>1</v>
      </c>
    </row>
    <row r="12" spans="1:5" x14ac:dyDescent="0.3">
      <c r="A12" t="s">
        <v>35</v>
      </c>
      <c r="B12" t="s">
        <v>32</v>
      </c>
      <c r="C12" t="s">
        <v>257</v>
      </c>
      <c r="D12">
        <v>1</v>
      </c>
      <c r="E12">
        <v>1</v>
      </c>
    </row>
    <row r="13" spans="1:5" x14ac:dyDescent="0.3">
      <c r="A13" t="s">
        <v>35</v>
      </c>
      <c r="B13" t="s">
        <v>33</v>
      </c>
      <c r="C13" t="s">
        <v>258</v>
      </c>
      <c r="D13">
        <v>1</v>
      </c>
      <c r="E13">
        <v>1</v>
      </c>
    </row>
    <row r="14" spans="1:5" x14ac:dyDescent="0.3">
      <c r="A14" t="s">
        <v>35</v>
      </c>
      <c r="B14" t="s">
        <v>34</v>
      </c>
      <c r="C14" t="s">
        <v>259</v>
      </c>
      <c r="D14">
        <v>1</v>
      </c>
      <c r="E14">
        <v>1</v>
      </c>
    </row>
    <row r="20" spans="1:5" x14ac:dyDescent="0.3">
      <c r="D20" t="s">
        <v>18</v>
      </c>
      <c r="E20" t="s">
        <v>19</v>
      </c>
    </row>
    <row r="21" spans="1:5" x14ac:dyDescent="0.3">
      <c r="A21" t="s">
        <v>35</v>
      </c>
      <c r="B21" t="s">
        <v>40</v>
      </c>
      <c r="C21" t="s">
        <v>235</v>
      </c>
      <c r="D21">
        <v>1</v>
      </c>
      <c r="E21">
        <v>1</v>
      </c>
    </row>
    <row r="22" spans="1:5" x14ac:dyDescent="0.3">
      <c r="A22" t="s">
        <v>35</v>
      </c>
      <c r="B22" t="s">
        <v>41</v>
      </c>
      <c r="C22" t="s">
        <v>477</v>
      </c>
      <c r="D22">
        <v>1</v>
      </c>
      <c r="E22">
        <v>1</v>
      </c>
    </row>
    <row r="23" spans="1:5" x14ac:dyDescent="0.3">
      <c r="A23" t="s">
        <v>35</v>
      </c>
      <c r="B23" t="s">
        <v>293</v>
      </c>
      <c r="C23" t="s">
        <v>99</v>
      </c>
      <c r="D23">
        <v>2</v>
      </c>
      <c r="E23">
        <v>1</v>
      </c>
    </row>
    <row r="24" spans="1:5" x14ac:dyDescent="0.3">
      <c r="A24" t="s">
        <v>35</v>
      </c>
      <c r="B24" t="s">
        <v>292</v>
      </c>
      <c r="C24" t="s">
        <v>295</v>
      </c>
      <c r="D24">
        <v>2</v>
      </c>
      <c r="E24">
        <v>1</v>
      </c>
    </row>
    <row r="25" spans="1:5" x14ac:dyDescent="0.3">
      <c r="A25" t="s">
        <v>35</v>
      </c>
      <c r="B25" t="s">
        <v>291</v>
      </c>
      <c r="C25" t="s">
        <v>83</v>
      </c>
      <c r="D25">
        <v>1</v>
      </c>
      <c r="E25">
        <v>1</v>
      </c>
    </row>
    <row r="26" spans="1:5" x14ac:dyDescent="0.3">
      <c r="A26" t="s">
        <v>35</v>
      </c>
      <c r="B26" t="s">
        <v>290</v>
      </c>
      <c r="C26" t="s">
        <v>263</v>
      </c>
      <c r="D26">
        <v>1</v>
      </c>
      <c r="E26">
        <v>1</v>
      </c>
    </row>
    <row r="27" spans="1:5" x14ac:dyDescent="0.3">
      <c r="A27" t="s">
        <v>35</v>
      </c>
      <c r="B27" t="s">
        <v>279</v>
      </c>
      <c r="C27" t="s">
        <v>67</v>
      </c>
      <c r="D27">
        <v>1</v>
      </c>
      <c r="E27">
        <v>1</v>
      </c>
    </row>
    <row r="28" spans="1:5" x14ac:dyDescent="0.3">
      <c r="A28" t="s">
        <v>35</v>
      </c>
      <c r="B28" t="s">
        <v>280</v>
      </c>
      <c r="C28" t="s">
        <v>269</v>
      </c>
      <c r="D28">
        <v>1</v>
      </c>
      <c r="E28">
        <v>1</v>
      </c>
    </row>
    <row r="29" spans="1:5" x14ac:dyDescent="0.3">
      <c r="A29" t="s">
        <v>35</v>
      </c>
      <c r="B29" t="s">
        <v>281</v>
      </c>
      <c r="C29" t="s">
        <v>270</v>
      </c>
      <c r="D29">
        <v>1</v>
      </c>
      <c r="E29">
        <v>1</v>
      </c>
    </row>
    <row r="30" spans="1:5" x14ac:dyDescent="0.3">
      <c r="A30" t="s">
        <v>35</v>
      </c>
      <c r="B30" t="s">
        <v>282</v>
      </c>
      <c r="C30" t="s">
        <v>74</v>
      </c>
      <c r="D30">
        <v>1</v>
      </c>
      <c r="E30">
        <v>1</v>
      </c>
    </row>
    <row r="31" spans="1:5" x14ac:dyDescent="0.3">
      <c r="A31" t="s">
        <v>35</v>
      </c>
      <c r="B31" t="s">
        <v>283</v>
      </c>
      <c r="C31" t="s">
        <v>264</v>
      </c>
      <c r="D31">
        <v>1</v>
      </c>
      <c r="E31">
        <v>1</v>
      </c>
    </row>
    <row r="32" spans="1:5" x14ac:dyDescent="0.3">
      <c r="A32" t="s">
        <v>35</v>
      </c>
      <c r="B32" t="s">
        <v>284</v>
      </c>
      <c r="C32" t="s">
        <v>265</v>
      </c>
      <c r="D32">
        <v>1</v>
      </c>
      <c r="E32">
        <v>1</v>
      </c>
    </row>
    <row r="33" spans="1:5" x14ac:dyDescent="0.3">
      <c r="A33" t="s">
        <v>35</v>
      </c>
      <c r="B33" t="s">
        <v>285</v>
      </c>
      <c r="C33" t="s">
        <v>266</v>
      </c>
      <c r="D33">
        <v>1</v>
      </c>
      <c r="E33">
        <v>1</v>
      </c>
    </row>
    <row r="34" spans="1:5" x14ac:dyDescent="0.3">
      <c r="A34" t="s">
        <v>35</v>
      </c>
      <c r="B34" t="s">
        <v>286</v>
      </c>
      <c r="C34" t="s">
        <v>267</v>
      </c>
      <c r="D34">
        <v>1</v>
      </c>
      <c r="E34">
        <v>1</v>
      </c>
    </row>
    <row r="35" spans="1:5" x14ac:dyDescent="0.3">
      <c r="A35" t="s">
        <v>35</v>
      </c>
      <c r="B35" t="s">
        <v>287</v>
      </c>
      <c r="C35" t="s">
        <v>268</v>
      </c>
      <c r="D35">
        <v>1</v>
      </c>
      <c r="E35">
        <v>1</v>
      </c>
    </row>
    <row r="36" spans="1:5" x14ac:dyDescent="0.3">
      <c r="A36" t="s">
        <v>35</v>
      </c>
      <c r="B36" t="s">
        <v>288</v>
      </c>
      <c r="C36" t="s">
        <v>79</v>
      </c>
      <c r="D36">
        <v>1</v>
      </c>
      <c r="E36">
        <v>1</v>
      </c>
    </row>
    <row r="37" spans="1:5" x14ac:dyDescent="0.3">
      <c r="A37" t="s">
        <v>35</v>
      </c>
      <c r="B37" t="s">
        <v>289</v>
      </c>
      <c r="C37" t="s">
        <v>262</v>
      </c>
      <c r="D37">
        <v>1</v>
      </c>
      <c r="E37">
        <v>1</v>
      </c>
    </row>
    <row r="38" spans="1:5" x14ac:dyDescent="0.3">
      <c r="A38" t="s">
        <v>35</v>
      </c>
      <c r="B38" t="s">
        <v>275</v>
      </c>
      <c r="C38" t="s">
        <v>66</v>
      </c>
      <c r="D38">
        <v>1</v>
      </c>
      <c r="E38">
        <v>1</v>
      </c>
    </row>
    <row r="39" spans="1:5" x14ac:dyDescent="0.3">
      <c r="A39" t="s">
        <v>35</v>
      </c>
      <c r="B39" t="s">
        <v>276</v>
      </c>
      <c r="C39" t="s">
        <v>271</v>
      </c>
      <c r="D39">
        <v>1</v>
      </c>
      <c r="E39">
        <v>1</v>
      </c>
    </row>
    <row r="40" spans="1:5" x14ac:dyDescent="0.3">
      <c r="A40" t="s">
        <v>35</v>
      </c>
      <c r="B40" t="s">
        <v>277</v>
      </c>
      <c r="C40" t="s">
        <v>272</v>
      </c>
      <c r="D40">
        <v>1</v>
      </c>
      <c r="E40">
        <v>1</v>
      </c>
    </row>
    <row r="41" spans="1:5" x14ac:dyDescent="0.3">
      <c r="A41" t="s">
        <v>35</v>
      </c>
      <c r="B41" t="s">
        <v>294</v>
      </c>
      <c r="C41" t="s">
        <v>273</v>
      </c>
      <c r="D41">
        <v>1</v>
      </c>
      <c r="E41">
        <v>1</v>
      </c>
    </row>
    <row r="42" spans="1:5" x14ac:dyDescent="0.3">
      <c r="A42" t="s">
        <v>35</v>
      </c>
      <c r="B42" t="s">
        <v>278</v>
      </c>
      <c r="C42" t="s">
        <v>274</v>
      </c>
      <c r="D42">
        <v>1</v>
      </c>
      <c r="E42">
        <v>1</v>
      </c>
    </row>
    <row r="43" spans="1:5" x14ac:dyDescent="0.3">
      <c r="A43" t="s">
        <v>35</v>
      </c>
      <c r="B43" t="s">
        <v>164</v>
      </c>
      <c r="C43" t="s">
        <v>165</v>
      </c>
      <c r="D43">
        <v>1</v>
      </c>
      <c r="E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Notes</vt:lpstr>
      <vt:lpstr>Base</vt:lpstr>
      <vt:lpstr>Macro</vt:lpstr>
      <vt:lpstr>GDP</vt:lpstr>
      <vt:lpstr>Sector</vt:lpstr>
      <vt:lpstr>Trade</vt:lpstr>
      <vt:lpstr>Prices</vt:lpstr>
      <vt:lpstr>Factors</vt:lpstr>
      <vt:lpstr>Households</vt:lpstr>
      <vt:lpstr>Sets</vt:lpstr>
      <vt:lpstr>RA</vt:lpstr>
      <vt:lpstr>RF</vt:lpstr>
      <vt:lpstr>RH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Thurlow, James (IFPRI)</cp:lastModifiedBy>
  <dcterms:created xsi:type="dcterms:W3CDTF">2015-06-05T18:17:20Z</dcterms:created>
  <dcterms:modified xsi:type="dcterms:W3CDTF">2025-12-07T00:09:37Z</dcterms:modified>
</cp:coreProperties>
</file>